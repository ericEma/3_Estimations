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16_Claude Code\3_Estimations\"/>
    </mc:Choice>
  </mc:AlternateContent>
  <xr:revisionPtr revIDLastSave="0" documentId="13_ncr:1_{22CC0569-E6B6-43CD-ADB3-33CD7B8DAC2C}" xr6:coauthVersionLast="47" xr6:coauthVersionMax="47" xr10:uidLastSave="{00000000-0000-0000-0000-000000000000}"/>
  <bookViews>
    <workbookView xWindow="-53868" yWindow="-108" windowWidth="23256" windowHeight="12456" xr2:uid="{00000000-000D-0000-FFFF-FFFF00000000}"/>
  </bookViews>
  <sheets>
    <sheet name="DPGF" sheetId="1" r:id="rId1"/>
  </sheets>
  <definedNames>
    <definedName name="total_lig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JZ1RwwvjS3JY9xLGwpELm+iYTtRsCZRSkf+mCbFjvU="/>
    </ext>
  </extLst>
</workbook>
</file>

<file path=xl/calcChain.xml><?xml version="1.0" encoding="utf-8"?>
<calcChain xmlns="http://schemas.openxmlformats.org/spreadsheetml/2006/main">
  <c r="D202" i="1" l="1"/>
  <c r="B18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D591" i="1"/>
  <c r="D587" i="1"/>
  <c r="D584" i="1"/>
  <c r="D581" i="1"/>
  <c r="D572" i="1"/>
  <c r="D560" i="1"/>
  <c r="D556" i="1"/>
  <c r="D544" i="1"/>
  <c r="D519" i="1"/>
  <c r="D504" i="1"/>
  <c r="D492" i="1"/>
  <c r="D488" i="1"/>
  <c r="D473" i="1"/>
  <c r="D466" i="1"/>
  <c r="D452" i="1"/>
  <c r="D439" i="1"/>
  <c r="D429" i="1"/>
  <c r="D426" i="1"/>
  <c r="D410" i="1"/>
  <c r="D404" i="1"/>
  <c r="D397" i="1"/>
  <c r="D387" i="1"/>
  <c r="D362" i="1"/>
  <c r="D355" i="1"/>
  <c r="D309" i="1"/>
  <c r="D304" i="1"/>
  <c r="D269" i="1"/>
  <c r="D252" i="1"/>
  <c r="D239" i="1"/>
  <c r="D234" i="1"/>
  <c r="D231" i="1"/>
  <c r="D182" i="1"/>
  <c r="D169" i="1"/>
  <c r="D166" i="1"/>
  <c r="D154" i="1"/>
  <c r="D150" i="1"/>
  <c r="D147" i="1"/>
  <c r="D136" i="1"/>
  <c r="H122" i="1"/>
  <c r="H121" i="1"/>
  <c r="H120" i="1"/>
  <c r="H114" i="1"/>
  <c r="H113" i="1"/>
  <c r="D102" i="1"/>
  <c r="D97" i="1"/>
  <c r="D84" i="1"/>
  <c r="D76" i="1"/>
  <c r="D34" i="1"/>
  <c r="D31" i="1"/>
  <c r="D25" i="1"/>
  <c r="D18" i="1"/>
  <c r="D11" i="1"/>
  <c r="D7" i="1"/>
</calcChain>
</file>

<file path=xl/sharedStrings.xml><?xml version="1.0" encoding="utf-8"?>
<sst xmlns="http://schemas.openxmlformats.org/spreadsheetml/2006/main" count="1591" uniqueCount="543">
  <si>
    <t>Art.</t>
  </si>
  <si>
    <t>Type ratio</t>
  </si>
  <si>
    <t>Nature</t>
  </si>
  <si>
    <t>DESIGNATION</t>
  </si>
  <si>
    <t>U</t>
  </si>
  <si>
    <t>Q MOE</t>
  </si>
  <si>
    <t>Q entreprise</t>
  </si>
  <si>
    <t>PU € HT</t>
  </si>
  <si>
    <t>Montant € HT</t>
  </si>
  <si>
    <t>Courants Forts</t>
  </si>
  <si>
    <t>Titre</t>
  </si>
  <si>
    <t>Installation de chantier</t>
  </si>
  <si>
    <t>m²</t>
  </si>
  <si>
    <t>Article</t>
  </si>
  <si>
    <t>Création d'un départ dans l'armoire générale chantier</t>
  </si>
  <si>
    <t>u</t>
  </si>
  <si>
    <t>Fourniture et installation de coffret de chantier</t>
  </si>
  <si>
    <t>Eclairage de chantier</t>
  </si>
  <si>
    <t>ens</t>
  </si>
  <si>
    <t>Installation existantes</t>
  </si>
  <si>
    <t>Dépose des installations existantes</t>
  </si>
  <si>
    <t>Consignations des installations</t>
  </si>
  <si>
    <t>Jour</t>
  </si>
  <si>
    <t>Réseau de terre</t>
  </si>
  <si>
    <t xml:space="preserve">Fourniture et installation d'une câblette de terre en fond de fouille </t>
  </si>
  <si>
    <t>ml</t>
  </si>
  <si>
    <t>Terre du poste de transformation</t>
  </si>
  <si>
    <t>Fourniture et installation de barrette de coupure</t>
  </si>
  <si>
    <t>Mise à la terre des masses métalliques</t>
  </si>
  <si>
    <t>Liaisons équipotentielles</t>
  </si>
  <si>
    <t>VRD</t>
  </si>
  <si>
    <t>Dallage au sol pour transfo de 20 m² (pas une dalle portée)</t>
  </si>
  <si>
    <t>Terrassement + évacuation</t>
  </si>
  <si>
    <t>Tranchée de 1m de largeur</t>
  </si>
  <si>
    <t xml:space="preserve">Fourreaux TPC DN 200 </t>
  </si>
  <si>
    <t>Chambres de tirage K1C</t>
  </si>
  <si>
    <t>Protection contre les effets directs de la foudre</t>
  </si>
  <si>
    <t>Pointes</t>
  </si>
  <si>
    <t>Descentes</t>
  </si>
  <si>
    <t>Pattes d'oies</t>
  </si>
  <si>
    <t>Câblette enterrée</t>
  </si>
  <si>
    <t>Protection contre les effets indirects de la foudre</t>
  </si>
  <si>
    <t>Parafoudre type 2</t>
  </si>
  <si>
    <t>Poste de livraison/transformation</t>
  </si>
  <si>
    <t>.poste de transformation intégré : 630 KVA : 3 cellules + 1 TRS + Liaisons HT et BT + divers poste</t>
  </si>
  <si>
    <t>.poste de transformation intégré : 1 000 KVA : 3 cellules + 1 TRS + Liaisons HT et BT + divers poste</t>
  </si>
  <si>
    <t>.poste de transformation intégré : 2x800 KVA : 2IM+1CM+1DM2+2QM 43A + 2TRS(A0AK)</t>
  </si>
  <si>
    <t>.poste de transformation intégré : 3x800 KVA : 2IM+1CM+1DM2+3QM 43A + 3TRS(B0BK)</t>
  </si>
  <si>
    <t>.poste de transformation intégré : 3x1000 KVA : 2IM+1CM+1DM2+3QM 43A + 3TRS(B0BK)</t>
  </si>
  <si>
    <t>.poste de transformation intégré : 2x2 500 KVA : 2IM+1CM+1DM2+2DM1 + 2TRS(B0BK)</t>
  </si>
  <si>
    <t>.poste de transformation (préfabriqué) : Poste béton bocage : 7m Vide</t>
  </si>
  <si>
    <t>.poste de transformation (préfabriqué) : Poste béton bocage : 5m Vide</t>
  </si>
  <si>
    <t>.poste de transformation (préfabriqué) : Poste béton bocage : 7m (gruté avec équipement mini)</t>
  </si>
  <si>
    <t>.poste de transformation (préfabriqué) : Poste Biosco 10L + 2IM + 1CM + 1DM1 (hors transfo)</t>
  </si>
  <si>
    <t>.poste de transformation (préfabriqué) : Poste B100 + 2IM + 1CM + 1DM1 (hors transfo)</t>
  </si>
  <si>
    <t>.poste de transformation (préfabriqué) : Poste Biosco 10L (Pas de cellule)</t>
  </si>
  <si>
    <t>Transformateur 630KVA+bac</t>
  </si>
  <si>
    <t>Transformateur 630KVA - bitension - UCC 9% - ICC 10 KA</t>
  </si>
  <si>
    <t>Transformateur 630KVA+bac - UCC6% - Ecodesign</t>
  </si>
  <si>
    <t>Transformateur 800 KVA - bitension -BoBK+bac</t>
  </si>
  <si>
    <t>Transformateur 1000 KVA - bitension -BoBk+bac</t>
  </si>
  <si>
    <t>Transformateur 1250 KVA - bitension +bac</t>
  </si>
  <si>
    <t>Transformateur 1600KVA - bitension +bac</t>
  </si>
  <si>
    <t>Transformateur 2500KVA - bitension -BobK+Bac extinction naturelle</t>
  </si>
  <si>
    <t>Bac de rétention</t>
  </si>
  <si>
    <t>Cellules HTA - Inter</t>
  </si>
  <si>
    <t>Cellules CM</t>
  </si>
  <si>
    <t>Cellules DM2</t>
  </si>
  <si>
    <t>TM</t>
  </si>
  <si>
    <t>Cellule de bouclage</t>
  </si>
  <si>
    <t>Cellule de remontée de barre</t>
  </si>
  <si>
    <t>Mise en service SEPAM</t>
  </si>
  <si>
    <t>Bardin</t>
  </si>
  <si>
    <t>Accessoires de pose et raccordement cellules</t>
  </si>
  <si>
    <t>liaison HTA cellule - transfo</t>
  </si>
  <si>
    <t>Câble HTA extérieur</t>
  </si>
  <si>
    <t>Tableau auxiliaire poste</t>
  </si>
  <si>
    <t>Câbles HTA</t>
  </si>
  <si>
    <t>Alimentation du TGBT - TV</t>
  </si>
  <si>
    <t>.protection transformateur</t>
  </si>
  <si>
    <t>Reconfiguration de boucle</t>
  </si>
  <si>
    <t>Ordinateur de supervision</t>
  </si>
  <si>
    <t>Etude et analyse fonctionnelle (ensemble des postes)</t>
  </si>
  <si>
    <t>Paramétrage et programmation du système (par poste traité)</t>
  </si>
  <si>
    <t>Essais et mise en service + formation(ensemble)</t>
  </si>
  <si>
    <t>Branchement Basse Tension</t>
  </si>
  <si>
    <t>Tarif jaune 400A comprenant : coffret 400A, disjoncteur abonné, pose du tarif jaune, câble d'alimentation et câble de téléreport</t>
  </si>
  <si>
    <t>Tarif jaune 250A comprenant : coffret 400A, disjoncteur abonné, pose du tarif jaune, câble d'alimentation et câble de téléreport</t>
  </si>
  <si>
    <t>Tarif jaune 160A comprenant : coffret 400A, disjoncteur abonné, pose du tarif jaune, câble d'alimentation et câble de téléreport</t>
  </si>
  <si>
    <t>Tarif bleu comprenant : coffret EDF, disjoncteur AB 4x63A, pose comptage, câble d'alimentation et câble de téléreport</t>
  </si>
  <si>
    <t>Alimentation du TGBT - TJ</t>
  </si>
  <si>
    <t>Coffret de coupure</t>
  </si>
  <si>
    <t>Disjoncteur de protection général</t>
  </si>
  <si>
    <t>Câble de liaison HN33S33</t>
  </si>
  <si>
    <t>Câble de téléreport</t>
  </si>
  <si>
    <t>Disjoncteur de branchement abonné dans le bâtiment</t>
  </si>
  <si>
    <t>Comptage concessionnaire</t>
  </si>
  <si>
    <t>Batterie de condensateur</t>
  </si>
  <si>
    <t>Coffret batterie de condensateur de 100 KVAR</t>
  </si>
  <si>
    <t>Coffret batterie de condensateur de 150 KVAR</t>
  </si>
  <si>
    <t>Coffret batterie de condensateur de 225 KVAR</t>
  </si>
  <si>
    <t>Groupe électrogène</t>
  </si>
  <si>
    <t xml:space="preserve">Groupe ext. de 1000 KVA - Fourniture, installation et raccordement du groupe </t>
  </si>
  <si>
    <t>Groupe ext. de 1000 KVA - câbles (40mx4 par phase)</t>
  </si>
  <si>
    <t>Groupe ext. de 1000 KVA - essais (banc de charge)</t>
  </si>
  <si>
    <t>Groupe ext. de 1000 KVA - Transport pose et repose du groupe</t>
  </si>
  <si>
    <t>Groupe ext. Génie civil : traversée de murs</t>
  </si>
  <si>
    <t>Groupe ext. VRD : Tranchée</t>
  </si>
  <si>
    <t>Groupe ext. VRD : Fourreaux (elec+telecom+fiul)</t>
  </si>
  <si>
    <t>Groupe Int. Non capoté : 1520 KVA - secours</t>
  </si>
  <si>
    <t>Groupe Int. Non capoté : 2000 KVA -secours</t>
  </si>
  <si>
    <t>Groupe int. : 80 KVA - Capoté insonorisé - sécurité - complet</t>
  </si>
  <si>
    <t>Groupe int. : 250 KVA - Capoté insonorisé - sécurité - complet</t>
  </si>
  <si>
    <t>Groupe int. : 400 KVA - Capoté insonorisé - secours - seul</t>
  </si>
  <si>
    <t>Groupe int. : 640 KVA - Capoté insonorisé - sécurité - complet</t>
  </si>
  <si>
    <t>Groupe Int. Non capoté : Armoire de commande</t>
  </si>
  <si>
    <t>Groupe Int. Non capoté : Transformateur BT/HTA Sec 1600 KVA</t>
  </si>
  <si>
    <t>Groupe Int. Non capoté : Transformateur BT/HTA Sec 2000 KVA</t>
  </si>
  <si>
    <t>Groupe Int. Non capoté : Divers services (matériel de sécurité)</t>
  </si>
  <si>
    <t>Groupe Int. Non capoté : Recette usine</t>
  </si>
  <si>
    <t>Disjoncteurs de protection en aval du groupe électrogène</t>
  </si>
  <si>
    <t>câbles BT entre le groupe et le TGBT</t>
  </si>
  <si>
    <t>câbles BT entre le groupe et le TGS</t>
  </si>
  <si>
    <t>Accessoires de sécurité</t>
  </si>
  <si>
    <t>Citerne de stockage 1m3,</t>
  </si>
  <si>
    <t xml:space="preserve">Citerne de stockage 5m3, poste de dépotage, </t>
  </si>
  <si>
    <t>Groupe int. : 400 KVA - Echappement</t>
  </si>
  <si>
    <t>Groupe int. : 400 KVA - pièges à son</t>
  </si>
  <si>
    <t>Groupe int. : 400 KVA - traitement acoustique</t>
  </si>
  <si>
    <t>Pré remplissage de fioul pour la réalisation des essais</t>
  </si>
  <si>
    <t>litres</t>
  </si>
  <si>
    <t>Groupe int. : 400 KVA - Essais et mise en service</t>
  </si>
  <si>
    <t>Alimentation sans interruption</t>
  </si>
  <si>
    <t>.onduleur 5KVA - 10min</t>
  </si>
  <si>
    <t>.onduleur 10KVA - 10min</t>
  </si>
  <si>
    <t>.onduleur 15KVA - 40min</t>
  </si>
  <si>
    <t>.onduleur 20KVA - 10min</t>
  </si>
  <si>
    <t>.onduleur 100KVA - 10min</t>
  </si>
  <si>
    <t>.onduleur 120KVA - 10min</t>
  </si>
  <si>
    <t>.onduleur 250KVA - 30min + STS+raccordements</t>
  </si>
  <si>
    <t>Dépose, repose et raccordement d'un onduleur existant</t>
  </si>
  <si>
    <t>Fourniture, pose et raccordement transfo d'isolement 410/410V 80KVA</t>
  </si>
  <si>
    <t>Transformateur Basse Tension</t>
  </si>
  <si>
    <t>Transfo BT/BT - 315 KVA (Y compris protection amont/aval)</t>
  </si>
  <si>
    <t>Alimentation Electrique de sécurité (A.E.S.)</t>
  </si>
  <si>
    <t>Onduleur AES - 60 KVA - 90 mn + TRS intégré</t>
  </si>
  <si>
    <t>Onduleur AES - 200 KVA - 90 mn + TRS intégré</t>
  </si>
  <si>
    <t>Tableaux généraux</t>
  </si>
  <si>
    <t>TGBT Gymnase</t>
  </si>
  <si>
    <t>TGBT (1250 KVA - 4 baies)</t>
  </si>
  <si>
    <t>TGBT (1250 KVA - 14 baies)</t>
  </si>
  <si>
    <t>TGBT 800KVA - (1250A)</t>
  </si>
  <si>
    <t>TGBT 630 KVA - (1000A)</t>
  </si>
  <si>
    <t>TGBT (400A)</t>
  </si>
  <si>
    <t>TGBT (200A)</t>
  </si>
  <si>
    <t>TGBT (125A)</t>
  </si>
  <si>
    <t>TGBT (63A)</t>
  </si>
  <si>
    <t>TGBT HQI (250 KVA) - Hospitaliser</t>
  </si>
  <si>
    <t>Tableau générale de sécurité (TGS)</t>
  </si>
  <si>
    <t>Tableaux électriques TGS</t>
  </si>
  <si>
    <t>Tableau divisionnaire de distribution Normal et ondulé (TDN - TDO)</t>
  </si>
  <si>
    <t>.TDN (1 alimentation) : 400A</t>
  </si>
  <si>
    <t>.TDN (1 alimentation) : 100A</t>
  </si>
  <si>
    <t>.TDN (1 alimentation) : 50A</t>
  </si>
  <si>
    <t>Tableautin de chambres d'hôtel</t>
  </si>
  <si>
    <t>.TD-ITM (2 alimentations + Trs isolement)</t>
  </si>
  <si>
    <t>.TDO (1 alimentation)</t>
  </si>
  <si>
    <t>.TDN/R (Yc inverseur de source)</t>
  </si>
  <si>
    <t>.TDHQM (Yc inverseur de source)</t>
  </si>
  <si>
    <t>coffret d'éclairage extérieur</t>
  </si>
  <si>
    <t>coffret TGS / TDS</t>
  </si>
  <si>
    <t>Alimentation des armoires électriques</t>
  </si>
  <si>
    <t>chemins de câbles + Fourreaux_ (Font Romeu 2021)</t>
  </si>
  <si>
    <t>chemins de câbles + Fourreaux_ Divers ERP</t>
  </si>
  <si>
    <t>chemins de câbles _ Salle de sport</t>
  </si>
  <si>
    <t>chemins de câbles CFO et CFA : 500x50mm (électrozingué)</t>
  </si>
  <si>
    <t>chemins de câbles  CFO et CFA : 400x50mm (électrozingué)</t>
  </si>
  <si>
    <t>chemins de câbles  CFO et CFA : 300x50mm (électrozingué)</t>
  </si>
  <si>
    <t>chemins de câbles  CFO et CFA : 150x50mm (électrozingué)</t>
  </si>
  <si>
    <t>chemins de câbles  CFO et CFA : 100x50mm (électrozingué)</t>
  </si>
  <si>
    <t>chemins de câbles CFO et CFA : 500x50mm (Galvanisé à chaud)</t>
  </si>
  <si>
    <t>chemins de câbles  CFO et CFA : 300x50mm (Galvanisé à chaud)</t>
  </si>
  <si>
    <t>chemins de câbles  CFO et CFA : 150x50mm (Galvanisé à chaud)</t>
  </si>
  <si>
    <t>Plinthe / Goulotte plastique - 3 compartiments</t>
  </si>
  <si>
    <t>Gaine TPC diam 90 mm</t>
  </si>
  <si>
    <t>Fourreaux PVC 42/45</t>
  </si>
  <si>
    <t>Divers cheminements</t>
  </si>
  <si>
    <t>Appareillage</t>
  </si>
  <si>
    <t>Divers appareillage - Complexe sportif</t>
  </si>
  <si>
    <t>Divers appareillage - Bureau</t>
  </si>
  <si>
    <t>Divers appareillage - Ecole</t>
  </si>
  <si>
    <t>Divers appareillage - Crèche</t>
  </si>
  <si>
    <t>Divers appareillage - Médiathèque</t>
  </si>
  <si>
    <t>Divers appareillage - Atelier</t>
  </si>
  <si>
    <t>Divers appareillage - Labo</t>
  </si>
  <si>
    <t>Divers appareillage - Salle de sport</t>
  </si>
  <si>
    <t>Interrupteur SA, Va et Vient - encastré</t>
  </si>
  <si>
    <t>Interrupteur SA, Va et Vient - encastré - étanches</t>
  </si>
  <si>
    <t>bouton poussoir - encastré</t>
  </si>
  <si>
    <t xml:space="preserve">détecteur de présence </t>
  </si>
  <si>
    <t>détecteur de présence + photométrie</t>
  </si>
  <si>
    <t xml:space="preserve">Prise de courant 2 x 10/16 A+T - encastrée </t>
  </si>
  <si>
    <t>Prise de courant 2 x 10/16 A+T - encastré - étanche</t>
  </si>
  <si>
    <t xml:space="preserve">Prise de courant 2 x 10/16 A+T - Saillie </t>
  </si>
  <si>
    <t>Prise de courant 2 x 10/16 A+T - saillie - étanche</t>
  </si>
  <si>
    <t>Prise de courant 4 x 16 A+T - saillie - étanche</t>
  </si>
  <si>
    <t>Poste de travail - PT1 (2 PCn + 2 Pco + 2 RJ45)</t>
  </si>
  <si>
    <t>Poste de travail - PT1 (3 PCn + 2 RJ45)</t>
  </si>
  <si>
    <t>Poste de travail - PT2 (1 Pco + 1 RJ45)</t>
  </si>
  <si>
    <t>Poste de travail - PT3 (2 PCn + 1 HDMI + 1 RJ45 +  1 alim écran)</t>
  </si>
  <si>
    <t>Poste de travail - TV (2 PCn + 1 RJ45 + 1 Coax)</t>
  </si>
  <si>
    <t xml:space="preserve">Coup de poing de coupure d'urgence </t>
  </si>
  <si>
    <t>Câblage de l'appareillage</t>
  </si>
  <si>
    <t>Gaine tête de lit</t>
  </si>
  <si>
    <t>.gaines tête de lit (GTL)</t>
  </si>
  <si>
    <t>lit</t>
  </si>
  <si>
    <t>Paillasses</t>
  </si>
  <si>
    <t>Eclairage</t>
  </si>
  <si>
    <t>Luminaires intérieurs</t>
  </si>
  <si>
    <t>Luminaires intérieurs avec 50% de gradation</t>
  </si>
  <si>
    <t xml:space="preserve">Luminaires _ Salle de sport - </t>
  </si>
  <si>
    <t>Luminaires extérieur (mât)</t>
  </si>
  <si>
    <t>Luminaires - 600x600</t>
  </si>
  <si>
    <t>Luminaires - étanche LT</t>
  </si>
  <si>
    <t>Luminaires - Applique</t>
  </si>
  <si>
    <t xml:space="preserve">Luminaires - projecteur </t>
  </si>
  <si>
    <t>câblage des luminaires intérieur</t>
  </si>
  <si>
    <t>câblage des luminaires intérieur - Salle de sport</t>
  </si>
  <si>
    <t>Eclairage de sécurité</t>
  </si>
  <si>
    <t>Bureaux</t>
  </si>
  <si>
    <t>Ecoles</t>
  </si>
  <si>
    <t xml:space="preserve">EHPAD </t>
  </si>
  <si>
    <t>Médiathèque</t>
  </si>
  <si>
    <t>Atelier</t>
  </si>
  <si>
    <t>Laboratoire</t>
  </si>
  <si>
    <t>Salle de sport</t>
  </si>
  <si>
    <t>blocs de secours de balisage (éclairage par la tranche)</t>
  </si>
  <si>
    <t>blocs de secours de balisage standard étanche</t>
  </si>
  <si>
    <t>blocs de secours d'ambiance</t>
  </si>
  <si>
    <t>blocs de secours portatif type BAPI</t>
  </si>
  <si>
    <t>Câblage des blocs secours en CR1</t>
  </si>
  <si>
    <t>Alimentations spécifiques</t>
  </si>
  <si>
    <t>Alimentations spécifiques - Salle de sport</t>
  </si>
  <si>
    <t>Alimentation spécifiques_ Divers ERP</t>
  </si>
  <si>
    <t xml:space="preserve">Alimentation électrique spécifique courant faible </t>
  </si>
  <si>
    <t>Alimentation petites puissances</t>
  </si>
  <si>
    <t>Alimentations fortes puissances</t>
  </si>
  <si>
    <t>Alimentation d'extracteurs de désenfumage</t>
  </si>
  <si>
    <t>Câble U1000 R2V 3G2,5 mm²</t>
  </si>
  <si>
    <t>Câble U1000 R2V 5G2,5 mm²</t>
  </si>
  <si>
    <t>Câble U1000 R2V 5G4 mm²</t>
  </si>
  <si>
    <t>Câble U1000 R2V 5G6 mm²</t>
  </si>
  <si>
    <t>Câble CR1 C1 SNA SH 3G2,5 mm²</t>
  </si>
  <si>
    <t>Baie SSI : Câble CR1 C1 SNA SH 3G4 mm²</t>
  </si>
  <si>
    <t>Câble CR1 C1 SNA SH 5G4 mm²</t>
  </si>
  <si>
    <t>Câble CR1 C1 SNA SH 3G6 mm²</t>
  </si>
  <si>
    <t>Alimentation des ventilo-convecteurs, cassettes</t>
  </si>
  <si>
    <t>Alimentation des locaux de brassage, le local autocom et le local serveur,</t>
  </si>
  <si>
    <t>Alimentation des serveurs,</t>
  </si>
  <si>
    <t>Alimentation des ballons d’eau chaude ECS,</t>
  </si>
  <si>
    <t>Alimentation des appareils de production de froid,</t>
  </si>
  <si>
    <t>Alimentation des appareils de chauffage et de froid indépendants (convecteurs, climatiseurs, DRV, etc.),</t>
  </si>
  <si>
    <t>Alimentation des chaudières,</t>
  </si>
  <si>
    <t>Alimentation des pompes à chaleur,</t>
  </si>
  <si>
    <t>Alimentation des Centrale de traitement d'air (CTA)</t>
  </si>
  <si>
    <t>Alimentation des VMC,</t>
  </si>
  <si>
    <t>Alimentation des portes automatiques,</t>
  </si>
  <si>
    <t>Alimentation des portes et les barrières commandées,</t>
  </si>
  <si>
    <t>Alimentation des portails motorisés extérieurs,</t>
  </si>
  <si>
    <t>Alimentation des pompes de relevage,</t>
  </si>
  <si>
    <t>Alimentation des appareils élévateurs,</t>
  </si>
  <si>
    <t>Alimentation des volets roulants,</t>
  </si>
  <si>
    <t>Alimentation L’arrosage,</t>
  </si>
  <si>
    <t>Alimentation des ventilateurs / extracteurs,</t>
  </si>
  <si>
    <t>Bornes de charges des véhicules électriques</t>
  </si>
  <si>
    <t>Borne IRVE - Monophasé 14,8 kW + câblage</t>
  </si>
  <si>
    <t>Borne de charges + câblage (Schneider 2PC - 22 kW - EVLINK Parking</t>
  </si>
  <si>
    <t>Borne Schneider EVW2S22P44 - 22KW</t>
  </si>
  <si>
    <t>Sous total Courants Forts</t>
  </si>
  <si>
    <t>Photovoltaïque</t>
  </si>
  <si>
    <t>Production photovoltaïque</t>
  </si>
  <si>
    <t>KWc</t>
  </si>
  <si>
    <t>Installation de chantier spécifique en toiture</t>
  </si>
  <si>
    <t>Schémas et plans DOE</t>
  </si>
  <si>
    <t>Raccordement au réseau BT</t>
  </si>
  <si>
    <t>Réseau de terres</t>
  </si>
  <si>
    <t>Modification du TGBT</t>
  </si>
  <si>
    <t>Tableaux sous-générateurs</t>
  </si>
  <si>
    <t>Les chemins de câbles</t>
  </si>
  <si>
    <t>La distribution principale (câbles et supports depuis les Onduleurs vers les SG et vers le TDGS)</t>
  </si>
  <si>
    <t>La distribution secondaire (câbles et supports depuis les panneaux vers les onduleurs),</t>
  </si>
  <si>
    <t>Les équipements photovoltaïques</t>
  </si>
  <si>
    <t>Les panneaux photovoltaïques</t>
  </si>
  <si>
    <t>Les supports de panneaux</t>
  </si>
  <si>
    <t>Les onduleurs,</t>
  </si>
  <si>
    <t>Le système de supervision,</t>
  </si>
  <si>
    <t>L'afficheur général de production,</t>
  </si>
  <si>
    <t>Sous total Photovoltaïque</t>
  </si>
  <si>
    <t>Courants faibles</t>
  </si>
  <si>
    <t>Téléphonie</t>
  </si>
  <si>
    <t>Téléphonie IP + DECT (au m²)</t>
  </si>
  <si>
    <t>point de démarcation optique (PDO)</t>
  </si>
  <si>
    <t>3 fourreaux NFLST 42/45</t>
  </si>
  <si>
    <t>point de raccordement</t>
  </si>
  <si>
    <t>Point de branchement PBO</t>
  </si>
  <si>
    <t xml:space="preserve">DTIO </t>
  </si>
  <si>
    <t>Répartiteur général téléphonique</t>
  </si>
  <si>
    <t>liaison d'appel d'urgence sapeurs-pompiers (prise, poste téléphonique, liaison)</t>
  </si>
  <si>
    <t>onduleur 300 VA</t>
  </si>
  <si>
    <t>Autocom PABX</t>
  </si>
  <si>
    <t>Autocom IPBX</t>
  </si>
  <si>
    <t>poste opérateur standard</t>
  </si>
  <si>
    <t>Poste bureau responsable</t>
  </si>
  <si>
    <t>Poste bureau classique</t>
  </si>
  <si>
    <t>Poste Téléphonique IP</t>
  </si>
  <si>
    <t xml:space="preserve">poste analogique chambre d'hôtel </t>
  </si>
  <si>
    <t>Rocade téléphonique</t>
  </si>
  <si>
    <t>Lignes spécifiques</t>
  </si>
  <si>
    <t>Essais et mise en service</t>
  </si>
  <si>
    <t>Logiciel de taxation : Fourniture et mise en œuvre d'un poste informatique équipé d'un logiciel de taxation</t>
  </si>
  <si>
    <t>Système DECT</t>
  </si>
  <si>
    <t>Système DECT - câblage sans bornes - ratio</t>
  </si>
  <si>
    <t>Antennes DECT</t>
  </si>
  <si>
    <t>Poste DECT</t>
  </si>
  <si>
    <t>Prises RJ 45 murales pour bornes DECT et câblage</t>
  </si>
  <si>
    <t>.cartes de couplages (Appel malade, GTC, interphonie)</t>
  </si>
  <si>
    <t>Précâblage VDI</t>
  </si>
  <si>
    <t>Crèche</t>
  </si>
  <si>
    <t>Hôpitaux</t>
  </si>
  <si>
    <t>Hôtel</t>
  </si>
  <si>
    <t>Gymnase</t>
  </si>
  <si>
    <t>Réseau VDI catégorie 6 - prise avec câblage et répartiteur</t>
  </si>
  <si>
    <t>Baie de brassage 19''</t>
  </si>
  <si>
    <t>Répartiteurs de brassage 24 ports VDI</t>
  </si>
  <si>
    <t>Jarretières de brassage cuivre</t>
  </si>
  <si>
    <t>Prises terminales RJ 45 murales</t>
  </si>
  <si>
    <t>Câblage cuivre 4paires</t>
  </si>
  <si>
    <t>Essais du précâblage VDI</t>
  </si>
  <si>
    <t>Rocade optique OM3</t>
  </si>
  <si>
    <t>Tête fibre optique</t>
  </si>
  <si>
    <t>tiroirs optiques</t>
  </si>
  <si>
    <t>convertisseurs optique/cuivre</t>
  </si>
  <si>
    <t>Jarretière optiques</t>
  </si>
  <si>
    <t>réflectométrie (par câble fibre)</t>
  </si>
  <si>
    <t>Système wifi</t>
  </si>
  <si>
    <t>Système Wi-Fi (bornes + Câblage)</t>
  </si>
  <si>
    <t>Système Wi-Fi (bornes + Câblage) - Hôtel</t>
  </si>
  <si>
    <t>Système Wi-Fi (Câblage sans bornes)</t>
  </si>
  <si>
    <t>Système Wi-Fi (bornes + Câblage) - très bon débit</t>
  </si>
  <si>
    <t xml:space="preserve">borne Wifi </t>
  </si>
  <si>
    <t>Réalisation des études de couverture</t>
  </si>
  <si>
    <t>Prises RJ 45 murales pour bornes Wifi et câblage</t>
  </si>
  <si>
    <t>Programmation, essais et mise en service</t>
  </si>
  <si>
    <t>Interphonie / Visiophonie</t>
  </si>
  <si>
    <t>Interphonie au m²</t>
  </si>
  <si>
    <t>Platine de rue avec câblage</t>
  </si>
  <si>
    <t xml:space="preserve">Câblages </t>
  </si>
  <si>
    <t>Mise en service, essais</t>
  </si>
  <si>
    <t>Interphonie de sécurité</t>
  </si>
  <si>
    <t>Poste Principal</t>
  </si>
  <si>
    <t>Poste secondaire</t>
  </si>
  <si>
    <t>Sonorisation</t>
  </si>
  <si>
    <t>Sonorisation d'appel général au m² - complet (médiathèque, lycée, bureaux)</t>
  </si>
  <si>
    <t>HP 100V en plafond + Câblage (surface sonorisée)</t>
  </si>
  <si>
    <t xml:space="preserve">Haut parleur de Sonorisation médiathèque 1/12m², </t>
  </si>
  <si>
    <t xml:space="preserve">Haut parleur de Sonorisation Centre socio culturel (160m²), </t>
  </si>
  <si>
    <t xml:space="preserve">Enceintes de Sonorisation gymnase, </t>
  </si>
  <si>
    <t>Amplificateur 120w - 100v (1entrée)</t>
  </si>
  <si>
    <t>Amplificateur boucle magnétique</t>
  </si>
  <si>
    <t>boucle magnétique</t>
  </si>
  <si>
    <t>Microphone</t>
  </si>
  <si>
    <t>Lecteur CD</t>
  </si>
  <si>
    <t>Centrale de sonorisation</t>
  </si>
  <si>
    <t>Câblage</t>
  </si>
  <si>
    <t>Mise en service et essais</t>
  </si>
  <si>
    <t>Boucle magnétique pour malentendants</t>
  </si>
  <si>
    <t>Fourniture et mise en œuvre d'une boucle magnétique</t>
  </si>
  <si>
    <t xml:space="preserve">Distribution de l'heure </t>
  </si>
  <si>
    <t>Distribution de l'Heure _ Salle de sport</t>
  </si>
  <si>
    <t>Horloge mère</t>
  </si>
  <si>
    <t>antenne GPS</t>
  </si>
  <si>
    <t>horloge réceptrices</t>
  </si>
  <si>
    <t>Synchronisation des serveurs et automates</t>
  </si>
  <si>
    <t>Sonnerie Interclasse (Amplificateur + lecteur + tuner + micro)</t>
  </si>
  <si>
    <t>Paramétrage et mise en service</t>
  </si>
  <si>
    <t>télévision</t>
  </si>
  <si>
    <t>Station de réception TV - Hôtel</t>
  </si>
  <si>
    <t>Amplis</t>
  </si>
  <si>
    <t>Adaptateur TNT</t>
  </si>
  <si>
    <t>Fourniture de prises TV coaxiales, (avec câblage)</t>
  </si>
  <si>
    <t>Fourniture de prises TV RJ45,</t>
  </si>
  <si>
    <t>Renforts pour les supports TV</t>
  </si>
  <si>
    <t>Serveur de diffusion TV</t>
  </si>
  <si>
    <t>Câblages IP (RJ45)</t>
  </si>
  <si>
    <t>Mise en service, essais, cosael</t>
  </si>
  <si>
    <t>Système d'appel malade</t>
  </si>
  <si>
    <t>Appel malade avec phonie (par lit)</t>
  </si>
  <si>
    <t>Tableaux de signalisation des postes de soins</t>
  </si>
  <si>
    <t>Unité centrale (serveur appel malade)</t>
  </si>
  <si>
    <t>Hublot d'appels</t>
  </si>
  <si>
    <t>Bloc porte</t>
  </si>
  <si>
    <t>Alimentation électrique secourue</t>
  </si>
  <si>
    <t>Carte de couplage avec le système DECT</t>
  </si>
  <si>
    <t>câblage</t>
  </si>
  <si>
    <t>Mise en service</t>
  </si>
  <si>
    <t>Essais et Cahier de recette</t>
  </si>
  <si>
    <t>Bouton de panique</t>
  </si>
  <si>
    <t>Boutons poussoirs</t>
  </si>
  <si>
    <t>Interfaces de communication</t>
  </si>
  <si>
    <t>Carte d'interface DECT</t>
  </si>
  <si>
    <t>Contrôle d'accès</t>
  </si>
  <si>
    <t>Contrôle d'accès (compris câblage)</t>
  </si>
  <si>
    <t>Contrôle d'accès (UTL + lecteur + BBG+BP) (par porte)</t>
  </si>
  <si>
    <t>porte</t>
  </si>
  <si>
    <t>Contrôle d'accès (UTL + lecteur + BBG+BP) (par porte Hôtel)</t>
  </si>
  <si>
    <t>Lecteurs de badges</t>
  </si>
  <si>
    <t>Béquilles autonomes</t>
  </si>
  <si>
    <t>Economiseur pour chambre d'hôtel</t>
  </si>
  <si>
    <t>Modules de gestion des portes (UTL)</t>
  </si>
  <si>
    <t>Badges</t>
  </si>
  <si>
    <t>Câblage des portes (Bris de glace vert, contacts de position, gâche électrique, BP de sortie)</t>
  </si>
  <si>
    <t>Câblage du système de contrôle d'accès</t>
  </si>
  <si>
    <t>Raccordement au système existant</t>
  </si>
  <si>
    <t>Programmation du système de contrôle d'accès</t>
  </si>
  <si>
    <t>Gestion du temps de travail</t>
  </si>
  <si>
    <t>Prise RJ 45 affectées aux badgeuses</t>
  </si>
  <si>
    <t>Prise de courant spécifique pour l'alimentation des badgeuses</t>
  </si>
  <si>
    <t>Vidéo surveillance</t>
  </si>
  <si>
    <t>Caméra intérieure fixe avec alim et câblage</t>
  </si>
  <si>
    <t>Caméra intérieure dôme avec alim et câblage</t>
  </si>
  <si>
    <t>Caméra extérieure fixe avec alim et câblage</t>
  </si>
  <si>
    <t>Caméra extérieure fixe infrarouge avec alim et câblage</t>
  </si>
  <si>
    <t>Moniteur et enregistreur numérique</t>
  </si>
  <si>
    <t>Régie Vidéo</t>
  </si>
  <si>
    <t>Serveur Vidéo IP + Enregistreur+Commutateur+platine de commande</t>
  </si>
  <si>
    <t>Moniteur seul</t>
  </si>
  <si>
    <t>Câblage et mise en service</t>
  </si>
  <si>
    <t>Système anti intrusion</t>
  </si>
  <si>
    <t>Alarme intrusion - EHPAD</t>
  </si>
  <si>
    <t>Alarme intrusion - Gymnase</t>
  </si>
  <si>
    <t>Alarme intrusion - Hôtel</t>
  </si>
  <si>
    <t>centrale anti intrusion</t>
  </si>
  <si>
    <t>Alimentation stabilisée de l'alarme</t>
  </si>
  <si>
    <t>détecteurs double technologie</t>
  </si>
  <si>
    <t>détecteurs magnétiques</t>
  </si>
  <si>
    <t>clavier déporté</t>
  </si>
  <si>
    <t>sirène intérieure auto alimentée</t>
  </si>
  <si>
    <t>câblage du système anti intrusion</t>
  </si>
  <si>
    <t>Portique anti vol d'entrée</t>
  </si>
  <si>
    <t>Détection périmétrique (au ml)</t>
  </si>
  <si>
    <t>Système de sécurité incendie</t>
  </si>
  <si>
    <t>SSI Catégorie A SDI de type 1 + CMSI</t>
  </si>
  <si>
    <t>SSI Catégorie A SDA de type 1 pour ERP avec peu d'asservissement</t>
  </si>
  <si>
    <t>SSI catégorie A - Désenfumage - Lycée</t>
  </si>
  <si>
    <t>SSI catégorie A - Désenfumage - Hôtel</t>
  </si>
  <si>
    <t>SSI salle de sport</t>
  </si>
  <si>
    <t>SSI Catégorie Dou E SDA de type 4</t>
  </si>
  <si>
    <t>centrale incendie - SDI</t>
  </si>
  <si>
    <t>centrale incendie - CMSI</t>
  </si>
  <si>
    <t>tableau de report</t>
  </si>
  <si>
    <t>alimentation secourue</t>
  </si>
  <si>
    <t>détecteurs automatique de fumée - DAI</t>
  </si>
  <si>
    <t>détecteurs automatique de fumée - DAI ATEX</t>
  </si>
  <si>
    <t>Indicateur d'action - IA</t>
  </si>
  <si>
    <t>déclencheurs manuels - DM</t>
  </si>
  <si>
    <t>déclencheurs manuels - DM ATEX</t>
  </si>
  <si>
    <t>diffuseurs sonores (AGS)</t>
  </si>
  <si>
    <t>diffuseurs lumineux - Flash</t>
  </si>
  <si>
    <t>asservissements et câblage des DAS</t>
  </si>
  <si>
    <t>câblage SSI</t>
  </si>
  <si>
    <t>Formation de l'exploitant</t>
  </si>
  <si>
    <t>Dépose et destruction des anciens détecteurs</t>
  </si>
  <si>
    <t>SYSTÈME GTC</t>
  </si>
  <si>
    <t>GTC - ratio au m²</t>
  </si>
  <si>
    <t>GTC - ratio au nombre de points</t>
  </si>
  <si>
    <t>points</t>
  </si>
  <si>
    <t>Automates + câblage + programmation automate</t>
  </si>
  <si>
    <t>Automates + câblage</t>
  </si>
  <si>
    <t>Supervision - programmation</t>
  </si>
  <si>
    <t>Supervision - (poste info +imprimante +onduleur+serveur )</t>
  </si>
  <si>
    <t>supervision - logiciel</t>
  </si>
  <si>
    <t>Réseau Ethernet de la GTC</t>
  </si>
  <si>
    <t>Matériel actif du réseau Ethernet</t>
  </si>
  <si>
    <t>Réalisation de la table de communication pour le lot CVC et de l'analyse fonctionnelle des points Elec</t>
  </si>
  <si>
    <t>Alarme technique</t>
  </si>
  <si>
    <t>Tableau d'alarme 12 directions</t>
  </si>
  <si>
    <t>Tableau d'alarme 24 directions</t>
  </si>
  <si>
    <t>Système de péage pour parking</t>
  </si>
  <si>
    <t>Système complet (2 barrières entrée, 2 barrières sorties, 2 caisses barrières, 1 caisse piéton, 1 comptage véhicule)</t>
  </si>
  <si>
    <t>Barrière rapide (Type MIB 30 bras droit) et panneau complet - CHENAL D'ENTREE</t>
  </si>
  <si>
    <t>Barrière rapide (Type MIB 30 bras droit) et horodateur (paiement de type forfait) - CHENAL DE SORTIE</t>
  </si>
  <si>
    <t>Gestion du comptage et gestion de gratuité et module de sortie avec clavier à code</t>
  </si>
  <si>
    <t>Barrière automatique avec borne support lecteur de badge et interphonie et boucle de sol (Entrée principale)</t>
  </si>
  <si>
    <t>Badge de proximité</t>
  </si>
  <si>
    <t>Barrière automatique avec borne support lecteur de badge et boucle de sol (Entrée du personnel)</t>
  </si>
  <si>
    <t>Barrière automatique avec boucle de sol (Sortie)</t>
  </si>
  <si>
    <t>Poste "chef" interphonie</t>
  </si>
  <si>
    <t>Pose, câblage, programmation, mise en service et formation</t>
  </si>
  <si>
    <t>Détection CO-NO2</t>
  </si>
  <si>
    <t>Centrale de détection CO-NO2</t>
  </si>
  <si>
    <t>Détecteurs CO-NO2</t>
  </si>
  <si>
    <t>Tableau de bord</t>
  </si>
  <si>
    <t>Module de synthèse gaz et modules passerelle Modbus</t>
  </si>
  <si>
    <t>Câblage, MES, essais</t>
  </si>
  <si>
    <t>Coffret de gestion puissance moteur d'extraction/désenfumage</t>
  </si>
  <si>
    <t>Coffret pompier</t>
  </si>
  <si>
    <t>Vidéo Projecteur Courte focale</t>
  </si>
  <si>
    <t>VPI (Y compris câblage)</t>
  </si>
  <si>
    <t>Tableau Banc Interactif</t>
  </si>
  <si>
    <t>Tableau Blanc Interactif (Y compris câblage)</t>
  </si>
  <si>
    <t>Panneau d'affichage sportif</t>
  </si>
  <si>
    <t>Panneau d'affichage électronique</t>
  </si>
  <si>
    <t>Panneau d'affichage de Basket</t>
  </si>
  <si>
    <t>Sous total Courants Faibles</t>
  </si>
  <si>
    <t>Chemins de câbles</t>
  </si>
  <si>
    <t>Cellules DM1</t>
  </si>
  <si>
    <t>équipement sécurité réglementaire</t>
  </si>
  <si>
    <t>Fourniture et mise en œuvre des équipements de sécurité</t>
  </si>
  <si>
    <t>Le raccordement et la mise en service du poste de transformation</t>
  </si>
  <si>
    <t>Calculateur (par calculateur traité)</t>
  </si>
  <si>
    <t>Switch optiques (par poste traité)</t>
  </si>
  <si>
    <t>Groupe ext. Génie civil : Réalisation d'une dalle anti vibratile (8x4m)</t>
  </si>
  <si>
    <t>Groupe ext. VRD : Pénétration dans le bâtiment</t>
  </si>
  <si>
    <t>Groupe Int. Non capoté : installation dans le local (échappement, réservoir, pièges à sons, traitement sonorise parois)</t>
  </si>
  <si>
    <t>chemins de câbles + Fourreaux_ Hôtel</t>
  </si>
  <si>
    <t>chemins de câbles + Fourreaux_ Hôpital</t>
  </si>
  <si>
    <t>Chambre de tirage K2C</t>
  </si>
  <si>
    <t>Divers appareillage - Hôpital-RPA</t>
  </si>
  <si>
    <t>Divers appareillage - Hôtel</t>
  </si>
  <si>
    <t>Paillasses électrotech équipées (Langlois)</t>
  </si>
  <si>
    <t>Paillasses labo équipées</t>
  </si>
  <si>
    <t>Paillasses non équipées</t>
  </si>
  <si>
    <t>Luminaires - Downlight</t>
  </si>
  <si>
    <t>Alimentation spécifiques_ Hôpital</t>
  </si>
  <si>
    <t>Panneaux - ratio à la puissance crête (KWc)</t>
  </si>
  <si>
    <t>Postes intérieures avec câblage</t>
  </si>
  <si>
    <t>Antennes Hertziennes, y compris mât , supportage, haubans, amplificateurs</t>
  </si>
  <si>
    <t>Câblage coaxial</t>
  </si>
  <si>
    <t>Tirette d'appel infirmière tête de lit</t>
  </si>
  <si>
    <t>Tirette d'appel infirmière sanitaire</t>
  </si>
  <si>
    <t>Vidéo surveillance hôtel</t>
  </si>
  <si>
    <t>SSI Catégorie C,D ou E SDA de type 2b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</si>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</sst>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"/>
    <numFmt numFmtId="165" formatCode="_-* #,##0.00\ _€_-;\-* #,##0.00\ _€_-;_-* &quot;-&quot;??\ _€_-;_-@"/>
    <numFmt numFmtId="166" formatCode="#,##0.00\ &quot;€&quot;"/>
  </numFmts>
  <fonts count="11" x14ac:knownFonts="1">
    <font>
      <sz val="10"/>
      <color rgb="FF000000"/>
      <name val="Open Sans"/>
      <scheme val="minor"/>
    </font>
    <font>
      <sz val="10"/>
      <color theme="1"/>
      <name val="Quattrocento Sans"/>
    </font>
    <font>
      <b/>
      <sz val="10"/>
      <color theme="1"/>
      <name val="Quattrocento Sans"/>
    </font>
    <font>
      <i/>
      <sz val="8"/>
      <color theme="1"/>
      <name val="Quattrocento Sans"/>
    </font>
    <font>
      <b/>
      <i/>
      <sz val="10"/>
      <color theme="0"/>
      <name val="Quattrocento Sans"/>
    </font>
    <font>
      <sz val="10"/>
      <name val="Open Sans"/>
    </font>
    <font>
      <i/>
      <sz val="8"/>
      <color rgb="FF000000"/>
      <name val="Quattrocento Sans"/>
    </font>
    <font>
      <i/>
      <sz val="8"/>
      <color rgb="FF0F243E"/>
      <name val="Quattrocento Sans"/>
    </font>
    <font>
      <b/>
      <i/>
      <sz val="8"/>
      <color theme="1"/>
      <name val="Quattrocento Sans"/>
    </font>
    <font>
      <b/>
      <sz val="10"/>
      <color rgb="FF000000"/>
      <name val="Quattrocento Sans"/>
    </font>
    <font>
      <sz val="10"/>
      <color rgb="FF000000"/>
      <name val="Quattrocento Sans"/>
    </font>
  </fonts>
  <fills count="8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DE9D9"/>
        <bgColor rgb="FFFDE9D9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0" borderId="7" xfId="0" applyFont="1" applyBorder="1" applyAlignment="1">
      <alignment horizontal="center"/>
    </xf>
    <xf numFmtId="165" fontId="2" fillId="0" borderId="7" xfId="0" applyNumberFormat="1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right" wrapText="1"/>
    </xf>
    <xf numFmtId="0" fontId="6" fillId="0" borderId="7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0" fontId="1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right"/>
    </xf>
    <xf numFmtId="1" fontId="1" fillId="4" borderId="7" xfId="0" applyNumberFormat="1" applyFont="1" applyFill="1" applyBorder="1" applyAlignment="1">
      <alignment horizontal="center"/>
    </xf>
    <xf numFmtId="165" fontId="2" fillId="4" borderId="7" xfId="0" applyNumberFormat="1" applyFont="1" applyFill="1" applyBorder="1" applyAlignment="1">
      <alignment horizontal="center"/>
    </xf>
    <xf numFmtId="165" fontId="2" fillId="4" borderId="7" xfId="0" applyNumberFormat="1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wrapText="1"/>
    </xf>
    <xf numFmtId="0" fontId="3" fillId="3" borderId="7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wrapText="1"/>
    </xf>
    <xf numFmtId="0" fontId="3" fillId="0" borderId="7" xfId="0" applyFont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 wrapText="1"/>
    </xf>
    <xf numFmtId="0" fontId="3" fillId="3" borderId="7" xfId="0" applyFont="1" applyFill="1" applyBorder="1" applyAlignment="1">
      <alignment horizontal="left" wrapText="1"/>
    </xf>
    <xf numFmtId="0" fontId="6" fillId="0" borderId="7" xfId="0" applyFont="1" applyBorder="1" applyAlignment="1">
      <alignment horizontal="center" vertical="center"/>
    </xf>
    <xf numFmtId="0" fontId="3" fillId="0" borderId="7" xfId="0" applyFont="1" applyBorder="1"/>
    <xf numFmtId="0" fontId="3" fillId="6" borderId="7" xfId="0" applyFont="1" applyFill="1" applyBorder="1" applyAlignment="1">
      <alignment horizontal="center" wrapText="1"/>
    </xf>
    <xf numFmtId="0" fontId="8" fillId="0" borderId="7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49" fontId="9" fillId="7" borderId="7" xfId="0" applyNumberFormat="1" applyFont="1" applyFill="1" applyBorder="1" applyAlignment="1">
      <alignment horizontal="center"/>
    </xf>
    <xf numFmtId="165" fontId="9" fillId="7" borderId="7" xfId="0" applyNumberFormat="1" applyFont="1" applyFill="1" applyBorder="1" applyAlignment="1">
      <alignment horizontal="left" vertical="center" wrapText="1"/>
    </xf>
    <xf numFmtId="1" fontId="10" fillId="7" borderId="7" xfId="0" applyNumberFormat="1" applyFont="1" applyFill="1" applyBorder="1" applyAlignment="1">
      <alignment horizontal="center"/>
    </xf>
    <xf numFmtId="166" fontId="10" fillId="7" borderId="7" xfId="0" applyNumberFormat="1" applyFont="1" applyFill="1" applyBorder="1" applyAlignment="1">
      <alignment horizontal="center"/>
    </xf>
    <xf numFmtId="166" fontId="9" fillId="7" borderId="7" xfId="0" applyNumberFormat="1" applyFont="1" applyFill="1" applyBorder="1" applyAlignment="1">
      <alignment horizontal="right" wrapText="1"/>
    </xf>
    <xf numFmtId="0" fontId="6" fillId="7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left"/>
    </xf>
    <xf numFmtId="0" fontId="6" fillId="7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right"/>
    </xf>
    <xf numFmtId="0" fontId="10" fillId="4" borderId="7" xfId="0" applyFont="1" applyFill="1" applyBorder="1" applyAlignment="1">
      <alignment horizontal="center"/>
    </xf>
    <xf numFmtId="1" fontId="10" fillId="4" borderId="7" xfId="0" applyNumberFormat="1" applyFont="1" applyFill="1" applyBorder="1" applyAlignment="1">
      <alignment horizontal="center" vertical="center"/>
    </xf>
    <xf numFmtId="165" fontId="9" fillId="4" borderId="7" xfId="0" applyNumberFormat="1" applyFont="1" applyFill="1" applyBorder="1" applyAlignment="1">
      <alignment horizontal="center" vertical="center"/>
    </xf>
    <xf numFmtId="165" fontId="9" fillId="4" borderId="7" xfId="0" applyNumberFormat="1" applyFont="1" applyFill="1" applyBorder="1" applyAlignment="1">
      <alignment vertical="center"/>
    </xf>
    <xf numFmtId="49" fontId="9" fillId="7" borderId="7" xfId="0" applyNumberFormat="1" applyFont="1" applyFill="1" applyBorder="1" applyAlignment="1">
      <alignment horizontal="center" vertical="center" wrapText="1"/>
    </xf>
    <xf numFmtId="165" fontId="9" fillId="7" borderId="7" xfId="0" applyNumberFormat="1" applyFont="1" applyFill="1" applyBorder="1" applyAlignment="1">
      <alignment horizontal="left"/>
    </xf>
    <xf numFmtId="1" fontId="10" fillId="7" borderId="7" xfId="0" applyNumberFormat="1" applyFont="1" applyFill="1" applyBorder="1" applyAlignment="1">
      <alignment horizontal="center" vertical="center"/>
    </xf>
    <xf numFmtId="166" fontId="10" fillId="7" borderId="7" xfId="0" applyNumberFormat="1" applyFont="1" applyFill="1" applyBorder="1" applyAlignment="1">
      <alignment horizontal="center" vertical="center"/>
    </xf>
    <xf numFmtId="166" fontId="9" fillId="7" borderId="7" xfId="0" applyNumberFormat="1" applyFont="1" applyFill="1" applyBorder="1" applyAlignment="1">
      <alignment horizontal="right" vertical="center"/>
    </xf>
    <xf numFmtId="0" fontId="6" fillId="7" borderId="7" xfId="0" applyFont="1" applyFill="1" applyBorder="1" applyAlignment="1">
      <alignment horizontal="left" wrapText="1"/>
    </xf>
    <xf numFmtId="0" fontId="10" fillId="7" borderId="7" xfId="0" applyFont="1" applyFill="1" applyBorder="1" applyAlignment="1">
      <alignment horizontal="center"/>
    </xf>
    <xf numFmtId="49" fontId="6" fillId="7" borderId="7" xfId="0" applyNumberFormat="1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center" wrapText="1"/>
    </xf>
    <xf numFmtId="0" fontId="9" fillId="4" borderId="7" xfId="0" applyFont="1" applyFill="1" applyBorder="1" applyAlignment="1">
      <alignment horizontal="right" wrapText="1"/>
    </xf>
    <xf numFmtId="165" fontId="9" fillId="7" borderId="7" xfId="0" applyNumberFormat="1" applyFont="1" applyFill="1" applyBorder="1" applyAlignment="1">
      <alignment horizontal="left" wrapText="1"/>
    </xf>
    <xf numFmtId="0" fontId="10" fillId="4" borderId="7" xfId="0" applyFont="1" applyFill="1" applyBorder="1" applyAlignment="1">
      <alignment horizontal="center" wrapText="1"/>
    </xf>
    <xf numFmtId="1" fontId="10" fillId="4" borderId="7" xfId="0" applyNumberFormat="1" applyFont="1" applyFill="1" applyBorder="1" applyAlignment="1">
      <alignment horizontal="center"/>
    </xf>
    <xf numFmtId="165" fontId="9" fillId="4" borderId="7" xfId="0" applyNumberFormat="1" applyFont="1" applyFill="1" applyBorder="1" applyAlignment="1">
      <alignment horizontal="center"/>
    </xf>
    <xf numFmtId="165" fontId="9" fillId="4" borderId="7" xfId="0" applyNumberFormat="1" applyFont="1" applyFill="1" applyBorder="1"/>
    <xf numFmtId="166" fontId="9" fillId="7" borderId="7" xfId="0" applyNumberFormat="1" applyFont="1" applyFill="1" applyBorder="1" applyAlignment="1">
      <alignment horizontal="right"/>
    </xf>
    <xf numFmtId="49" fontId="6" fillId="7" borderId="7" xfId="0" applyNumberFormat="1" applyFont="1" applyFill="1" applyBorder="1" applyAlignment="1">
      <alignment horizontal="center"/>
    </xf>
    <xf numFmtId="0" fontId="9" fillId="4" borderId="7" xfId="0" applyFont="1" applyFill="1" applyBorder="1" applyAlignment="1">
      <alignment horizontal="right" vertical="center" wrapText="1"/>
    </xf>
    <xf numFmtId="165" fontId="9" fillId="4" borderId="7" xfId="0" applyNumberFormat="1" applyFont="1" applyFill="1" applyBorder="1" applyAlignment="1">
      <alignment wrapText="1"/>
    </xf>
    <xf numFmtId="0" fontId="7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9" fillId="7" borderId="7" xfId="0" applyFont="1" applyFill="1" applyBorder="1" applyAlignment="1">
      <alignment horizontal="left"/>
    </xf>
    <xf numFmtId="0" fontId="9" fillId="7" borderId="7" xfId="0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02BECD-1712-4F63-8AE0-EBEF670504CC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3ac84c4c-3821-4df4-b8c3-b54c567aae2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3"/>
  <sheetViews>
    <sheetView tabSelected="1" zoomScale="115" zoomScaleNormal="115" workbookViewId="0">
      <pane ySplit="1" topLeftCell="A32" activePane="bottomLeft" state="frozen"/>
      <selection pane="bottomLeft" activeCell="D37" sqref="D37"/>
    </sheetView>
  </sheetViews>
  <sheetFormatPr baseColWidth="10" defaultColWidth="14.3984375" defaultRowHeight="15" customHeight="1" outlineLevelCol="1" x14ac:dyDescent="0.35"/>
  <cols>
    <col min="1" max="1" width="5.59765625" customWidth="1"/>
    <col min="2" max="2" width="8.69921875" customWidth="1"/>
    <col min="3" max="3" width="6.09765625" customWidth="1"/>
    <col min="4" max="4" width="44.09765625" customWidth="1"/>
    <col min="5" max="5" width="7.8984375" customWidth="1"/>
    <col min="6" max="9" width="11.69921875" customWidth="1" outlineLevel="1"/>
  </cols>
  <sheetData>
    <row r="1" spans="1:9" ht="30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</row>
    <row r="2" spans="1:9" ht="12.75" customHeight="1" x14ac:dyDescent="0.35">
      <c r="A2" s="85" t="s">
        <v>9</v>
      </c>
      <c r="B2" s="86"/>
      <c r="C2" s="86"/>
      <c r="D2" s="86"/>
      <c r="E2" s="86"/>
      <c r="F2" s="86"/>
      <c r="G2" s="86"/>
      <c r="H2" s="86"/>
      <c r="I2" s="87"/>
    </row>
    <row r="3" spans="1:9" ht="17.399999999999999" customHeight="1" x14ac:dyDescent="0.35">
      <c r="A3" s="8"/>
      <c r="B3" s="81" t="str">
        <f t="shared" ref="B3:B66" si="0">IF(E3="","",IF(E3="m²","Surfacique","Unitaire"))</f>
        <v>Surfacique</v>
      </c>
      <c r="C3" s="9" t="s">
        <v>10</v>
      </c>
      <c r="D3" s="9" t="s">
        <v>11</v>
      </c>
      <c r="E3" s="10" t="s">
        <v>12</v>
      </c>
      <c r="F3" s="11"/>
      <c r="G3" s="11"/>
      <c r="H3" s="12">
        <v>0.5</v>
      </c>
      <c r="I3" s="13"/>
    </row>
    <row r="4" spans="1:9" ht="11.25" customHeight="1" x14ac:dyDescent="0.35">
      <c r="A4" s="14"/>
      <c r="B4" s="81" t="str">
        <f t="shared" si="0"/>
        <v>Unitaire</v>
      </c>
      <c r="C4" s="15" t="s">
        <v>13</v>
      </c>
      <c r="D4" s="15" t="s">
        <v>14</v>
      </c>
      <c r="E4" s="16" t="s">
        <v>15</v>
      </c>
      <c r="F4" s="17"/>
      <c r="G4" s="17"/>
      <c r="H4" s="17"/>
      <c r="I4" s="17"/>
    </row>
    <row r="5" spans="1:9" ht="11.25" customHeight="1" x14ac:dyDescent="0.35">
      <c r="A5" s="14"/>
      <c r="B5" s="81" t="str">
        <f t="shared" si="0"/>
        <v>Unitaire</v>
      </c>
      <c r="C5" s="15" t="s">
        <v>13</v>
      </c>
      <c r="D5" s="18" t="s">
        <v>16</v>
      </c>
      <c r="E5" s="16" t="s">
        <v>15</v>
      </c>
      <c r="F5" s="17"/>
      <c r="G5" s="17"/>
      <c r="H5" s="17"/>
      <c r="I5" s="17"/>
    </row>
    <row r="6" spans="1:9" ht="11.25" customHeight="1" x14ac:dyDescent="0.35">
      <c r="A6" s="14"/>
      <c r="B6" s="81" t="str">
        <f t="shared" si="0"/>
        <v>Unitaire</v>
      </c>
      <c r="C6" s="15" t="s">
        <v>13</v>
      </c>
      <c r="D6" s="18" t="s">
        <v>17</v>
      </c>
      <c r="E6" s="16" t="s">
        <v>18</v>
      </c>
      <c r="F6" s="17"/>
      <c r="G6" s="17"/>
      <c r="H6" s="17"/>
      <c r="I6" s="17"/>
    </row>
    <row r="7" spans="1:9" ht="11.25" customHeight="1" x14ac:dyDescent="0.35">
      <c r="A7" s="19"/>
      <c r="B7" s="20" t="str">
        <f t="shared" si="0"/>
        <v/>
      </c>
      <c r="C7" s="20"/>
      <c r="D7" s="20" t="str">
        <f>CONCATENATE("Sous-Total : ",A3," - ",D3)</f>
        <v>Sous-Total :  - Installation de chantier</v>
      </c>
      <c r="E7" s="19"/>
      <c r="F7" s="21"/>
      <c r="G7" s="21"/>
      <c r="H7" s="22"/>
      <c r="I7" s="23">
        <v>0</v>
      </c>
    </row>
    <row r="8" spans="1:9" ht="11.25" customHeight="1" x14ac:dyDescent="0.35">
      <c r="A8" s="8"/>
      <c r="B8" s="81" t="str">
        <f t="shared" si="0"/>
        <v>Surfacique</v>
      </c>
      <c r="C8" s="9" t="s">
        <v>10</v>
      </c>
      <c r="D8" s="9" t="s">
        <v>19</v>
      </c>
      <c r="E8" s="10" t="s">
        <v>12</v>
      </c>
      <c r="F8" s="11"/>
      <c r="G8" s="11"/>
      <c r="H8" s="12"/>
      <c r="I8" s="13"/>
    </row>
    <row r="9" spans="1:9" ht="11.25" customHeight="1" x14ac:dyDescent="0.35">
      <c r="A9" s="14"/>
      <c r="B9" s="81" t="str">
        <f t="shared" si="0"/>
        <v>Unitaire</v>
      </c>
      <c r="C9" s="15" t="s">
        <v>13</v>
      </c>
      <c r="D9" s="18" t="s">
        <v>20</v>
      </c>
      <c r="E9" s="16" t="s">
        <v>18</v>
      </c>
      <c r="F9" s="17"/>
      <c r="G9" s="17"/>
      <c r="H9" s="17"/>
      <c r="I9" s="17"/>
    </row>
    <row r="10" spans="1:9" ht="11.25" customHeight="1" x14ac:dyDescent="0.35">
      <c r="A10" s="14"/>
      <c r="B10" s="81" t="str">
        <f t="shared" si="0"/>
        <v>Unitaire</v>
      </c>
      <c r="C10" s="15" t="s">
        <v>13</v>
      </c>
      <c r="D10" s="18" t="s">
        <v>21</v>
      </c>
      <c r="E10" s="16" t="s">
        <v>22</v>
      </c>
      <c r="F10" s="17"/>
      <c r="G10" s="17"/>
      <c r="H10" s="17">
        <v>1680</v>
      </c>
      <c r="I10" s="17"/>
    </row>
    <row r="11" spans="1:9" ht="11.25" customHeight="1" x14ac:dyDescent="0.35">
      <c r="A11" s="19"/>
      <c r="B11" s="20" t="str">
        <f t="shared" si="0"/>
        <v/>
      </c>
      <c r="C11" s="20"/>
      <c r="D11" s="20" t="str">
        <f>CONCATENATE("Sous-Total : ",A8," - ",D8)</f>
        <v>Sous-Total :  - Installation existantes</v>
      </c>
      <c r="E11" s="19"/>
      <c r="F11" s="21"/>
      <c r="G11" s="21"/>
      <c r="H11" s="22"/>
      <c r="I11" s="23">
        <v>0</v>
      </c>
    </row>
    <row r="12" spans="1:9" ht="11.25" customHeight="1" x14ac:dyDescent="0.35">
      <c r="A12" s="8"/>
      <c r="B12" s="81" t="str">
        <f t="shared" si="0"/>
        <v>Surfacique</v>
      </c>
      <c r="C12" s="9" t="s">
        <v>10</v>
      </c>
      <c r="D12" s="9" t="s">
        <v>23</v>
      </c>
      <c r="E12" s="10" t="s">
        <v>12</v>
      </c>
      <c r="F12" s="11"/>
      <c r="G12" s="11"/>
      <c r="H12" s="12">
        <v>1</v>
      </c>
      <c r="I12" s="13"/>
    </row>
    <row r="13" spans="1:9" ht="23.25" customHeight="1" x14ac:dyDescent="0.35">
      <c r="A13" s="14"/>
      <c r="B13" s="81" t="str">
        <f t="shared" si="0"/>
        <v>Unitaire</v>
      </c>
      <c r="C13" s="15" t="s">
        <v>13</v>
      </c>
      <c r="D13" s="18" t="s">
        <v>24</v>
      </c>
      <c r="E13" s="16" t="s">
        <v>25</v>
      </c>
      <c r="F13" s="24"/>
      <c r="G13" s="24"/>
      <c r="H13" s="17"/>
      <c r="I13" s="17"/>
    </row>
    <row r="14" spans="1:9" ht="11.25" customHeight="1" x14ac:dyDescent="0.35">
      <c r="A14" s="14"/>
      <c r="B14" s="81" t="str">
        <f t="shared" si="0"/>
        <v>Unitaire</v>
      </c>
      <c r="C14" s="15" t="s">
        <v>13</v>
      </c>
      <c r="D14" s="18" t="s">
        <v>26</v>
      </c>
      <c r="E14" s="16" t="s">
        <v>18</v>
      </c>
      <c r="F14" s="17"/>
      <c r="G14" s="17"/>
      <c r="H14" s="17"/>
      <c r="I14" s="17"/>
    </row>
    <row r="15" spans="1:9" ht="11.25" customHeight="1" x14ac:dyDescent="0.35">
      <c r="A15" s="14"/>
      <c r="B15" s="81" t="str">
        <f t="shared" si="0"/>
        <v>Unitaire</v>
      </c>
      <c r="C15" s="15" t="s">
        <v>13</v>
      </c>
      <c r="D15" s="18" t="s">
        <v>27</v>
      </c>
      <c r="E15" s="16" t="s">
        <v>15</v>
      </c>
      <c r="F15" s="17"/>
      <c r="G15" s="17"/>
      <c r="H15" s="17"/>
      <c r="I15" s="17"/>
    </row>
    <row r="16" spans="1:9" ht="11.25" customHeight="1" x14ac:dyDescent="0.35">
      <c r="A16" s="14"/>
      <c r="B16" s="81" t="str">
        <f t="shared" si="0"/>
        <v>Unitaire</v>
      </c>
      <c r="C16" s="15" t="s">
        <v>13</v>
      </c>
      <c r="D16" s="18" t="s">
        <v>28</v>
      </c>
      <c r="E16" s="16" t="s">
        <v>18</v>
      </c>
      <c r="F16" s="17"/>
      <c r="G16" s="17"/>
      <c r="H16" s="17"/>
      <c r="I16" s="17"/>
    </row>
    <row r="17" spans="1:9" ht="11.25" customHeight="1" x14ac:dyDescent="0.35">
      <c r="A17" s="14"/>
      <c r="B17" s="81" t="str">
        <f t="shared" si="0"/>
        <v>Unitaire</v>
      </c>
      <c r="C17" s="15" t="s">
        <v>13</v>
      </c>
      <c r="D17" s="18" t="s">
        <v>29</v>
      </c>
      <c r="E17" s="16" t="s">
        <v>18</v>
      </c>
      <c r="F17" s="17"/>
      <c r="G17" s="17"/>
      <c r="H17" s="17"/>
      <c r="I17" s="17"/>
    </row>
    <row r="18" spans="1:9" ht="11.25" customHeight="1" x14ac:dyDescent="0.35">
      <c r="A18" s="19"/>
      <c r="B18" s="20" t="str">
        <f t="shared" si="0"/>
        <v/>
      </c>
      <c r="C18" s="20"/>
      <c r="D18" s="20" t="str">
        <f>CONCATENATE("Sous-Total : ",A12," - ",D12)</f>
        <v>Sous-Total :  - Réseau de terre</v>
      </c>
      <c r="E18" s="19"/>
      <c r="F18" s="21"/>
      <c r="G18" s="21"/>
      <c r="H18" s="22"/>
      <c r="I18" s="23">
        <v>0</v>
      </c>
    </row>
    <row r="19" spans="1:9" ht="11.25" customHeight="1" x14ac:dyDescent="0.35">
      <c r="A19" s="8"/>
      <c r="B19" s="81" t="str">
        <f t="shared" si="0"/>
        <v>Surfacique</v>
      </c>
      <c r="C19" s="9" t="s">
        <v>10</v>
      </c>
      <c r="D19" s="9" t="s">
        <v>30</v>
      </c>
      <c r="E19" s="10" t="s">
        <v>12</v>
      </c>
      <c r="F19" s="11"/>
      <c r="G19" s="11"/>
      <c r="H19" s="12"/>
      <c r="I19" s="13"/>
    </row>
    <row r="20" spans="1:9" ht="23.25" customHeight="1" x14ac:dyDescent="0.35">
      <c r="A20" s="14"/>
      <c r="B20" s="81" t="str">
        <f t="shared" si="0"/>
        <v>Surfacique</v>
      </c>
      <c r="C20" s="15" t="s">
        <v>13</v>
      </c>
      <c r="D20" s="25" t="s">
        <v>31</v>
      </c>
      <c r="E20" s="26" t="s">
        <v>12</v>
      </c>
      <c r="F20" s="24"/>
      <c r="G20" s="24"/>
      <c r="H20" s="17">
        <v>60</v>
      </c>
      <c r="I20" s="17"/>
    </row>
    <row r="21" spans="1:9" ht="11.25" customHeight="1" x14ac:dyDescent="0.35">
      <c r="A21" s="14"/>
      <c r="B21" s="81" t="str">
        <f t="shared" si="0"/>
        <v>Surfacique</v>
      </c>
      <c r="C21" s="15" t="s">
        <v>13</v>
      </c>
      <c r="D21" s="18" t="s">
        <v>32</v>
      </c>
      <c r="E21" s="26" t="s">
        <v>12</v>
      </c>
      <c r="F21" s="17"/>
      <c r="G21" s="17"/>
      <c r="H21" s="17">
        <v>20</v>
      </c>
      <c r="I21" s="17"/>
    </row>
    <row r="22" spans="1:9" ht="11.25" customHeight="1" x14ac:dyDescent="0.35">
      <c r="A22" s="14"/>
      <c r="B22" s="81" t="str">
        <f t="shared" si="0"/>
        <v>Unitaire</v>
      </c>
      <c r="C22" s="15" t="s">
        <v>13</v>
      </c>
      <c r="D22" s="18" t="s">
        <v>33</v>
      </c>
      <c r="E22" s="16" t="s">
        <v>25</v>
      </c>
      <c r="F22" s="17"/>
      <c r="G22" s="17"/>
      <c r="H22" s="17">
        <v>110</v>
      </c>
      <c r="I22" s="17"/>
    </row>
    <row r="23" spans="1:9" ht="11.25" customHeight="1" x14ac:dyDescent="0.35">
      <c r="A23" s="14"/>
      <c r="B23" s="81" t="str">
        <f t="shared" si="0"/>
        <v>Unitaire</v>
      </c>
      <c r="C23" s="15" t="s">
        <v>13</v>
      </c>
      <c r="D23" s="18" t="s">
        <v>34</v>
      </c>
      <c r="E23" s="16" t="s">
        <v>25</v>
      </c>
      <c r="F23" s="17"/>
      <c r="G23" s="17"/>
      <c r="H23" s="17">
        <v>15</v>
      </c>
      <c r="I23" s="17"/>
    </row>
    <row r="24" spans="1:9" ht="11.25" customHeight="1" x14ac:dyDescent="0.35">
      <c r="A24" s="14"/>
      <c r="B24" s="81" t="str">
        <f t="shared" si="0"/>
        <v>Unitaire</v>
      </c>
      <c r="C24" s="15" t="s">
        <v>13</v>
      </c>
      <c r="D24" s="18" t="s">
        <v>35</v>
      </c>
      <c r="E24" s="16" t="s">
        <v>15</v>
      </c>
      <c r="F24" s="17"/>
      <c r="G24" s="17"/>
      <c r="H24" s="17">
        <v>1</v>
      </c>
      <c r="I24" s="17"/>
    </row>
    <row r="25" spans="1:9" ht="11.25" customHeight="1" x14ac:dyDescent="0.35">
      <c r="A25" s="19"/>
      <c r="B25" s="20" t="str">
        <f t="shared" si="0"/>
        <v/>
      </c>
      <c r="C25" s="20"/>
      <c r="D25" s="20" t="str">
        <f>CONCATENATE("Sous-Total : ",A19," - ",D19)</f>
        <v>Sous-Total :  - VRD</v>
      </c>
      <c r="E25" s="19"/>
      <c r="F25" s="21"/>
      <c r="G25" s="21"/>
      <c r="H25" s="22"/>
      <c r="I25" s="23">
        <v>0</v>
      </c>
    </row>
    <row r="26" spans="1:9" ht="11.25" customHeight="1" x14ac:dyDescent="0.35">
      <c r="A26" s="8"/>
      <c r="B26" s="81" t="str">
        <f t="shared" si="0"/>
        <v>Surfacique</v>
      </c>
      <c r="C26" s="9" t="s">
        <v>10</v>
      </c>
      <c r="D26" s="9" t="s">
        <v>36</v>
      </c>
      <c r="E26" s="10" t="s">
        <v>12</v>
      </c>
      <c r="F26" s="11"/>
      <c r="G26" s="11"/>
      <c r="H26" s="12"/>
      <c r="I26" s="13"/>
    </row>
    <row r="27" spans="1:9" ht="11.25" customHeight="1" x14ac:dyDescent="0.35">
      <c r="A27" s="14"/>
      <c r="B27" s="81" t="str">
        <f t="shared" si="0"/>
        <v>Unitaire</v>
      </c>
      <c r="C27" s="15" t="s">
        <v>13</v>
      </c>
      <c r="D27" s="18" t="s">
        <v>37</v>
      </c>
      <c r="E27" s="16" t="s">
        <v>15</v>
      </c>
      <c r="F27" s="17"/>
      <c r="G27" s="17"/>
      <c r="H27" s="17">
        <v>2200</v>
      </c>
      <c r="I27" s="17"/>
    </row>
    <row r="28" spans="1:9" ht="11.25" customHeight="1" x14ac:dyDescent="0.35">
      <c r="A28" s="14"/>
      <c r="B28" s="81" t="str">
        <f t="shared" si="0"/>
        <v>Unitaire</v>
      </c>
      <c r="C28" s="15" t="s">
        <v>13</v>
      </c>
      <c r="D28" s="18" t="s">
        <v>38</v>
      </c>
      <c r="E28" s="16" t="s">
        <v>15</v>
      </c>
      <c r="F28" s="17"/>
      <c r="G28" s="17"/>
      <c r="H28" s="17">
        <v>2800</v>
      </c>
      <c r="I28" s="17"/>
    </row>
    <row r="29" spans="1:9" ht="11.25" customHeight="1" x14ac:dyDescent="0.35">
      <c r="A29" s="14"/>
      <c r="B29" s="81" t="str">
        <f t="shared" si="0"/>
        <v>Unitaire</v>
      </c>
      <c r="C29" s="15" t="s">
        <v>13</v>
      </c>
      <c r="D29" s="18" t="s">
        <v>39</v>
      </c>
      <c r="E29" s="16" t="s">
        <v>15</v>
      </c>
      <c r="F29" s="17"/>
      <c r="G29" s="17"/>
      <c r="H29" s="17"/>
      <c r="I29" s="17"/>
    </row>
    <row r="30" spans="1:9" ht="11.25" customHeight="1" x14ac:dyDescent="0.35">
      <c r="A30" s="14"/>
      <c r="B30" s="81" t="str">
        <f t="shared" si="0"/>
        <v>Unitaire</v>
      </c>
      <c r="C30" s="15" t="s">
        <v>13</v>
      </c>
      <c r="D30" s="18" t="s">
        <v>40</v>
      </c>
      <c r="E30" s="16" t="s">
        <v>25</v>
      </c>
      <c r="F30" s="17"/>
      <c r="G30" s="17"/>
      <c r="H30" s="17"/>
      <c r="I30" s="17"/>
    </row>
    <row r="31" spans="1:9" ht="11.25" customHeight="1" x14ac:dyDescent="0.35">
      <c r="A31" s="19"/>
      <c r="B31" s="20" t="str">
        <f t="shared" si="0"/>
        <v/>
      </c>
      <c r="C31" s="20"/>
      <c r="D31" s="20" t="str">
        <f>CONCATENATE("Sous-Total : ",A26," - ",D26)</f>
        <v>Sous-Total :  - Protection contre les effets directs de la foudre</v>
      </c>
      <c r="E31" s="19"/>
      <c r="F31" s="21"/>
      <c r="G31" s="21"/>
      <c r="H31" s="22"/>
      <c r="I31" s="23">
        <v>0</v>
      </c>
    </row>
    <row r="32" spans="1:9" ht="24" customHeight="1" x14ac:dyDescent="0.35">
      <c r="A32" s="8"/>
      <c r="B32" s="81" t="str">
        <f t="shared" si="0"/>
        <v>Surfacique</v>
      </c>
      <c r="C32" s="9" t="s">
        <v>10</v>
      </c>
      <c r="D32" s="9" t="s">
        <v>41</v>
      </c>
      <c r="E32" s="10" t="s">
        <v>12</v>
      </c>
      <c r="F32" s="11"/>
      <c r="G32" s="11"/>
      <c r="H32" s="12"/>
      <c r="I32" s="13"/>
    </row>
    <row r="33" spans="1:9" ht="11.25" customHeight="1" x14ac:dyDescent="0.35">
      <c r="A33" s="14"/>
      <c r="B33" s="81" t="str">
        <f t="shared" si="0"/>
        <v>Unitaire</v>
      </c>
      <c r="C33" s="15" t="s">
        <v>13</v>
      </c>
      <c r="D33" s="18" t="s">
        <v>42</v>
      </c>
      <c r="E33" s="16" t="s">
        <v>15</v>
      </c>
      <c r="F33" s="17"/>
      <c r="G33" s="17"/>
      <c r="H33" s="17">
        <v>870</v>
      </c>
      <c r="I33" s="17"/>
    </row>
    <row r="34" spans="1:9" ht="11.25" customHeight="1" x14ac:dyDescent="0.35">
      <c r="A34" s="19"/>
      <c r="B34" s="20" t="str">
        <f t="shared" si="0"/>
        <v/>
      </c>
      <c r="C34" s="20"/>
      <c r="D34" s="20" t="str">
        <f>CONCATENATE("Sous-Total : ",A32," - ",D32)</f>
        <v>Sous-Total :  - Protection contre les effets indirects de la foudre</v>
      </c>
      <c r="E34" s="19"/>
      <c r="F34" s="21"/>
      <c r="G34" s="21"/>
      <c r="H34" s="22"/>
      <c r="I34" s="23">
        <v>0</v>
      </c>
    </row>
    <row r="35" spans="1:9" ht="11.25" customHeight="1" x14ac:dyDescent="0.35">
      <c r="A35" s="8"/>
      <c r="B35" s="82" t="str">
        <f t="shared" si="0"/>
        <v/>
      </c>
      <c r="C35" s="9" t="s">
        <v>10</v>
      </c>
      <c r="D35" s="9" t="s">
        <v>43</v>
      </c>
      <c r="E35" s="27"/>
      <c r="F35" s="11"/>
      <c r="G35" s="11"/>
      <c r="H35" s="12"/>
      <c r="I35" s="13"/>
    </row>
    <row r="36" spans="1:9" ht="26.25" customHeight="1" x14ac:dyDescent="0.35">
      <c r="A36" s="14"/>
      <c r="B36" s="81" t="str">
        <f t="shared" si="0"/>
        <v>Unitaire</v>
      </c>
      <c r="C36" s="15" t="s">
        <v>13</v>
      </c>
      <c r="D36" s="18" t="s">
        <v>44</v>
      </c>
      <c r="E36" s="16" t="s">
        <v>15</v>
      </c>
      <c r="F36" s="17"/>
      <c r="G36" s="17"/>
      <c r="H36" s="17">
        <v>65300</v>
      </c>
      <c r="I36" s="17"/>
    </row>
    <row r="37" spans="1:9" ht="26.25" customHeight="1" x14ac:dyDescent="0.35">
      <c r="A37" s="14"/>
      <c r="B37" s="81" t="str">
        <f t="shared" si="0"/>
        <v>Unitaire</v>
      </c>
      <c r="C37" s="17" t="s">
        <v>542</v>
      </c>
      <c r="D37" s="18" t="s">
        <v>45</v>
      </c>
      <c r="E37" s="16" t="s">
        <v>15</v>
      </c>
      <c r="F37" s="17"/>
      <c r="G37" s="17"/>
      <c r="H37" s="17">
        <v>80100</v>
      </c>
      <c r="I37" s="17"/>
    </row>
    <row r="38" spans="1:9" ht="26.25" customHeight="1" x14ac:dyDescent="0.35">
      <c r="A38" s="14"/>
      <c r="B38" s="81" t="str">
        <f t="shared" si="0"/>
        <v>Unitaire</v>
      </c>
      <c r="C38" s="17" t="s">
        <v>13</v>
      </c>
      <c r="D38" s="18" t="s">
        <v>46</v>
      </c>
      <c r="E38" s="16" t="s">
        <v>15</v>
      </c>
      <c r="F38" s="17"/>
      <c r="G38" s="17"/>
      <c r="H38" s="17">
        <v>94300</v>
      </c>
      <c r="I38" s="17"/>
    </row>
    <row r="39" spans="1:9" ht="26.25" customHeight="1" x14ac:dyDescent="0.35">
      <c r="A39" s="14"/>
      <c r="B39" s="81" t="str">
        <f t="shared" si="0"/>
        <v>Unitaire</v>
      </c>
      <c r="C39" s="17" t="s">
        <v>13</v>
      </c>
      <c r="D39" s="18" t="s">
        <v>47</v>
      </c>
      <c r="E39" s="16" t="s">
        <v>15</v>
      </c>
      <c r="F39" s="17"/>
      <c r="G39" s="17"/>
      <c r="H39" s="17">
        <v>121000</v>
      </c>
      <c r="I39" s="17"/>
    </row>
    <row r="40" spans="1:9" ht="26.25" customHeight="1" x14ac:dyDescent="0.35">
      <c r="A40" s="14"/>
      <c r="B40" s="81" t="str">
        <f t="shared" si="0"/>
        <v>Unitaire</v>
      </c>
      <c r="C40" s="17" t="s">
        <v>13</v>
      </c>
      <c r="D40" s="18" t="s">
        <v>48</v>
      </c>
      <c r="E40" s="16" t="s">
        <v>15</v>
      </c>
      <c r="F40" s="17"/>
      <c r="G40" s="17"/>
      <c r="H40" s="17">
        <v>124500</v>
      </c>
      <c r="I40" s="17"/>
    </row>
    <row r="41" spans="1:9" ht="26.25" customHeight="1" x14ac:dyDescent="0.35">
      <c r="A41" s="14"/>
      <c r="B41" s="81" t="str">
        <f t="shared" si="0"/>
        <v>Unitaire</v>
      </c>
      <c r="C41" s="15" t="s">
        <v>13</v>
      </c>
      <c r="D41" s="18" t="s">
        <v>49</v>
      </c>
      <c r="E41" s="16" t="s">
        <v>15</v>
      </c>
      <c r="F41" s="17"/>
      <c r="G41" s="17"/>
      <c r="H41" s="17">
        <v>169400</v>
      </c>
      <c r="I41" s="17"/>
    </row>
    <row r="42" spans="1:9" ht="26.25" customHeight="1" x14ac:dyDescent="0.35">
      <c r="A42" s="14"/>
      <c r="B42" s="81" t="str">
        <f t="shared" si="0"/>
        <v>Unitaire</v>
      </c>
      <c r="C42" s="15" t="s">
        <v>13</v>
      </c>
      <c r="D42" s="18" t="s">
        <v>50</v>
      </c>
      <c r="E42" s="16" t="s">
        <v>15</v>
      </c>
      <c r="F42" s="17"/>
      <c r="G42" s="17"/>
      <c r="H42" s="17">
        <v>46000</v>
      </c>
      <c r="I42" s="17"/>
    </row>
    <row r="43" spans="1:9" ht="26.25" customHeight="1" x14ac:dyDescent="0.35">
      <c r="A43" s="14"/>
      <c r="B43" s="81" t="str">
        <f t="shared" si="0"/>
        <v>Unitaire</v>
      </c>
      <c r="C43" s="15" t="s">
        <v>13</v>
      </c>
      <c r="D43" s="18" t="s">
        <v>51</v>
      </c>
      <c r="E43" s="16" t="s">
        <v>15</v>
      </c>
      <c r="F43" s="17"/>
      <c r="G43" s="17"/>
      <c r="H43" s="17">
        <v>25000</v>
      </c>
      <c r="I43" s="17"/>
    </row>
    <row r="44" spans="1:9" ht="26.25" customHeight="1" x14ac:dyDescent="0.35">
      <c r="A44" s="14"/>
      <c r="B44" s="81" t="str">
        <f t="shared" si="0"/>
        <v>Unitaire</v>
      </c>
      <c r="C44" s="15" t="s">
        <v>13</v>
      </c>
      <c r="D44" s="18" t="s">
        <v>52</v>
      </c>
      <c r="E44" s="16" t="s">
        <v>15</v>
      </c>
      <c r="F44" s="17"/>
      <c r="G44" s="17"/>
      <c r="H44" s="17">
        <v>60000</v>
      </c>
      <c r="I44" s="17"/>
    </row>
    <row r="45" spans="1:9" ht="26.25" customHeight="1" x14ac:dyDescent="0.35">
      <c r="A45" s="14"/>
      <c r="B45" s="81" t="str">
        <f t="shared" si="0"/>
        <v>Unitaire</v>
      </c>
      <c r="C45" s="15" t="s">
        <v>13</v>
      </c>
      <c r="D45" s="18" t="s">
        <v>53</v>
      </c>
      <c r="E45" s="16" t="s">
        <v>15</v>
      </c>
      <c r="F45" s="17"/>
      <c r="G45" s="17"/>
      <c r="H45" s="17">
        <v>60000</v>
      </c>
      <c r="I45" s="17"/>
    </row>
    <row r="46" spans="1:9" ht="26.25" customHeight="1" x14ac:dyDescent="0.35">
      <c r="A46" s="14"/>
      <c r="B46" s="81" t="str">
        <f t="shared" si="0"/>
        <v>Unitaire</v>
      </c>
      <c r="C46" s="15" t="s">
        <v>13</v>
      </c>
      <c r="D46" s="18" t="s">
        <v>54</v>
      </c>
      <c r="E46" s="16" t="s">
        <v>15</v>
      </c>
      <c r="F46" s="17"/>
      <c r="G46" s="17"/>
      <c r="H46" s="17">
        <v>46000</v>
      </c>
      <c r="I46" s="17"/>
    </row>
    <row r="47" spans="1:9" ht="26.25" customHeight="1" x14ac:dyDescent="0.35">
      <c r="A47" s="14"/>
      <c r="B47" s="81" t="str">
        <f t="shared" si="0"/>
        <v>Unitaire</v>
      </c>
      <c r="C47" s="15" t="s">
        <v>13</v>
      </c>
      <c r="D47" s="18" t="s">
        <v>55</v>
      </c>
      <c r="E47" s="16" t="s">
        <v>15</v>
      </c>
      <c r="F47" s="17"/>
      <c r="G47" s="17"/>
      <c r="H47" s="17">
        <v>33000</v>
      </c>
      <c r="I47" s="17"/>
    </row>
    <row r="48" spans="1:9" ht="15.75" customHeight="1" x14ac:dyDescent="0.35">
      <c r="A48" s="14"/>
      <c r="B48" s="81" t="str">
        <f t="shared" si="0"/>
        <v>Unitaire</v>
      </c>
      <c r="C48" s="15" t="s">
        <v>13</v>
      </c>
      <c r="D48" s="18" t="s">
        <v>56</v>
      </c>
      <c r="E48" s="16" t="s">
        <v>15</v>
      </c>
      <c r="F48" s="17"/>
      <c r="G48" s="17"/>
      <c r="H48" s="17">
        <v>15100</v>
      </c>
      <c r="I48" s="17"/>
    </row>
    <row r="49" spans="1:9" ht="15.75" customHeight="1" x14ac:dyDescent="0.35">
      <c r="A49" s="14"/>
      <c r="B49" s="81" t="str">
        <f t="shared" si="0"/>
        <v>Unitaire</v>
      </c>
      <c r="C49" s="15" t="s">
        <v>13</v>
      </c>
      <c r="D49" s="18" t="s">
        <v>57</v>
      </c>
      <c r="E49" s="16" t="s">
        <v>15</v>
      </c>
      <c r="F49" s="17"/>
      <c r="G49" s="17"/>
      <c r="H49" s="17">
        <v>14000</v>
      </c>
      <c r="I49" s="17"/>
    </row>
    <row r="50" spans="1:9" ht="15.75" customHeight="1" x14ac:dyDescent="0.35">
      <c r="A50" s="14"/>
      <c r="B50" s="81" t="str">
        <f t="shared" si="0"/>
        <v>Unitaire</v>
      </c>
      <c r="C50" s="15" t="s">
        <v>13</v>
      </c>
      <c r="D50" s="18" t="s">
        <v>58</v>
      </c>
      <c r="E50" s="16" t="s">
        <v>15</v>
      </c>
      <c r="F50" s="17"/>
      <c r="G50" s="17"/>
      <c r="H50" s="17">
        <v>25000</v>
      </c>
      <c r="I50" s="17"/>
    </row>
    <row r="51" spans="1:9" ht="15.75" customHeight="1" x14ac:dyDescent="0.35">
      <c r="A51" s="14"/>
      <c r="B51" s="81" t="str">
        <f t="shared" si="0"/>
        <v>Unitaire</v>
      </c>
      <c r="C51" s="15" t="s">
        <v>13</v>
      </c>
      <c r="D51" s="18" t="s">
        <v>59</v>
      </c>
      <c r="E51" s="16" t="s">
        <v>15</v>
      </c>
      <c r="F51" s="17"/>
      <c r="G51" s="17"/>
      <c r="H51" s="17">
        <v>17300</v>
      </c>
      <c r="I51" s="17"/>
    </row>
    <row r="52" spans="1:9" ht="15.75" customHeight="1" x14ac:dyDescent="0.35">
      <c r="A52" s="14"/>
      <c r="B52" s="81" t="str">
        <f t="shared" si="0"/>
        <v>Unitaire</v>
      </c>
      <c r="C52" s="15" t="s">
        <v>13</v>
      </c>
      <c r="D52" s="18" t="s">
        <v>60</v>
      </c>
      <c r="E52" s="16" t="s">
        <v>15</v>
      </c>
      <c r="F52" s="17"/>
      <c r="G52" s="17"/>
      <c r="H52" s="17">
        <v>18400</v>
      </c>
      <c r="I52" s="17"/>
    </row>
    <row r="53" spans="1:9" ht="15.75" customHeight="1" x14ac:dyDescent="0.35">
      <c r="A53" s="14"/>
      <c r="B53" s="81" t="str">
        <f t="shared" si="0"/>
        <v>Unitaire</v>
      </c>
      <c r="C53" s="15" t="s">
        <v>13</v>
      </c>
      <c r="D53" s="18" t="s">
        <v>61</v>
      </c>
      <c r="E53" s="16" t="s">
        <v>15</v>
      </c>
      <c r="F53" s="17"/>
      <c r="G53" s="17"/>
      <c r="H53" s="17">
        <v>25000</v>
      </c>
      <c r="I53" s="17"/>
    </row>
    <row r="54" spans="1:9" ht="15.75" customHeight="1" x14ac:dyDescent="0.35">
      <c r="A54" s="14"/>
      <c r="B54" s="81" t="str">
        <f t="shared" si="0"/>
        <v>Unitaire</v>
      </c>
      <c r="C54" s="15" t="s">
        <v>13</v>
      </c>
      <c r="D54" s="18" t="s">
        <v>62</v>
      </c>
      <c r="E54" s="16" t="s">
        <v>15</v>
      </c>
      <c r="F54" s="17"/>
      <c r="G54" s="17"/>
      <c r="H54" s="17">
        <v>27000</v>
      </c>
      <c r="I54" s="17"/>
    </row>
    <row r="55" spans="1:9" ht="15.75" customHeight="1" x14ac:dyDescent="0.35">
      <c r="A55" s="14"/>
      <c r="B55" s="81" t="str">
        <f t="shared" si="0"/>
        <v>Unitaire</v>
      </c>
      <c r="C55" s="15" t="s">
        <v>13</v>
      </c>
      <c r="D55" s="18" t="s">
        <v>63</v>
      </c>
      <c r="E55" s="16" t="s">
        <v>15</v>
      </c>
      <c r="F55" s="17"/>
      <c r="G55" s="17"/>
      <c r="H55" s="17">
        <v>40000</v>
      </c>
      <c r="I55" s="17"/>
    </row>
    <row r="56" spans="1:9" ht="15" customHeight="1" x14ac:dyDescent="0.35">
      <c r="A56" s="14"/>
      <c r="B56" s="81" t="str">
        <f t="shared" si="0"/>
        <v>Unitaire</v>
      </c>
      <c r="C56" s="15" t="s">
        <v>13</v>
      </c>
      <c r="D56" s="18" t="s">
        <v>64</v>
      </c>
      <c r="E56" s="16" t="s">
        <v>15</v>
      </c>
      <c r="F56" s="17"/>
      <c r="G56" s="17"/>
      <c r="H56" s="17">
        <v>2500</v>
      </c>
      <c r="I56" s="17"/>
    </row>
    <row r="57" spans="1:9" ht="15" customHeight="1" x14ac:dyDescent="0.35">
      <c r="A57" s="14"/>
      <c r="B57" s="81" t="str">
        <f t="shared" si="0"/>
        <v>Unitaire</v>
      </c>
      <c r="C57" s="15" t="s">
        <v>13</v>
      </c>
      <c r="D57" s="18" t="s">
        <v>65</v>
      </c>
      <c r="E57" s="16" t="s">
        <v>15</v>
      </c>
      <c r="F57" s="17"/>
      <c r="G57" s="17"/>
      <c r="H57" s="17">
        <v>11000</v>
      </c>
      <c r="I57" s="17"/>
    </row>
    <row r="58" spans="1:9" ht="15" customHeight="1" x14ac:dyDescent="0.35">
      <c r="A58" s="14"/>
      <c r="B58" s="81" t="str">
        <f t="shared" si="0"/>
        <v>Unitaire</v>
      </c>
      <c r="C58" s="15" t="s">
        <v>13</v>
      </c>
      <c r="D58" s="18" t="s">
        <v>66</v>
      </c>
      <c r="E58" s="16" t="s">
        <v>15</v>
      </c>
      <c r="F58" s="17"/>
      <c r="G58" s="17"/>
      <c r="H58" s="17">
        <v>10000</v>
      </c>
      <c r="I58" s="17"/>
    </row>
    <row r="59" spans="1:9" ht="15" customHeight="1" x14ac:dyDescent="0.35">
      <c r="A59" s="14"/>
      <c r="B59" s="81" t="str">
        <f t="shared" si="0"/>
        <v>Unitaire</v>
      </c>
      <c r="C59" s="15" t="s">
        <v>13</v>
      </c>
      <c r="D59" s="18" t="s">
        <v>67</v>
      </c>
      <c r="E59" s="16" t="s">
        <v>15</v>
      </c>
      <c r="F59" s="17"/>
      <c r="G59" s="17"/>
      <c r="H59" s="17">
        <v>35000</v>
      </c>
      <c r="I59" s="17"/>
    </row>
    <row r="60" spans="1:9" ht="15" customHeight="1" x14ac:dyDescent="0.35">
      <c r="A60" s="14"/>
      <c r="B60" s="81" t="str">
        <f t="shared" si="0"/>
        <v>Unitaire</v>
      </c>
      <c r="C60" s="15" t="s">
        <v>13</v>
      </c>
      <c r="D60" s="18" t="s">
        <v>515</v>
      </c>
      <c r="E60" s="16" t="s">
        <v>15</v>
      </c>
      <c r="F60" s="17"/>
      <c r="G60" s="17"/>
      <c r="H60" s="17">
        <v>26000</v>
      </c>
      <c r="I60" s="17"/>
    </row>
    <row r="61" spans="1:9" ht="15" customHeight="1" x14ac:dyDescent="0.35">
      <c r="A61" s="28"/>
      <c r="B61" s="81" t="str">
        <f t="shared" si="0"/>
        <v>Unitaire</v>
      </c>
      <c r="C61" s="15" t="s">
        <v>13</v>
      </c>
      <c r="D61" s="18" t="s">
        <v>68</v>
      </c>
      <c r="E61" s="16" t="s">
        <v>15</v>
      </c>
      <c r="F61" s="29"/>
      <c r="G61" s="29"/>
      <c r="H61" s="17">
        <v>8000</v>
      </c>
      <c r="I61" s="13"/>
    </row>
    <row r="62" spans="1:9" ht="15" customHeight="1" x14ac:dyDescent="0.35">
      <c r="A62" s="14"/>
      <c r="B62" s="81" t="str">
        <f t="shared" si="0"/>
        <v>Unitaire</v>
      </c>
      <c r="C62" s="15" t="s">
        <v>13</v>
      </c>
      <c r="D62" s="18" t="s">
        <v>69</v>
      </c>
      <c r="E62" s="16" t="s">
        <v>15</v>
      </c>
      <c r="F62" s="17"/>
      <c r="G62" s="17"/>
      <c r="H62" s="17">
        <v>11000</v>
      </c>
      <c r="I62" s="17"/>
    </row>
    <row r="63" spans="1:9" ht="15" customHeight="1" x14ac:dyDescent="0.35">
      <c r="A63" s="28"/>
      <c r="B63" s="81" t="str">
        <f t="shared" si="0"/>
        <v>Unitaire</v>
      </c>
      <c r="C63" s="15" t="s">
        <v>13</v>
      </c>
      <c r="D63" s="18" t="s">
        <v>70</v>
      </c>
      <c r="E63" s="16" t="s">
        <v>15</v>
      </c>
      <c r="F63" s="29"/>
      <c r="G63" s="29"/>
      <c r="H63" s="17">
        <v>25000</v>
      </c>
      <c r="I63" s="13"/>
    </row>
    <row r="64" spans="1:9" ht="15" customHeight="1" x14ac:dyDescent="0.35">
      <c r="A64" s="14"/>
      <c r="B64" s="81" t="str">
        <f t="shared" si="0"/>
        <v>Unitaire</v>
      </c>
      <c r="C64" s="15" t="s">
        <v>13</v>
      </c>
      <c r="D64" s="18" t="s">
        <v>71</v>
      </c>
      <c r="E64" s="16" t="s">
        <v>15</v>
      </c>
      <c r="F64" s="17"/>
      <c r="G64" s="17"/>
      <c r="H64" s="17">
        <v>2500</v>
      </c>
      <c r="I64" s="17"/>
    </row>
    <row r="65" spans="1:9" ht="15" customHeight="1" x14ac:dyDescent="0.35">
      <c r="A65" s="14"/>
      <c r="B65" s="81" t="str">
        <f t="shared" si="0"/>
        <v>Unitaire</v>
      </c>
      <c r="C65" s="15" t="s">
        <v>13</v>
      </c>
      <c r="D65" s="18" t="s">
        <v>72</v>
      </c>
      <c r="E65" s="16" t="s">
        <v>15</v>
      </c>
      <c r="F65" s="17"/>
      <c r="G65" s="17"/>
      <c r="H65" s="17">
        <v>700</v>
      </c>
      <c r="I65" s="17"/>
    </row>
    <row r="66" spans="1:9" ht="15" customHeight="1" x14ac:dyDescent="0.35">
      <c r="A66" s="14"/>
      <c r="B66" s="81" t="str">
        <f t="shared" si="0"/>
        <v>Unitaire</v>
      </c>
      <c r="C66" s="15" t="s">
        <v>13</v>
      </c>
      <c r="D66" s="18" t="s">
        <v>73</v>
      </c>
      <c r="E66" s="16" t="s">
        <v>15</v>
      </c>
      <c r="F66" s="17"/>
      <c r="G66" s="17"/>
      <c r="H66" s="17">
        <v>2484</v>
      </c>
      <c r="I66" s="17"/>
    </row>
    <row r="67" spans="1:9" ht="15" customHeight="1" x14ac:dyDescent="0.35">
      <c r="A67" s="14"/>
      <c r="B67" s="81" t="str">
        <f t="shared" ref="B67:B130" si="1">IF(E67="","",IF(E67="m²","Surfacique","Unitaire"))</f>
        <v>Unitaire</v>
      </c>
      <c r="C67" s="15" t="s">
        <v>13</v>
      </c>
      <c r="D67" s="18" t="s">
        <v>516</v>
      </c>
      <c r="E67" s="16" t="s">
        <v>15</v>
      </c>
      <c r="F67" s="17"/>
      <c r="G67" s="17"/>
      <c r="H67" s="17">
        <v>2700</v>
      </c>
      <c r="I67" s="17"/>
    </row>
    <row r="68" spans="1:9" ht="15" customHeight="1" x14ac:dyDescent="0.35">
      <c r="A68" s="14"/>
      <c r="B68" s="81" t="str">
        <f t="shared" si="1"/>
        <v>Unitaire</v>
      </c>
      <c r="C68" s="15" t="s">
        <v>13</v>
      </c>
      <c r="D68" s="18" t="s">
        <v>74</v>
      </c>
      <c r="E68" s="16" t="s">
        <v>15</v>
      </c>
      <c r="F68" s="17"/>
      <c r="G68" s="17"/>
      <c r="H68" s="17">
        <v>500</v>
      </c>
      <c r="I68" s="17"/>
    </row>
    <row r="69" spans="1:9" ht="15" customHeight="1" x14ac:dyDescent="0.35">
      <c r="A69" s="14"/>
      <c r="B69" s="81" t="str">
        <f t="shared" si="1"/>
        <v>Unitaire</v>
      </c>
      <c r="C69" s="15" t="s">
        <v>13</v>
      </c>
      <c r="D69" s="18" t="s">
        <v>75</v>
      </c>
      <c r="E69" s="16" t="s">
        <v>15</v>
      </c>
      <c r="F69" s="17"/>
      <c r="G69" s="17"/>
      <c r="H69" s="17">
        <v>40</v>
      </c>
      <c r="I69" s="17"/>
    </row>
    <row r="70" spans="1:9" ht="15" customHeight="1" x14ac:dyDescent="0.35">
      <c r="A70" s="14"/>
      <c r="B70" s="81" t="str">
        <f t="shared" si="1"/>
        <v>Unitaire</v>
      </c>
      <c r="C70" s="15" t="s">
        <v>13</v>
      </c>
      <c r="D70" s="18" t="s">
        <v>76</v>
      </c>
      <c r="E70" s="16" t="s">
        <v>15</v>
      </c>
      <c r="F70" s="17"/>
      <c r="G70" s="17"/>
      <c r="H70" s="17">
        <v>900</v>
      </c>
      <c r="I70" s="17"/>
    </row>
    <row r="71" spans="1:9" ht="15" customHeight="1" x14ac:dyDescent="0.35">
      <c r="A71" s="14"/>
      <c r="B71" s="81" t="str">
        <f t="shared" si="1"/>
        <v>Unitaire</v>
      </c>
      <c r="C71" s="15" t="s">
        <v>13</v>
      </c>
      <c r="D71" s="18" t="s">
        <v>77</v>
      </c>
      <c r="E71" s="16" t="s">
        <v>25</v>
      </c>
      <c r="F71" s="17"/>
      <c r="G71" s="17"/>
      <c r="H71" s="17">
        <v>30</v>
      </c>
      <c r="I71" s="17"/>
    </row>
    <row r="72" spans="1:9" ht="16.5" customHeight="1" x14ac:dyDescent="0.35">
      <c r="A72" s="14"/>
      <c r="B72" s="81" t="str">
        <f t="shared" si="1"/>
        <v>Unitaire</v>
      </c>
      <c r="C72" s="15" t="s">
        <v>13</v>
      </c>
      <c r="D72" s="18" t="s">
        <v>78</v>
      </c>
      <c r="E72" s="16" t="s">
        <v>25</v>
      </c>
      <c r="F72" s="17"/>
      <c r="G72" s="17"/>
      <c r="H72" s="17">
        <v>300</v>
      </c>
      <c r="I72" s="17"/>
    </row>
    <row r="73" spans="1:9" ht="18.600000000000001" customHeight="1" x14ac:dyDescent="0.35">
      <c r="A73" s="14"/>
      <c r="B73" s="81" t="str">
        <f t="shared" si="1"/>
        <v>Unitaire</v>
      </c>
      <c r="C73" s="15" t="s">
        <v>13</v>
      </c>
      <c r="D73" s="18" t="s">
        <v>517</v>
      </c>
      <c r="E73" s="16" t="s">
        <v>18</v>
      </c>
      <c r="F73" s="17"/>
      <c r="G73" s="17"/>
      <c r="H73" s="17"/>
      <c r="I73" s="17"/>
    </row>
    <row r="74" spans="1:9" ht="11.25" customHeight="1" x14ac:dyDescent="0.35">
      <c r="A74" s="14"/>
      <c r="B74" s="81" t="str">
        <f t="shared" si="1"/>
        <v>Unitaire</v>
      </c>
      <c r="C74" s="15" t="s">
        <v>13</v>
      </c>
      <c r="D74" s="18" t="s">
        <v>79</v>
      </c>
      <c r="E74" s="16" t="s">
        <v>18</v>
      </c>
      <c r="F74" s="17"/>
      <c r="G74" s="17"/>
      <c r="H74" s="17"/>
      <c r="I74" s="17"/>
    </row>
    <row r="75" spans="1:9" ht="11.25" customHeight="1" x14ac:dyDescent="0.35">
      <c r="A75" s="14"/>
      <c r="B75" s="81" t="str">
        <f t="shared" si="1"/>
        <v>Unitaire</v>
      </c>
      <c r="C75" s="15" t="s">
        <v>13</v>
      </c>
      <c r="D75" s="18" t="s">
        <v>518</v>
      </c>
      <c r="E75" s="16" t="s">
        <v>18</v>
      </c>
      <c r="F75" s="17"/>
      <c r="G75" s="17"/>
      <c r="H75" s="17"/>
      <c r="I75" s="17"/>
    </row>
    <row r="76" spans="1:9" ht="11.25" customHeight="1" x14ac:dyDescent="0.35">
      <c r="A76" s="19"/>
      <c r="B76" s="20" t="str">
        <f t="shared" si="1"/>
        <v/>
      </c>
      <c r="C76" s="20"/>
      <c r="D76" s="20" t="str">
        <f>CONCATENATE("Sous-Total : ",A35," - ",D35)</f>
        <v>Sous-Total :  - Poste de livraison/transformation</v>
      </c>
      <c r="E76" s="19"/>
      <c r="F76" s="21"/>
      <c r="G76" s="21"/>
      <c r="H76" s="22"/>
      <c r="I76" s="23">
        <v>0</v>
      </c>
    </row>
    <row r="77" spans="1:9" ht="11.25" customHeight="1" x14ac:dyDescent="0.35">
      <c r="A77" s="8"/>
      <c r="B77" s="82" t="str">
        <f t="shared" si="1"/>
        <v/>
      </c>
      <c r="C77" s="9" t="s">
        <v>10</v>
      </c>
      <c r="D77" s="9" t="s">
        <v>80</v>
      </c>
      <c r="E77" s="27"/>
      <c r="F77" s="11"/>
      <c r="G77" s="11"/>
      <c r="H77" s="12"/>
      <c r="I77" s="13"/>
    </row>
    <row r="78" spans="1:9" ht="11.25" customHeight="1" x14ac:dyDescent="0.35">
      <c r="A78" s="14"/>
      <c r="B78" s="81" t="str">
        <f t="shared" si="1"/>
        <v>Unitaire</v>
      </c>
      <c r="C78" s="15" t="s">
        <v>13</v>
      </c>
      <c r="D78" s="18" t="s">
        <v>519</v>
      </c>
      <c r="E78" s="16" t="s">
        <v>15</v>
      </c>
      <c r="F78" s="17"/>
      <c r="G78" s="17"/>
      <c r="H78" s="17">
        <v>8200</v>
      </c>
      <c r="I78" s="17"/>
    </row>
    <row r="79" spans="1:9" ht="11.25" customHeight="1" x14ac:dyDescent="0.35">
      <c r="A79" s="14"/>
      <c r="B79" s="81" t="str">
        <f t="shared" si="1"/>
        <v>Unitaire</v>
      </c>
      <c r="C79" s="15" t="s">
        <v>13</v>
      </c>
      <c r="D79" s="18" t="s">
        <v>520</v>
      </c>
      <c r="E79" s="16" t="s">
        <v>15</v>
      </c>
      <c r="F79" s="17"/>
      <c r="G79" s="17"/>
      <c r="H79" s="17">
        <v>1400</v>
      </c>
      <c r="I79" s="17"/>
    </row>
    <row r="80" spans="1:9" ht="11.25" customHeight="1" x14ac:dyDescent="0.35">
      <c r="A80" s="14"/>
      <c r="B80" s="81" t="str">
        <f t="shared" si="1"/>
        <v>Unitaire</v>
      </c>
      <c r="C80" s="15" t="s">
        <v>13</v>
      </c>
      <c r="D80" s="18" t="s">
        <v>81</v>
      </c>
      <c r="E80" s="16" t="s">
        <v>15</v>
      </c>
      <c r="F80" s="17"/>
      <c r="G80" s="17"/>
      <c r="H80" s="17">
        <v>18000</v>
      </c>
      <c r="I80" s="17"/>
    </row>
    <row r="81" spans="1:9" ht="11.25" customHeight="1" x14ac:dyDescent="0.35">
      <c r="A81" s="14"/>
      <c r="B81" s="81" t="str">
        <f t="shared" si="1"/>
        <v>Unitaire</v>
      </c>
      <c r="C81" s="15" t="s">
        <v>13</v>
      </c>
      <c r="D81" s="18" t="s">
        <v>82</v>
      </c>
      <c r="E81" s="16" t="s">
        <v>15</v>
      </c>
      <c r="F81" s="17"/>
      <c r="G81" s="17"/>
      <c r="H81" s="17">
        <v>6500</v>
      </c>
      <c r="I81" s="17"/>
    </row>
    <row r="82" spans="1:9" ht="11.25" customHeight="1" x14ac:dyDescent="0.35">
      <c r="A82" s="14"/>
      <c r="B82" s="81" t="str">
        <f t="shared" si="1"/>
        <v>Unitaire</v>
      </c>
      <c r="C82" s="15" t="s">
        <v>13</v>
      </c>
      <c r="D82" s="18" t="s">
        <v>83</v>
      </c>
      <c r="E82" s="16" t="s">
        <v>15</v>
      </c>
      <c r="F82" s="17"/>
      <c r="G82" s="17"/>
      <c r="H82" s="17">
        <v>5500</v>
      </c>
      <c r="I82" s="17"/>
    </row>
    <row r="83" spans="1:9" ht="11.25" customHeight="1" x14ac:dyDescent="0.35">
      <c r="A83" s="14"/>
      <c r="B83" s="81" t="str">
        <f t="shared" si="1"/>
        <v>Unitaire</v>
      </c>
      <c r="C83" s="15" t="s">
        <v>13</v>
      </c>
      <c r="D83" s="18" t="s">
        <v>84</v>
      </c>
      <c r="E83" s="16" t="s">
        <v>15</v>
      </c>
      <c r="F83" s="17"/>
      <c r="G83" s="17"/>
      <c r="H83" s="17">
        <v>15000</v>
      </c>
      <c r="I83" s="17"/>
    </row>
    <row r="84" spans="1:9" ht="11.25" customHeight="1" x14ac:dyDescent="0.35">
      <c r="A84" s="19"/>
      <c r="B84" s="20" t="str">
        <f t="shared" si="1"/>
        <v/>
      </c>
      <c r="C84" s="20"/>
      <c r="D84" s="20" t="str">
        <f>CONCATENATE("Sous-Total : ",A77," - ",D77)</f>
        <v>Sous-Total :  - Reconfiguration de boucle</v>
      </c>
      <c r="E84" s="19"/>
      <c r="F84" s="21"/>
      <c r="G84" s="21"/>
      <c r="H84" s="22"/>
      <c r="I84" s="23">
        <v>0</v>
      </c>
    </row>
    <row r="85" spans="1:9" ht="11.25" customHeight="1" x14ac:dyDescent="0.35">
      <c r="A85" s="8"/>
      <c r="B85" s="82" t="str">
        <f t="shared" si="1"/>
        <v/>
      </c>
      <c r="C85" s="9" t="s">
        <v>10</v>
      </c>
      <c r="D85" s="9" t="s">
        <v>85</v>
      </c>
      <c r="E85" s="27"/>
      <c r="F85" s="11"/>
      <c r="G85" s="11"/>
      <c r="H85" s="12"/>
      <c r="I85" s="13"/>
    </row>
    <row r="86" spans="1:9" ht="23.25" customHeight="1" x14ac:dyDescent="0.35">
      <c r="A86" s="14"/>
      <c r="B86" s="81" t="str">
        <f t="shared" si="1"/>
        <v>Unitaire</v>
      </c>
      <c r="C86" s="15" t="s">
        <v>13</v>
      </c>
      <c r="D86" s="18" t="s">
        <v>86</v>
      </c>
      <c r="E86" s="16" t="s">
        <v>15</v>
      </c>
      <c r="F86" s="17"/>
      <c r="G86" s="17"/>
      <c r="H86" s="17">
        <v>7050</v>
      </c>
      <c r="I86" s="17"/>
    </row>
    <row r="87" spans="1:9" ht="23.25" customHeight="1" x14ac:dyDescent="0.35">
      <c r="A87" s="14"/>
      <c r="B87" s="81" t="str">
        <f t="shared" si="1"/>
        <v>Unitaire</v>
      </c>
      <c r="C87" s="15" t="s">
        <v>13</v>
      </c>
      <c r="D87" s="18" t="s">
        <v>87</v>
      </c>
      <c r="E87" s="16" t="s">
        <v>15</v>
      </c>
      <c r="F87" s="17"/>
      <c r="G87" s="17"/>
      <c r="H87" s="17">
        <v>6000</v>
      </c>
      <c r="I87" s="17"/>
    </row>
    <row r="88" spans="1:9" ht="23.25" customHeight="1" x14ac:dyDescent="0.35">
      <c r="A88" s="14"/>
      <c r="B88" s="81" t="str">
        <f t="shared" si="1"/>
        <v>Unitaire</v>
      </c>
      <c r="C88" s="15" t="s">
        <v>13</v>
      </c>
      <c r="D88" s="18" t="s">
        <v>88</v>
      </c>
      <c r="E88" s="16" t="s">
        <v>15</v>
      </c>
      <c r="F88" s="17"/>
      <c r="G88" s="17"/>
      <c r="H88" s="17">
        <v>4000</v>
      </c>
      <c r="I88" s="17"/>
    </row>
    <row r="89" spans="1:9" ht="27" customHeight="1" x14ac:dyDescent="0.35">
      <c r="A89" s="14"/>
      <c r="B89" s="81" t="str">
        <f t="shared" si="1"/>
        <v>Unitaire</v>
      </c>
      <c r="C89" s="15" t="s">
        <v>13</v>
      </c>
      <c r="D89" s="18" t="s">
        <v>89</v>
      </c>
      <c r="E89" s="16" t="s">
        <v>15</v>
      </c>
      <c r="F89" s="17"/>
      <c r="G89" s="17"/>
      <c r="H89" s="17">
        <v>1900</v>
      </c>
      <c r="I89" s="17"/>
    </row>
    <row r="90" spans="1:9" ht="16.5" customHeight="1" x14ac:dyDescent="0.35">
      <c r="A90" s="14"/>
      <c r="B90" s="81" t="str">
        <f t="shared" si="1"/>
        <v>Unitaire</v>
      </c>
      <c r="C90" s="15" t="s">
        <v>13</v>
      </c>
      <c r="D90" s="18" t="s">
        <v>90</v>
      </c>
      <c r="E90" s="16" t="s">
        <v>25</v>
      </c>
      <c r="F90" s="17"/>
      <c r="G90" s="17"/>
      <c r="H90" s="17">
        <v>200</v>
      </c>
      <c r="I90" s="17"/>
    </row>
    <row r="91" spans="1:9" ht="11.25" customHeight="1" x14ac:dyDescent="0.35">
      <c r="A91" s="14"/>
      <c r="B91" s="81" t="str">
        <f t="shared" si="1"/>
        <v>Unitaire</v>
      </c>
      <c r="C91" s="15" t="s">
        <v>13</v>
      </c>
      <c r="D91" s="18" t="s">
        <v>91</v>
      </c>
      <c r="E91" s="16" t="s">
        <v>15</v>
      </c>
      <c r="F91" s="17"/>
      <c r="G91" s="17"/>
      <c r="H91" s="17"/>
      <c r="I91" s="17"/>
    </row>
    <row r="92" spans="1:9" ht="11.25" customHeight="1" x14ac:dyDescent="0.35">
      <c r="A92" s="14"/>
      <c r="B92" s="81" t="str">
        <f t="shared" si="1"/>
        <v>Unitaire</v>
      </c>
      <c r="C92" s="15" t="s">
        <v>13</v>
      </c>
      <c r="D92" s="18" t="s">
        <v>92</v>
      </c>
      <c r="E92" s="16" t="s">
        <v>15</v>
      </c>
      <c r="F92" s="17"/>
      <c r="G92" s="17"/>
      <c r="H92" s="17"/>
      <c r="I92" s="17"/>
    </row>
    <row r="93" spans="1:9" ht="11.25" customHeight="1" x14ac:dyDescent="0.35">
      <c r="A93" s="14"/>
      <c r="B93" s="81" t="str">
        <f t="shared" si="1"/>
        <v>Unitaire</v>
      </c>
      <c r="C93" s="15" t="s">
        <v>13</v>
      </c>
      <c r="D93" s="18" t="s">
        <v>93</v>
      </c>
      <c r="E93" s="16" t="s">
        <v>18</v>
      </c>
      <c r="F93" s="17"/>
      <c r="G93" s="17"/>
      <c r="H93" s="17"/>
      <c r="I93" s="17"/>
    </row>
    <row r="94" spans="1:9" ht="11.25" customHeight="1" x14ac:dyDescent="0.35">
      <c r="A94" s="14"/>
      <c r="B94" s="81" t="str">
        <f t="shared" si="1"/>
        <v>Unitaire</v>
      </c>
      <c r="C94" s="15" t="s">
        <v>13</v>
      </c>
      <c r="D94" s="18" t="s">
        <v>94</v>
      </c>
      <c r="E94" s="16" t="s">
        <v>18</v>
      </c>
      <c r="F94" s="17"/>
      <c r="G94" s="17"/>
      <c r="H94" s="17"/>
      <c r="I94" s="17"/>
    </row>
    <row r="95" spans="1:9" ht="11.25" customHeight="1" x14ac:dyDescent="0.35">
      <c r="A95" s="14"/>
      <c r="B95" s="81" t="str">
        <f t="shared" si="1"/>
        <v>Unitaire</v>
      </c>
      <c r="C95" s="15" t="s">
        <v>13</v>
      </c>
      <c r="D95" s="18" t="s">
        <v>95</v>
      </c>
      <c r="E95" s="16" t="s">
        <v>15</v>
      </c>
      <c r="F95" s="17"/>
      <c r="G95" s="17"/>
      <c r="H95" s="17"/>
      <c r="I95" s="17"/>
    </row>
    <row r="96" spans="1:9" ht="11.25" customHeight="1" x14ac:dyDescent="0.35">
      <c r="A96" s="14"/>
      <c r="B96" s="81" t="str">
        <f t="shared" si="1"/>
        <v>Unitaire</v>
      </c>
      <c r="C96" s="15" t="s">
        <v>13</v>
      </c>
      <c r="D96" s="18" t="s">
        <v>96</v>
      </c>
      <c r="E96" s="16" t="s">
        <v>18</v>
      </c>
      <c r="F96" s="17"/>
      <c r="G96" s="17"/>
      <c r="H96" s="17"/>
      <c r="I96" s="17"/>
    </row>
    <row r="97" spans="1:9" ht="11.25" customHeight="1" x14ac:dyDescent="0.35">
      <c r="A97" s="19"/>
      <c r="B97" s="20" t="str">
        <f t="shared" si="1"/>
        <v/>
      </c>
      <c r="C97" s="20"/>
      <c r="D97" s="20" t="str">
        <f>CONCATENATE("Sous-Total : ",A85," - ",D85)</f>
        <v>Sous-Total :  - Branchement Basse Tension</v>
      </c>
      <c r="E97" s="19"/>
      <c r="F97" s="21"/>
      <c r="G97" s="21"/>
      <c r="H97" s="22"/>
      <c r="I97" s="23">
        <v>0</v>
      </c>
    </row>
    <row r="98" spans="1:9" ht="11.25" customHeight="1" x14ac:dyDescent="0.35">
      <c r="A98" s="8"/>
      <c r="B98" s="82" t="str">
        <f t="shared" si="1"/>
        <v/>
      </c>
      <c r="C98" s="9" t="s">
        <v>10</v>
      </c>
      <c r="D98" s="9" t="s">
        <v>97</v>
      </c>
      <c r="E98" s="27"/>
      <c r="F98" s="11"/>
      <c r="G98" s="11"/>
      <c r="H98" s="12"/>
      <c r="I98" s="13"/>
    </row>
    <row r="99" spans="1:9" ht="11.25" customHeight="1" x14ac:dyDescent="0.35">
      <c r="A99" s="14"/>
      <c r="B99" s="81" t="str">
        <f t="shared" si="1"/>
        <v>Unitaire</v>
      </c>
      <c r="C99" s="15" t="s">
        <v>13</v>
      </c>
      <c r="D99" s="18" t="s">
        <v>98</v>
      </c>
      <c r="E99" s="16" t="s">
        <v>15</v>
      </c>
      <c r="F99" s="17"/>
      <c r="G99" s="17"/>
      <c r="H99" s="17">
        <v>2200</v>
      </c>
      <c r="I99" s="17"/>
    </row>
    <row r="100" spans="1:9" ht="11.25" customHeight="1" x14ac:dyDescent="0.35">
      <c r="A100" s="14"/>
      <c r="B100" s="81" t="str">
        <f t="shared" si="1"/>
        <v>Unitaire</v>
      </c>
      <c r="C100" s="15" t="s">
        <v>13</v>
      </c>
      <c r="D100" s="18" t="s">
        <v>99</v>
      </c>
      <c r="E100" s="16" t="s">
        <v>15</v>
      </c>
      <c r="F100" s="17"/>
      <c r="G100" s="17"/>
      <c r="H100" s="17">
        <v>4800</v>
      </c>
      <c r="I100" s="17"/>
    </row>
    <row r="101" spans="1:9" ht="11.25" customHeight="1" x14ac:dyDescent="0.35">
      <c r="A101" s="14"/>
      <c r="B101" s="81" t="str">
        <f t="shared" si="1"/>
        <v>Unitaire</v>
      </c>
      <c r="C101" s="15" t="s">
        <v>13</v>
      </c>
      <c r="D101" s="18" t="s">
        <v>100</v>
      </c>
      <c r="E101" s="16" t="s">
        <v>15</v>
      </c>
      <c r="F101" s="17"/>
      <c r="G101" s="17"/>
      <c r="H101" s="17">
        <v>5400</v>
      </c>
      <c r="I101" s="17"/>
    </row>
    <row r="102" spans="1:9" ht="11.25" customHeight="1" x14ac:dyDescent="0.35">
      <c r="A102" s="19"/>
      <c r="B102" s="20" t="str">
        <f t="shared" si="1"/>
        <v/>
      </c>
      <c r="C102" s="20"/>
      <c r="D102" s="20" t="str">
        <f>CONCATENATE("Sous-Total : ",A98," - ",D98)</f>
        <v>Sous-Total :  - Batterie de condensateur</v>
      </c>
      <c r="E102" s="19"/>
      <c r="F102" s="21"/>
      <c r="G102" s="21"/>
      <c r="H102" s="22"/>
      <c r="I102" s="23">
        <v>0</v>
      </c>
    </row>
    <row r="103" spans="1:9" ht="11.25" customHeight="1" x14ac:dyDescent="0.35">
      <c r="A103" s="8"/>
      <c r="B103" s="82" t="str">
        <f t="shared" si="1"/>
        <v/>
      </c>
      <c r="C103" s="9" t="s">
        <v>10</v>
      </c>
      <c r="D103" s="9" t="s">
        <v>101</v>
      </c>
      <c r="E103" s="27"/>
      <c r="F103" s="11"/>
      <c r="G103" s="11"/>
      <c r="H103" s="12"/>
      <c r="I103" s="13"/>
    </row>
    <row r="104" spans="1:9" ht="26.25" customHeight="1" x14ac:dyDescent="0.35">
      <c r="A104" s="14"/>
      <c r="B104" s="81" t="str">
        <f t="shared" si="1"/>
        <v>Unitaire</v>
      </c>
      <c r="C104" s="15" t="s">
        <v>13</v>
      </c>
      <c r="D104" s="18" t="s">
        <v>102</v>
      </c>
      <c r="E104" s="16" t="s">
        <v>15</v>
      </c>
      <c r="F104" s="17"/>
      <c r="G104" s="17"/>
      <c r="H104" s="17">
        <v>200000</v>
      </c>
      <c r="I104" s="17"/>
    </row>
    <row r="105" spans="1:9" ht="26.25" customHeight="1" x14ac:dyDescent="0.35">
      <c r="A105" s="14"/>
      <c r="B105" s="81" t="str">
        <f t="shared" si="1"/>
        <v>Unitaire</v>
      </c>
      <c r="C105" s="15" t="s">
        <v>13</v>
      </c>
      <c r="D105" s="18" t="s">
        <v>103</v>
      </c>
      <c r="E105" s="16" t="s">
        <v>25</v>
      </c>
      <c r="F105" s="17"/>
      <c r="G105" s="17"/>
      <c r="H105" s="17">
        <v>16.239999999999998</v>
      </c>
      <c r="I105" s="17"/>
    </row>
    <row r="106" spans="1:9" ht="26.25" customHeight="1" x14ac:dyDescent="0.35">
      <c r="A106" s="14"/>
      <c r="B106" s="81" t="str">
        <f t="shared" si="1"/>
        <v>Unitaire</v>
      </c>
      <c r="C106" s="15" t="s">
        <v>13</v>
      </c>
      <c r="D106" s="18" t="s">
        <v>104</v>
      </c>
      <c r="E106" s="16" t="s">
        <v>18</v>
      </c>
      <c r="F106" s="17"/>
      <c r="G106" s="17"/>
      <c r="H106" s="17">
        <v>11302.33</v>
      </c>
      <c r="I106" s="17"/>
    </row>
    <row r="107" spans="1:9" ht="26.25" customHeight="1" x14ac:dyDescent="0.35">
      <c r="A107" s="14"/>
      <c r="B107" s="81" t="str">
        <f t="shared" si="1"/>
        <v>Unitaire</v>
      </c>
      <c r="C107" s="15" t="s">
        <v>13</v>
      </c>
      <c r="D107" s="18" t="s">
        <v>105</v>
      </c>
      <c r="E107" s="16" t="s">
        <v>18</v>
      </c>
      <c r="F107" s="17"/>
      <c r="G107" s="17"/>
      <c r="H107" s="17">
        <v>3795</v>
      </c>
      <c r="I107" s="17"/>
    </row>
    <row r="108" spans="1:9" ht="26.25" customHeight="1" x14ac:dyDescent="0.35">
      <c r="A108" s="14"/>
      <c r="B108" s="81" t="str">
        <f t="shared" si="1"/>
        <v>Surfacique</v>
      </c>
      <c r="C108" s="15" t="s">
        <v>13</v>
      </c>
      <c r="D108" s="18" t="s">
        <v>521</v>
      </c>
      <c r="E108" s="26" t="s">
        <v>12</v>
      </c>
      <c r="F108" s="17"/>
      <c r="G108" s="17"/>
      <c r="H108" s="17">
        <v>172</v>
      </c>
      <c r="I108" s="17"/>
    </row>
    <row r="109" spans="1:9" ht="26.25" customHeight="1" x14ac:dyDescent="0.35">
      <c r="A109" s="14"/>
      <c r="B109" s="81" t="str">
        <f t="shared" si="1"/>
        <v>Unitaire</v>
      </c>
      <c r="C109" s="15" t="s">
        <v>13</v>
      </c>
      <c r="D109" s="18" t="s">
        <v>106</v>
      </c>
      <c r="E109" s="16" t="s">
        <v>15</v>
      </c>
      <c r="F109" s="17"/>
      <c r="G109" s="17"/>
      <c r="H109" s="17">
        <v>572</v>
      </c>
      <c r="I109" s="17"/>
    </row>
    <row r="110" spans="1:9" ht="26.25" customHeight="1" x14ac:dyDescent="0.35">
      <c r="A110" s="14"/>
      <c r="B110" s="81" t="str">
        <f t="shared" si="1"/>
        <v>Unitaire</v>
      </c>
      <c r="C110" s="15" t="s">
        <v>13</v>
      </c>
      <c r="D110" s="18" t="s">
        <v>107</v>
      </c>
      <c r="E110" s="16" t="s">
        <v>25</v>
      </c>
      <c r="F110" s="17"/>
      <c r="G110" s="17"/>
      <c r="H110" s="17">
        <v>24</v>
      </c>
      <c r="I110" s="17"/>
    </row>
    <row r="111" spans="1:9" ht="26.25" customHeight="1" x14ac:dyDescent="0.35">
      <c r="A111" s="14"/>
      <c r="B111" s="81" t="str">
        <f t="shared" si="1"/>
        <v>Unitaire</v>
      </c>
      <c r="C111" s="15" t="s">
        <v>13</v>
      </c>
      <c r="D111" s="18" t="s">
        <v>108</v>
      </c>
      <c r="E111" s="16" t="s">
        <v>25</v>
      </c>
      <c r="F111" s="17"/>
      <c r="G111" s="17"/>
      <c r="H111" s="17">
        <v>12</v>
      </c>
      <c r="I111" s="17"/>
    </row>
    <row r="112" spans="1:9" ht="26.25" customHeight="1" x14ac:dyDescent="0.35">
      <c r="A112" s="14"/>
      <c r="B112" s="81" t="str">
        <f t="shared" si="1"/>
        <v>Unitaire</v>
      </c>
      <c r="C112" s="15" t="s">
        <v>13</v>
      </c>
      <c r="D112" s="18" t="s">
        <v>522</v>
      </c>
      <c r="E112" s="16" t="s">
        <v>15</v>
      </c>
      <c r="F112" s="17"/>
      <c r="G112" s="17"/>
      <c r="H112" s="17">
        <v>572</v>
      </c>
      <c r="I112" s="17"/>
    </row>
    <row r="113" spans="1:9" ht="26.25" customHeight="1" x14ac:dyDescent="0.35">
      <c r="A113" s="14"/>
      <c r="B113" s="81" t="str">
        <f t="shared" si="1"/>
        <v>Unitaire</v>
      </c>
      <c r="C113" s="15" t="s">
        <v>13</v>
      </c>
      <c r="D113" s="18" t="s">
        <v>109</v>
      </c>
      <c r="E113" s="16" t="s">
        <v>15</v>
      </c>
      <c r="F113" s="17"/>
      <c r="G113" s="17"/>
      <c r="H113" s="17">
        <f>168000/2</f>
        <v>84000</v>
      </c>
      <c r="I113" s="17"/>
    </row>
    <row r="114" spans="1:9" ht="26.25" customHeight="1" x14ac:dyDescent="0.35">
      <c r="A114" s="14"/>
      <c r="B114" s="81" t="str">
        <f t="shared" si="1"/>
        <v>Unitaire</v>
      </c>
      <c r="C114" s="15" t="s">
        <v>13</v>
      </c>
      <c r="D114" s="18" t="s">
        <v>110</v>
      </c>
      <c r="E114" s="16" t="s">
        <v>15</v>
      </c>
      <c r="F114" s="17"/>
      <c r="G114" s="17"/>
      <c r="H114" s="17">
        <f>282000/2</f>
        <v>141000</v>
      </c>
      <c r="I114" s="17"/>
    </row>
    <row r="115" spans="1:9" ht="26.25" customHeight="1" x14ac:dyDescent="0.35">
      <c r="A115" s="14"/>
      <c r="B115" s="81" t="str">
        <f t="shared" si="1"/>
        <v>Unitaire</v>
      </c>
      <c r="C115" s="15" t="s">
        <v>13</v>
      </c>
      <c r="D115" s="18" t="s">
        <v>111</v>
      </c>
      <c r="E115" s="16" t="s">
        <v>15</v>
      </c>
      <c r="F115" s="17"/>
      <c r="G115" s="17"/>
      <c r="H115" s="17">
        <v>21800</v>
      </c>
      <c r="I115" s="17"/>
    </row>
    <row r="116" spans="1:9" ht="26.25" customHeight="1" x14ac:dyDescent="0.35">
      <c r="A116" s="14"/>
      <c r="B116" s="81" t="str">
        <f t="shared" si="1"/>
        <v>Unitaire</v>
      </c>
      <c r="C116" s="15" t="s">
        <v>13</v>
      </c>
      <c r="D116" s="18" t="s">
        <v>112</v>
      </c>
      <c r="E116" s="16" t="s">
        <v>15</v>
      </c>
      <c r="F116" s="17"/>
      <c r="G116" s="17"/>
      <c r="H116" s="17">
        <v>76000</v>
      </c>
      <c r="I116" s="17"/>
    </row>
    <row r="117" spans="1:9" ht="26.25" customHeight="1" x14ac:dyDescent="0.35">
      <c r="A117" s="14"/>
      <c r="B117" s="81" t="str">
        <f t="shared" si="1"/>
        <v>Unitaire</v>
      </c>
      <c r="C117" s="15" t="s">
        <v>13</v>
      </c>
      <c r="D117" s="18" t="s">
        <v>113</v>
      </c>
      <c r="E117" s="16" t="s">
        <v>15</v>
      </c>
      <c r="F117" s="17"/>
      <c r="G117" s="17"/>
      <c r="H117" s="17">
        <v>60000</v>
      </c>
      <c r="I117" s="17"/>
    </row>
    <row r="118" spans="1:9" ht="26.25" customHeight="1" x14ac:dyDescent="0.35">
      <c r="A118" s="14"/>
      <c r="B118" s="81" t="str">
        <f t="shared" si="1"/>
        <v>Unitaire</v>
      </c>
      <c r="C118" s="15" t="s">
        <v>13</v>
      </c>
      <c r="D118" s="18" t="s">
        <v>114</v>
      </c>
      <c r="E118" s="16" t="s">
        <v>15</v>
      </c>
      <c r="F118" s="17"/>
      <c r="G118" s="17"/>
      <c r="H118" s="17">
        <v>123000</v>
      </c>
      <c r="I118" s="17"/>
    </row>
    <row r="119" spans="1:9" ht="26.25" customHeight="1" x14ac:dyDescent="0.35">
      <c r="A119" s="14"/>
      <c r="B119" s="81" t="str">
        <f t="shared" si="1"/>
        <v>Unitaire</v>
      </c>
      <c r="C119" s="15" t="s">
        <v>13</v>
      </c>
      <c r="D119" s="18" t="s">
        <v>115</v>
      </c>
      <c r="E119" s="16" t="s">
        <v>15</v>
      </c>
      <c r="F119" s="17"/>
      <c r="G119" s="17"/>
      <c r="H119" s="17">
        <v>46000</v>
      </c>
      <c r="I119" s="17"/>
    </row>
    <row r="120" spans="1:9" ht="26.25" customHeight="1" x14ac:dyDescent="0.35">
      <c r="A120" s="14"/>
      <c r="B120" s="81" t="str">
        <f t="shared" si="1"/>
        <v>Unitaire</v>
      </c>
      <c r="C120" s="15" t="s">
        <v>13</v>
      </c>
      <c r="D120" s="18" t="s">
        <v>116</v>
      </c>
      <c r="E120" s="16" t="s">
        <v>15</v>
      </c>
      <c r="F120" s="17"/>
      <c r="G120" s="17"/>
      <c r="H120" s="17">
        <f>85000/2</f>
        <v>42500</v>
      </c>
      <c r="I120" s="17"/>
    </row>
    <row r="121" spans="1:9" ht="26.25" customHeight="1" x14ac:dyDescent="0.35">
      <c r="A121" s="14"/>
      <c r="B121" s="81" t="str">
        <f t="shared" si="1"/>
        <v>Unitaire</v>
      </c>
      <c r="C121" s="15" t="s">
        <v>13</v>
      </c>
      <c r="D121" s="18" t="s">
        <v>117</v>
      </c>
      <c r="E121" s="16" t="s">
        <v>15</v>
      </c>
      <c r="F121" s="17"/>
      <c r="G121" s="17"/>
      <c r="H121" s="17">
        <f>95000/2</f>
        <v>47500</v>
      </c>
      <c r="I121" s="17"/>
    </row>
    <row r="122" spans="1:9" ht="26.25" customHeight="1" x14ac:dyDescent="0.35">
      <c r="A122" s="14"/>
      <c r="B122" s="81" t="str">
        <f t="shared" si="1"/>
        <v>Unitaire</v>
      </c>
      <c r="C122" s="15" t="s">
        <v>13</v>
      </c>
      <c r="D122" s="18" t="s">
        <v>523</v>
      </c>
      <c r="E122" s="16" t="s">
        <v>18</v>
      </c>
      <c r="F122" s="17"/>
      <c r="G122" s="17"/>
      <c r="H122" s="17">
        <f>170000/2</f>
        <v>85000</v>
      </c>
      <c r="I122" s="17"/>
    </row>
    <row r="123" spans="1:9" ht="26.25" customHeight="1" x14ac:dyDescent="0.35">
      <c r="A123" s="14"/>
      <c r="B123" s="81" t="str">
        <f t="shared" si="1"/>
        <v>Unitaire</v>
      </c>
      <c r="C123" s="15" t="s">
        <v>13</v>
      </c>
      <c r="D123" s="18" t="s">
        <v>118</v>
      </c>
      <c r="E123" s="16" t="s">
        <v>18</v>
      </c>
      <c r="F123" s="17"/>
      <c r="G123" s="17"/>
      <c r="H123" s="17">
        <v>25000</v>
      </c>
      <c r="I123" s="17"/>
    </row>
    <row r="124" spans="1:9" ht="26.25" customHeight="1" x14ac:dyDescent="0.35">
      <c r="A124" s="14"/>
      <c r="B124" s="81" t="str">
        <f t="shared" si="1"/>
        <v>Unitaire</v>
      </c>
      <c r="C124" s="15" t="s">
        <v>13</v>
      </c>
      <c r="D124" s="18" t="s">
        <v>119</v>
      </c>
      <c r="E124" s="16" t="s">
        <v>18</v>
      </c>
      <c r="F124" s="17"/>
      <c r="G124" s="17"/>
      <c r="H124" s="17">
        <v>4500</v>
      </c>
      <c r="I124" s="17"/>
    </row>
    <row r="125" spans="1:9" ht="26.25" customHeight="1" x14ac:dyDescent="0.35">
      <c r="A125" s="14"/>
      <c r="B125" s="81" t="str">
        <f t="shared" si="1"/>
        <v>Unitaire</v>
      </c>
      <c r="C125" s="15" t="s">
        <v>13</v>
      </c>
      <c r="D125" s="18" t="s">
        <v>120</v>
      </c>
      <c r="E125" s="16" t="s">
        <v>15</v>
      </c>
      <c r="F125" s="17"/>
      <c r="G125" s="17"/>
      <c r="H125" s="17"/>
      <c r="I125" s="17"/>
    </row>
    <row r="126" spans="1:9" ht="26.25" customHeight="1" x14ac:dyDescent="0.35">
      <c r="A126" s="14"/>
      <c r="B126" s="81" t="str">
        <f t="shared" si="1"/>
        <v>Unitaire</v>
      </c>
      <c r="C126" s="15" t="s">
        <v>13</v>
      </c>
      <c r="D126" s="18" t="s">
        <v>121</v>
      </c>
      <c r="E126" s="16" t="s">
        <v>25</v>
      </c>
      <c r="F126" s="17"/>
      <c r="G126" s="17"/>
      <c r="H126" s="17"/>
      <c r="I126" s="17"/>
    </row>
    <row r="127" spans="1:9" ht="26.25" customHeight="1" x14ac:dyDescent="0.35">
      <c r="A127" s="14"/>
      <c r="B127" s="81" t="str">
        <f t="shared" si="1"/>
        <v>Unitaire</v>
      </c>
      <c r="C127" s="15" t="s">
        <v>13</v>
      </c>
      <c r="D127" s="18" t="s">
        <v>122</v>
      </c>
      <c r="E127" s="16" t="s">
        <v>25</v>
      </c>
      <c r="F127" s="17"/>
      <c r="G127" s="17"/>
      <c r="H127" s="17"/>
      <c r="I127" s="17"/>
    </row>
    <row r="128" spans="1:9" ht="26.25" customHeight="1" x14ac:dyDescent="0.35">
      <c r="A128" s="14"/>
      <c r="B128" s="81" t="str">
        <f t="shared" si="1"/>
        <v>Unitaire</v>
      </c>
      <c r="C128" s="15" t="s">
        <v>13</v>
      </c>
      <c r="D128" s="18" t="s">
        <v>123</v>
      </c>
      <c r="E128" s="16" t="s">
        <v>18</v>
      </c>
      <c r="F128" s="17"/>
      <c r="G128" s="17"/>
      <c r="H128" s="17"/>
      <c r="I128" s="17"/>
    </row>
    <row r="129" spans="1:9" ht="26.25" customHeight="1" x14ac:dyDescent="0.35">
      <c r="A129" s="14"/>
      <c r="B129" s="81" t="str">
        <f t="shared" si="1"/>
        <v>Unitaire</v>
      </c>
      <c r="C129" s="15" t="s">
        <v>13</v>
      </c>
      <c r="D129" s="18" t="s">
        <v>124</v>
      </c>
      <c r="E129" s="16" t="s">
        <v>15</v>
      </c>
      <c r="F129" s="17"/>
      <c r="G129" s="17"/>
      <c r="H129" s="17">
        <v>5500</v>
      </c>
      <c r="I129" s="17"/>
    </row>
    <row r="130" spans="1:9" ht="26.25" customHeight="1" x14ac:dyDescent="0.35">
      <c r="A130" s="14"/>
      <c r="B130" s="81" t="str">
        <f t="shared" si="1"/>
        <v>Unitaire</v>
      </c>
      <c r="C130" s="15" t="s">
        <v>13</v>
      </c>
      <c r="D130" s="30" t="s">
        <v>125</v>
      </c>
      <c r="E130" s="16" t="s">
        <v>15</v>
      </c>
      <c r="F130" s="17"/>
      <c r="G130" s="17"/>
      <c r="H130" s="17"/>
      <c r="I130" s="17"/>
    </row>
    <row r="131" spans="1:9" ht="26.25" customHeight="1" x14ac:dyDescent="0.35">
      <c r="A131" s="14"/>
      <c r="B131" s="81" t="str">
        <f t="shared" ref="B131:B194" si="2">IF(E131="","",IF(E131="m²","Surfacique","Unitaire"))</f>
        <v>Unitaire</v>
      </c>
      <c r="C131" s="15" t="s">
        <v>13</v>
      </c>
      <c r="D131" s="18" t="s">
        <v>126</v>
      </c>
      <c r="E131" s="16" t="s">
        <v>15</v>
      </c>
      <c r="F131" s="17"/>
      <c r="G131" s="17"/>
      <c r="H131" s="17">
        <v>4000</v>
      </c>
      <c r="I131" s="17"/>
    </row>
    <row r="132" spans="1:9" ht="26.25" customHeight="1" x14ac:dyDescent="0.35">
      <c r="A132" s="14"/>
      <c r="B132" s="81" t="str">
        <f t="shared" si="2"/>
        <v>Unitaire</v>
      </c>
      <c r="C132" s="15" t="s">
        <v>13</v>
      </c>
      <c r="D132" s="18" t="s">
        <v>127</v>
      </c>
      <c r="E132" s="16" t="s">
        <v>18</v>
      </c>
      <c r="F132" s="17"/>
      <c r="G132" s="17"/>
      <c r="H132" s="17">
        <v>4000</v>
      </c>
      <c r="I132" s="17"/>
    </row>
    <row r="133" spans="1:9" ht="26.25" customHeight="1" x14ac:dyDescent="0.35">
      <c r="A133" s="14"/>
      <c r="B133" s="81" t="str">
        <f t="shared" si="2"/>
        <v>Unitaire</v>
      </c>
      <c r="C133" s="15" t="s">
        <v>13</v>
      </c>
      <c r="D133" s="18" t="s">
        <v>128</v>
      </c>
      <c r="E133" s="16" t="s">
        <v>18</v>
      </c>
      <c r="F133" s="17"/>
      <c r="G133" s="17"/>
      <c r="H133" s="17">
        <v>14000</v>
      </c>
      <c r="I133" s="17"/>
    </row>
    <row r="134" spans="1:9" ht="26.25" customHeight="1" x14ac:dyDescent="0.35">
      <c r="A134" s="14"/>
      <c r="B134" s="81" t="str">
        <f t="shared" si="2"/>
        <v>Unitaire</v>
      </c>
      <c r="C134" s="15" t="s">
        <v>13</v>
      </c>
      <c r="D134" s="18" t="s">
        <v>129</v>
      </c>
      <c r="E134" s="16" t="s">
        <v>130</v>
      </c>
      <c r="F134" s="17"/>
      <c r="G134" s="17"/>
      <c r="H134" s="17">
        <v>49</v>
      </c>
      <c r="I134" s="17"/>
    </row>
    <row r="135" spans="1:9" ht="26.25" customHeight="1" x14ac:dyDescent="0.35">
      <c r="A135" s="14"/>
      <c r="B135" s="81" t="str">
        <f t="shared" si="2"/>
        <v>Unitaire</v>
      </c>
      <c r="C135" s="15" t="s">
        <v>13</v>
      </c>
      <c r="D135" s="18" t="s">
        <v>131</v>
      </c>
      <c r="E135" s="16" t="s">
        <v>18</v>
      </c>
      <c r="F135" s="17"/>
      <c r="G135" s="17"/>
      <c r="H135" s="17">
        <v>3500</v>
      </c>
      <c r="I135" s="17"/>
    </row>
    <row r="136" spans="1:9" ht="11.25" customHeight="1" x14ac:dyDescent="0.35">
      <c r="A136" s="19"/>
      <c r="B136" s="20" t="str">
        <f t="shared" si="2"/>
        <v/>
      </c>
      <c r="C136" s="20"/>
      <c r="D136" s="20" t="str">
        <f>CONCATENATE("Sous-Total : ",A103," - ",D103)</f>
        <v>Sous-Total :  - Groupe électrogène</v>
      </c>
      <c r="E136" s="19"/>
      <c r="F136" s="21"/>
      <c r="G136" s="21"/>
      <c r="H136" s="22"/>
      <c r="I136" s="23">
        <v>0</v>
      </c>
    </row>
    <row r="137" spans="1:9" ht="11.25" customHeight="1" x14ac:dyDescent="0.35">
      <c r="A137" s="8"/>
      <c r="B137" s="81" t="str">
        <f t="shared" si="2"/>
        <v/>
      </c>
      <c r="C137" s="9" t="s">
        <v>10</v>
      </c>
      <c r="D137" s="9" t="s">
        <v>132</v>
      </c>
      <c r="E137" s="27"/>
      <c r="F137" s="11"/>
      <c r="G137" s="11"/>
      <c r="H137" s="12"/>
      <c r="I137" s="13"/>
    </row>
    <row r="138" spans="1:9" ht="23.25" customHeight="1" x14ac:dyDescent="0.35">
      <c r="A138" s="14"/>
      <c r="B138" s="81" t="str">
        <f t="shared" si="2"/>
        <v>Unitaire</v>
      </c>
      <c r="C138" s="15" t="s">
        <v>13</v>
      </c>
      <c r="D138" s="18" t="s">
        <v>133</v>
      </c>
      <c r="E138" s="31" t="s">
        <v>15</v>
      </c>
      <c r="F138" s="17"/>
      <c r="G138" s="17"/>
      <c r="H138" s="17">
        <v>3500</v>
      </c>
      <c r="I138" s="17"/>
    </row>
    <row r="139" spans="1:9" ht="23.25" customHeight="1" x14ac:dyDescent="0.35">
      <c r="A139" s="14"/>
      <c r="B139" s="81" t="str">
        <f t="shared" si="2"/>
        <v>Unitaire</v>
      </c>
      <c r="C139" s="15" t="s">
        <v>13</v>
      </c>
      <c r="D139" s="18" t="s">
        <v>134</v>
      </c>
      <c r="E139" s="31" t="s">
        <v>15</v>
      </c>
      <c r="F139" s="17"/>
      <c r="G139" s="17"/>
      <c r="H139" s="17">
        <v>4960</v>
      </c>
      <c r="I139" s="17"/>
    </row>
    <row r="140" spans="1:9" ht="23.25" customHeight="1" x14ac:dyDescent="0.35">
      <c r="A140" s="14"/>
      <c r="B140" s="81" t="str">
        <f t="shared" si="2"/>
        <v>Unitaire</v>
      </c>
      <c r="C140" s="15" t="s">
        <v>13</v>
      </c>
      <c r="D140" s="18" t="s">
        <v>135</v>
      </c>
      <c r="E140" s="31" t="s">
        <v>15</v>
      </c>
      <c r="F140" s="17"/>
      <c r="G140" s="17"/>
      <c r="H140" s="17">
        <v>8680</v>
      </c>
      <c r="I140" s="17"/>
    </row>
    <row r="141" spans="1:9" ht="23.25" customHeight="1" x14ac:dyDescent="0.35">
      <c r="A141" s="14"/>
      <c r="B141" s="81" t="str">
        <f t="shared" si="2"/>
        <v>Unitaire</v>
      </c>
      <c r="C141" s="15" t="s">
        <v>13</v>
      </c>
      <c r="D141" s="18" t="s">
        <v>136</v>
      </c>
      <c r="E141" s="31" t="s">
        <v>15</v>
      </c>
      <c r="F141" s="17"/>
      <c r="G141" s="17"/>
      <c r="H141" s="17">
        <v>12960</v>
      </c>
      <c r="I141" s="17"/>
    </row>
    <row r="142" spans="1:9" ht="23.25" customHeight="1" x14ac:dyDescent="0.35">
      <c r="A142" s="14"/>
      <c r="B142" s="81" t="str">
        <f t="shared" si="2"/>
        <v>Unitaire</v>
      </c>
      <c r="C142" s="15" t="s">
        <v>13</v>
      </c>
      <c r="D142" s="18" t="s">
        <v>137</v>
      </c>
      <c r="E142" s="31" t="s">
        <v>15</v>
      </c>
      <c r="F142" s="17"/>
      <c r="G142" s="17"/>
      <c r="H142" s="17">
        <v>43200</v>
      </c>
      <c r="I142" s="17"/>
    </row>
    <row r="143" spans="1:9" ht="23.25" customHeight="1" x14ac:dyDescent="0.35">
      <c r="A143" s="14"/>
      <c r="B143" s="81" t="str">
        <f t="shared" si="2"/>
        <v>Unitaire</v>
      </c>
      <c r="C143" s="15" t="s">
        <v>13</v>
      </c>
      <c r="D143" s="18" t="s">
        <v>138</v>
      </c>
      <c r="E143" s="31" t="s">
        <v>15</v>
      </c>
      <c r="F143" s="17"/>
      <c r="G143" s="17"/>
      <c r="H143" s="17">
        <v>21500</v>
      </c>
      <c r="I143" s="17"/>
    </row>
    <row r="144" spans="1:9" ht="23.25" customHeight="1" x14ac:dyDescent="0.35">
      <c r="A144" s="14"/>
      <c r="B144" s="81" t="str">
        <f t="shared" si="2"/>
        <v>Unitaire</v>
      </c>
      <c r="C144" s="15" t="s">
        <v>13</v>
      </c>
      <c r="D144" s="18" t="s">
        <v>139</v>
      </c>
      <c r="E144" s="31" t="s">
        <v>15</v>
      </c>
      <c r="F144" s="17"/>
      <c r="G144" s="17"/>
      <c r="H144" s="17">
        <v>67000</v>
      </c>
      <c r="I144" s="17"/>
    </row>
    <row r="145" spans="1:9" ht="23.25" customHeight="1" x14ac:dyDescent="0.35">
      <c r="A145" s="14"/>
      <c r="B145" s="81" t="str">
        <f t="shared" si="2"/>
        <v>Unitaire</v>
      </c>
      <c r="C145" s="15" t="s">
        <v>13</v>
      </c>
      <c r="D145" s="18" t="s">
        <v>140</v>
      </c>
      <c r="E145" s="31" t="s">
        <v>18</v>
      </c>
      <c r="F145" s="17"/>
      <c r="G145" s="17"/>
      <c r="H145" s="17">
        <v>384</v>
      </c>
      <c r="I145" s="17"/>
    </row>
    <row r="146" spans="1:9" ht="23.25" customHeight="1" x14ac:dyDescent="0.35">
      <c r="A146" s="14"/>
      <c r="B146" s="81" t="str">
        <f t="shared" si="2"/>
        <v>Unitaire</v>
      </c>
      <c r="C146" s="15" t="s">
        <v>13</v>
      </c>
      <c r="D146" s="18" t="s">
        <v>141</v>
      </c>
      <c r="E146" s="31" t="s">
        <v>18</v>
      </c>
      <c r="F146" s="17"/>
      <c r="G146" s="17"/>
      <c r="H146" s="17">
        <v>2680</v>
      </c>
      <c r="I146" s="17"/>
    </row>
    <row r="147" spans="1:9" ht="11.25" customHeight="1" x14ac:dyDescent="0.35">
      <c r="A147" s="19"/>
      <c r="B147" s="20" t="str">
        <f t="shared" si="2"/>
        <v/>
      </c>
      <c r="C147" s="20"/>
      <c r="D147" s="20" t="str">
        <f>CONCATENATE("Sous-Total : ",A137," - ",D137)</f>
        <v>Sous-Total :  - Alimentation sans interruption</v>
      </c>
      <c r="E147" s="19"/>
      <c r="F147" s="21"/>
      <c r="G147" s="21"/>
      <c r="H147" s="22"/>
      <c r="I147" s="23">
        <v>0</v>
      </c>
    </row>
    <row r="148" spans="1:9" ht="11.25" customHeight="1" x14ac:dyDescent="0.35">
      <c r="A148" s="8"/>
      <c r="B148" s="82" t="str">
        <f t="shared" si="2"/>
        <v/>
      </c>
      <c r="C148" s="9" t="s">
        <v>10</v>
      </c>
      <c r="D148" s="9" t="s">
        <v>142</v>
      </c>
      <c r="E148" s="27"/>
      <c r="F148" s="11"/>
      <c r="G148" s="11"/>
      <c r="H148" s="12"/>
      <c r="I148" s="13"/>
    </row>
    <row r="149" spans="1:9" ht="16.5" customHeight="1" x14ac:dyDescent="0.35">
      <c r="A149" s="14"/>
      <c r="B149" s="81" t="str">
        <f t="shared" si="2"/>
        <v>Unitaire</v>
      </c>
      <c r="C149" s="15" t="s">
        <v>13</v>
      </c>
      <c r="D149" s="18" t="s">
        <v>143</v>
      </c>
      <c r="E149" s="16" t="s">
        <v>18</v>
      </c>
      <c r="F149" s="17"/>
      <c r="G149" s="17"/>
      <c r="H149" s="17">
        <v>14000</v>
      </c>
      <c r="I149" s="17"/>
    </row>
    <row r="150" spans="1:9" ht="11.25" customHeight="1" x14ac:dyDescent="0.35">
      <c r="A150" s="19"/>
      <c r="B150" s="20" t="str">
        <f t="shared" si="2"/>
        <v/>
      </c>
      <c r="C150" s="20"/>
      <c r="D150" s="20" t="str">
        <f>CONCATENATE("Sous-Total : ",A148," - ",D148)</f>
        <v>Sous-Total :  - Transformateur Basse Tension</v>
      </c>
      <c r="E150" s="19"/>
      <c r="F150" s="21"/>
      <c r="G150" s="21"/>
      <c r="H150" s="22"/>
      <c r="I150" s="23">
        <v>0</v>
      </c>
    </row>
    <row r="151" spans="1:9" ht="11.25" customHeight="1" x14ac:dyDescent="0.35">
      <c r="A151" s="8"/>
      <c r="B151" s="82" t="str">
        <f t="shared" si="2"/>
        <v/>
      </c>
      <c r="C151" s="9" t="s">
        <v>10</v>
      </c>
      <c r="D151" s="9" t="s">
        <v>144</v>
      </c>
      <c r="E151" s="27"/>
      <c r="F151" s="11"/>
      <c r="G151" s="11"/>
      <c r="H151" s="12"/>
      <c r="I151" s="13"/>
    </row>
    <row r="152" spans="1:9" ht="16.5" customHeight="1" x14ac:dyDescent="0.35">
      <c r="A152" s="14"/>
      <c r="B152" s="81" t="str">
        <f t="shared" si="2"/>
        <v>Unitaire</v>
      </c>
      <c r="C152" s="15" t="s">
        <v>13</v>
      </c>
      <c r="D152" s="18" t="s">
        <v>145</v>
      </c>
      <c r="E152" s="16" t="s">
        <v>15</v>
      </c>
      <c r="F152" s="17"/>
      <c r="G152" s="17"/>
      <c r="H152" s="17">
        <v>17500</v>
      </c>
      <c r="I152" s="17"/>
    </row>
    <row r="153" spans="1:9" ht="16.5" customHeight="1" x14ac:dyDescent="0.35">
      <c r="A153" s="14"/>
      <c r="B153" s="81" t="str">
        <f t="shared" si="2"/>
        <v>Unitaire</v>
      </c>
      <c r="C153" s="15" t="s">
        <v>13</v>
      </c>
      <c r="D153" s="18" t="s">
        <v>146</v>
      </c>
      <c r="E153" s="16" t="s">
        <v>15</v>
      </c>
      <c r="F153" s="17"/>
      <c r="G153" s="17"/>
      <c r="H153" s="17">
        <v>35000</v>
      </c>
      <c r="I153" s="17"/>
    </row>
    <row r="154" spans="1:9" ht="11.25" customHeight="1" x14ac:dyDescent="0.35">
      <c r="A154" s="19"/>
      <c r="B154" s="20" t="str">
        <f t="shared" si="2"/>
        <v/>
      </c>
      <c r="C154" s="20"/>
      <c r="D154" s="20" t="str">
        <f>CONCATENATE("Sous-Total : ",A151," - ",D151)</f>
        <v>Sous-Total :  - Alimentation Electrique de sécurité (A.E.S.)</v>
      </c>
      <c r="E154" s="19"/>
      <c r="F154" s="21"/>
      <c r="G154" s="21"/>
      <c r="H154" s="22"/>
      <c r="I154" s="23">
        <v>0</v>
      </c>
    </row>
    <row r="155" spans="1:9" ht="11.25" customHeight="1" x14ac:dyDescent="0.35">
      <c r="A155" s="8"/>
      <c r="B155" s="82" t="str">
        <f t="shared" si="2"/>
        <v>Surfacique</v>
      </c>
      <c r="C155" s="9" t="s">
        <v>10</v>
      </c>
      <c r="D155" s="9" t="s">
        <v>147</v>
      </c>
      <c r="E155" s="10" t="s">
        <v>12</v>
      </c>
      <c r="F155" s="11"/>
      <c r="G155" s="11"/>
      <c r="H155" s="12">
        <v>3.4</v>
      </c>
      <c r="I155" s="13"/>
    </row>
    <row r="156" spans="1:9" ht="21" customHeight="1" x14ac:dyDescent="0.35">
      <c r="A156" s="14"/>
      <c r="B156" s="81" t="str">
        <f t="shared" si="2"/>
        <v>Unitaire</v>
      </c>
      <c r="C156" s="15" t="s">
        <v>13</v>
      </c>
      <c r="D156" s="18" t="s">
        <v>148</v>
      </c>
      <c r="E156" s="16" t="s">
        <v>15</v>
      </c>
      <c r="F156" s="17"/>
      <c r="G156" s="17"/>
      <c r="H156" s="17">
        <v>4608</v>
      </c>
      <c r="I156" s="17"/>
    </row>
    <row r="157" spans="1:9" ht="21" customHeight="1" x14ac:dyDescent="0.35">
      <c r="A157" s="14"/>
      <c r="B157" s="81" t="str">
        <f t="shared" si="2"/>
        <v>Unitaire</v>
      </c>
      <c r="C157" s="15" t="s">
        <v>13</v>
      </c>
      <c r="D157" s="18" t="s">
        <v>149</v>
      </c>
      <c r="E157" s="16" t="s">
        <v>15</v>
      </c>
      <c r="F157" s="17"/>
      <c r="G157" s="17"/>
      <c r="H157" s="17">
        <v>67500</v>
      </c>
      <c r="I157" s="17"/>
    </row>
    <row r="158" spans="1:9" ht="21" customHeight="1" x14ac:dyDescent="0.35">
      <c r="A158" s="14"/>
      <c r="B158" s="81" t="str">
        <f t="shared" si="2"/>
        <v>Unitaire</v>
      </c>
      <c r="C158" s="15" t="s">
        <v>13</v>
      </c>
      <c r="D158" s="18" t="s">
        <v>150</v>
      </c>
      <c r="E158" s="16" t="s">
        <v>15</v>
      </c>
      <c r="F158" s="17"/>
      <c r="G158" s="17"/>
      <c r="H158" s="17">
        <v>270000</v>
      </c>
      <c r="I158" s="17"/>
    </row>
    <row r="159" spans="1:9" ht="21" customHeight="1" x14ac:dyDescent="0.35">
      <c r="A159" s="14"/>
      <c r="B159" s="81" t="str">
        <f t="shared" si="2"/>
        <v>Unitaire</v>
      </c>
      <c r="C159" s="15" t="s">
        <v>13</v>
      </c>
      <c r="D159" s="18" t="s">
        <v>151</v>
      </c>
      <c r="E159" s="16" t="s">
        <v>15</v>
      </c>
      <c r="F159" s="17"/>
      <c r="G159" s="17"/>
      <c r="H159" s="17">
        <v>60000</v>
      </c>
      <c r="I159" s="17"/>
    </row>
    <row r="160" spans="1:9" ht="21" customHeight="1" x14ac:dyDescent="0.35">
      <c r="A160" s="14"/>
      <c r="B160" s="81" t="str">
        <f t="shared" si="2"/>
        <v>Unitaire</v>
      </c>
      <c r="C160" s="15" t="s">
        <v>13</v>
      </c>
      <c r="D160" s="18" t="s">
        <v>152</v>
      </c>
      <c r="E160" s="16" t="s">
        <v>15</v>
      </c>
      <c r="F160" s="17"/>
      <c r="G160" s="17"/>
      <c r="H160" s="17">
        <v>42120</v>
      </c>
      <c r="I160" s="17"/>
    </row>
    <row r="161" spans="1:9" ht="21" customHeight="1" x14ac:dyDescent="0.35">
      <c r="A161" s="14"/>
      <c r="B161" s="81" t="str">
        <f t="shared" si="2"/>
        <v>Unitaire</v>
      </c>
      <c r="C161" s="15" t="s">
        <v>13</v>
      </c>
      <c r="D161" s="18" t="s">
        <v>153</v>
      </c>
      <c r="E161" s="16" t="s">
        <v>15</v>
      </c>
      <c r="F161" s="17"/>
      <c r="G161" s="17"/>
      <c r="H161" s="17">
        <v>10044</v>
      </c>
      <c r="I161" s="17"/>
    </row>
    <row r="162" spans="1:9" ht="21" customHeight="1" x14ac:dyDescent="0.35">
      <c r="A162" s="14"/>
      <c r="B162" s="81" t="str">
        <f t="shared" si="2"/>
        <v>Unitaire</v>
      </c>
      <c r="C162" s="15" t="s">
        <v>13</v>
      </c>
      <c r="D162" s="18" t="s">
        <v>154</v>
      </c>
      <c r="E162" s="16" t="s">
        <v>15</v>
      </c>
      <c r="F162" s="17"/>
      <c r="G162" s="17"/>
      <c r="H162" s="17">
        <v>4608</v>
      </c>
      <c r="I162" s="17"/>
    </row>
    <row r="163" spans="1:9" ht="21" customHeight="1" x14ac:dyDescent="0.35">
      <c r="A163" s="14"/>
      <c r="B163" s="81" t="str">
        <f t="shared" si="2"/>
        <v>Unitaire</v>
      </c>
      <c r="C163" s="15" t="s">
        <v>13</v>
      </c>
      <c r="D163" s="18" t="s">
        <v>155</v>
      </c>
      <c r="E163" s="16" t="s">
        <v>15</v>
      </c>
      <c r="F163" s="17"/>
      <c r="G163" s="17"/>
      <c r="H163" s="17">
        <v>3968</v>
      </c>
      <c r="I163" s="17"/>
    </row>
    <row r="164" spans="1:9" ht="21" customHeight="1" x14ac:dyDescent="0.35">
      <c r="A164" s="14"/>
      <c r="B164" s="81" t="str">
        <f t="shared" si="2"/>
        <v>Unitaire</v>
      </c>
      <c r="C164" s="15" t="s">
        <v>13</v>
      </c>
      <c r="D164" s="18" t="s">
        <v>156</v>
      </c>
      <c r="E164" s="16" t="s">
        <v>15</v>
      </c>
      <c r="F164" s="17"/>
      <c r="G164" s="17"/>
      <c r="H164" s="17">
        <v>3200</v>
      </c>
      <c r="I164" s="17"/>
    </row>
    <row r="165" spans="1:9" ht="21" customHeight="1" x14ac:dyDescent="0.35">
      <c r="A165" s="14"/>
      <c r="B165" s="81" t="str">
        <f t="shared" si="2"/>
        <v>Unitaire</v>
      </c>
      <c r="C165" s="15" t="s">
        <v>13</v>
      </c>
      <c r="D165" s="18" t="s">
        <v>157</v>
      </c>
      <c r="E165" s="16" t="s">
        <v>15</v>
      </c>
      <c r="F165" s="17"/>
      <c r="G165" s="17"/>
      <c r="H165" s="17">
        <v>40000</v>
      </c>
      <c r="I165" s="17"/>
    </row>
    <row r="166" spans="1:9" ht="11.25" customHeight="1" x14ac:dyDescent="0.35">
      <c r="A166" s="19"/>
      <c r="B166" s="20" t="str">
        <f t="shared" si="2"/>
        <v/>
      </c>
      <c r="C166" s="20"/>
      <c r="D166" s="20" t="str">
        <f>CONCATENATE("Sous-Total : ",A155," - ",D155)</f>
        <v>Sous-Total :  - Tableaux généraux</v>
      </c>
      <c r="E166" s="19"/>
      <c r="F166" s="21"/>
      <c r="G166" s="21"/>
      <c r="H166" s="22"/>
      <c r="I166" s="23">
        <v>0</v>
      </c>
    </row>
    <row r="167" spans="1:9" ht="11.25" customHeight="1" x14ac:dyDescent="0.35">
      <c r="A167" s="8"/>
      <c r="B167" s="82" t="str">
        <f t="shared" si="2"/>
        <v>Surfacique</v>
      </c>
      <c r="C167" s="9" t="s">
        <v>10</v>
      </c>
      <c r="D167" s="9" t="s">
        <v>158</v>
      </c>
      <c r="E167" s="10" t="s">
        <v>12</v>
      </c>
      <c r="F167" s="11"/>
      <c r="G167" s="11"/>
      <c r="H167" s="12">
        <v>1.4</v>
      </c>
      <c r="I167" s="13"/>
    </row>
    <row r="168" spans="1:9" ht="15" customHeight="1" x14ac:dyDescent="0.35">
      <c r="A168" s="14"/>
      <c r="B168" s="81" t="str">
        <f t="shared" si="2"/>
        <v>Unitaire</v>
      </c>
      <c r="C168" s="15" t="s">
        <v>13</v>
      </c>
      <c r="D168" s="18" t="s">
        <v>159</v>
      </c>
      <c r="E168" s="16" t="s">
        <v>15</v>
      </c>
      <c r="F168" s="17"/>
      <c r="G168" s="17"/>
      <c r="H168" s="17"/>
      <c r="I168" s="17"/>
    </row>
    <row r="169" spans="1:9" ht="11.25" customHeight="1" x14ac:dyDescent="0.35">
      <c r="A169" s="19"/>
      <c r="B169" s="20" t="str">
        <f t="shared" si="2"/>
        <v/>
      </c>
      <c r="C169" s="20"/>
      <c r="D169" s="20" t="str">
        <f>CONCATENATE("Sous-Total : ",A167," - ",D167)</f>
        <v>Sous-Total :  - Tableau générale de sécurité (TGS)</v>
      </c>
      <c r="E169" s="19"/>
      <c r="F169" s="21"/>
      <c r="G169" s="21"/>
      <c r="H169" s="22"/>
      <c r="I169" s="23">
        <v>0</v>
      </c>
    </row>
    <row r="170" spans="1:9" ht="11.25" customHeight="1" x14ac:dyDescent="0.35">
      <c r="A170" s="8"/>
      <c r="B170" s="82" t="str">
        <f t="shared" si="2"/>
        <v>Surfacique</v>
      </c>
      <c r="C170" s="9" t="s">
        <v>10</v>
      </c>
      <c r="D170" s="9" t="s">
        <v>160</v>
      </c>
      <c r="E170" s="10" t="s">
        <v>12</v>
      </c>
      <c r="F170" s="11"/>
      <c r="G170" s="11"/>
      <c r="H170" s="12">
        <v>10.8</v>
      </c>
      <c r="I170" s="13"/>
    </row>
    <row r="171" spans="1:9" ht="14.25" customHeight="1" x14ac:dyDescent="0.35">
      <c r="A171" s="14"/>
      <c r="B171" s="81" t="str">
        <f t="shared" si="2"/>
        <v>Unitaire</v>
      </c>
      <c r="C171" s="15" t="s">
        <v>13</v>
      </c>
      <c r="D171" s="18" t="s">
        <v>161</v>
      </c>
      <c r="E171" s="16" t="s">
        <v>15</v>
      </c>
      <c r="F171" s="17"/>
      <c r="G171" s="17"/>
      <c r="H171" s="17">
        <v>5500</v>
      </c>
      <c r="I171" s="17"/>
    </row>
    <row r="172" spans="1:9" ht="14.25" customHeight="1" x14ac:dyDescent="0.35">
      <c r="A172" s="14"/>
      <c r="B172" s="81" t="str">
        <f t="shared" si="2"/>
        <v>Unitaire</v>
      </c>
      <c r="C172" s="15" t="s">
        <v>13</v>
      </c>
      <c r="D172" s="18" t="s">
        <v>162</v>
      </c>
      <c r="E172" s="16" t="s">
        <v>15</v>
      </c>
      <c r="F172" s="17"/>
      <c r="G172" s="17"/>
      <c r="H172" s="17">
        <v>4500</v>
      </c>
      <c r="I172" s="17"/>
    </row>
    <row r="173" spans="1:9" ht="14.25" customHeight="1" x14ac:dyDescent="0.35">
      <c r="A173" s="14"/>
      <c r="B173" s="81" t="str">
        <f t="shared" si="2"/>
        <v>Unitaire</v>
      </c>
      <c r="C173" s="15" t="s">
        <v>13</v>
      </c>
      <c r="D173" s="18" t="s">
        <v>163</v>
      </c>
      <c r="E173" s="16" t="s">
        <v>15</v>
      </c>
      <c r="F173" s="17"/>
      <c r="G173" s="17"/>
      <c r="H173" s="17">
        <v>1300</v>
      </c>
      <c r="I173" s="17"/>
    </row>
    <row r="174" spans="1:9" ht="14.25" customHeight="1" x14ac:dyDescent="0.35">
      <c r="A174" s="14"/>
      <c r="B174" s="81" t="str">
        <f t="shared" si="2"/>
        <v>Unitaire</v>
      </c>
      <c r="C174" s="15" t="s">
        <v>13</v>
      </c>
      <c r="D174" s="18" t="s">
        <v>164</v>
      </c>
      <c r="E174" s="16" t="s">
        <v>15</v>
      </c>
      <c r="F174" s="17"/>
      <c r="G174" s="17"/>
      <c r="H174" s="17">
        <v>300</v>
      </c>
      <c r="I174" s="17"/>
    </row>
    <row r="175" spans="1:9" ht="14.25" customHeight="1" x14ac:dyDescent="0.35">
      <c r="A175" s="14"/>
      <c r="B175" s="81" t="str">
        <f t="shared" si="2"/>
        <v>Unitaire</v>
      </c>
      <c r="C175" s="15" t="s">
        <v>13</v>
      </c>
      <c r="D175" s="18" t="s">
        <v>165</v>
      </c>
      <c r="E175" s="16" t="s">
        <v>15</v>
      </c>
      <c r="F175" s="17"/>
      <c r="G175" s="17"/>
      <c r="H175" s="17">
        <v>5500</v>
      </c>
      <c r="I175" s="17"/>
    </row>
    <row r="176" spans="1:9" ht="14.25" customHeight="1" x14ac:dyDescent="0.35">
      <c r="A176" s="14"/>
      <c r="B176" s="81" t="str">
        <f t="shared" si="2"/>
        <v>Unitaire</v>
      </c>
      <c r="C176" s="15" t="s">
        <v>13</v>
      </c>
      <c r="D176" s="18" t="s">
        <v>166</v>
      </c>
      <c r="E176" s="16" t="s">
        <v>15</v>
      </c>
      <c r="F176" s="17"/>
      <c r="G176" s="17"/>
      <c r="H176" s="17"/>
      <c r="I176" s="17"/>
    </row>
    <row r="177" spans="1:9" ht="14.25" customHeight="1" x14ac:dyDescent="0.35">
      <c r="A177" s="14"/>
      <c r="B177" s="81" t="str">
        <f t="shared" si="2"/>
        <v>Unitaire</v>
      </c>
      <c r="C177" s="15" t="s">
        <v>13</v>
      </c>
      <c r="D177" s="18" t="s">
        <v>167</v>
      </c>
      <c r="E177" s="16" t="s">
        <v>15</v>
      </c>
      <c r="F177" s="17"/>
      <c r="G177" s="17"/>
      <c r="H177" s="17"/>
      <c r="I177" s="17"/>
    </row>
    <row r="178" spans="1:9" ht="14.25" customHeight="1" x14ac:dyDescent="0.35">
      <c r="A178" s="14"/>
      <c r="B178" s="81" t="str">
        <f t="shared" si="2"/>
        <v>Unitaire</v>
      </c>
      <c r="C178" s="15" t="s">
        <v>13</v>
      </c>
      <c r="D178" s="18" t="s">
        <v>168</v>
      </c>
      <c r="E178" s="16" t="s">
        <v>15</v>
      </c>
      <c r="F178" s="17"/>
      <c r="G178" s="17"/>
      <c r="H178" s="17"/>
      <c r="I178" s="17"/>
    </row>
    <row r="179" spans="1:9" ht="14.25" customHeight="1" x14ac:dyDescent="0.35">
      <c r="A179" s="14"/>
      <c r="B179" s="81" t="str">
        <f t="shared" si="2"/>
        <v>Unitaire</v>
      </c>
      <c r="C179" s="15" t="s">
        <v>13</v>
      </c>
      <c r="D179" s="18" t="s">
        <v>169</v>
      </c>
      <c r="E179" s="16" t="s">
        <v>15</v>
      </c>
      <c r="F179" s="17"/>
      <c r="G179" s="17"/>
      <c r="H179" s="17"/>
      <c r="I179" s="17"/>
    </row>
    <row r="180" spans="1:9" ht="14.25" customHeight="1" x14ac:dyDescent="0.35">
      <c r="A180" s="14"/>
      <c r="B180" s="81" t="str">
        <f t="shared" si="2"/>
        <v>Unitaire</v>
      </c>
      <c r="C180" s="15" t="s">
        <v>13</v>
      </c>
      <c r="D180" s="18" t="s">
        <v>170</v>
      </c>
      <c r="E180" s="16" t="s">
        <v>15</v>
      </c>
      <c r="F180" s="17"/>
      <c r="G180" s="17"/>
      <c r="H180" s="17"/>
      <c r="I180" s="17"/>
    </row>
    <row r="181" spans="1:9" ht="14.25" customHeight="1" x14ac:dyDescent="0.35">
      <c r="A181" s="14"/>
      <c r="B181" s="81" t="str">
        <f t="shared" si="2"/>
        <v>Surfacique</v>
      </c>
      <c r="C181" s="15" t="s">
        <v>13</v>
      </c>
      <c r="D181" s="18" t="s">
        <v>171</v>
      </c>
      <c r="E181" s="26" t="s">
        <v>12</v>
      </c>
      <c r="F181" s="17"/>
      <c r="G181" s="17"/>
      <c r="H181" s="17">
        <v>3.6</v>
      </c>
      <c r="I181" s="17"/>
    </row>
    <row r="182" spans="1:9" ht="35.25" customHeight="1" x14ac:dyDescent="0.35">
      <c r="A182" s="19"/>
      <c r="B182" s="32" t="str">
        <f t="shared" si="2"/>
        <v/>
      </c>
      <c r="C182" s="32"/>
      <c r="D182" s="32" t="str">
        <f>CONCATENATE("Sous-Total : ",A170," - ",D170)</f>
        <v>Sous-Total :  - Tableau divisionnaire de distribution Normal et ondulé (TDN - TDO)</v>
      </c>
      <c r="E182" s="19"/>
      <c r="F182" s="21"/>
      <c r="G182" s="21"/>
      <c r="H182" s="22"/>
      <c r="I182" s="23">
        <v>0</v>
      </c>
    </row>
    <row r="183" spans="1:9" ht="11.25" customHeight="1" x14ac:dyDescent="0.35">
      <c r="A183" s="8"/>
      <c r="B183" s="82" t="str">
        <f t="shared" si="2"/>
        <v>Surfacique</v>
      </c>
      <c r="C183" s="9" t="s">
        <v>10</v>
      </c>
      <c r="D183" s="9" t="s">
        <v>514</v>
      </c>
      <c r="E183" s="10" t="s">
        <v>12</v>
      </c>
      <c r="F183" s="11"/>
      <c r="G183" s="11"/>
      <c r="H183" s="12">
        <v>12</v>
      </c>
      <c r="I183" s="13"/>
    </row>
    <row r="184" spans="1:9" ht="23.25" customHeight="1" x14ac:dyDescent="0.35">
      <c r="A184" s="14"/>
      <c r="B184" s="81" t="str">
        <f t="shared" si="2"/>
        <v>Surfacique</v>
      </c>
      <c r="C184" s="15" t="s">
        <v>10</v>
      </c>
      <c r="D184" s="18" t="s">
        <v>524</v>
      </c>
      <c r="E184" s="26" t="s">
        <v>12</v>
      </c>
      <c r="F184" s="17"/>
      <c r="G184" s="17"/>
      <c r="H184" s="17">
        <v>6</v>
      </c>
      <c r="I184" s="17"/>
    </row>
    <row r="185" spans="1:9" ht="23.25" customHeight="1" x14ac:dyDescent="0.35">
      <c r="A185" s="14"/>
      <c r="B185" s="81" t="str">
        <f t="shared" si="2"/>
        <v>Surfacique</v>
      </c>
      <c r="C185" s="15" t="s">
        <v>13</v>
      </c>
      <c r="D185" s="18" t="s">
        <v>172</v>
      </c>
      <c r="E185" s="26" t="s">
        <v>12</v>
      </c>
      <c r="F185" s="17"/>
      <c r="G185" s="17"/>
      <c r="H185" s="17">
        <v>12</v>
      </c>
      <c r="I185" s="17"/>
    </row>
    <row r="186" spans="1:9" ht="23.25" customHeight="1" x14ac:dyDescent="0.35">
      <c r="A186" s="14"/>
      <c r="B186" s="81" t="str">
        <f t="shared" si="2"/>
        <v>Surfacique</v>
      </c>
      <c r="C186" s="15" t="s">
        <v>13</v>
      </c>
      <c r="D186" s="18" t="s">
        <v>525</v>
      </c>
      <c r="E186" s="26" t="s">
        <v>12</v>
      </c>
      <c r="F186" s="17"/>
      <c r="G186" s="17"/>
      <c r="H186" s="17">
        <v>10</v>
      </c>
      <c r="I186" s="17"/>
    </row>
    <row r="187" spans="1:9" ht="23.25" customHeight="1" x14ac:dyDescent="0.35">
      <c r="A187" s="14"/>
      <c r="B187" s="81" t="str">
        <f t="shared" si="2"/>
        <v>Surfacique</v>
      </c>
      <c r="C187" s="15" t="s">
        <v>13</v>
      </c>
      <c r="D187" s="18" t="s">
        <v>173</v>
      </c>
      <c r="E187" s="26" t="s">
        <v>12</v>
      </c>
      <c r="F187" s="17"/>
      <c r="G187" s="17"/>
      <c r="H187" s="17">
        <v>4</v>
      </c>
      <c r="I187" s="17"/>
    </row>
    <row r="188" spans="1:9" ht="23.25" customHeight="1" x14ac:dyDescent="0.35">
      <c r="A188" s="14"/>
      <c r="B188" s="81" t="str">
        <f t="shared" si="2"/>
        <v>Surfacique</v>
      </c>
      <c r="C188" s="15" t="s">
        <v>13</v>
      </c>
      <c r="D188" s="18" t="s">
        <v>174</v>
      </c>
      <c r="E188" s="26" t="s">
        <v>12</v>
      </c>
      <c r="F188" s="17"/>
      <c r="G188" s="17"/>
      <c r="H188" s="17">
        <v>3.8</v>
      </c>
      <c r="I188" s="17"/>
    </row>
    <row r="189" spans="1:9" ht="23.25" customHeight="1" x14ac:dyDescent="0.35">
      <c r="A189" s="14"/>
      <c r="B189" s="81" t="str">
        <f t="shared" si="2"/>
        <v>Unitaire</v>
      </c>
      <c r="C189" s="15" t="s">
        <v>13</v>
      </c>
      <c r="D189" s="18" t="s">
        <v>175</v>
      </c>
      <c r="E189" s="16" t="s">
        <v>25</v>
      </c>
      <c r="F189" s="17"/>
      <c r="G189" s="17"/>
      <c r="H189" s="17">
        <v>25</v>
      </c>
      <c r="I189" s="17"/>
    </row>
    <row r="190" spans="1:9" ht="23.25" customHeight="1" x14ac:dyDescent="0.35">
      <c r="A190" s="14"/>
      <c r="B190" s="81" t="str">
        <f t="shared" si="2"/>
        <v>Unitaire</v>
      </c>
      <c r="C190" s="15" t="s">
        <v>13</v>
      </c>
      <c r="D190" s="18" t="s">
        <v>176</v>
      </c>
      <c r="E190" s="16" t="s">
        <v>25</v>
      </c>
      <c r="F190" s="17"/>
      <c r="G190" s="17"/>
      <c r="H190" s="17">
        <v>21</v>
      </c>
      <c r="I190" s="17"/>
    </row>
    <row r="191" spans="1:9" ht="23.25" customHeight="1" x14ac:dyDescent="0.35">
      <c r="A191" s="14"/>
      <c r="B191" s="81" t="str">
        <f t="shared" si="2"/>
        <v>Unitaire</v>
      </c>
      <c r="C191" s="15" t="s">
        <v>13</v>
      </c>
      <c r="D191" s="18" t="s">
        <v>177</v>
      </c>
      <c r="E191" s="16" t="s">
        <v>25</v>
      </c>
      <c r="F191" s="17"/>
      <c r="G191" s="17"/>
      <c r="H191" s="17">
        <v>19</v>
      </c>
      <c r="I191" s="17"/>
    </row>
    <row r="192" spans="1:9" ht="23.25" customHeight="1" x14ac:dyDescent="0.35">
      <c r="A192" s="14"/>
      <c r="B192" s="81" t="str">
        <f t="shared" si="2"/>
        <v>Unitaire</v>
      </c>
      <c r="C192" s="15" t="s">
        <v>13</v>
      </c>
      <c r="D192" s="18" t="s">
        <v>178</v>
      </c>
      <c r="E192" s="16" t="s">
        <v>25</v>
      </c>
      <c r="F192" s="17"/>
      <c r="G192" s="17"/>
      <c r="H192" s="17">
        <v>15</v>
      </c>
      <c r="I192" s="17"/>
    </row>
    <row r="193" spans="1:9" ht="23.25" customHeight="1" x14ac:dyDescent="0.35">
      <c r="A193" s="14"/>
      <c r="B193" s="81" t="str">
        <f t="shared" si="2"/>
        <v>Unitaire</v>
      </c>
      <c r="C193" s="15" t="s">
        <v>13</v>
      </c>
      <c r="D193" s="18" t="s">
        <v>179</v>
      </c>
      <c r="E193" s="16" t="s">
        <v>25</v>
      </c>
      <c r="F193" s="17"/>
      <c r="G193" s="17"/>
      <c r="H193" s="17">
        <v>13</v>
      </c>
      <c r="I193" s="17"/>
    </row>
    <row r="194" spans="1:9" ht="23.25" customHeight="1" x14ac:dyDescent="0.35">
      <c r="A194" s="14"/>
      <c r="B194" s="81" t="str">
        <f t="shared" si="2"/>
        <v>Unitaire</v>
      </c>
      <c r="C194" s="15" t="s">
        <v>13</v>
      </c>
      <c r="D194" s="18" t="s">
        <v>180</v>
      </c>
      <c r="E194" s="16" t="s">
        <v>25</v>
      </c>
      <c r="F194" s="17"/>
      <c r="G194" s="17"/>
      <c r="H194" s="17"/>
      <c r="I194" s="17"/>
    </row>
    <row r="195" spans="1:9" ht="23.25" customHeight="1" x14ac:dyDescent="0.35">
      <c r="A195" s="14"/>
      <c r="B195" s="81" t="str">
        <f t="shared" ref="B195:B258" si="3">IF(E195="","",IF(E195="m²","Surfacique","Unitaire"))</f>
        <v>Unitaire</v>
      </c>
      <c r="C195" s="15" t="s">
        <v>13</v>
      </c>
      <c r="D195" s="18" t="s">
        <v>181</v>
      </c>
      <c r="E195" s="16" t="s">
        <v>25</v>
      </c>
      <c r="F195" s="17"/>
      <c r="G195" s="17"/>
      <c r="H195" s="17"/>
      <c r="I195" s="17"/>
    </row>
    <row r="196" spans="1:9" ht="24" customHeight="1" x14ac:dyDescent="0.35">
      <c r="A196" s="14"/>
      <c r="B196" s="81" t="str">
        <f t="shared" si="3"/>
        <v>Unitaire</v>
      </c>
      <c r="C196" s="15" t="s">
        <v>13</v>
      </c>
      <c r="D196" s="18" t="s">
        <v>182</v>
      </c>
      <c r="E196" s="16" t="s">
        <v>25</v>
      </c>
      <c r="F196" s="17"/>
      <c r="G196" s="17"/>
      <c r="H196" s="17"/>
      <c r="I196" s="17"/>
    </row>
    <row r="197" spans="1:9" ht="24" customHeight="1" x14ac:dyDescent="0.35">
      <c r="A197" s="14"/>
      <c r="B197" s="81" t="str">
        <f t="shared" si="3"/>
        <v>Unitaire</v>
      </c>
      <c r="C197" s="15" t="s">
        <v>13</v>
      </c>
      <c r="D197" s="18" t="s">
        <v>183</v>
      </c>
      <c r="E197" s="16" t="s">
        <v>25</v>
      </c>
      <c r="F197" s="17"/>
      <c r="G197" s="17"/>
      <c r="H197" s="17">
        <v>15</v>
      </c>
      <c r="I197" s="17"/>
    </row>
    <row r="198" spans="1:9" ht="24" customHeight="1" x14ac:dyDescent="0.35">
      <c r="A198" s="14"/>
      <c r="B198" s="81" t="str">
        <f t="shared" si="3"/>
        <v>Unitaire</v>
      </c>
      <c r="C198" s="15" t="s">
        <v>13</v>
      </c>
      <c r="D198" s="18" t="s">
        <v>184</v>
      </c>
      <c r="E198" s="16" t="s">
        <v>25</v>
      </c>
      <c r="F198" s="17"/>
      <c r="G198" s="17"/>
      <c r="H198" s="17">
        <v>10</v>
      </c>
      <c r="I198" s="17"/>
    </row>
    <row r="199" spans="1:9" ht="24" customHeight="1" x14ac:dyDescent="0.35">
      <c r="A199" s="14"/>
      <c r="B199" s="81" t="str">
        <f t="shared" si="3"/>
        <v>Unitaire</v>
      </c>
      <c r="C199" s="15" t="s">
        <v>13</v>
      </c>
      <c r="D199" s="18" t="s">
        <v>526</v>
      </c>
      <c r="E199" s="16" t="s">
        <v>15</v>
      </c>
      <c r="F199" s="17"/>
      <c r="G199" s="17"/>
      <c r="H199" s="17">
        <v>1500</v>
      </c>
      <c r="I199" s="17"/>
    </row>
    <row r="200" spans="1:9" ht="24" customHeight="1" x14ac:dyDescent="0.35">
      <c r="A200" s="14"/>
      <c r="B200" s="81" t="str">
        <f t="shared" si="3"/>
        <v>Unitaire</v>
      </c>
      <c r="C200" s="15" t="s">
        <v>13</v>
      </c>
      <c r="D200" s="18" t="s">
        <v>185</v>
      </c>
      <c r="E200" s="16" t="s">
        <v>25</v>
      </c>
      <c r="F200" s="17"/>
      <c r="G200" s="17"/>
      <c r="H200" s="17">
        <v>5</v>
      </c>
      <c r="I200" s="17"/>
    </row>
    <row r="201" spans="1:9" ht="24" customHeight="1" x14ac:dyDescent="0.35">
      <c r="A201" s="14"/>
      <c r="B201" s="18" t="str">
        <f t="shared" si="3"/>
        <v>Unitaire</v>
      </c>
      <c r="C201" s="15" t="s">
        <v>13</v>
      </c>
      <c r="D201" s="18" t="s">
        <v>186</v>
      </c>
      <c r="E201" s="16" t="s">
        <v>18</v>
      </c>
      <c r="F201" s="17"/>
      <c r="G201" s="17"/>
      <c r="H201" s="17"/>
      <c r="I201" s="17"/>
    </row>
    <row r="202" spans="1:9" ht="11.25" customHeight="1" x14ac:dyDescent="0.35">
      <c r="A202" s="19"/>
      <c r="B202" s="20" t="str">
        <f t="shared" si="3"/>
        <v/>
      </c>
      <c r="C202" s="20"/>
      <c r="D202" s="20" t="str">
        <f>CONCATENATE("Sous-Total : ",A183," - ",D183)</f>
        <v>Sous-Total :  - Chemins de câbles</v>
      </c>
      <c r="E202" s="19"/>
      <c r="F202" s="21"/>
      <c r="G202" s="21"/>
      <c r="H202" s="22"/>
      <c r="I202" s="23">
        <v>0</v>
      </c>
    </row>
    <row r="203" spans="1:9" ht="11.25" customHeight="1" x14ac:dyDescent="0.35">
      <c r="A203" s="8"/>
      <c r="B203" s="82" t="str">
        <f t="shared" si="3"/>
        <v>Surfacique</v>
      </c>
      <c r="C203" s="9" t="s">
        <v>10</v>
      </c>
      <c r="D203" s="9" t="s">
        <v>187</v>
      </c>
      <c r="E203" s="10" t="s">
        <v>12</v>
      </c>
      <c r="F203" s="11"/>
      <c r="G203" s="11"/>
      <c r="H203" s="12"/>
      <c r="I203" s="13"/>
    </row>
    <row r="204" spans="1:9" ht="15" customHeight="1" x14ac:dyDescent="0.35">
      <c r="A204" s="14"/>
      <c r="B204" s="81" t="str">
        <f t="shared" si="3"/>
        <v>Surfacique</v>
      </c>
      <c r="C204" s="15" t="s">
        <v>13</v>
      </c>
      <c r="D204" s="33" t="s">
        <v>188</v>
      </c>
      <c r="E204" s="34" t="s">
        <v>12</v>
      </c>
      <c r="F204" s="17"/>
      <c r="G204" s="17"/>
      <c r="H204" s="17">
        <v>15</v>
      </c>
      <c r="I204" s="17"/>
    </row>
    <row r="205" spans="1:9" ht="15" customHeight="1" x14ac:dyDescent="0.35">
      <c r="A205" s="14"/>
      <c r="B205" s="81" t="str">
        <f t="shared" si="3"/>
        <v>Surfacique</v>
      </c>
      <c r="C205" s="15" t="s">
        <v>13</v>
      </c>
      <c r="D205" s="33" t="s">
        <v>189</v>
      </c>
      <c r="E205" s="34" t="s">
        <v>12</v>
      </c>
      <c r="F205" s="17"/>
      <c r="G205" s="17"/>
      <c r="H205" s="17">
        <v>6.24</v>
      </c>
      <c r="I205" s="17"/>
    </row>
    <row r="206" spans="1:9" ht="15" customHeight="1" x14ac:dyDescent="0.35">
      <c r="A206" s="14"/>
      <c r="B206" s="81" t="str">
        <f t="shared" si="3"/>
        <v>Surfacique</v>
      </c>
      <c r="C206" s="15" t="s">
        <v>13</v>
      </c>
      <c r="D206" s="33" t="s">
        <v>190</v>
      </c>
      <c r="E206" s="34" t="s">
        <v>12</v>
      </c>
      <c r="F206" s="17"/>
      <c r="G206" s="17"/>
      <c r="H206" s="17">
        <v>14</v>
      </c>
      <c r="I206" s="17"/>
    </row>
    <row r="207" spans="1:9" ht="15" customHeight="1" x14ac:dyDescent="0.35">
      <c r="A207" s="14"/>
      <c r="B207" s="81" t="str">
        <f t="shared" si="3"/>
        <v>Surfacique</v>
      </c>
      <c r="C207" s="15" t="s">
        <v>13</v>
      </c>
      <c r="D207" s="33" t="s">
        <v>191</v>
      </c>
      <c r="E207" s="34" t="s">
        <v>12</v>
      </c>
      <c r="F207" s="17"/>
      <c r="G207" s="17"/>
      <c r="H207" s="17">
        <v>2.04</v>
      </c>
      <c r="I207" s="17"/>
    </row>
    <row r="208" spans="1:9" ht="15" customHeight="1" x14ac:dyDescent="0.35">
      <c r="A208" s="14"/>
      <c r="B208" s="81" t="str">
        <f t="shared" si="3"/>
        <v>Surfacique</v>
      </c>
      <c r="C208" s="15" t="s">
        <v>13</v>
      </c>
      <c r="D208" s="33" t="s">
        <v>527</v>
      </c>
      <c r="E208" s="34" t="s">
        <v>12</v>
      </c>
      <c r="F208" s="17"/>
      <c r="G208" s="17"/>
      <c r="H208" s="17">
        <v>6</v>
      </c>
      <c r="I208" s="17"/>
    </row>
    <row r="209" spans="1:9" ht="15" customHeight="1" x14ac:dyDescent="0.35">
      <c r="A209" s="14"/>
      <c r="B209" s="81" t="str">
        <f t="shared" si="3"/>
        <v>Surfacique</v>
      </c>
      <c r="C209" s="15" t="s">
        <v>13</v>
      </c>
      <c r="D209" s="33" t="s">
        <v>192</v>
      </c>
      <c r="E209" s="34" t="s">
        <v>12</v>
      </c>
      <c r="F209" s="17"/>
      <c r="G209" s="17"/>
      <c r="H209" s="17">
        <v>2.88</v>
      </c>
      <c r="I209" s="17"/>
    </row>
    <row r="210" spans="1:9" ht="15" customHeight="1" x14ac:dyDescent="0.35">
      <c r="A210" s="14"/>
      <c r="B210" s="81" t="str">
        <f t="shared" si="3"/>
        <v>Surfacique</v>
      </c>
      <c r="C210" s="15" t="s">
        <v>13</v>
      </c>
      <c r="D210" s="33" t="s">
        <v>193</v>
      </c>
      <c r="E210" s="34" t="s">
        <v>12</v>
      </c>
      <c r="F210" s="17"/>
      <c r="G210" s="17"/>
      <c r="H210" s="17">
        <v>21.599999999999998</v>
      </c>
      <c r="I210" s="17"/>
    </row>
    <row r="211" spans="1:9" ht="15" customHeight="1" x14ac:dyDescent="0.35">
      <c r="A211" s="14"/>
      <c r="B211" s="81" t="str">
        <f t="shared" si="3"/>
        <v>Surfacique</v>
      </c>
      <c r="C211" s="15" t="s">
        <v>13</v>
      </c>
      <c r="D211" s="33" t="s">
        <v>194</v>
      </c>
      <c r="E211" s="34" t="s">
        <v>12</v>
      </c>
      <c r="F211" s="17"/>
      <c r="G211" s="17"/>
      <c r="H211" s="17">
        <v>8.5</v>
      </c>
      <c r="I211" s="17"/>
    </row>
    <row r="212" spans="1:9" ht="15" customHeight="1" x14ac:dyDescent="0.35">
      <c r="A212" s="14"/>
      <c r="B212" s="81" t="str">
        <f t="shared" si="3"/>
        <v>Surfacique</v>
      </c>
      <c r="C212" s="15" t="s">
        <v>13</v>
      </c>
      <c r="D212" s="33" t="s">
        <v>528</v>
      </c>
      <c r="E212" s="34" t="s">
        <v>12</v>
      </c>
      <c r="F212" s="17"/>
      <c r="G212" s="17"/>
      <c r="H212" s="17">
        <v>5</v>
      </c>
      <c r="I212" s="17"/>
    </row>
    <row r="213" spans="1:9" ht="15" customHeight="1" x14ac:dyDescent="0.35">
      <c r="A213" s="14"/>
      <c r="B213" s="81" t="str">
        <f t="shared" si="3"/>
        <v>Surfacique</v>
      </c>
      <c r="C213" s="15" t="s">
        <v>13</v>
      </c>
      <c r="D213" s="33" t="s">
        <v>195</v>
      </c>
      <c r="E213" s="34" t="s">
        <v>12</v>
      </c>
      <c r="F213" s="17"/>
      <c r="G213" s="17"/>
      <c r="H213" s="17">
        <v>6.9</v>
      </c>
      <c r="I213" s="17"/>
    </row>
    <row r="214" spans="1:9" ht="15" customHeight="1" x14ac:dyDescent="0.35">
      <c r="A214" s="14"/>
      <c r="B214" s="81" t="str">
        <f t="shared" si="3"/>
        <v>Unitaire</v>
      </c>
      <c r="C214" s="15" t="s">
        <v>13</v>
      </c>
      <c r="D214" s="33" t="s">
        <v>196</v>
      </c>
      <c r="E214" s="35" t="s">
        <v>15</v>
      </c>
      <c r="F214" s="17"/>
      <c r="G214" s="17"/>
      <c r="H214" s="17"/>
      <c r="I214" s="17"/>
    </row>
    <row r="215" spans="1:9" ht="15" customHeight="1" x14ac:dyDescent="0.35">
      <c r="A215" s="14"/>
      <c r="B215" s="81" t="str">
        <f t="shared" si="3"/>
        <v>Unitaire</v>
      </c>
      <c r="C215" s="15" t="s">
        <v>13</v>
      </c>
      <c r="D215" s="33" t="s">
        <v>197</v>
      </c>
      <c r="E215" s="35" t="s">
        <v>15</v>
      </c>
      <c r="F215" s="17"/>
      <c r="G215" s="17"/>
      <c r="H215" s="17"/>
      <c r="I215" s="17"/>
    </row>
    <row r="216" spans="1:9" ht="15" customHeight="1" x14ac:dyDescent="0.35">
      <c r="A216" s="14"/>
      <c r="B216" s="81" t="str">
        <f t="shared" si="3"/>
        <v>Unitaire</v>
      </c>
      <c r="C216" s="15" t="s">
        <v>13</v>
      </c>
      <c r="D216" s="33" t="s">
        <v>198</v>
      </c>
      <c r="E216" s="35" t="s">
        <v>15</v>
      </c>
      <c r="F216" s="17"/>
      <c r="G216" s="17"/>
      <c r="H216" s="17"/>
      <c r="I216" s="17"/>
    </row>
    <row r="217" spans="1:9" ht="15" customHeight="1" x14ac:dyDescent="0.35">
      <c r="A217" s="14"/>
      <c r="B217" s="81" t="str">
        <f t="shared" si="3"/>
        <v>Unitaire</v>
      </c>
      <c r="C217" s="15" t="s">
        <v>13</v>
      </c>
      <c r="D217" s="33" t="s">
        <v>199</v>
      </c>
      <c r="E217" s="35" t="s">
        <v>15</v>
      </c>
      <c r="F217" s="17"/>
      <c r="G217" s="17"/>
      <c r="H217" s="17"/>
      <c r="I217" s="17"/>
    </row>
    <row r="218" spans="1:9" ht="15" customHeight="1" x14ac:dyDescent="0.35">
      <c r="A218" s="14"/>
      <c r="B218" s="81" t="str">
        <f t="shared" si="3"/>
        <v>Unitaire</v>
      </c>
      <c r="C218" s="15" t="s">
        <v>13</v>
      </c>
      <c r="D218" s="33" t="s">
        <v>200</v>
      </c>
      <c r="E218" s="35" t="s">
        <v>15</v>
      </c>
      <c r="F218" s="17"/>
      <c r="G218" s="17"/>
      <c r="H218" s="17"/>
      <c r="I218" s="17"/>
    </row>
    <row r="219" spans="1:9" ht="15" customHeight="1" x14ac:dyDescent="0.35">
      <c r="A219" s="14"/>
      <c r="B219" s="81" t="str">
        <f t="shared" si="3"/>
        <v>Unitaire</v>
      </c>
      <c r="C219" s="15" t="s">
        <v>13</v>
      </c>
      <c r="D219" s="33" t="s">
        <v>201</v>
      </c>
      <c r="E219" s="35" t="s">
        <v>15</v>
      </c>
      <c r="F219" s="17"/>
      <c r="G219" s="17"/>
      <c r="H219" s="17"/>
      <c r="I219" s="17"/>
    </row>
    <row r="220" spans="1:9" ht="15" customHeight="1" x14ac:dyDescent="0.35">
      <c r="A220" s="14"/>
      <c r="B220" s="81" t="str">
        <f t="shared" si="3"/>
        <v>Unitaire</v>
      </c>
      <c r="C220" s="15" t="s">
        <v>13</v>
      </c>
      <c r="D220" s="33" t="s">
        <v>202</v>
      </c>
      <c r="E220" s="35" t="s">
        <v>15</v>
      </c>
      <c r="F220" s="17"/>
      <c r="G220" s="17"/>
      <c r="H220" s="17"/>
      <c r="I220" s="17"/>
    </row>
    <row r="221" spans="1:9" ht="15" customHeight="1" x14ac:dyDescent="0.35">
      <c r="A221" s="14"/>
      <c r="B221" s="81" t="str">
        <f t="shared" si="3"/>
        <v>Unitaire</v>
      </c>
      <c r="C221" s="15" t="s">
        <v>13</v>
      </c>
      <c r="D221" s="33" t="s">
        <v>203</v>
      </c>
      <c r="E221" s="35" t="s">
        <v>15</v>
      </c>
      <c r="F221" s="17"/>
      <c r="G221" s="17"/>
      <c r="H221" s="17"/>
      <c r="I221" s="17"/>
    </row>
    <row r="222" spans="1:9" ht="15" customHeight="1" x14ac:dyDescent="0.35">
      <c r="A222" s="14"/>
      <c r="B222" s="81" t="str">
        <f t="shared" si="3"/>
        <v>Unitaire</v>
      </c>
      <c r="C222" s="15" t="s">
        <v>13</v>
      </c>
      <c r="D222" s="33" t="s">
        <v>204</v>
      </c>
      <c r="E222" s="35" t="s">
        <v>15</v>
      </c>
      <c r="F222" s="17"/>
      <c r="G222" s="17"/>
      <c r="H222" s="17"/>
      <c r="I222" s="17"/>
    </row>
    <row r="223" spans="1:9" ht="15" customHeight="1" x14ac:dyDescent="0.35">
      <c r="A223" s="14"/>
      <c r="B223" s="81" t="str">
        <f t="shared" si="3"/>
        <v>Unitaire</v>
      </c>
      <c r="C223" s="15" t="s">
        <v>13</v>
      </c>
      <c r="D223" s="33" t="s">
        <v>205</v>
      </c>
      <c r="E223" s="35" t="s">
        <v>15</v>
      </c>
      <c r="F223" s="17"/>
      <c r="G223" s="17"/>
      <c r="H223" s="17"/>
      <c r="I223" s="17"/>
    </row>
    <row r="224" spans="1:9" ht="15" customHeight="1" x14ac:dyDescent="0.35">
      <c r="A224" s="14"/>
      <c r="B224" s="81" t="str">
        <f t="shared" si="3"/>
        <v>Unitaire</v>
      </c>
      <c r="C224" s="15" t="s">
        <v>13</v>
      </c>
      <c r="D224" s="18" t="s">
        <v>206</v>
      </c>
      <c r="E224" s="35" t="s">
        <v>15</v>
      </c>
      <c r="F224" s="17"/>
      <c r="G224" s="17"/>
      <c r="H224" s="17"/>
      <c r="I224" s="17"/>
    </row>
    <row r="225" spans="1:9" ht="15" customHeight="1" x14ac:dyDescent="0.35">
      <c r="A225" s="14"/>
      <c r="B225" s="81" t="str">
        <f t="shared" si="3"/>
        <v>Unitaire</v>
      </c>
      <c r="C225" s="15" t="s">
        <v>13</v>
      </c>
      <c r="D225" s="18" t="s">
        <v>207</v>
      </c>
      <c r="E225" s="35" t="s">
        <v>15</v>
      </c>
      <c r="F225" s="17"/>
      <c r="G225" s="17"/>
      <c r="H225" s="17">
        <v>277</v>
      </c>
      <c r="I225" s="17"/>
    </row>
    <row r="226" spans="1:9" ht="15" customHeight="1" x14ac:dyDescent="0.35">
      <c r="A226" s="14"/>
      <c r="B226" s="81" t="str">
        <f t="shared" si="3"/>
        <v>Unitaire</v>
      </c>
      <c r="C226" s="15" t="s">
        <v>13</v>
      </c>
      <c r="D226" s="18" t="s">
        <v>208</v>
      </c>
      <c r="E226" s="35" t="s">
        <v>15</v>
      </c>
      <c r="F226" s="17"/>
      <c r="G226" s="17"/>
      <c r="H226" s="17"/>
      <c r="I226" s="17"/>
    </row>
    <row r="227" spans="1:9" ht="15" customHeight="1" x14ac:dyDescent="0.35">
      <c r="A227" s="14"/>
      <c r="B227" s="81" t="str">
        <f t="shared" si="3"/>
        <v>Unitaire</v>
      </c>
      <c r="C227" s="15" t="s">
        <v>13</v>
      </c>
      <c r="D227" s="18" t="s">
        <v>209</v>
      </c>
      <c r="E227" s="35" t="s">
        <v>15</v>
      </c>
      <c r="F227" s="17"/>
      <c r="G227" s="17"/>
      <c r="H227" s="17"/>
      <c r="I227" s="17"/>
    </row>
    <row r="228" spans="1:9" ht="15" customHeight="1" x14ac:dyDescent="0.35">
      <c r="A228" s="14"/>
      <c r="B228" s="81" t="str">
        <f t="shared" si="3"/>
        <v>Unitaire</v>
      </c>
      <c r="C228" s="15" t="s">
        <v>13</v>
      </c>
      <c r="D228" s="18" t="s">
        <v>210</v>
      </c>
      <c r="E228" s="35" t="s">
        <v>15</v>
      </c>
      <c r="F228" s="17"/>
      <c r="G228" s="17"/>
      <c r="H228" s="17"/>
      <c r="I228" s="17"/>
    </row>
    <row r="229" spans="1:9" ht="15" customHeight="1" x14ac:dyDescent="0.35">
      <c r="A229" s="14"/>
      <c r="B229" s="81" t="str">
        <f t="shared" si="3"/>
        <v>Unitaire</v>
      </c>
      <c r="C229" s="15" t="s">
        <v>13</v>
      </c>
      <c r="D229" s="18" t="s">
        <v>211</v>
      </c>
      <c r="E229" s="35" t="s">
        <v>15</v>
      </c>
      <c r="F229" s="17"/>
      <c r="G229" s="17"/>
      <c r="H229" s="17"/>
      <c r="I229" s="17"/>
    </row>
    <row r="230" spans="1:9" ht="15" customHeight="1" x14ac:dyDescent="0.35">
      <c r="A230" s="14"/>
      <c r="B230" s="82" t="str">
        <f t="shared" si="3"/>
        <v>Surfacique</v>
      </c>
      <c r="C230" s="15" t="s">
        <v>13</v>
      </c>
      <c r="D230" s="18" t="s">
        <v>212</v>
      </c>
      <c r="E230" s="34" t="s">
        <v>12</v>
      </c>
      <c r="F230" s="17"/>
      <c r="G230" s="17"/>
      <c r="H230" s="17">
        <v>9</v>
      </c>
      <c r="I230" s="17"/>
    </row>
    <row r="231" spans="1:9" ht="11.25" customHeight="1" x14ac:dyDescent="0.35">
      <c r="A231" s="19"/>
      <c r="B231" s="20" t="str">
        <f t="shared" si="3"/>
        <v/>
      </c>
      <c r="C231" s="20"/>
      <c r="D231" s="20" t="str">
        <f>CONCATENATE("Sous-Total : ",A203," - ",D203)</f>
        <v>Sous-Total :  - Appareillage</v>
      </c>
      <c r="E231" s="19"/>
      <c r="F231" s="21"/>
      <c r="G231" s="21"/>
      <c r="H231" s="22"/>
      <c r="I231" s="23">
        <v>0</v>
      </c>
    </row>
    <row r="232" spans="1:9" ht="16.5" customHeight="1" x14ac:dyDescent="0.35">
      <c r="A232" s="8"/>
      <c r="B232" s="82" t="str">
        <f t="shared" si="3"/>
        <v/>
      </c>
      <c r="C232" s="9" t="s">
        <v>10</v>
      </c>
      <c r="D232" s="9" t="s">
        <v>213</v>
      </c>
      <c r="E232" s="27"/>
      <c r="F232" s="11"/>
      <c r="G232" s="11"/>
      <c r="H232" s="12"/>
      <c r="I232" s="13"/>
    </row>
    <row r="233" spans="1:9" ht="16.5" customHeight="1" x14ac:dyDescent="0.35">
      <c r="A233" s="14"/>
      <c r="B233" s="81" t="str">
        <f t="shared" si="3"/>
        <v>Unitaire</v>
      </c>
      <c r="C233" s="15" t="s">
        <v>13</v>
      </c>
      <c r="D233" s="18" t="s">
        <v>214</v>
      </c>
      <c r="E233" s="35" t="s">
        <v>215</v>
      </c>
      <c r="F233" s="17"/>
      <c r="G233" s="17"/>
      <c r="H233" s="17">
        <v>800</v>
      </c>
      <c r="I233" s="17"/>
    </row>
    <row r="234" spans="1:9" ht="11.25" customHeight="1" x14ac:dyDescent="0.35">
      <c r="A234" s="19"/>
      <c r="B234" s="20" t="str">
        <f t="shared" si="3"/>
        <v/>
      </c>
      <c r="C234" s="20"/>
      <c r="D234" s="20" t="str">
        <f>CONCATENATE("Sous-Total : ",A232," - ",D232)</f>
        <v>Sous-Total :  - Gaine tête de lit</v>
      </c>
      <c r="E234" s="19"/>
      <c r="F234" s="21"/>
      <c r="G234" s="21"/>
      <c r="H234" s="22"/>
      <c r="I234" s="23">
        <v>0</v>
      </c>
    </row>
    <row r="235" spans="1:9" ht="16.5" customHeight="1" x14ac:dyDescent="0.35">
      <c r="A235" s="8"/>
      <c r="B235" s="82" t="str">
        <f t="shared" si="3"/>
        <v/>
      </c>
      <c r="C235" s="9" t="s">
        <v>10</v>
      </c>
      <c r="D235" s="9" t="s">
        <v>216</v>
      </c>
      <c r="E235" s="27"/>
      <c r="F235" s="11"/>
      <c r="G235" s="11"/>
      <c r="H235" s="12"/>
      <c r="I235" s="13"/>
    </row>
    <row r="236" spans="1:9" ht="16.5" customHeight="1" x14ac:dyDescent="0.35">
      <c r="A236" s="14"/>
      <c r="B236" s="81" t="str">
        <f t="shared" si="3"/>
        <v>Unitaire</v>
      </c>
      <c r="C236" s="15" t="s">
        <v>13</v>
      </c>
      <c r="D236" s="18" t="s">
        <v>529</v>
      </c>
      <c r="E236" s="35" t="s">
        <v>25</v>
      </c>
      <c r="F236" s="17"/>
      <c r="G236" s="17"/>
      <c r="H236" s="17">
        <v>2100</v>
      </c>
      <c r="I236" s="17"/>
    </row>
    <row r="237" spans="1:9" ht="16.5" customHeight="1" x14ac:dyDescent="0.35">
      <c r="A237" s="14"/>
      <c r="B237" s="81" t="str">
        <f t="shared" si="3"/>
        <v>Unitaire</v>
      </c>
      <c r="C237" s="15" t="s">
        <v>13</v>
      </c>
      <c r="D237" s="18" t="s">
        <v>530</v>
      </c>
      <c r="E237" s="35" t="s">
        <v>25</v>
      </c>
      <c r="F237" s="17"/>
      <c r="G237" s="17"/>
      <c r="H237" s="17">
        <v>542</v>
      </c>
      <c r="I237" s="17"/>
    </row>
    <row r="238" spans="1:9" ht="16.5" customHeight="1" x14ac:dyDescent="0.35">
      <c r="A238" s="14"/>
      <c r="B238" s="81" t="str">
        <f t="shared" si="3"/>
        <v>Unitaire</v>
      </c>
      <c r="C238" s="15" t="s">
        <v>13</v>
      </c>
      <c r="D238" s="18" t="s">
        <v>531</v>
      </c>
      <c r="E238" s="35" t="s">
        <v>25</v>
      </c>
      <c r="F238" s="17"/>
      <c r="G238" s="17"/>
      <c r="H238" s="17">
        <v>243</v>
      </c>
      <c r="I238" s="17"/>
    </row>
    <row r="239" spans="1:9" ht="11.25" customHeight="1" x14ac:dyDescent="0.35">
      <c r="A239" s="19"/>
      <c r="B239" s="20" t="str">
        <f t="shared" si="3"/>
        <v/>
      </c>
      <c r="C239" s="20"/>
      <c r="D239" s="20" t="str">
        <f>CONCATENATE("Sous-Total : ",A235," - ",D235)</f>
        <v>Sous-Total :  - Paillasses</v>
      </c>
      <c r="E239" s="19"/>
      <c r="F239" s="21"/>
      <c r="G239" s="21"/>
      <c r="H239" s="22"/>
      <c r="I239" s="23">
        <v>0</v>
      </c>
    </row>
    <row r="240" spans="1:9" ht="11.25" customHeight="1" x14ac:dyDescent="0.35">
      <c r="A240" s="8"/>
      <c r="B240" s="82" t="str">
        <f t="shared" si="3"/>
        <v>Surfacique</v>
      </c>
      <c r="C240" s="9" t="s">
        <v>10</v>
      </c>
      <c r="D240" s="9" t="s">
        <v>217</v>
      </c>
      <c r="E240" s="10" t="s">
        <v>12</v>
      </c>
      <c r="F240" s="11"/>
      <c r="G240" s="11"/>
      <c r="H240" s="12"/>
      <c r="I240" s="13"/>
    </row>
    <row r="241" spans="1:9" ht="18" customHeight="1" x14ac:dyDescent="0.35">
      <c r="A241" s="14"/>
      <c r="B241" s="81" t="str">
        <f t="shared" si="3"/>
        <v>Surfacique</v>
      </c>
      <c r="C241" s="15" t="s">
        <v>13</v>
      </c>
      <c r="D241" s="18" t="s">
        <v>218</v>
      </c>
      <c r="E241" s="26" t="s">
        <v>12</v>
      </c>
      <c r="F241" s="17"/>
      <c r="G241" s="17"/>
      <c r="H241" s="17">
        <v>35</v>
      </c>
      <c r="I241" s="17"/>
    </row>
    <row r="242" spans="1:9" ht="18" customHeight="1" x14ac:dyDescent="0.35">
      <c r="A242" s="14"/>
      <c r="B242" s="81" t="str">
        <f t="shared" si="3"/>
        <v>Surfacique</v>
      </c>
      <c r="C242" s="15" t="s">
        <v>13</v>
      </c>
      <c r="D242" s="18" t="s">
        <v>219</v>
      </c>
      <c r="E242" s="26" t="s">
        <v>12</v>
      </c>
      <c r="F242" s="17"/>
      <c r="G242" s="17"/>
      <c r="H242" s="17">
        <v>45</v>
      </c>
      <c r="I242" s="17"/>
    </row>
    <row r="243" spans="1:9" ht="18" customHeight="1" x14ac:dyDescent="0.35">
      <c r="A243" s="14"/>
      <c r="B243" s="81" t="str">
        <f t="shared" si="3"/>
        <v>Surfacique</v>
      </c>
      <c r="C243" s="15" t="s">
        <v>13</v>
      </c>
      <c r="D243" s="18" t="s">
        <v>220</v>
      </c>
      <c r="E243" s="26" t="s">
        <v>12</v>
      </c>
      <c r="F243" s="17"/>
      <c r="G243" s="17"/>
      <c r="H243" s="17">
        <v>18</v>
      </c>
      <c r="I243" s="17"/>
    </row>
    <row r="244" spans="1:9" ht="18" customHeight="1" x14ac:dyDescent="0.35">
      <c r="A244" s="14"/>
      <c r="B244" s="81" t="str">
        <f t="shared" si="3"/>
        <v>Unitaire</v>
      </c>
      <c r="C244" s="15" t="s">
        <v>13</v>
      </c>
      <c r="D244" s="18" t="s">
        <v>221</v>
      </c>
      <c r="E244" s="16" t="s">
        <v>15</v>
      </c>
      <c r="F244" s="17"/>
      <c r="G244" s="17"/>
      <c r="H244" s="17">
        <v>3000</v>
      </c>
      <c r="I244" s="17"/>
    </row>
    <row r="245" spans="1:9" ht="18" customHeight="1" x14ac:dyDescent="0.35">
      <c r="A245" s="14"/>
      <c r="B245" s="81" t="str">
        <f t="shared" si="3"/>
        <v>Unitaire</v>
      </c>
      <c r="C245" s="15" t="s">
        <v>13</v>
      </c>
      <c r="D245" s="18" t="s">
        <v>222</v>
      </c>
      <c r="E245" s="16" t="s">
        <v>15</v>
      </c>
      <c r="F245" s="17"/>
      <c r="G245" s="17"/>
      <c r="H245" s="17"/>
      <c r="I245" s="17"/>
    </row>
    <row r="246" spans="1:9" ht="18" customHeight="1" x14ac:dyDescent="0.35">
      <c r="A246" s="14"/>
      <c r="B246" s="18" t="str">
        <f t="shared" si="3"/>
        <v>Unitaire</v>
      </c>
      <c r="C246" s="15" t="s">
        <v>13</v>
      </c>
      <c r="D246" s="18" t="s">
        <v>532</v>
      </c>
      <c r="E246" s="16" t="s">
        <v>15</v>
      </c>
      <c r="F246" s="17"/>
      <c r="G246" s="17"/>
      <c r="H246" s="17"/>
      <c r="I246" s="17"/>
    </row>
    <row r="247" spans="1:9" ht="18" customHeight="1" x14ac:dyDescent="0.35">
      <c r="A247" s="14"/>
      <c r="B247" s="18" t="str">
        <f t="shared" si="3"/>
        <v>Unitaire</v>
      </c>
      <c r="C247" s="15" t="s">
        <v>13</v>
      </c>
      <c r="D247" s="18" t="s">
        <v>223</v>
      </c>
      <c r="E247" s="16" t="s">
        <v>15</v>
      </c>
      <c r="F247" s="17"/>
      <c r="G247" s="17"/>
      <c r="H247" s="17"/>
      <c r="I247" s="17"/>
    </row>
    <row r="248" spans="1:9" ht="18" customHeight="1" x14ac:dyDescent="0.35">
      <c r="A248" s="14"/>
      <c r="B248" s="18" t="str">
        <f t="shared" si="3"/>
        <v>Unitaire</v>
      </c>
      <c r="C248" s="15" t="s">
        <v>13</v>
      </c>
      <c r="D248" s="18" t="s">
        <v>224</v>
      </c>
      <c r="E248" s="16" t="s">
        <v>15</v>
      </c>
      <c r="F248" s="17"/>
      <c r="G248" s="17"/>
      <c r="H248" s="17"/>
      <c r="I248" s="17"/>
    </row>
    <row r="249" spans="1:9" ht="18" customHeight="1" x14ac:dyDescent="0.35">
      <c r="A249" s="14"/>
      <c r="B249" s="18" t="str">
        <f t="shared" si="3"/>
        <v>Unitaire</v>
      </c>
      <c r="C249" s="15" t="s">
        <v>13</v>
      </c>
      <c r="D249" s="18" t="s">
        <v>225</v>
      </c>
      <c r="E249" s="16" t="s">
        <v>15</v>
      </c>
      <c r="F249" s="17"/>
      <c r="G249" s="17"/>
      <c r="H249" s="17"/>
      <c r="I249" s="17"/>
    </row>
    <row r="250" spans="1:9" ht="18" customHeight="1" x14ac:dyDescent="0.35">
      <c r="A250" s="14"/>
      <c r="B250" s="82" t="str">
        <f t="shared" si="3"/>
        <v>Surfacique</v>
      </c>
      <c r="C250" s="15" t="s">
        <v>13</v>
      </c>
      <c r="D250" s="18" t="s">
        <v>226</v>
      </c>
      <c r="E250" s="26" t="s">
        <v>12</v>
      </c>
      <c r="F250" s="17"/>
      <c r="G250" s="17"/>
      <c r="H250" s="17">
        <v>12</v>
      </c>
      <c r="I250" s="17"/>
    </row>
    <row r="251" spans="1:9" ht="18" customHeight="1" x14ac:dyDescent="0.35">
      <c r="A251" s="14"/>
      <c r="B251" s="82" t="str">
        <f t="shared" si="3"/>
        <v>Surfacique</v>
      </c>
      <c r="C251" s="15" t="s">
        <v>13</v>
      </c>
      <c r="D251" s="18" t="s">
        <v>227</v>
      </c>
      <c r="E251" s="26" t="s">
        <v>12</v>
      </c>
      <c r="F251" s="17"/>
      <c r="G251" s="17"/>
      <c r="H251" s="17">
        <v>3.5</v>
      </c>
      <c r="I251" s="17"/>
    </row>
    <row r="252" spans="1:9" ht="11.25" customHeight="1" x14ac:dyDescent="0.35">
      <c r="A252" s="19"/>
      <c r="B252" s="20" t="str">
        <f t="shared" si="3"/>
        <v/>
      </c>
      <c r="C252" s="20"/>
      <c r="D252" s="20" t="str">
        <f>CONCATENATE("Sous-Total : ",A240," - ",D240)</f>
        <v>Sous-Total :  - Eclairage</v>
      </c>
      <c r="E252" s="19"/>
      <c r="F252" s="21"/>
      <c r="G252" s="21"/>
      <c r="H252" s="22"/>
      <c r="I252" s="23">
        <v>0</v>
      </c>
    </row>
    <row r="253" spans="1:9" ht="11.25" customHeight="1" x14ac:dyDescent="0.35">
      <c r="A253" s="8"/>
      <c r="B253" s="82" t="str">
        <f t="shared" si="3"/>
        <v>Surfacique</v>
      </c>
      <c r="C253" s="9" t="s">
        <v>10</v>
      </c>
      <c r="D253" s="9" t="s">
        <v>228</v>
      </c>
      <c r="E253" s="10" t="s">
        <v>12</v>
      </c>
      <c r="F253" s="11"/>
      <c r="G253" s="11"/>
      <c r="H253" s="12"/>
      <c r="I253" s="13"/>
    </row>
    <row r="254" spans="1:9" ht="15" customHeight="1" x14ac:dyDescent="0.35">
      <c r="A254" s="14"/>
      <c r="B254" s="81" t="str">
        <f t="shared" si="3"/>
        <v>Surfacique</v>
      </c>
      <c r="C254" s="15" t="s">
        <v>13</v>
      </c>
      <c r="D254" s="18" t="s">
        <v>229</v>
      </c>
      <c r="E254" s="26" t="s">
        <v>12</v>
      </c>
      <c r="F254" s="17"/>
      <c r="G254" s="17"/>
      <c r="H254" s="17">
        <v>4.2</v>
      </c>
      <c r="I254" s="17"/>
    </row>
    <row r="255" spans="1:9" ht="15" customHeight="1" x14ac:dyDescent="0.35">
      <c r="A255" s="14"/>
      <c r="B255" s="81" t="str">
        <f t="shared" si="3"/>
        <v>Surfacique</v>
      </c>
      <c r="C255" s="15" t="s">
        <v>13</v>
      </c>
      <c r="D255" s="18" t="s">
        <v>230</v>
      </c>
      <c r="E255" s="26" t="s">
        <v>12</v>
      </c>
      <c r="F255" s="17"/>
      <c r="G255" s="17"/>
      <c r="H255" s="17">
        <v>4.7</v>
      </c>
      <c r="I255" s="17"/>
    </row>
    <row r="256" spans="1:9" ht="15" customHeight="1" x14ac:dyDescent="0.35">
      <c r="A256" s="14"/>
      <c r="B256" s="81" t="str">
        <f t="shared" si="3"/>
        <v>Surfacique</v>
      </c>
      <c r="C256" s="15" t="s">
        <v>13</v>
      </c>
      <c r="D256" s="18" t="s">
        <v>327</v>
      </c>
      <c r="E256" s="26" t="s">
        <v>12</v>
      </c>
      <c r="F256" s="17"/>
      <c r="G256" s="17"/>
      <c r="H256" s="17">
        <v>4.8</v>
      </c>
      <c r="I256" s="17"/>
    </row>
    <row r="257" spans="1:9" ht="15" customHeight="1" x14ac:dyDescent="0.35">
      <c r="A257" s="14"/>
      <c r="B257" s="81" t="str">
        <f t="shared" si="3"/>
        <v>Surfacique</v>
      </c>
      <c r="C257" s="15" t="s">
        <v>13</v>
      </c>
      <c r="D257" s="18" t="s">
        <v>231</v>
      </c>
      <c r="E257" s="26" t="s">
        <v>12</v>
      </c>
      <c r="F257" s="17"/>
      <c r="G257" s="17"/>
      <c r="H257" s="17">
        <v>7.2</v>
      </c>
      <c r="I257" s="17"/>
    </row>
    <row r="258" spans="1:9" ht="15" customHeight="1" x14ac:dyDescent="0.35">
      <c r="A258" s="14"/>
      <c r="B258" s="81" t="str">
        <f t="shared" si="3"/>
        <v>Surfacique</v>
      </c>
      <c r="C258" s="15" t="s">
        <v>13</v>
      </c>
      <c r="D258" s="18" t="s">
        <v>328</v>
      </c>
      <c r="E258" s="26" t="s">
        <v>12</v>
      </c>
      <c r="F258" s="17"/>
      <c r="G258" s="17"/>
      <c r="H258" s="17">
        <v>7.2</v>
      </c>
      <c r="I258" s="17"/>
    </row>
    <row r="259" spans="1:9" ht="15" customHeight="1" x14ac:dyDescent="0.35">
      <c r="A259" s="14"/>
      <c r="B259" s="81" t="str">
        <f t="shared" ref="B259:B312" si="4">IF(E259="","",IF(E259="m²","Surfacique","Unitaire"))</f>
        <v>Surfacique</v>
      </c>
      <c r="C259" s="15" t="s">
        <v>13</v>
      </c>
      <c r="D259" s="18" t="s">
        <v>232</v>
      </c>
      <c r="E259" s="26" t="s">
        <v>12</v>
      </c>
      <c r="F259" s="17"/>
      <c r="G259" s="17"/>
      <c r="H259" s="17">
        <v>4.2</v>
      </c>
      <c r="I259" s="17"/>
    </row>
    <row r="260" spans="1:9" ht="15" customHeight="1" x14ac:dyDescent="0.35">
      <c r="A260" s="14"/>
      <c r="B260" s="81" t="str">
        <f t="shared" si="4"/>
        <v>Surfacique</v>
      </c>
      <c r="C260" s="15" t="s">
        <v>13</v>
      </c>
      <c r="D260" s="18" t="s">
        <v>233</v>
      </c>
      <c r="E260" s="26" t="s">
        <v>12</v>
      </c>
      <c r="F260" s="17"/>
      <c r="G260" s="17"/>
      <c r="H260" s="17">
        <v>2.4</v>
      </c>
      <c r="I260" s="17"/>
    </row>
    <row r="261" spans="1:9" ht="15" customHeight="1" x14ac:dyDescent="0.35">
      <c r="A261" s="14"/>
      <c r="B261" s="81" t="str">
        <f t="shared" si="4"/>
        <v>Surfacique</v>
      </c>
      <c r="C261" s="15" t="s">
        <v>13</v>
      </c>
      <c r="D261" s="18" t="s">
        <v>234</v>
      </c>
      <c r="E261" s="26" t="s">
        <v>12</v>
      </c>
      <c r="F261" s="17"/>
      <c r="G261" s="17"/>
      <c r="H261" s="17">
        <v>7</v>
      </c>
      <c r="I261" s="17"/>
    </row>
    <row r="262" spans="1:9" ht="15" customHeight="1" x14ac:dyDescent="0.35">
      <c r="A262" s="14"/>
      <c r="B262" s="81" t="str">
        <f t="shared" si="4"/>
        <v>Surfacique</v>
      </c>
      <c r="C262" s="15" t="s">
        <v>13</v>
      </c>
      <c r="D262" s="18" t="s">
        <v>329</v>
      </c>
      <c r="E262" s="26" t="s">
        <v>12</v>
      </c>
      <c r="F262" s="17"/>
      <c r="G262" s="17"/>
      <c r="H262" s="17">
        <v>4.05</v>
      </c>
      <c r="I262" s="17"/>
    </row>
    <row r="263" spans="1:9" ht="15" customHeight="1" x14ac:dyDescent="0.35">
      <c r="A263" s="14"/>
      <c r="B263" s="81" t="str">
        <f t="shared" si="4"/>
        <v>Surfacique</v>
      </c>
      <c r="C263" s="15" t="s">
        <v>13</v>
      </c>
      <c r="D263" s="18" t="s">
        <v>235</v>
      </c>
      <c r="E263" s="26" t="s">
        <v>12</v>
      </c>
      <c r="F263" s="17"/>
      <c r="G263" s="17"/>
      <c r="H263" s="17">
        <v>4.5</v>
      </c>
      <c r="I263" s="17"/>
    </row>
    <row r="264" spans="1:9" ht="15" customHeight="1" x14ac:dyDescent="0.35">
      <c r="A264" s="14"/>
      <c r="B264" s="81" t="str">
        <f t="shared" si="4"/>
        <v>Unitaire</v>
      </c>
      <c r="C264" s="15" t="s">
        <v>13</v>
      </c>
      <c r="D264" s="18" t="s">
        <v>236</v>
      </c>
      <c r="E264" s="16" t="s">
        <v>15</v>
      </c>
      <c r="F264" s="17"/>
      <c r="G264" s="17"/>
      <c r="H264" s="17"/>
      <c r="I264" s="17"/>
    </row>
    <row r="265" spans="1:9" ht="15" customHeight="1" x14ac:dyDescent="0.35">
      <c r="A265" s="14"/>
      <c r="B265" s="81" t="str">
        <f t="shared" si="4"/>
        <v>Unitaire</v>
      </c>
      <c r="C265" s="15" t="s">
        <v>13</v>
      </c>
      <c r="D265" s="18" t="s">
        <v>237</v>
      </c>
      <c r="E265" s="16" t="s">
        <v>15</v>
      </c>
      <c r="F265" s="17"/>
      <c r="G265" s="17"/>
      <c r="H265" s="17"/>
      <c r="I265" s="17"/>
    </row>
    <row r="266" spans="1:9" ht="15" customHeight="1" x14ac:dyDescent="0.35">
      <c r="A266" s="14"/>
      <c r="B266" s="81" t="str">
        <f t="shared" si="4"/>
        <v>Unitaire</v>
      </c>
      <c r="C266" s="15" t="s">
        <v>13</v>
      </c>
      <c r="D266" s="18" t="s">
        <v>238</v>
      </c>
      <c r="E266" s="16" t="s">
        <v>15</v>
      </c>
      <c r="F266" s="17"/>
      <c r="G266" s="17"/>
      <c r="H266" s="17"/>
      <c r="I266" s="17"/>
    </row>
    <row r="267" spans="1:9" ht="15" customHeight="1" x14ac:dyDescent="0.35">
      <c r="A267" s="14"/>
      <c r="B267" s="81" t="str">
        <f t="shared" si="4"/>
        <v>Unitaire</v>
      </c>
      <c r="C267" s="15" t="s">
        <v>13</v>
      </c>
      <c r="D267" s="18" t="s">
        <v>239</v>
      </c>
      <c r="E267" s="16" t="s">
        <v>15</v>
      </c>
      <c r="F267" s="17"/>
      <c r="G267" s="17"/>
      <c r="H267" s="17"/>
      <c r="I267" s="17"/>
    </row>
    <row r="268" spans="1:9" ht="15" customHeight="1" x14ac:dyDescent="0.35">
      <c r="A268" s="14"/>
      <c r="B268" s="82" t="str">
        <f t="shared" si="4"/>
        <v>Surfacique</v>
      </c>
      <c r="C268" s="15" t="s">
        <v>13</v>
      </c>
      <c r="D268" s="18" t="s">
        <v>240</v>
      </c>
      <c r="E268" s="26" t="s">
        <v>12</v>
      </c>
      <c r="F268" s="17"/>
      <c r="G268" s="17"/>
      <c r="H268" s="17">
        <v>4</v>
      </c>
      <c r="I268" s="17"/>
    </row>
    <row r="269" spans="1:9" ht="11.25" customHeight="1" x14ac:dyDescent="0.35">
      <c r="A269" s="19"/>
      <c r="B269" s="20" t="str">
        <f t="shared" si="4"/>
        <v/>
      </c>
      <c r="C269" s="20"/>
      <c r="D269" s="20" t="str">
        <f>CONCATENATE("Sous-Total : ",A253," - ",D253)</f>
        <v>Sous-Total :  - Eclairage de sécurité</v>
      </c>
      <c r="E269" s="19"/>
      <c r="F269" s="21"/>
      <c r="G269" s="21"/>
      <c r="H269" s="22"/>
      <c r="I269" s="23">
        <v>0</v>
      </c>
    </row>
    <row r="270" spans="1:9" ht="11.25" customHeight="1" x14ac:dyDescent="0.35">
      <c r="A270" s="8"/>
      <c r="B270" s="82" t="str">
        <f t="shared" si="4"/>
        <v>Surfacique</v>
      </c>
      <c r="C270" s="9" t="s">
        <v>10</v>
      </c>
      <c r="D270" s="9" t="s">
        <v>241</v>
      </c>
      <c r="E270" s="10" t="s">
        <v>12</v>
      </c>
      <c r="F270" s="11"/>
      <c r="G270" s="11"/>
      <c r="H270" s="12"/>
      <c r="I270" s="13"/>
    </row>
    <row r="271" spans="1:9" ht="14.25" customHeight="1" x14ac:dyDescent="0.35">
      <c r="A271" s="14"/>
      <c r="B271" s="81" t="str">
        <f t="shared" si="4"/>
        <v>Surfacique</v>
      </c>
      <c r="C271" s="15" t="s">
        <v>13</v>
      </c>
      <c r="D271" s="36" t="s">
        <v>242</v>
      </c>
      <c r="E271" s="34" t="s">
        <v>12</v>
      </c>
      <c r="F271" s="17"/>
      <c r="G271" s="17"/>
      <c r="H271" s="17">
        <v>1.75</v>
      </c>
      <c r="I271" s="17"/>
    </row>
    <row r="272" spans="1:9" ht="14.25" customHeight="1" x14ac:dyDescent="0.35">
      <c r="A272" s="14"/>
      <c r="B272" s="81" t="str">
        <f t="shared" si="4"/>
        <v>Surfacique</v>
      </c>
      <c r="C272" s="15" t="s">
        <v>13</v>
      </c>
      <c r="D272" s="36" t="s">
        <v>533</v>
      </c>
      <c r="E272" s="34" t="s">
        <v>12</v>
      </c>
      <c r="F272" s="17"/>
      <c r="G272" s="17"/>
      <c r="H272" s="17">
        <v>14</v>
      </c>
      <c r="I272" s="17"/>
    </row>
    <row r="273" spans="1:9" ht="14.25" customHeight="1" x14ac:dyDescent="0.35">
      <c r="A273" s="14"/>
      <c r="B273" s="81" t="str">
        <f t="shared" si="4"/>
        <v>Surfacique</v>
      </c>
      <c r="C273" s="15" t="s">
        <v>13</v>
      </c>
      <c r="D273" s="36" t="s">
        <v>243</v>
      </c>
      <c r="E273" s="34" t="s">
        <v>12</v>
      </c>
      <c r="F273" s="17"/>
      <c r="G273" s="17"/>
      <c r="H273" s="17">
        <v>6</v>
      </c>
      <c r="I273" s="17"/>
    </row>
    <row r="274" spans="1:9" ht="14.25" customHeight="1" x14ac:dyDescent="0.35">
      <c r="A274" s="14"/>
      <c r="B274" s="81" t="str">
        <f t="shared" si="4"/>
        <v>Unitaire</v>
      </c>
      <c r="C274" s="15" t="s">
        <v>13</v>
      </c>
      <c r="D274" s="36" t="s">
        <v>244</v>
      </c>
      <c r="E274" s="35" t="s">
        <v>15</v>
      </c>
      <c r="F274" s="17"/>
      <c r="G274" s="17"/>
      <c r="H274" s="17">
        <v>230</v>
      </c>
      <c r="I274" s="17"/>
    </row>
    <row r="275" spans="1:9" ht="14.25" customHeight="1" x14ac:dyDescent="0.35">
      <c r="A275" s="14"/>
      <c r="B275" s="81" t="str">
        <f t="shared" si="4"/>
        <v>Unitaire</v>
      </c>
      <c r="C275" s="15" t="s">
        <v>13</v>
      </c>
      <c r="D275" s="36" t="s">
        <v>245</v>
      </c>
      <c r="E275" s="35" t="s">
        <v>15</v>
      </c>
      <c r="F275" s="17"/>
      <c r="G275" s="17"/>
      <c r="H275" s="17">
        <v>150</v>
      </c>
      <c r="I275" s="17"/>
    </row>
    <row r="276" spans="1:9" ht="14.25" customHeight="1" x14ac:dyDescent="0.35">
      <c r="A276" s="14"/>
      <c r="B276" s="81" t="str">
        <f t="shared" si="4"/>
        <v>Unitaire</v>
      </c>
      <c r="C276" s="15" t="s">
        <v>13</v>
      </c>
      <c r="D276" s="36" t="s">
        <v>246</v>
      </c>
      <c r="E276" s="35" t="s">
        <v>15</v>
      </c>
      <c r="F276" s="17"/>
      <c r="G276" s="17"/>
      <c r="H276" s="17">
        <v>500</v>
      </c>
      <c r="I276" s="17"/>
    </row>
    <row r="277" spans="1:9" ht="14.25" customHeight="1" x14ac:dyDescent="0.35">
      <c r="A277" s="14"/>
      <c r="B277" s="81" t="str">
        <f t="shared" si="4"/>
        <v>Unitaire</v>
      </c>
      <c r="C277" s="15" t="s">
        <v>13</v>
      </c>
      <c r="D277" s="36" t="s">
        <v>247</v>
      </c>
      <c r="E277" s="35" t="s">
        <v>15</v>
      </c>
      <c r="F277" s="17"/>
      <c r="G277" s="17"/>
      <c r="H277" s="17">
        <v>672</v>
      </c>
      <c r="I277" s="17"/>
    </row>
    <row r="278" spans="1:9" ht="14.25" customHeight="1" x14ac:dyDescent="0.35">
      <c r="A278" s="14"/>
      <c r="B278" s="81" t="str">
        <f t="shared" si="4"/>
        <v>Unitaire</v>
      </c>
      <c r="C278" s="15" t="s">
        <v>13</v>
      </c>
      <c r="D278" s="37" t="s">
        <v>248</v>
      </c>
      <c r="E278" s="35" t="s">
        <v>25</v>
      </c>
      <c r="F278" s="17"/>
      <c r="G278" s="17"/>
      <c r="H278" s="17">
        <v>2.33</v>
      </c>
      <c r="I278" s="17"/>
    </row>
    <row r="279" spans="1:9" ht="14.25" customHeight="1" x14ac:dyDescent="0.35">
      <c r="A279" s="14"/>
      <c r="B279" s="81" t="str">
        <f t="shared" si="4"/>
        <v>Unitaire</v>
      </c>
      <c r="C279" s="15" t="s">
        <v>13</v>
      </c>
      <c r="D279" s="37" t="s">
        <v>249</v>
      </c>
      <c r="E279" s="35" t="s">
        <v>25</v>
      </c>
      <c r="F279" s="17"/>
      <c r="G279" s="17"/>
      <c r="H279" s="17">
        <v>2.62</v>
      </c>
      <c r="I279" s="17"/>
    </row>
    <row r="280" spans="1:9" ht="14.25" customHeight="1" x14ac:dyDescent="0.35">
      <c r="A280" s="14"/>
      <c r="B280" s="81" t="str">
        <f t="shared" si="4"/>
        <v>Unitaire</v>
      </c>
      <c r="C280" s="15" t="s">
        <v>13</v>
      </c>
      <c r="D280" s="37" t="s">
        <v>250</v>
      </c>
      <c r="E280" s="35" t="s">
        <v>25</v>
      </c>
      <c r="F280" s="17"/>
      <c r="G280" s="17"/>
      <c r="H280" s="17">
        <v>3.73</v>
      </c>
      <c r="I280" s="17"/>
    </row>
    <row r="281" spans="1:9" ht="14.25" customHeight="1" x14ac:dyDescent="0.35">
      <c r="A281" s="14"/>
      <c r="B281" s="81" t="str">
        <f t="shared" si="4"/>
        <v>Unitaire</v>
      </c>
      <c r="C281" s="15" t="s">
        <v>13</v>
      </c>
      <c r="D281" s="37" t="s">
        <v>251</v>
      </c>
      <c r="E281" s="35" t="s">
        <v>25</v>
      </c>
      <c r="F281" s="17"/>
      <c r="G281" s="17"/>
      <c r="H281" s="17">
        <v>4.49</v>
      </c>
      <c r="I281" s="17"/>
    </row>
    <row r="282" spans="1:9" ht="14.25" customHeight="1" x14ac:dyDescent="0.35">
      <c r="A282" s="14"/>
      <c r="B282" s="81" t="str">
        <f t="shared" si="4"/>
        <v>Unitaire</v>
      </c>
      <c r="C282" s="15" t="s">
        <v>13</v>
      </c>
      <c r="D282" s="37" t="s">
        <v>252</v>
      </c>
      <c r="E282" s="35" t="s">
        <v>25</v>
      </c>
      <c r="F282" s="17"/>
      <c r="G282" s="17"/>
      <c r="H282" s="17">
        <v>3.01</v>
      </c>
      <c r="I282" s="17"/>
    </row>
    <row r="283" spans="1:9" ht="14.25" customHeight="1" x14ac:dyDescent="0.35">
      <c r="A283" s="14"/>
      <c r="B283" s="81" t="str">
        <f t="shared" si="4"/>
        <v>Unitaire</v>
      </c>
      <c r="C283" s="15" t="s">
        <v>13</v>
      </c>
      <c r="D283" s="37" t="s">
        <v>253</v>
      </c>
      <c r="E283" s="35" t="s">
        <v>25</v>
      </c>
      <c r="F283" s="17"/>
      <c r="G283" s="17"/>
      <c r="H283" s="17">
        <v>5.79</v>
      </c>
      <c r="I283" s="17"/>
    </row>
    <row r="284" spans="1:9" ht="14.25" customHeight="1" x14ac:dyDescent="0.35">
      <c r="A284" s="14"/>
      <c r="B284" s="81" t="str">
        <f t="shared" si="4"/>
        <v>Unitaire</v>
      </c>
      <c r="C284" s="15" t="s">
        <v>13</v>
      </c>
      <c r="D284" s="37" t="s">
        <v>254</v>
      </c>
      <c r="E284" s="35" t="s">
        <v>25</v>
      </c>
      <c r="F284" s="17"/>
      <c r="G284" s="17"/>
      <c r="H284" s="17">
        <v>5.15</v>
      </c>
      <c r="I284" s="17"/>
    </row>
    <row r="285" spans="1:9" ht="14.25" customHeight="1" x14ac:dyDescent="0.35">
      <c r="A285" s="14"/>
      <c r="B285" s="81" t="str">
        <f t="shared" si="4"/>
        <v>Unitaire</v>
      </c>
      <c r="C285" s="15" t="s">
        <v>13</v>
      </c>
      <c r="D285" s="37" t="s">
        <v>255</v>
      </c>
      <c r="E285" s="35" t="s">
        <v>25</v>
      </c>
      <c r="F285" s="17"/>
      <c r="G285" s="17"/>
      <c r="H285" s="17">
        <v>4.83</v>
      </c>
      <c r="I285" s="17"/>
    </row>
    <row r="286" spans="1:9" ht="19.5" customHeight="1" x14ac:dyDescent="0.35">
      <c r="A286" s="14"/>
      <c r="B286" s="81" t="str">
        <f t="shared" si="4"/>
        <v>Unitaire</v>
      </c>
      <c r="C286" s="15" t="s">
        <v>13</v>
      </c>
      <c r="D286" s="36" t="s">
        <v>256</v>
      </c>
      <c r="E286" s="35" t="s">
        <v>15</v>
      </c>
      <c r="F286" s="17"/>
      <c r="G286" s="17"/>
      <c r="H286" s="17"/>
      <c r="I286" s="17"/>
    </row>
    <row r="287" spans="1:9" ht="25.5" customHeight="1" x14ac:dyDescent="0.35">
      <c r="A287" s="14"/>
      <c r="B287" s="81" t="str">
        <f t="shared" si="4"/>
        <v>Unitaire</v>
      </c>
      <c r="C287" s="15" t="s">
        <v>13</v>
      </c>
      <c r="D287" s="36" t="s">
        <v>257</v>
      </c>
      <c r="E287" s="35" t="s">
        <v>15</v>
      </c>
      <c r="F287" s="17"/>
      <c r="G287" s="17"/>
      <c r="H287" s="17"/>
      <c r="I287" s="17"/>
    </row>
    <row r="288" spans="1:9" ht="22.5" customHeight="1" x14ac:dyDescent="0.35">
      <c r="A288" s="14"/>
      <c r="B288" s="81" t="str">
        <f t="shared" si="4"/>
        <v>Unitaire</v>
      </c>
      <c r="C288" s="15" t="s">
        <v>13</v>
      </c>
      <c r="D288" s="36" t="s">
        <v>258</v>
      </c>
      <c r="E288" s="35" t="s">
        <v>15</v>
      </c>
      <c r="F288" s="17"/>
      <c r="G288" s="17"/>
      <c r="H288" s="17"/>
      <c r="I288" s="17"/>
    </row>
    <row r="289" spans="1:9" ht="18" customHeight="1" x14ac:dyDescent="0.35">
      <c r="A289" s="14"/>
      <c r="B289" s="81" t="str">
        <f t="shared" si="4"/>
        <v>Unitaire</v>
      </c>
      <c r="C289" s="15" t="s">
        <v>13</v>
      </c>
      <c r="D289" s="36" t="s">
        <v>259</v>
      </c>
      <c r="E289" s="35" t="s">
        <v>15</v>
      </c>
      <c r="F289" s="17"/>
      <c r="G289" s="17"/>
      <c r="H289" s="17"/>
      <c r="I289" s="17"/>
    </row>
    <row r="290" spans="1:9" ht="24.75" customHeight="1" x14ac:dyDescent="0.35">
      <c r="A290" s="14"/>
      <c r="B290" s="81" t="str">
        <f t="shared" si="4"/>
        <v>Unitaire</v>
      </c>
      <c r="C290" s="15" t="s">
        <v>13</v>
      </c>
      <c r="D290" s="36" t="s">
        <v>260</v>
      </c>
      <c r="E290" s="35" t="s">
        <v>15</v>
      </c>
      <c r="F290" s="17"/>
      <c r="G290" s="17"/>
      <c r="H290" s="17"/>
      <c r="I290" s="17"/>
    </row>
    <row r="291" spans="1:9" ht="27.75" customHeight="1" x14ac:dyDescent="0.35">
      <c r="A291" s="14"/>
      <c r="B291" s="81" t="str">
        <f t="shared" si="4"/>
        <v>Unitaire</v>
      </c>
      <c r="C291" s="15" t="s">
        <v>13</v>
      </c>
      <c r="D291" s="36" t="s">
        <v>261</v>
      </c>
      <c r="E291" s="35" t="s">
        <v>15</v>
      </c>
      <c r="F291" s="17"/>
      <c r="G291" s="17"/>
      <c r="H291" s="17"/>
      <c r="I291" s="17"/>
    </row>
    <row r="292" spans="1:9" ht="15" customHeight="1" x14ac:dyDescent="0.35">
      <c r="A292" s="14"/>
      <c r="B292" s="81" t="str">
        <f t="shared" si="4"/>
        <v>Unitaire</v>
      </c>
      <c r="C292" s="15" t="s">
        <v>13</v>
      </c>
      <c r="D292" s="36" t="s">
        <v>262</v>
      </c>
      <c r="E292" s="35" t="s">
        <v>15</v>
      </c>
      <c r="F292" s="17"/>
      <c r="G292" s="17"/>
      <c r="H292" s="17"/>
      <c r="I292" s="17"/>
    </row>
    <row r="293" spans="1:9" ht="15" customHeight="1" x14ac:dyDescent="0.35">
      <c r="A293" s="14"/>
      <c r="B293" s="81" t="str">
        <f t="shared" si="4"/>
        <v>Unitaire</v>
      </c>
      <c r="C293" s="15" t="s">
        <v>13</v>
      </c>
      <c r="D293" s="36" t="s">
        <v>263</v>
      </c>
      <c r="E293" s="35" t="s">
        <v>15</v>
      </c>
      <c r="F293" s="17"/>
      <c r="G293" s="17"/>
      <c r="H293" s="17"/>
      <c r="I293" s="17"/>
    </row>
    <row r="294" spans="1:9" ht="15" customHeight="1" x14ac:dyDescent="0.35">
      <c r="A294" s="14"/>
      <c r="B294" s="81" t="str">
        <f t="shared" si="4"/>
        <v>Unitaire</v>
      </c>
      <c r="C294" s="15" t="s">
        <v>13</v>
      </c>
      <c r="D294" s="36" t="s">
        <v>264</v>
      </c>
      <c r="E294" s="35" t="s">
        <v>15</v>
      </c>
      <c r="F294" s="17"/>
      <c r="G294" s="17"/>
      <c r="H294" s="17"/>
      <c r="I294" s="17"/>
    </row>
    <row r="295" spans="1:9" ht="15" customHeight="1" x14ac:dyDescent="0.35">
      <c r="A295" s="14"/>
      <c r="B295" s="81" t="str">
        <f t="shared" si="4"/>
        <v>Unitaire</v>
      </c>
      <c r="C295" s="15" t="s">
        <v>13</v>
      </c>
      <c r="D295" s="36" t="s">
        <v>265</v>
      </c>
      <c r="E295" s="35" t="s">
        <v>15</v>
      </c>
      <c r="F295" s="17"/>
      <c r="G295" s="17"/>
      <c r="H295" s="17"/>
      <c r="I295" s="17"/>
    </row>
    <row r="296" spans="1:9" ht="15" customHeight="1" x14ac:dyDescent="0.35">
      <c r="A296" s="14"/>
      <c r="B296" s="81" t="str">
        <f t="shared" si="4"/>
        <v>Unitaire</v>
      </c>
      <c r="C296" s="15" t="s">
        <v>13</v>
      </c>
      <c r="D296" s="36" t="s">
        <v>266</v>
      </c>
      <c r="E296" s="35" t="s">
        <v>15</v>
      </c>
      <c r="F296" s="17"/>
      <c r="G296" s="17"/>
      <c r="H296" s="17"/>
      <c r="I296" s="17"/>
    </row>
    <row r="297" spans="1:9" ht="17.25" customHeight="1" x14ac:dyDescent="0.35">
      <c r="A297" s="14"/>
      <c r="B297" s="81" t="str">
        <f t="shared" si="4"/>
        <v>Unitaire</v>
      </c>
      <c r="C297" s="15" t="s">
        <v>13</v>
      </c>
      <c r="D297" s="36" t="s">
        <v>267</v>
      </c>
      <c r="E297" s="35" t="s">
        <v>15</v>
      </c>
      <c r="F297" s="17"/>
      <c r="G297" s="17"/>
      <c r="H297" s="17"/>
      <c r="I297" s="17"/>
    </row>
    <row r="298" spans="1:9" ht="17.25" customHeight="1" x14ac:dyDescent="0.35">
      <c r="A298" s="14"/>
      <c r="B298" s="81" t="str">
        <f t="shared" si="4"/>
        <v>Unitaire</v>
      </c>
      <c r="C298" s="15" t="s">
        <v>13</v>
      </c>
      <c r="D298" s="36" t="s">
        <v>268</v>
      </c>
      <c r="E298" s="35" t="s">
        <v>15</v>
      </c>
      <c r="F298" s="17"/>
      <c r="G298" s="17"/>
      <c r="H298" s="17"/>
      <c r="I298" s="17"/>
    </row>
    <row r="299" spans="1:9" ht="17.25" customHeight="1" x14ac:dyDescent="0.35">
      <c r="A299" s="14"/>
      <c r="B299" s="81" t="str">
        <f t="shared" si="4"/>
        <v>Unitaire</v>
      </c>
      <c r="C299" s="15" t="s">
        <v>13</v>
      </c>
      <c r="D299" s="36" t="s">
        <v>269</v>
      </c>
      <c r="E299" s="35" t="s">
        <v>15</v>
      </c>
      <c r="F299" s="17"/>
      <c r="G299" s="17"/>
      <c r="H299" s="17"/>
      <c r="I299" s="17"/>
    </row>
    <row r="300" spans="1:9" ht="17.25" customHeight="1" x14ac:dyDescent="0.35">
      <c r="A300" s="14"/>
      <c r="B300" s="81" t="str">
        <f t="shared" si="4"/>
        <v>Unitaire</v>
      </c>
      <c r="C300" s="15" t="s">
        <v>13</v>
      </c>
      <c r="D300" s="36" t="s">
        <v>270</v>
      </c>
      <c r="E300" s="35" t="s">
        <v>15</v>
      </c>
      <c r="F300" s="17"/>
      <c r="G300" s="17"/>
      <c r="H300" s="17"/>
      <c r="I300" s="17"/>
    </row>
    <row r="301" spans="1:9" ht="17.25" customHeight="1" x14ac:dyDescent="0.35">
      <c r="A301" s="14"/>
      <c r="B301" s="81" t="str">
        <f t="shared" si="4"/>
        <v>Unitaire</v>
      </c>
      <c r="C301" s="15" t="s">
        <v>13</v>
      </c>
      <c r="D301" s="36" t="s">
        <v>271</v>
      </c>
      <c r="E301" s="35" t="s">
        <v>15</v>
      </c>
      <c r="F301" s="17"/>
      <c r="G301" s="17"/>
      <c r="H301" s="17"/>
      <c r="I301" s="17"/>
    </row>
    <row r="302" spans="1:9" ht="17.25" customHeight="1" x14ac:dyDescent="0.35">
      <c r="A302" s="14"/>
      <c r="B302" s="81" t="str">
        <f t="shared" si="4"/>
        <v>Unitaire</v>
      </c>
      <c r="C302" s="15" t="s">
        <v>13</v>
      </c>
      <c r="D302" s="36" t="s">
        <v>272</v>
      </c>
      <c r="E302" s="35" t="s">
        <v>15</v>
      </c>
      <c r="F302" s="17"/>
      <c r="G302" s="17"/>
      <c r="H302" s="17"/>
      <c r="I302" s="17"/>
    </row>
    <row r="303" spans="1:9" ht="17.25" customHeight="1" x14ac:dyDescent="0.35">
      <c r="A303" s="14"/>
      <c r="B303" s="81" t="str">
        <f t="shared" si="4"/>
        <v>Unitaire</v>
      </c>
      <c r="C303" s="15" t="s">
        <v>13</v>
      </c>
      <c r="D303" s="36" t="s">
        <v>273</v>
      </c>
      <c r="E303" s="35" t="s">
        <v>15</v>
      </c>
      <c r="F303" s="17"/>
      <c r="G303" s="17"/>
      <c r="H303" s="17"/>
      <c r="I303" s="17"/>
    </row>
    <row r="304" spans="1:9" ht="11.25" customHeight="1" x14ac:dyDescent="0.35">
      <c r="A304" s="19"/>
      <c r="B304" s="20" t="str">
        <f t="shared" si="4"/>
        <v/>
      </c>
      <c r="C304" s="20"/>
      <c r="D304" s="20" t="str">
        <f>CONCATENATE("Sous-Total : ",A270," - ",D270)</f>
        <v>Sous-Total :  - Alimentations spécifiques</v>
      </c>
      <c r="E304" s="19"/>
      <c r="F304" s="21"/>
      <c r="G304" s="21"/>
      <c r="H304" s="22"/>
      <c r="I304" s="23">
        <v>0</v>
      </c>
    </row>
    <row r="305" spans="1:9" ht="13.5" customHeight="1" x14ac:dyDescent="0.35">
      <c r="A305" s="8"/>
      <c r="B305" s="82" t="str">
        <f t="shared" si="4"/>
        <v/>
      </c>
      <c r="C305" s="9" t="s">
        <v>10</v>
      </c>
      <c r="D305" s="9" t="s">
        <v>274</v>
      </c>
      <c r="E305" s="27"/>
      <c r="F305" s="11"/>
      <c r="G305" s="11"/>
      <c r="H305" s="12"/>
      <c r="I305" s="13"/>
    </row>
    <row r="306" spans="1:9" ht="13.5" customHeight="1" x14ac:dyDescent="0.35">
      <c r="A306" s="38"/>
      <c r="B306" s="81" t="str">
        <f t="shared" si="4"/>
        <v>Unitaire</v>
      </c>
      <c r="C306" s="15" t="s">
        <v>13</v>
      </c>
      <c r="D306" s="36" t="s">
        <v>275</v>
      </c>
      <c r="E306" s="35" t="s">
        <v>15</v>
      </c>
      <c r="F306" s="17"/>
      <c r="G306" s="17"/>
      <c r="H306" s="17">
        <v>1800</v>
      </c>
      <c r="I306" s="17"/>
    </row>
    <row r="307" spans="1:9" ht="13.5" customHeight="1" x14ac:dyDescent="0.35">
      <c r="A307" s="38"/>
      <c r="B307" s="81" t="str">
        <f t="shared" si="4"/>
        <v>Unitaire</v>
      </c>
      <c r="C307" s="15" t="s">
        <v>13</v>
      </c>
      <c r="D307" s="36" t="s">
        <v>276</v>
      </c>
      <c r="E307" s="35" t="s">
        <v>15</v>
      </c>
      <c r="F307" s="17"/>
      <c r="G307" s="17"/>
      <c r="H307" s="17">
        <v>3752</v>
      </c>
      <c r="I307" s="17"/>
    </row>
    <row r="308" spans="1:9" ht="13.5" customHeight="1" x14ac:dyDescent="0.35">
      <c r="A308" s="38"/>
      <c r="B308" s="81" t="str">
        <f t="shared" si="4"/>
        <v>Unitaire</v>
      </c>
      <c r="C308" s="15" t="s">
        <v>13</v>
      </c>
      <c r="D308" s="36" t="s">
        <v>277</v>
      </c>
      <c r="E308" s="35" t="s">
        <v>15</v>
      </c>
      <c r="F308" s="17"/>
      <c r="G308" s="17"/>
      <c r="H308" s="17">
        <v>5000</v>
      </c>
      <c r="I308" s="17"/>
    </row>
    <row r="309" spans="1:9" ht="11.25" customHeight="1" x14ac:dyDescent="0.35">
      <c r="A309" s="19"/>
      <c r="B309" s="20" t="str">
        <f t="shared" si="4"/>
        <v/>
      </c>
      <c r="C309" s="20"/>
      <c r="D309" s="20" t="str">
        <f>CONCATENATE("Sous-Total : ",A305," - ",D305)</f>
        <v>Sous-Total :  - Bornes de charges des véhicules électriques</v>
      </c>
      <c r="E309" s="19"/>
      <c r="F309" s="21"/>
      <c r="G309" s="21"/>
      <c r="H309" s="22"/>
      <c r="I309" s="23">
        <v>0</v>
      </c>
    </row>
    <row r="310" spans="1:9" ht="11.25" customHeight="1" x14ac:dyDescent="0.35">
      <c r="A310" s="16"/>
      <c r="B310" s="39" t="str">
        <f t="shared" si="4"/>
        <v/>
      </c>
      <c r="C310" s="39"/>
      <c r="D310" s="39"/>
      <c r="E310" s="39"/>
      <c r="F310" s="17"/>
      <c r="G310" s="17"/>
      <c r="H310" s="17"/>
      <c r="I310" s="17"/>
    </row>
    <row r="311" spans="1:9" ht="11.25" customHeight="1" x14ac:dyDescent="0.35">
      <c r="A311" s="19"/>
      <c r="B311" s="20" t="str">
        <f t="shared" si="4"/>
        <v/>
      </c>
      <c r="C311" s="20"/>
      <c r="D311" s="20" t="s">
        <v>278</v>
      </c>
      <c r="E311" s="19"/>
      <c r="F311" s="21"/>
      <c r="G311" s="21"/>
      <c r="H311" s="22"/>
      <c r="I311" s="23">
        <v>0</v>
      </c>
    </row>
    <row r="312" spans="1:9" ht="12.75" customHeight="1" x14ac:dyDescent="0.35">
      <c r="A312" s="16"/>
      <c r="B312" s="39" t="str">
        <f t="shared" si="4"/>
        <v/>
      </c>
      <c r="C312" s="39"/>
      <c r="D312" s="39"/>
      <c r="E312" s="39"/>
      <c r="F312" s="17"/>
      <c r="G312" s="17"/>
      <c r="H312" s="17"/>
      <c r="I312" s="17"/>
    </row>
    <row r="313" spans="1:9" ht="12.75" customHeight="1" x14ac:dyDescent="0.35">
      <c r="A313" s="85" t="s">
        <v>279</v>
      </c>
      <c r="B313" s="86"/>
      <c r="C313" s="86"/>
      <c r="D313" s="86"/>
      <c r="E313" s="86"/>
      <c r="F313" s="86"/>
      <c r="G313" s="86"/>
      <c r="H313" s="86"/>
      <c r="I313" s="87"/>
    </row>
    <row r="314" spans="1:9" ht="15" customHeight="1" x14ac:dyDescent="0.35">
      <c r="A314" s="8"/>
      <c r="B314" s="82" t="str">
        <f t="shared" ref="B314:B332" si="5">IF(E314="","",IF(E314="m²","Surfacique","Unitaire"))</f>
        <v/>
      </c>
      <c r="C314" s="9" t="s">
        <v>10</v>
      </c>
      <c r="D314" s="9" t="s">
        <v>280</v>
      </c>
      <c r="E314" s="27"/>
      <c r="F314" s="11"/>
      <c r="G314" s="11"/>
      <c r="H314" s="12"/>
      <c r="I314" s="13"/>
    </row>
    <row r="315" spans="1:9" ht="15" customHeight="1" x14ac:dyDescent="0.35">
      <c r="A315" s="14"/>
      <c r="B315" s="82" t="str">
        <f t="shared" si="5"/>
        <v>Unitaire</v>
      </c>
      <c r="C315" s="15" t="s">
        <v>13</v>
      </c>
      <c r="D315" s="18" t="s">
        <v>534</v>
      </c>
      <c r="E315" s="40" t="s">
        <v>281</v>
      </c>
      <c r="F315" s="17"/>
      <c r="G315" s="17"/>
      <c r="H315" s="17">
        <v>0.90500000000000003</v>
      </c>
      <c r="I315" s="17"/>
    </row>
    <row r="316" spans="1:9" ht="15" customHeight="1" x14ac:dyDescent="0.35">
      <c r="A316" s="14"/>
      <c r="B316" s="82" t="str">
        <f t="shared" si="5"/>
        <v>Unitaire</v>
      </c>
      <c r="C316" s="15" t="s">
        <v>13</v>
      </c>
      <c r="D316" s="18" t="s">
        <v>282</v>
      </c>
      <c r="E316" s="16" t="s">
        <v>18</v>
      </c>
      <c r="F316" s="17"/>
      <c r="G316" s="17"/>
      <c r="H316" s="17"/>
      <c r="I316" s="17"/>
    </row>
    <row r="317" spans="1:9" ht="15" customHeight="1" x14ac:dyDescent="0.35">
      <c r="A317" s="14"/>
      <c r="B317" s="82" t="str">
        <f t="shared" si="5"/>
        <v>Unitaire</v>
      </c>
      <c r="C317" s="15" t="s">
        <v>13</v>
      </c>
      <c r="D317" s="18" t="s">
        <v>283</v>
      </c>
      <c r="E317" s="16" t="s">
        <v>18</v>
      </c>
      <c r="F317" s="17"/>
      <c r="G317" s="17"/>
      <c r="H317" s="17"/>
      <c r="I317" s="17"/>
    </row>
    <row r="318" spans="1:9" ht="15" customHeight="1" x14ac:dyDescent="0.35">
      <c r="A318" s="14"/>
      <c r="B318" s="81" t="str">
        <f t="shared" si="5"/>
        <v>Unitaire</v>
      </c>
      <c r="C318" s="15" t="s">
        <v>13</v>
      </c>
      <c r="D318" s="18" t="s">
        <v>284</v>
      </c>
      <c r="E318" s="16" t="s">
        <v>15</v>
      </c>
      <c r="F318" s="17"/>
      <c r="G318" s="17"/>
      <c r="H318" s="17"/>
      <c r="I318" s="17"/>
    </row>
    <row r="319" spans="1:9" ht="15" customHeight="1" x14ac:dyDescent="0.35">
      <c r="A319" s="14"/>
      <c r="B319" s="82" t="str">
        <f t="shared" si="5"/>
        <v>Unitaire</v>
      </c>
      <c r="C319" s="15" t="s">
        <v>13</v>
      </c>
      <c r="D319" s="18" t="s">
        <v>285</v>
      </c>
      <c r="E319" s="16" t="s">
        <v>18</v>
      </c>
      <c r="F319" s="17"/>
      <c r="G319" s="17"/>
      <c r="H319" s="17"/>
      <c r="I319" s="17"/>
    </row>
    <row r="320" spans="1:9" ht="15" customHeight="1" x14ac:dyDescent="0.35">
      <c r="A320" s="14"/>
      <c r="B320" s="81" t="str">
        <f t="shared" si="5"/>
        <v>Unitaire</v>
      </c>
      <c r="C320" s="15" t="s">
        <v>13</v>
      </c>
      <c r="D320" s="18" t="s">
        <v>286</v>
      </c>
      <c r="E320" s="16" t="s">
        <v>15</v>
      </c>
      <c r="F320" s="17"/>
      <c r="G320" s="17"/>
      <c r="H320" s="17"/>
      <c r="I320" s="17"/>
    </row>
    <row r="321" spans="1:9" ht="15" customHeight="1" x14ac:dyDescent="0.35">
      <c r="A321" s="14"/>
      <c r="B321" s="81" t="str">
        <f t="shared" si="5"/>
        <v>Unitaire</v>
      </c>
      <c r="C321" s="15" t="s">
        <v>13</v>
      </c>
      <c r="D321" s="18" t="s">
        <v>287</v>
      </c>
      <c r="E321" s="16" t="s">
        <v>18</v>
      </c>
      <c r="F321" s="17"/>
      <c r="G321" s="17"/>
      <c r="H321" s="17"/>
      <c r="I321" s="17"/>
    </row>
    <row r="322" spans="1:9" ht="15" customHeight="1" x14ac:dyDescent="0.35">
      <c r="A322" s="14"/>
      <c r="B322" s="82" t="str">
        <f t="shared" si="5"/>
        <v>Unitaire</v>
      </c>
      <c r="C322" s="15" t="s">
        <v>13</v>
      </c>
      <c r="D322" s="18" t="s">
        <v>288</v>
      </c>
      <c r="E322" s="16" t="s">
        <v>18</v>
      </c>
      <c r="F322" s="17"/>
      <c r="G322" s="17"/>
      <c r="H322" s="17"/>
      <c r="I322" s="17"/>
    </row>
    <row r="323" spans="1:9" ht="22.5" customHeight="1" x14ac:dyDescent="0.35">
      <c r="A323" s="14"/>
      <c r="B323" s="82" t="str">
        <f t="shared" si="5"/>
        <v>Unitaire</v>
      </c>
      <c r="C323" s="15" t="s">
        <v>13</v>
      </c>
      <c r="D323" s="18" t="s">
        <v>289</v>
      </c>
      <c r="E323" s="16" t="s">
        <v>18</v>
      </c>
      <c r="F323" s="17"/>
      <c r="G323" s="17"/>
      <c r="H323" s="17"/>
      <c r="I323" s="17"/>
    </row>
    <row r="324" spans="1:9" ht="22.5" customHeight="1" x14ac:dyDescent="0.35">
      <c r="A324" s="14"/>
      <c r="B324" s="82" t="str">
        <f t="shared" si="5"/>
        <v>Unitaire</v>
      </c>
      <c r="C324" s="15" t="s">
        <v>13</v>
      </c>
      <c r="D324" s="18" t="s">
        <v>290</v>
      </c>
      <c r="E324" s="16" t="s">
        <v>18</v>
      </c>
      <c r="F324" s="17"/>
      <c r="G324" s="17"/>
      <c r="H324" s="17"/>
      <c r="I324" s="17"/>
    </row>
    <row r="325" spans="1:9" ht="15" customHeight="1" x14ac:dyDescent="0.35">
      <c r="A325" s="14"/>
      <c r="B325" s="81" t="str">
        <f t="shared" si="5"/>
        <v/>
      </c>
      <c r="C325" s="15" t="s">
        <v>13</v>
      </c>
      <c r="D325" s="41" t="s">
        <v>291</v>
      </c>
      <c r="E325" s="16"/>
      <c r="F325" s="17"/>
      <c r="G325" s="17"/>
      <c r="H325" s="17"/>
      <c r="I325" s="17"/>
    </row>
    <row r="326" spans="1:9" ht="15" customHeight="1" x14ac:dyDescent="0.35">
      <c r="A326" s="14"/>
      <c r="B326" s="81" t="str">
        <f t="shared" si="5"/>
        <v>Unitaire</v>
      </c>
      <c r="C326" s="15" t="s">
        <v>13</v>
      </c>
      <c r="D326" s="18" t="s">
        <v>292</v>
      </c>
      <c r="E326" s="16" t="s">
        <v>15</v>
      </c>
      <c r="F326" s="17"/>
      <c r="G326" s="17"/>
      <c r="H326" s="17"/>
      <c r="I326" s="17"/>
    </row>
    <row r="327" spans="1:9" ht="15" customHeight="1" x14ac:dyDescent="0.35">
      <c r="A327" s="14"/>
      <c r="B327" s="82" t="str">
        <f t="shared" si="5"/>
        <v>Unitaire</v>
      </c>
      <c r="C327" s="15" t="s">
        <v>13</v>
      </c>
      <c r="D327" s="18" t="s">
        <v>293</v>
      </c>
      <c r="E327" s="16" t="s">
        <v>18</v>
      </c>
      <c r="F327" s="17"/>
      <c r="G327" s="17"/>
      <c r="H327" s="17"/>
      <c r="I327" s="17"/>
    </row>
    <row r="328" spans="1:9" ht="15" customHeight="1" x14ac:dyDescent="0.35">
      <c r="A328" s="14"/>
      <c r="B328" s="81" t="str">
        <f t="shared" si="5"/>
        <v>Unitaire</v>
      </c>
      <c r="C328" s="15" t="s">
        <v>13</v>
      </c>
      <c r="D328" s="18" t="s">
        <v>294</v>
      </c>
      <c r="E328" s="16" t="s">
        <v>15</v>
      </c>
      <c r="F328" s="17"/>
      <c r="G328" s="17"/>
      <c r="H328" s="17"/>
      <c r="I328" s="17"/>
    </row>
    <row r="329" spans="1:9" ht="15" customHeight="1" x14ac:dyDescent="0.35">
      <c r="A329" s="14"/>
      <c r="B329" s="81" t="str">
        <f t="shared" si="5"/>
        <v>Unitaire</v>
      </c>
      <c r="C329" s="15" t="s">
        <v>13</v>
      </c>
      <c r="D329" s="18" t="s">
        <v>295</v>
      </c>
      <c r="E329" s="16" t="s">
        <v>15</v>
      </c>
      <c r="F329" s="17"/>
      <c r="G329" s="17"/>
      <c r="H329" s="17"/>
      <c r="I329" s="17"/>
    </row>
    <row r="330" spans="1:9" ht="15" customHeight="1" x14ac:dyDescent="0.35">
      <c r="A330" s="14"/>
      <c r="B330" s="81" t="str">
        <f t="shared" si="5"/>
        <v>Unitaire</v>
      </c>
      <c r="C330" s="15" t="s">
        <v>13</v>
      </c>
      <c r="D330" s="18" t="s">
        <v>296</v>
      </c>
      <c r="E330" s="16" t="s">
        <v>15</v>
      </c>
      <c r="F330" s="17"/>
      <c r="G330" s="17"/>
      <c r="H330" s="17"/>
      <c r="I330" s="17"/>
    </row>
    <row r="331" spans="1:9" ht="11.25" customHeight="1" x14ac:dyDescent="0.35">
      <c r="A331" s="19"/>
      <c r="B331" s="20" t="str">
        <f t="shared" si="5"/>
        <v/>
      </c>
      <c r="C331" s="20"/>
      <c r="D331" s="20" t="s">
        <v>297</v>
      </c>
      <c r="E331" s="19"/>
      <c r="F331" s="21"/>
      <c r="G331" s="21"/>
      <c r="H331" s="22"/>
      <c r="I331" s="23">
        <v>0</v>
      </c>
    </row>
    <row r="332" spans="1:9" ht="12.75" customHeight="1" x14ac:dyDescent="0.35">
      <c r="A332" s="42"/>
      <c r="B332" s="7" t="str">
        <f t="shared" si="5"/>
        <v/>
      </c>
      <c r="C332" s="7"/>
      <c r="D332" s="7"/>
      <c r="E332" s="7"/>
      <c r="F332" s="43"/>
      <c r="G332" s="43"/>
      <c r="H332" s="43"/>
      <c r="I332" s="43"/>
    </row>
    <row r="333" spans="1:9" ht="12.75" customHeight="1" x14ac:dyDescent="0.35">
      <c r="A333" s="85" t="s">
        <v>298</v>
      </c>
      <c r="B333" s="86"/>
      <c r="C333" s="86"/>
      <c r="D333" s="86"/>
      <c r="E333" s="86"/>
      <c r="F333" s="86"/>
      <c r="G333" s="86"/>
      <c r="H333" s="86"/>
      <c r="I333" s="87"/>
    </row>
    <row r="334" spans="1:9" ht="11.25" customHeight="1" x14ac:dyDescent="0.35">
      <c r="A334" s="8"/>
      <c r="B334" s="82" t="str">
        <f t="shared" ref="B334:B397" si="6">IF(E334="","",IF(E334="m²","Surfacique","Unitaire"))</f>
        <v>Surfacique</v>
      </c>
      <c r="C334" s="9" t="s">
        <v>10</v>
      </c>
      <c r="D334" s="9" t="s">
        <v>299</v>
      </c>
      <c r="E334" s="10" t="s">
        <v>12</v>
      </c>
      <c r="F334" s="11"/>
      <c r="G334" s="11"/>
      <c r="H334" s="12"/>
      <c r="I334" s="13"/>
    </row>
    <row r="335" spans="1:9" ht="19.5" customHeight="1" x14ac:dyDescent="0.35">
      <c r="A335" s="14"/>
      <c r="B335" s="81" t="str">
        <f t="shared" si="6"/>
        <v>Surfacique</v>
      </c>
      <c r="C335" s="15" t="s">
        <v>13</v>
      </c>
      <c r="D335" s="25" t="s">
        <v>300</v>
      </c>
      <c r="E335" s="26" t="s">
        <v>12</v>
      </c>
      <c r="F335" s="17"/>
      <c r="G335" s="17"/>
      <c r="H335" s="17">
        <v>4.6399999999999997</v>
      </c>
      <c r="I335" s="17"/>
    </row>
    <row r="336" spans="1:9" ht="19.5" customHeight="1" x14ac:dyDescent="0.35">
      <c r="A336" s="14"/>
      <c r="B336" s="81" t="str">
        <f t="shared" si="6"/>
        <v>Unitaire</v>
      </c>
      <c r="C336" s="15" t="s">
        <v>13</v>
      </c>
      <c r="D336" s="18" t="s">
        <v>301</v>
      </c>
      <c r="E336" s="16" t="s">
        <v>15</v>
      </c>
      <c r="F336" s="17"/>
      <c r="G336" s="17"/>
      <c r="H336" s="17"/>
      <c r="I336" s="17"/>
    </row>
    <row r="337" spans="1:9" ht="19.5" customHeight="1" x14ac:dyDescent="0.35">
      <c r="A337" s="14"/>
      <c r="B337" s="81" t="str">
        <f t="shared" si="6"/>
        <v>Unitaire</v>
      </c>
      <c r="C337" s="15" t="s">
        <v>13</v>
      </c>
      <c r="D337" s="18" t="s">
        <v>302</v>
      </c>
      <c r="E337" s="16" t="s">
        <v>25</v>
      </c>
      <c r="F337" s="17"/>
      <c r="G337" s="17"/>
      <c r="H337" s="17"/>
      <c r="I337" s="17"/>
    </row>
    <row r="338" spans="1:9" ht="19.5" customHeight="1" x14ac:dyDescent="0.35">
      <c r="A338" s="14"/>
      <c r="B338" s="81" t="str">
        <f t="shared" si="6"/>
        <v>Unitaire</v>
      </c>
      <c r="C338" s="15" t="s">
        <v>13</v>
      </c>
      <c r="D338" s="18" t="s">
        <v>303</v>
      </c>
      <c r="E338" s="16" t="s">
        <v>15</v>
      </c>
      <c r="F338" s="17"/>
      <c r="G338" s="17"/>
      <c r="H338" s="17"/>
      <c r="I338" s="17"/>
    </row>
    <row r="339" spans="1:9" ht="19.5" customHeight="1" x14ac:dyDescent="0.35">
      <c r="A339" s="14"/>
      <c r="B339" s="81" t="str">
        <f t="shared" si="6"/>
        <v>Unitaire</v>
      </c>
      <c r="C339" s="15" t="s">
        <v>13</v>
      </c>
      <c r="D339" s="18" t="s">
        <v>304</v>
      </c>
      <c r="E339" s="16" t="s">
        <v>15</v>
      </c>
      <c r="F339" s="17"/>
      <c r="G339" s="17"/>
      <c r="H339" s="17"/>
      <c r="I339" s="17"/>
    </row>
    <row r="340" spans="1:9" ht="19.5" customHeight="1" x14ac:dyDescent="0.35">
      <c r="A340" s="14"/>
      <c r="B340" s="81" t="str">
        <f t="shared" si="6"/>
        <v>Unitaire</v>
      </c>
      <c r="C340" s="15" t="s">
        <v>13</v>
      </c>
      <c r="D340" s="18" t="s">
        <v>305</v>
      </c>
      <c r="E340" s="16" t="s">
        <v>15</v>
      </c>
      <c r="F340" s="17"/>
      <c r="G340" s="17"/>
      <c r="H340" s="17"/>
      <c r="I340" s="17"/>
    </row>
    <row r="341" spans="1:9" ht="19.5" customHeight="1" x14ac:dyDescent="0.35">
      <c r="A341" s="14"/>
      <c r="B341" s="81" t="str">
        <f t="shared" si="6"/>
        <v>Unitaire</v>
      </c>
      <c r="C341" s="15" t="s">
        <v>13</v>
      </c>
      <c r="D341" s="18" t="s">
        <v>306</v>
      </c>
      <c r="E341" s="16" t="s">
        <v>15</v>
      </c>
      <c r="F341" s="17"/>
      <c r="G341" s="17"/>
      <c r="H341" s="17">
        <v>800</v>
      </c>
      <c r="I341" s="17"/>
    </row>
    <row r="342" spans="1:9" ht="33" customHeight="1" x14ac:dyDescent="0.35">
      <c r="A342" s="14"/>
      <c r="B342" s="81" t="str">
        <f t="shared" si="6"/>
        <v>Unitaire</v>
      </c>
      <c r="C342" s="15" t="s">
        <v>13</v>
      </c>
      <c r="D342" s="18" t="s">
        <v>307</v>
      </c>
      <c r="E342" s="16" t="s">
        <v>18</v>
      </c>
      <c r="F342" s="17"/>
      <c r="G342" s="17"/>
      <c r="H342" s="17"/>
      <c r="I342" s="17"/>
    </row>
    <row r="343" spans="1:9" ht="19.5" customHeight="1" x14ac:dyDescent="0.35">
      <c r="A343" s="14"/>
      <c r="B343" s="81" t="str">
        <f t="shared" si="6"/>
        <v>Unitaire</v>
      </c>
      <c r="C343" s="15" t="s">
        <v>13</v>
      </c>
      <c r="D343" s="18" t="s">
        <v>308</v>
      </c>
      <c r="E343" s="16" t="s">
        <v>15</v>
      </c>
      <c r="F343" s="17"/>
      <c r="G343" s="17"/>
      <c r="H343" s="17"/>
      <c r="I343" s="17"/>
    </row>
    <row r="344" spans="1:9" ht="19.5" customHeight="1" x14ac:dyDescent="0.35">
      <c r="A344" s="14"/>
      <c r="B344" s="81" t="str">
        <f t="shared" si="6"/>
        <v>Unitaire</v>
      </c>
      <c r="C344" s="15" t="s">
        <v>13</v>
      </c>
      <c r="D344" s="18" t="s">
        <v>309</v>
      </c>
      <c r="E344" s="16" t="s">
        <v>15</v>
      </c>
      <c r="F344" s="17"/>
      <c r="G344" s="17"/>
      <c r="H344" s="17">
        <v>5500</v>
      </c>
      <c r="I344" s="17"/>
    </row>
    <row r="345" spans="1:9" ht="19.5" customHeight="1" x14ac:dyDescent="0.35">
      <c r="A345" s="14"/>
      <c r="B345" s="81" t="str">
        <f t="shared" si="6"/>
        <v>Unitaire</v>
      </c>
      <c r="C345" s="15" t="s">
        <v>13</v>
      </c>
      <c r="D345" s="18" t="s">
        <v>310</v>
      </c>
      <c r="E345" s="16" t="s">
        <v>15</v>
      </c>
      <c r="F345" s="17"/>
      <c r="G345" s="17"/>
      <c r="H345" s="17">
        <v>11000</v>
      </c>
      <c r="I345" s="17"/>
    </row>
    <row r="346" spans="1:9" ht="19.5" customHeight="1" x14ac:dyDescent="0.35">
      <c r="A346" s="14"/>
      <c r="B346" s="81" t="str">
        <f t="shared" si="6"/>
        <v>Unitaire</v>
      </c>
      <c r="C346" s="15" t="s">
        <v>13</v>
      </c>
      <c r="D346" s="18" t="s">
        <v>311</v>
      </c>
      <c r="E346" s="16" t="s">
        <v>15</v>
      </c>
      <c r="F346" s="17"/>
      <c r="G346" s="17"/>
      <c r="H346" s="17">
        <v>250</v>
      </c>
      <c r="I346" s="17"/>
    </row>
    <row r="347" spans="1:9" ht="19.5" customHeight="1" x14ac:dyDescent="0.35">
      <c r="A347" s="14"/>
      <c r="B347" s="81" t="str">
        <f t="shared" si="6"/>
        <v>Unitaire</v>
      </c>
      <c r="C347" s="15" t="s">
        <v>13</v>
      </c>
      <c r="D347" s="18" t="s">
        <v>312</v>
      </c>
      <c r="E347" s="16" t="s">
        <v>15</v>
      </c>
      <c r="F347" s="17"/>
      <c r="G347" s="17"/>
      <c r="H347" s="17">
        <v>250</v>
      </c>
      <c r="I347" s="17"/>
    </row>
    <row r="348" spans="1:9" ht="19.5" customHeight="1" x14ac:dyDescent="0.35">
      <c r="A348" s="14"/>
      <c r="B348" s="81" t="str">
        <f t="shared" si="6"/>
        <v>Unitaire</v>
      </c>
      <c r="C348" s="15" t="s">
        <v>13</v>
      </c>
      <c r="D348" s="18" t="s">
        <v>313</v>
      </c>
      <c r="E348" s="16" t="s">
        <v>15</v>
      </c>
      <c r="F348" s="17"/>
      <c r="G348" s="17"/>
      <c r="H348" s="17">
        <v>80</v>
      </c>
      <c r="I348" s="17"/>
    </row>
    <row r="349" spans="1:9" ht="19.5" customHeight="1" x14ac:dyDescent="0.35">
      <c r="A349" s="14"/>
      <c r="B349" s="81" t="str">
        <f t="shared" si="6"/>
        <v>Unitaire</v>
      </c>
      <c r="C349" s="15" t="s">
        <v>13</v>
      </c>
      <c r="D349" s="18" t="s">
        <v>314</v>
      </c>
      <c r="E349" s="16" t="s">
        <v>15</v>
      </c>
      <c r="F349" s="17"/>
      <c r="G349" s="17"/>
      <c r="H349" s="17">
        <v>350</v>
      </c>
      <c r="I349" s="17"/>
    </row>
    <row r="350" spans="1:9" ht="19.5" customHeight="1" x14ac:dyDescent="0.35">
      <c r="A350" s="14"/>
      <c r="B350" s="81" t="str">
        <f t="shared" si="6"/>
        <v>Unitaire</v>
      </c>
      <c r="C350" s="15" t="s">
        <v>13</v>
      </c>
      <c r="D350" s="18" t="s">
        <v>315</v>
      </c>
      <c r="E350" s="16" t="s">
        <v>15</v>
      </c>
      <c r="F350" s="17"/>
      <c r="G350" s="17"/>
      <c r="H350" s="17">
        <v>80</v>
      </c>
      <c r="I350" s="17"/>
    </row>
    <row r="351" spans="1:9" ht="19.5" customHeight="1" x14ac:dyDescent="0.35">
      <c r="A351" s="14"/>
      <c r="B351" s="81" t="str">
        <f t="shared" si="6"/>
        <v>Unitaire</v>
      </c>
      <c r="C351" s="15" t="s">
        <v>13</v>
      </c>
      <c r="D351" s="18" t="s">
        <v>316</v>
      </c>
      <c r="E351" s="16" t="s">
        <v>25</v>
      </c>
      <c r="F351" s="17"/>
      <c r="G351" s="17"/>
      <c r="H351" s="17">
        <v>12</v>
      </c>
      <c r="I351" s="17"/>
    </row>
    <row r="352" spans="1:9" ht="19.5" customHeight="1" x14ac:dyDescent="0.35">
      <c r="A352" s="14"/>
      <c r="B352" s="81" t="str">
        <f t="shared" si="6"/>
        <v>Unitaire</v>
      </c>
      <c r="C352" s="15" t="s">
        <v>13</v>
      </c>
      <c r="D352" s="18" t="s">
        <v>317</v>
      </c>
      <c r="E352" s="16" t="s">
        <v>18</v>
      </c>
      <c r="F352" s="17"/>
      <c r="G352" s="17"/>
      <c r="H352" s="17">
        <v>300</v>
      </c>
      <c r="I352" s="17"/>
    </row>
    <row r="353" spans="1:9" ht="19.5" customHeight="1" x14ac:dyDescent="0.35">
      <c r="A353" s="14"/>
      <c r="B353" s="81" t="str">
        <f t="shared" si="6"/>
        <v>Unitaire</v>
      </c>
      <c r="C353" s="15" t="s">
        <v>13</v>
      </c>
      <c r="D353" s="18" t="s">
        <v>318</v>
      </c>
      <c r="E353" s="16" t="s">
        <v>18</v>
      </c>
      <c r="F353" s="17"/>
      <c r="G353" s="17"/>
      <c r="H353" s="17">
        <v>2500</v>
      </c>
      <c r="I353" s="17"/>
    </row>
    <row r="354" spans="1:9" ht="30" customHeight="1" x14ac:dyDescent="0.35">
      <c r="A354" s="14"/>
      <c r="B354" s="81" t="str">
        <f t="shared" si="6"/>
        <v>Unitaire</v>
      </c>
      <c r="C354" s="15" t="s">
        <v>13</v>
      </c>
      <c r="D354" s="18" t="s">
        <v>319</v>
      </c>
      <c r="E354" s="16" t="s">
        <v>18</v>
      </c>
      <c r="F354" s="17"/>
      <c r="G354" s="17"/>
      <c r="H354" s="17"/>
      <c r="I354" s="17"/>
    </row>
    <row r="355" spans="1:9" ht="11.25" customHeight="1" x14ac:dyDescent="0.35">
      <c r="A355" s="19"/>
      <c r="B355" s="20" t="str">
        <f t="shared" si="6"/>
        <v/>
      </c>
      <c r="C355" s="20"/>
      <c r="D355" s="20" t="str">
        <f>CONCATENATE("Sous-Total : ",A334," - ",D334)</f>
        <v>Sous-Total :  - Téléphonie</v>
      </c>
      <c r="E355" s="19"/>
      <c r="F355" s="21"/>
      <c r="G355" s="21"/>
      <c r="H355" s="22"/>
      <c r="I355" s="23">
        <v>0</v>
      </c>
    </row>
    <row r="356" spans="1:9" ht="11.25" customHeight="1" x14ac:dyDescent="0.35">
      <c r="A356" s="8"/>
      <c r="B356" s="82" t="str">
        <f t="shared" si="6"/>
        <v>Surfacique</v>
      </c>
      <c r="C356" s="9" t="s">
        <v>10</v>
      </c>
      <c r="D356" s="9" t="s">
        <v>320</v>
      </c>
      <c r="E356" s="10" t="s">
        <v>12</v>
      </c>
      <c r="F356" s="11"/>
      <c r="G356" s="11"/>
      <c r="H356" s="12"/>
      <c r="I356" s="13"/>
    </row>
    <row r="357" spans="1:9" ht="15.75" customHeight="1" x14ac:dyDescent="0.35">
      <c r="A357" s="16"/>
      <c r="B357" s="81" t="str">
        <f t="shared" si="6"/>
        <v>Surfacique</v>
      </c>
      <c r="C357" s="15" t="s">
        <v>13</v>
      </c>
      <c r="D357" s="18" t="s">
        <v>321</v>
      </c>
      <c r="E357" s="26" t="s">
        <v>12</v>
      </c>
      <c r="F357" s="17"/>
      <c r="G357" s="17"/>
      <c r="H357" s="17">
        <v>0.54</v>
      </c>
      <c r="I357" s="17"/>
    </row>
    <row r="358" spans="1:9" ht="15.75" customHeight="1" x14ac:dyDescent="0.35">
      <c r="A358" s="16"/>
      <c r="B358" s="81" t="str">
        <f t="shared" si="6"/>
        <v>Unitaire</v>
      </c>
      <c r="C358" s="15" t="s">
        <v>13</v>
      </c>
      <c r="D358" s="18" t="s">
        <v>322</v>
      </c>
      <c r="E358" s="16" t="s">
        <v>15</v>
      </c>
      <c r="F358" s="17"/>
      <c r="G358" s="17"/>
      <c r="H358" s="17">
        <v>1250</v>
      </c>
      <c r="I358" s="17"/>
    </row>
    <row r="359" spans="1:9" ht="15.75" customHeight="1" x14ac:dyDescent="0.35">
      <c r="A359" s="16"/>
      <c r="B359" s="81" t="str">
        <f t="shared" si="6"/>
        <v>Unitaire</v>
      </c>
      <c r="C359" s="15" t="s">
        <v>13</v>
      </c>
      <c r="D359" s="18" t="s">
        <v>323</v>
      </c>
      <c r="E359" s="16" t="s">
        <v>15</v>
      </c>
      <c r="F359" s="17"/>
      <c r="G359" s="17"/>
      <c r="H359" s="17">
        <v>1210</v>
      </c>
      <c r="I359" s="17"/>
    </row>
    <row r="360" spans="1:9" ht="15.75" customHeight="1" x14ac:dyDescent="0.35">
      <c r="A360" s="16"/>
      <c r="B360" s="81" t="str">
        <f t="shared" si="6"/>
        <v>Unitaire</v>
      </c>
      <c r="C360" s="15" t="s">
        <v>13</v>
      </c>
      <c r="D360" s="18" t="s">
        <v>324</v>
      </c>
      <c r="E360" s="16" t="s">
        <v>15</v>
      </c>
      <c r="F360" s="17"/>
      <c r="G360" s="17"/>
      <c r="H360" s="17"/>
      <c r="I360" s="17"/>
    </row>
    <row r="361" spans="1:9" ht="15.75" customHeight="1" x14ac:dyDescent="0.35">
      <c r="A361" s="16"/>
      <c r="B361" s="81" t="str">
        <f t="shared" si="6"/>
        <v>Unitaire</v>
      </c>
      <c r="C361" s="15" t="s">
        <v>13</v>
      </c>
      <c r="D361" s="18" t="s">
        <v>325</v>
      </c>
      <c r="E361" s="16" t="s">
        <v>15</v>
      </c>
      <c r="F361" s="17"/>
      <c r="G361" s="17"/>
      <c r="H361" s="17"/>
      <c r="I361" s="17"/>
    </row>
    <row r="362" spans="1:9" ht="11.25" customHeight="1" x14ac:dyDescent="0.35">
      <c r="A362" s="19"/>
      <c r="B362" s="20" t="str">
        <f t="shared" si="6"/>
        <v/>
      </c>
      <c r="C362" s="20"/>
      <c r="D362" s="20" t="str">
        <f>CONCATENATE("Sous-Total : ",A356," - ",D356)</f>
        <v>Sous-Total :  - Système DECT</v>
      </c>
      <c r="E362" s="19"/>
      <c r="F362" s="21"/>
      <c r="G362" s="21"/>
      <c r="H362" s="22"/>
      <c r="I362" s="23">
        <v>0</v>
      </c>
    </row>
    <row r="363" spans="1:9" ht="11.25" customHeight="1" x14ac:dyDescent="0.35">
      <c r="A363" s="8"/>
      <c r="B363" s="82" t="str">
        <f t="shared" si="6"/>
        <v>Surfacique</v>
      </c>
      <c r="C363" s="9" t="s">
        <v>10</v>
      </c>
      <c r="D363" s="9" t="s">
        <v>326</v>
      </c>
      <c r="E363" s="10" t="s">
        <v>12</v>
      </c>
      <c r="F363" s="11"/>
      <c r="G363" s="11"/>
      <c r="H363" s="12"/>
      <c r="I363" s="13"/>
    </row>
    <row r="364" spans="1:9" ht="15" customHeight="1" x14ac:dyDescent="0.35">
      <c r="A364" s="14"/>
      <c r="B364" s="81" t="str">
        <f t="shared" si="6"/>
        <v>Surfacique</v>
      </c>
      <c r="C364" s="15" t="s">
        <v>13</v>
      </c>
      <c r="D364" s="18" t="s">
        <v>229</v>
      </c>
      <c r="E364" s="26" t="s">
        <v>12</v>
      </c>
      <c r="F364" s="17"/>
      <c r="G364" s="17"/>
      <c r="H364" s="17">
        <v>39.6</v>
      </c>
      <c r="I364" s="17"/>
    </row>
    <row r="365" spans="1:9" ht="15" customHeight="1" x14ac:dyDescent="0.35">
      <c r="A365" s="14"/>
      <c r="B365" s="81" t="str">
        <f t="shared" si="6"/>
        <v>Surfacique</v>
      </c>
      <c r="C365" s="15" t="s">
        <v>13</v>
      </c>
      <c r="D365" s="18" t="s">
        <v>230</v>
      </c>
      <c r="E365" s="26" t="s">
        <v>12</v>
      </c>
      <c r="F365" s="17"/>
      <c r="G365" s="17"/>
      <c r="H365" s="17">
        <v>13</v>
      </c>
      <c r="I365" s="17"/>
    </row>
    <row r="366" spans="1:9" ht="15" customHeight="1" x14ac:dyDescent="0.35">
      <c r="A366" s="14"/>
      <c r="B366" s="81" t="str">
        <f t="shared" si="6"/>
        <v>Surfacique</v>
      </c>
      <c r="C366" s="15" t="s">
        <v>13</v>
      </c>
      <c r="D366" s="18" t="s">
        <v>327</v>
      </c>
      <c r="E366" s="26" t="s">
        <v>12</v>
      </c>
      <c r="F366" s="17"/>
      <c r="G366" s="17"/>
      <c r="H366" s="17">
        <v>7.2</v>
      </c>
      <c r="I366" s="17"/>
    </row>
    <row r="367" spans="1:9" ht="15" customHeight="1" x14ac:dyDescent="0.35">
      <c r="A367" s="14"/>
      <c r="B367" s="81" t="str">
        <f t="shared" si="6"/>
        <v>Surfacique</v>
      </c>
      <c r="C367" s="15" t="s">
        <v>13</v>
      </c>
      <c r="D367" s="18" t="s">
        <v>231</v>
      </c>
      <c r="E367" s="26" t="s">
        <v>12</v>
      </c>
      <c r="F367" s="17"/>
      <c r="G367" s="17"/>
      <c r="H367" s="17">
        <v>8.4</v>
      </c>
      <c r="I367" s="17"/>
    </row>
    <row r="368" spans="1:9" ht="15" customHeight="1" x14ac:dyDescent="0.35">
      <c r="A368" s="14"/>
      <c r="B368" s="81" t="str">
        <f t="shared" si="6"/>
        <v>Surfacique</v>
      </c>
      <c r="C368" s="15" t="s">
        <v>13</v>
      </c>
      <c r="D368" s="18" t="s">
        <v>328</v>
      </c>
      <c r="E368" s="26" t="s">
        <v>12</v>
      </c>
      <c r="F368" s="17"/>
      <c r="G368" s="17"/>
      <c r="H368" s="17">
        <v>8.4</v>
      </c>
      <c r="I368" s="17"/>
    </row>
    <row r="369" spans="1:9" ht="15" customHeight="1" x14ac:dyDescent="0.35">
      <c r="A369" s="14"/>
      <c r="B369" s="81" t="str">
        <f t="shared" si="6"/>
        <v>Surfacique</v>
      </c>
      <c r="C369" s="15" t="s">
        <v>13</v>
      </c>
      <c r="D369" s="18" t="s">
        <v>232</v>
      </c>
      <c r="E369" s="26" t="s">
        <v>12</v>
      </c>
      <c r="F369" s="17"/>
      <c r="G369" s="17"/>
      <c r="H369" s="17">
        <v>8.64</v>
      </c>
      <c r="I369" s="17"/>
    </row>
    <row r="370" spans="1:9" ht="15" customHeight="1" x14ac:dyDescent="0.35">
      <c r="A370" s="14"/>
      <c r="B370" s="81" t="str">
        <f t="shared" si="6"/>
        <v>Surfacique</v>
      </c>
      <c r="C370" s="15" t="s">
        <v>13</v>
      </c>
      <c r="D370" s="18" t="s">
        <v>233</v>
      </c>
      <c r="E370" s="26" t="s">
        <v>12</v>
      </c>
      <c r="F370" s="17"/>
      <c r="G370" s="17"/>
      <c r="H370" s="17">
        <v>2.4</v>
      </c>
      <c r="I370" s="17"/>
    </row>
    <row r="371" spans="1:9" ht="15" customHeight="1" x14ac:dyDescent="0.35">
      <c r="A371" s="14"/>
      <c r="B371" s="81" t="str">
        <f t="shared" si="6"/>
        <v>Surfacique</v>
      </c>
      <c r="C371" s="15" t="s">
        <v>13</v>
      </c>
      <c r="D371" s="18" t="s">
        <v>234</v>
      </c>
      <c r="E371" s="26" t="s">
        <v>12</v>
      </c>
      <c r="F371" s="17"/>
      <c r="G371" s="17"/>
      <c r="H371" s="17">
        <v>19</v>
      </c>
      <c r="I371" s="17"/>
    </row>
    <row r="372" spans="1:9" ht="15" customHeight="1" x14ac:dyDescent="0.35">
      <c r="A372" s="14"/>
      <c r="B372" s="81" t="str">
        <f t="shared" si="6"/>
        <v>Surfacique</v>
      </c>
      <c r="C372" s="15" t="s">
        <v>13</v>
      </c>
      <c r="D372" s="18" t="s">
        <v>329</v>
      </c>
      <c r="E372" s="26" t="s">
        <v>12</v>
      </c>
      <c r="F372" s="17"/>
      <c r="G372" s="17"/>
      <c r="H372" s="17">
        <v>7.06</v>
      </c>
      <c r="I372" s="17"/>
    </row>
    <row r="373" spans="1:9" ht="15" customHeight="1" x14ac:dyDescent="0.35">
      <c r="A373" s="14"/>
      <c r="B373" s="81" t="str">
        <f t="shared" si="6"/>
        <v>Surfacique</v>
      </c>
      <c r="C373" s="15" t="s">
        <v>13</v>
      </c>
      <c r="D373" s="18" t="s">
        <v>330</v>
      </c>
      <c r="E373" s="26" t="s">
        <v>12</v>
      </c>
      <c r="F373" s="17"/>
      <c r="G373" s="17"/>
      <c r="H373" s="17">
        <v>0.8</v>
      </c>
      <c r="I373" s="17"/>
    </row>
    <row r="374" spans="1:9" ht="15" customHeight="1" x14ac:dyDescent="0.35">
      <c r="A374" s="14"/>
      <c r="B374" s="81" t="str">
        <f t="shared" si="6"/>
        <v>Unitaire</v>
      </c>
      <c r="C374" s="15" t="s">
        <v>13</v>
      </c>
      <c r="D374" s="18" t="s">
        <v>331</v>
      </c>
      <c r="E374" s="16" t="s">
        <v>15</v>
      </c>
      <c r="F374" s="17"/>
      <c r="G374" s="17"/>
      <c r="H374" s="17">
        <v>150</v>
      </c>
      <c r="I374" s="17"/>
    </row>
    <row r="375" spans="1:9" ht="15" customHeight="1" x14ac:dyDescent="0.35">
      <c r="A375" s="14"/>
      <c r="B375" s="81" t="str">
        <f t="shared" si="6"/>
        <v>Unitaire</v>
      </c>
      <c r="C375" s="15" t="s">
        <v>13</v>
      </c>
      <c r="D375" s="18" t="s">
        <v>332</v>
      </c>
      <c r="E375" s="16" t="s">
        <v>15</v>
      </c>
      <c r="F375" s="17"/>
      <c r="G375" s="17"/>
      <c r="H375" s="17"/>
      <c r="I375" s="17"/>
    </row>
    <row r="376" spans="1:9" ht="15" customHeight="1" x14ac:dyDescent="0.35">
      <c r="A376" s="14"/>
      <c r="B376" s="81" t="str">
        <f t="shared" si="6"/>
        <v>Unitaire</v>
      </c>
      <c r="C376" s="15" t="s">
        <v>13</v>
      </c>
      <c r="D376" s="18" t="s">
        <v>333</v>
      </c>
      <c r="E376" s="16" t="s">
        <v>15</v>
      </c>
      <c r="F376" s="17"/>
      <c r="G376" s="17"/>
      <c r="H376" s="17"/>
      <c r="I376" s="17"/>
    </row>
    <row r="377" spans="1:9" ht="15" customHeight="1" x14ac:dyDescent="0.35">
      <c r="A377" s="14"/>
      <c r="B377" s="81" t="str">
        <f t="shared" si="6"/>
        <v>Unitaire</v>
      </c>
      <c r="C377" s="15" t="s">
        <v>13</v>
      </c>
      <c r="D377" s="18" t="s">
        <v>334</v>
      </c>
      <c r="E377" s="16" t="s">
        <v>15</v>
      </c>
      <c r="F377" s="17"/>
      <c r="G377" s="17"/>
      <c r="H377" s="17"/>
      <c r="I377" s="17"/>
    </row>
    <row r="378" spans="1:9" ht="15" customHeight="1" x14ac:dyDescent="0.35">
      <c r="A378" s="14"/>
      <c r="B378" s="81" t="str">
        <f t="shared" si="6"/>
        <v>Unitaire</v>
      </c>
      <c r="C378" s="15" t="s">
        <v>13</v>
      </c>
      <c r="D378" s="18" t="s">
        <v>335</v>
      </c>
      <c r="E378" s="16" t="s">
        <v>15</v>
      </c>
      <c r="F378" s="17"/>
      <c r="G378" s="17"/>
      <c r="H378" s="17"/>
      <c r="I378" s="17"/>
    </row>
    <row r="379" spans="1:9" ht="15" customHeight="1" x14ac:dyDescent="0.35">
      <c r="A379" s="14"/>
      <c r="B379" s="81" t="str">
        <f t="shared" si="6"/>
        <v>Unitaire</v>
      </c>
      <c r="C379" s="15" t="s">
        <v>13</v>
      </c>
      <c r="D379" s="18" t="s">
        <v>336</v>
      </c>
      <c r="E379" s="16" t="s">
        <v>25</v>
      </c>
      <c r="F379" s="17"/>
      <c r="G379" s="17"/>
      <c r="H379" s="17"/>
      <c r="I379" s="17"/>
    </row>
    <row r="380" spans="1:9" ht="15" customHeight="1" x14ac:dyDescent="0.35">
      <c r="A380" s="14"/>
      <c r="B380" s="81" t="str">
        <f t="shared" si="6"/>
        <v>Unitaire</v>
      </c>
      <c r="C380" s="15" t="s">
        <v>13</v>
      </c>
      <c r="D380" s="18" t="s">
        <v>337</v>
      </c>
      <c r="E380" s="16" t="s">
        <v>18</v>
      </c>
      <c r="F380" s="17"/>
      <c r="G380" s="17"/>
      <c r="H380" s="17"/>
      <c r="I380" s="17"/>
    </row>
    <row r="381" spans="1:9" ht="15" customHeight="1" x14ac:dyDescent="0.35">
      <c r="A381" s="14"/>
      <c r="B381" s="81" t="str">
        <f t="shared" si="6"/>
        <v>Unitaire</v>
      </c>
      <c r="C381" s="15" t="s">
        <v>13</v>
      </c>
      <c r="D381" s="18" t="s">
        <v>338</v>
      </c>
      <c r="E381" s="16" t="s">
        <v>25</v>
      </c>
      <c r="F381" s="17"/>
      <c r="G381" s="17"/>
      <c r="H381" s="17">
        <v>6</v>
      </c>
      <c r="I381" s="17"/>
    </row>
    <row r="382" spans="1:9" ht="15" customHeight="1" x14ac:dyDescent="0.35">
      <c r="A382" s="14"/>
      <c r="B382" s="81" t="str">
        <f t="shared" si="6"/>
        <v>Unitaire</v>
      </c>
      <c r="C382" s="15" t="s">
        <v>13</v>
      </c>
      <c r="D382" s="15" t="s">
        <v>339</v>
      </c>
      <c r="E382" s="16" t="s">
        <v>15</v>
      </c>
      <c r="F382" s="17"/>
      <c r="G382" s="17"/>
      <c r="H382" s="17">
        <v>600</v>
      </c>
      <c r="I382" s="17"/>
    </row>
    <row r="383" spans="1:9" ht="15" customHeight="1" x14ac:dyDescent="0.35">
      <c r="A383" s="14"/>
      <c r="B383" s="81" t="str">
        <f t="shared" si="6"/>
        <v>Unitaire</v>
      </c>
      <c r="C383" s="15" t="s">
        <v>13</v>
      </c>
      <c r="D383" s="15" t="s">
        <v>340</v>
      </c>
      <c r="E383" s="16" t="s">
        <v>15</v>
      </c>
      <c r="F383" s="17"/>
      <c r="G383" s="17"/>
      <c r="H383" s="17">
        <v>150</v>
      </c>
      <c r="I383" s="17"/>
    </row>
    <row r="384" spans="1:9" ht="15" customHeight="1" x14ac:dyDescent="0.35">
      <c r="A384" s="14"/>
      <c r="B384" s="81" t="str">
        <f t="shared" si="6"/>
        <v>Unitaire</v>
      </c>
      <c r="C384" s="15" t="s">
        <v>13</v>
      </c>
      <c r="D384" s="15" t="s">
        <v>341</v>
      </c>
      <c r="E384" s="16" t="s">
        <v>15</v>
      </c>
      <c r="F384" s="17"/>
      <c r="G384" s="17"/>
      <c r="H384" s="17">
        <v>100</v>
      </c>
      <c r="I384" s="17"/>
    </row>
    <row r="385" spans="1:9" ht="15" customHeight="1" x14ac:dyDescent="0.35">
      <c r="A385" s="14"/>
      <c r="B385" s="81" t="str">
        <f t="shared" si="6"/>
        <v>Unitaire</v>
      </c>
      <c r="C385" s="15" t="s">
        <v>13</v>
      </c>
      <c r="D385" s="18" t="s">
        <v>342</v>
      </c>
      <c r="E385" s="16" t="s">
        <v>15</v>
      </c>
      <c r="F385" s="17"/>
      <c r="G385" s="17"/>
      <c r="H385" s="17">
        <v>7</v>
      </c>
      <c r="I385" s="17"/>
    </row>
    <row r="386" spans="1:9" ht="15" customHeight="1" x14ac:dyDescent="0.35">
      <c r="A386" s="14"/>
      <c r="B386" s="81" t="str">
        <f t="shared" si="6"/>
        <v>Unitaire</v>
      </c>
      <c r="C386" s="15" t="s">
        <v>13</v>
      </c>
      <c r="D386" s="18" t="s">
        <v>343</v>
      </c>
      <c r="E386" s="16" t="s">
        <v>15</v>
      </c>
      <c r="F386" s="17"/>
      <c r="G386" s="17"/>
      <c r="H386" s="17"/>
      <c r="I386" s="17"/>
    </row>
    <row r="387" spans="1:9" ht="11.25" customHeight="1" x14ac:dyDescent="0.35">
      <c r="A387" s="19"/>
      <c r="B387" s="20" t="str">
        <f t="shared" si="6"/>
        <v/>
      </c>
      <c r="C387" s="20"/>
      <c r="D387" s="20" t="str">
        <f>CONCATENATE("Sous-Total : ",A363," - ",D363)</f>
        <v>Sous-Total :  - Précâblage VDI</v>
      </c>
      <c r="E387" s="19"/>
      <c r="F387" s="21"/>
      <c r="G387" s="21"/>
      <c r="H387" s="22"/>
      <c r="I387" s="23">
        <v>0</v>
      </c>
    </row>
    <row r="388" spans="1:9" ht="11.25" customHeight="1" x14ac:dyDescent="0.35">
      <c r="A388" s="8"/>
      <c r="B388" s="82" t="str">
        <f t="shared" si="6"/>
        <v>Surfacique</v>
      </c>
      <c r="C388" s="9" t="s">
        <v>10</v>
      </c>
      <c r="D388" s="9" t="s">
        <v>344</v>
      </c>
      <c r="E388" s="10" t="s">
        <v>12</v>
      </c>
      <c r="F388" s="11"/>
      <c r="G388" s="11"/>
      <c r="H388" s="12"/>
      <c r="I388" s="13"/>
    </row>
    <row r="389" spans="1:9" ht="15" customHeight="1" x14ac:dyDescent="0.35">
      <c r="A389" s="14"/>
      <c r="B389" s="82" t="str">
        <f t="shared" si="6"/>
        <v>Surfacique</v>
      </c>
      <c r="C389" s="15" t="s">
        <v>13</v>
      </c>
      <c r="D389" s="18" t="s">
        <v>345</v>
      </c>
      <c r="E389" s="26" t="s">
        <v>12</v>
      </c>
      <c r="F389" s="17"/>
      <c r="G389" s="17"/>
      <c r="H389" s="17">
        <v>0.81</v>
      </c>
      <c r="I389" s="17"/>
    </row>
    <row r="390" spans="1:9" ht="15" customHeight="1" x14ac:dyDescent="0.35">
      <c r="A390" s="14"/>
      <c r="B390" s="82" t="str">
        <f t="shared" si="6"/>
        <v>Surfacique</v>
      </c>
      <c r="C390" s="15" t="s">
        <v>13</v>
      </c>
      <c r="D390" s="18" t="s">
        <v>346</v>
      </c>
      <c r="E390" s="26" t="s">
        <v>12</v>
      </c>
      <c r="F390" s="17"/>
      <c r="G390" s="17"/>
      <c r="H390" s="17">
        <v>7</v>
      </c>
      <c r="I390" s="17"/>
    </row>
    <row r="391" spans="1:9" ht="15" customHeight="1" x14ac:dyDescent="0.35">
      <c r="A391" s="14"/>
      <c r="B391" s="82" t="str">
        <f t="shared" si="6"/>
        <v>Surfacique</v>
      </c>
      <c r="C391" s="15" t="s">
        <v>13</v>
      </c>
      <c r="D391" s="18" t="s">
        <v>347</v>
      </c>
      <c r="E391" s="26" t="s">
        <v>12</v>
      </c>
      <c r="F391" s="17"/>
      <c r="G391" s="17"/>
      <c r="H391" s="17">
        <v>0.54</v>
      </c>
      <c r="I391" s="17"/>
    </row>
    <row r="392" spans="1:9" ht="15" customHeight="1" x14ac:dyDescent="0.35">
      <c r="A392" s="14"/>
      <c r="B392" s="82" t="str">
        <f t="shared" si="6"/>
        <v>Surfacique</v>
      </c>
      <c r="C392" s="15" t="s">
        <v>13</v>
      </c>
      <c r="D392" s="18" t="s">
        <v>348</v>
      </c>
      <c r="E392" s="26" t="s">
        <v>12</v>
      </c>
      <c r="F392" s="17"/>
      <c r="G392" s="17"/>
      <c r="H392" s="17">
        <v>2.5</v>
      </c>
      <c r="I392" s="17"/>
    </row>
    <row r="393" spans="1:9" ht="15" customHeight="1" x14ac:dyDescent="0.35">
      <c r="A393" s="14"/>
      <c r="B393" s="82" t="str">
        <f t="shared" si="6"/>
        <v>Unitaire</v>
      </c>
      <c r="C393" s="15" t="s">
        <v>13</v>
      </c>
      <c r="D393" s="18" t="s">
        <v>349</v>
      </c>
      <c r="E393" s="16" t="s">
        <v>15</v>
      </c>
      <c r="F393" s="17"/>
      <c r="G393" s="17"/>
      <c r="H393" s="17"/>
      <c r="I393" s="17"/>
    </row>
    <row r="394" spans="1:9" ht="15" customHeight="1" x14ac:dyDescent="0.35">
      <c r="A394" s="14"/>
      <c r="B394" s="82" t="str">
        <f t="shared" si="6"/>
        <v>Unitaire</v>
      </c>
      <c r="C394" s="15" t="s">
        <v>13</v>
      </c>
      <c r="D394" s="18" t="s">
        <v>350</v>
      </c>
      <c r="E394" s="16" t="s">
        <v>18</v>
      </c>
      <c r="F394" s="17"/>
      <c r="G394" s="17"/>
      <c r="H394" s="17"/>
      <c r="I394" s="17"/>
    </row>
    <row r="395" spans="1:9" ht="15" customHeight="1" x14ac:dyDescent="0.35">
      <c r="A395" s="14"/>
      <c r="B395" s="81" t="str">
        <f t="shared" si="6"/>
        <v>Unitaire</v>
      </c>
      <c r="C395" s="15" t="s">
        <v>13</v>
      </c>
      <c r="D395" s="18" t="s">
        <v>351</v>
      </c>
      <c r="E395" s="16" t="s">
        <v>15</v>
      </c>
      <c r="F395" s="17"/>
      <c r="G395" s="17"/>
      <c r="H395" s="17"/>
      <c r="I395" s="17"/>
    </row>
    <row r="396" spans="1:9" ht="15" customHeight="1" x14ac:dyDescent="0.35">
      <c r="A396" s="14"/>
      <c r="B396" s="82" t="str">
        <f t="shared" si="6"/>
        <v>Unitaire</v>
      </c>
      <c r="C396" s="15" t="s">
        <v>13</v>
      </c>
      <c r="D396" s="18" t="s">
        <v>352</v>
      </c>
      <c r="E396" s="16" t="s">
        <v>18</v>
      </c>
      <c r="F396" s="17"/>
      <c r="G396" s="17"/>
      <c r="H396" s="17"/>
      <c r="I396" s="17"/>
    </row>
    <row r="397" spans="1:9" ht="11.25" customHeight="1" x14ac:dyDescent="0.35">
      <c r="A397" s="19"/>
      <c r="B397" s="20" t="str">
        <f t="shared" si="6"/>
        <v/>
      </c>
      <c r="C397" s="20"/>
      <c r="D397" s="20" t="str">
        <f>CONCATENATE("Sous-Total : ",A388," - ",D388)</f>
        <v>Sous-Total :  - Système wifi</v>
      </c>
      <c r="E397" s="19"/>
      <c r="F397" s="21"/>
      <c r="G397" s="21"/>
      <c r="H397" s="22"/>
      <c r="I397" s="23">
        <v>0</v>
      </c>
    </row>
    <row r="398" spans="1:9" ht="11.25" customHeight="1" x14ac:dyDescent="0.35">
      <c r="A398" s="44"/>
      <c r="B398" s="82" t="str">
        <f t="shared" ref="B398:B461" si="7">IF(E398="","",IF(E398="m²","Surfacique","Unitaire"))</f>
        <v>Surfacique</v>
      </c>
      <c r="C398" s="9" t="s">
        <v>10</v>
      </c>
      <c r="D398" s="45" t="s">
        <v>353</v>
      </c>
      <c r="E398" s="10" t="s">
        <v>12</v>
      </c>
      <c r="F398" s="46"/>
      <c r="G398" s="46"/>
      <c r="H398" s="47"/>
      <c r="I398" s="48"/>
    </row>
    <row r="399" spans="1:9" ht="15" customHeight="1" x14ac:dyDescent="0.35">
      <c r="A399" s="49"/>
      <c r="B399" s="81" t="str">
        <f t="shared" si="7"/>
        <v>Surfacique</v>
      </c>
      <c r="C399" s="15" t="s">
        <v>13</v>
      </c>
      <c r="D399" s="50" t="s">
        <v>354</v>
      </c>
      <c r="E399" s="51" t="s">
        <v>12</v>
      </c>
      <c r="F399" s="52"/>
      <c r="G399" s="52"/>
      <c r="H399" s="52">
        <v>1.41</v>
      </c>
      <c r="I399" s="52"/>
    </row>
    <row r="400" spans="1:9" ht="15" customHeight="1" x14ac:dyDescent="0.35">
      <c r="A400" s="49"/>
      <c r="B400" s="81" t="str">
        <f t="shared" si="7"/>
        <v>Unitaire</v>
      </c>
      <c r="C400" s="15" t="s">
        <v>13</v>
      </c>
      <c r="D400" s="53" t="s">
        <v>355</v>
      </c>
      <c r="E400" s="54" t="s">
        <v>15</v>
      </c>
      <c r="F400" s="52"/>
      <c r="G400" s="52"/>
      <c r="H400" s="52">
        <v>2250</v>
      </c>
      <c r="I400" s="52"/>
    </row>
    <row r="401" spans="1:9" ht="15" customHeight="1" x14ac:dyDescent="0.35">
      <c r="A401" s="49"/>
      <c r="B401" s="81" t="str">
        <f t="shared" si="7"/>
        <v>Unitaire</v>
      </c>
      <c r="C401" s="15" t="s">
        <v>13</v>
      </c>
      <c r="D401" s="53" t="s">
        <v>535</v>
      </c>
      <c r="E401" s="54" t="s">
        <v>15</v>
      </c>
      <c r="F401" s="52"/>
      <c r="G401" s="52"/>
      <c r="H401" s="52">
        <v>350</v>
      </c>
      <c r="I401" s="52"/>
    </row>
    <row r="402" spans="1:9" ht="15" customHeight="1" x14ac:dyDescent="0.35">
      <c r="A402" s="49"/>
      <c r="B402" s="82" t="str">
        <f t="shared" si="7"/>
        <v>Unitaire</v>
      </c>
      <c r="C402" s="15" t="s">
        <v>13</v>
      </c>
      <c r="D402" s="53" t="s">
        <v>356</v>
      </c>
      <c r="E402" s="54" t="s">
        <v>18</v>
      </c>
      <c r="F402" s="52"/>
      <c r="G402" s="52"/>
      <c r="H402" s="52"/>
      <c r="I402" s="52"/>
    </row>
    <row r="403" spans="1:9" ht="15" customHeight="1" x14ac:dyDescent="0.35">
      <c r="A403" s="49"/>
      <c r="B403" s="82" t="str">
        <f t="shared" si="7"/>
        <v>Unitaire</v>
      </c>
      <c r="C403" s="15" t="s">
        <v>13</v>
      </c>
      <c r="D403" s="53" t="s">
        <v>357</v>
      </c>
      <c r="E403" s="54" t="s">
        <v>18</v>
      </c>
      <c r="F403" s="52"/>
      <c r="G403" s="52"/>
      <c r="H403" s="52"/>
      <c r="I403" s="52"/>
    </row>
    <row r="404" spans="1:9" ht="11.25" customHeight="1" x14ac:dyDescent="0.35">
      <c r="A404" s="55"/>
      <c r="B404" s="56" t="str">
        <f t="shared" si="7"/>
        <v/>
      </c>
      <c r="C404" s="56"/>
      <c r="D404" s="56" t="str">
        <f>CONCATENATE("Sous-Total : ",A398," - ",D398)</f>
        <v>Sous-Total :  - Interphonie / Visiophonie</v>
      </c>
      <c r="E404" s="57"/>
      <c r="F404" s="58"/>
      <c r="G404" s="58"/>
      <c r="H404" s="59"/>
      <c r="I404" s="60">
        <v>0</v>
      </c>
    </row>
    <row r="405" spans="1:9" ht="11.25" customHeight="1" x14ac:dyDescent="0.35">
      <c r="A405" s="44"/>
      <c r="B405" s="82" t="str">
        <f t="shared" si="7"/>
        <v/>
      </c>
      <c r="C405" s="9" t="s">
        <v>10</v>
      </c>
      <c r="D405" s="45" t="s">
        <v>358</v>
      </c>
      <c r="E405" s="54"/>
      <c r="F405" s="46"/>
      <c r="G405" s="46"/>
      <c r="H405" s="47"/>
      <c r="I405" s="48"/>
    </row>
    <row r="406" spans="1:9" ht="11.25" customHeight="1" x14ac:dyDescent="0.35">
      <c r="A406" s="49"/>
      <c r="B406" s="81" t="str">
        <f t="shared" si="7"/>
        <v>Unitaire</v>
      </c>
      <c r="C406" s="15" t="s">
        <v>13</v>
      </c>
      <c r="D406" s="53" t="s">
        <v>359</v>
      </c>
      <c r="E406" s="54" t="s">
        <v>15</v>
      </c>
      <c r="F406" s="52"/>
      <c r="G406" s="52"/>
      <c r="H406" s="52">
        <v>2800</v>
      </c>
      <c r="I406" s="52"/>
    </row>
    <row r="407" spans="1:9" ht="11.25" customHeight="1" x14ac:dyDescent="0.35">
      <c r="A407" s="49"/>
      <c r="B407" s="81" t="str">
        <f t="shared" si="7"/>
        <v>Unitaire</v>
      </c>
      <c r="C407" s="15" t="s">
        <v>13</v>
      </c>
      <c r="D407" s="53" t="s">
        <v>360</v>
      </c>
      <c r="E407" s="54" t="s">
        <v>15</v>
      </c>
      <c r="F407" s="52"/>
      <c r="G407" s="52"/>
      <c r="H407" s="52">
        <v>1300</v>
      </c>
      <c r="I407" s="52"/>
    </row>
    <row r="408" spans="1:9" ht="11.25" customHeight="1" x14ac:dyDescent="0.35">
      <c r="A408" s="49"/>
      <c r="B408" s="82" t="str">
        <f t="shared" si="7"/>
        <v>Unitaire</v>
      </c>
      <c r="C408" s="15" t="s">
        <v>13</v>
      </c>
      <c r="D408" s="53" t="s">
        <v>356</v>
      </c>
      <c r="E408" s="54" t="s">
        <v>18</v>
      </c>
      <c r="F408" s="52"/>
      <c r="G408" s="52"/>
      <c r="H408" s="52"/>
      <c r="I408" s="52"/>
    </row>
    <row r="409" spans="1:9" ht="11.25" customHeight="1" x14ac:dyDescent="0.35">
      <c r="A409" s="49"/>
      <c r="B409" s="82" t="str">
        <f t="shared" si="7"/>
        <v>Unitaire</v>
      </c>
      <c r="C409" s="15" t="s">
        <v>13</v>
      </c>
      <c r="D409" s="53" t="s">
        <v>357</v>
      </c>
      <c r="E409" s="54" t="s">
        <v>18</v>
      </c>
      <c r="F409" s="52"/>
      <c r="G409" s="52"/>
      <c r="H409" s="52"/>
      <c r="I409" s="52"/>
    </row>
    <row r="410" spans="1:9" ht="11.25" customHeight="1" x14ac:dyDescent="0.35">
      <c r="A410" s="55"/>
      <c r="B410" s="56" t="str">
        <f t="shared" si="7"/>
        <v/>
      </c>
      <c r="C410" s="56"/>
      <c r="D410" s="56" t="str">
        <f>CONCATENATE("Sous-Total : ",A405," - ",D405)</f>
        <v>Sous-Total :  - Interphonie de sécurité</v>
      </c>
      <c r="E410" s="57"/>
      <c r="F410" s="58"/>
      <c r="G410" s="58"/>
      <c r="H410" s="59"/>
      <c r="I410" s="60">
        <v>0</v>
      </c>
    </row>
    <row r="411" spans="1:9" ht="11.25" customHeight="1" x14ac:dyDescent="0.35">
      <c r="A411" s="61"/>
      <c r="B411" s="82" t="str">
        <f t="shared" si="7"/>
        <v>Surfacique</v>
      </c>
      <c r="C411" s="9" t="s">
        <v>10</v>
      </c>
      <c r="D411" s="62" t="s">
        <v>361</v>
      </c>
      <c r="E411" s="10" t="s">
        <v>12</v>
      </c>
      <c r="F411" s="63"/>
      <c r="G411" s="63"/>
      <c r="H411" s="64"/>
      <c r="I411" s="65"/>
    </row>
    <row r="412" spans="1:9" ht="17.25" customHeight="1" x14ac:dyDescent="0.35">
      <c r="A412" s="49"/>
      <c r="B412" s="81" t="str">
        <f t="shared" si="7"/>
        <v>Surfacique</v>
      </c>
      <c r="C412" s="15" t="s">
        <v>13</v>
      </c>
      <c r="D412" s="50" t="s">
        <v>362</v>
      </c>
      <c r="E412" s="51" t="s">
        <v>12</v>
      </c>
      <c r="F412" s="52"/>
      <c r="G412" s="52"/>
      <c r="H412" s="52">
        <v>2</v>
      </c>
      <c r="I412" s="52"/>
    </row>
    <row r="413" spans="1:9" ht="17.25" customHeight="1" x14ac:dyDescent="0.35">
      <c r="A413" s="49"/>
      <c r="B413" s="81" t="str">
        <f t="shared" si="7"/>
        <v>Surfacique</v>
      </c>
      <c r="C413" s="15" t="s">
        <v>13</v>
      </c>
      <c r="D413" s="53" t="s">
        <v>363</v>
      </c>
      <c r="E413" s="51" t="s">
        <v>12</v>
      </c>
      <c r="F413" s="52"/>
      <c r="G413" s="52"/>
      <c r="H413" s="52">
        <v>6</v>
      </c>
      <c r="I413" s="52"/>
    </row>
    <row r="414" spans="1:9" ht="17.25" customHeight="1" x14ac:dyDescent="0.35">
      <c r="A414" s="49"/>
      <c r="B414" s="81" t="str">
        <f t="shared" si="7"/>
        <v>Surfacique</v>
      </c>
      <c r="C414" s="15" t="s">
        <v>13</v>
      </c>
      <c r="D414" s="53" t="s">
        <v>235</v>
      </c>
      <c r="E414" s="51" t="s">
        <v>12</v>
      </c>
      <c r="F414" s="52"/>
      <c r="G414" s="52"/>
      <c r="H414" s="52">
        <v>4</v>
      </c>
      <c r="I414" s="52"/>
    </row>
    <row r="415" spans="1:9" ht="17.25" customHeight="1" x14ac:dyDescent="0.35">
      <c r="A415" s="49"/>
      <c r="B415" s="81" t="str">
        <f t="shared" si="7"/>
        <v>Unitaire</v>
      </c>
      <c r="C415" s="15" t="s">
        <v>13</v>
      </c>
      <c r="D415" s="50" t="s">
        <v>364</v>
      </c>
      <c r="E415" s="54" t="s">
        <v>15</v>
      </c>
      <c r="F415" s="52"/>
      <c r="G415" s="52"/>
      <c r="H415" s="52">
        <v>36</v>
      </c>
      <c r="I415" s="52"/>
    </row>
    <row r="416" spans="1:9" ht="17.25" customHeight="1" x14ac:dyDescent="0.35">
      <c r="A416" s="49"/>
      <c r="B416" s="81" t="str">
        <f t="shared" si="7"/>
        <v>Unitaire</v>
      </c>
      <c r="C416" s="15" t="s">
        <v>13</v>
      </c>
      <c r="D416" s="50" t="s">
        <v>365</v>
      </c>
      <c r="E416" s="54" t="s">
        <v>15</v>
      </c>
      <c r="F416" s="52"/>
      <c r="G416" s="52"/>
      <c r="H416" s="52">
        <v>36</v>
      </c>
      <c r="I416" s="52"/>
    </row>
    <row r="417" spans="1:9" ht="17.25" customHeight="1" x14ac:dyDescent="0.35">
      <c r="A417" s="49"/>
      <c r="B417" s="81" t="str">
        <f t="shared" si="7"/>
        <v>Unitaire</v>
      </c>
      <c r="C417" s="15" t="s">
        <v>13</v>
      </c>
      <c r="D417" s="53" t="s">
        <v>366</v>
      </c>
      <c r="E417" s="54" t="s">
        <v>15</v>
      </c>
      <c r="F417" s="52"/>
      <c r="G417" s="52"/>
      <c r="H417" s="52">
        <v>250</v>
      </c>
      <c r="I417" s="52"/>
    </row>
    <row r="418" spans="1:9" ht="17.25" customHeight="1" x14ac:dyDescent="0.35">
      <c r="A418" s="49"/>
      <c r="B418" s="81" t="str">
        <f t="shared" si="7"/>
        <v>Unitaire</v>
      </c>
      <c r="C418" s="15" t="s">
        <v>13</v>
      </c>
      <c r="D418" s="53" t="s">
        <v>367</v>
      </c>
      <c r="E418" s="54" t="s">
        <v>15</v>
      </c>
      <c r="F418" s="52"/>
      <c r="G418" s="52"/>
      <c r="H418" s="52">
        <v>900</v>
      </c>
      <c r="I418" s="52"/>
    </row>
    <row r="419" spans="1:9" ht="17.25" customHeight="1" x14ac:dyDescent="0.35">
      <c r="A419" s="49"/>
      <c r="B419" s="81" t="str">
        <f t="shared" si="7"/>
        <v>Unitaire</v>
      </c>
      <c r="C419" s="15" t="s">
        <v>13</v>
      </c>
      <c r="D419" s="53" t="s">
        <v>368</v>
      </c>
      <c r="E419" s="54" t="s">
        <v>15</v>
      </c>
      <c r="F419" s="52"/>
      <c r="G419" s="52"/>
      <c r="H419" s="52">
        <v>850</v>
      </c>
      <c r="I419" s="52"/>
    </row>
    <row r="420" spans="1:9" ht="17.25" customHeight="1" x14ac:dyDescent="0.35">
      <c r="A420" s="49"/>
      <c r="B420" s="81" t="str">
        <f t="shared" si="7"/>
        <v>Unitaire</v>
      </c>
      <c r="C420" s="15" t="s">
        <v>13</v>
      </c>
      <c r="D420" s="53" t="s">
        <v>369</v>
      </c>
      <c r="E420" s="54" t="s">
        <v>15</v>
      </c>
      <c r="F420" s="52"/>
      <c r="G420" s="52"/>
      <c r="H420" s="52">
        <v>10</v>
      </c>
      <c r="I420" s="52"/>
    </row>
    <row r="421" spans="1:9" ht="17.25" customHeight="1" x14ac:dyDescent="0.35">
      <c r="A421" s="49"/>
      <c r="B421" s="81" t="str">
        <f t="shared" si="7"/>
        <v>Unitaire</v>
      </c>
      <c r="C421" s="15" t="s">
        <v>13</v>
      </c>
      <c r="D421" s="53" t="s">
        <v>370</v>
      </c>
      <c r="E421" s="54" t="s">
        <v>15</v>
      </c>
      <c r="F421" s="52"/>
      <c r="G421" s="52"/>
      <c r="H421" s="52">
        <v>150</v>
      </c>
      <c r="I421" s="52"/>
    </row>
    <row r="422" spans="1:9" ht="17.25" customHeight="1" x14ac:dyDescent="0.35">
      <c r="A422" s="49"/>
      <c r="B422" s="81" t="str">
        <f t="shared" si="7"/>
        <v>Unitaire</v>
      </c>
      <c r="C422" s="15" t="s">
        <v>13</v>
      </c>
      <c r="D422" s="53" t="s">
        <v>371</v>
      </c>
      <c r="E422" s="54" t="s">
        <v>15</v>
      </c>
      <c r="F422" s="52"/>
      <c r="G422" s="52"/>
      <c r="H422" s="52">
        <v>200</v>
      </c>
      <c r="I422" s="52"/>
    </row>
    <row r="423" spans="1:9" ht="17.25" customHeight="1" x14ac:dyDescent="0.35">
      <c r="A423" s="49"/>
      <c r="B423" s="81" t="str">
        <f t="shared" si="7"/>
        <v>Unitaire</v>
      </c>
      <c r="C423" s="15" t="s">
        <v>13</v>
      </c>
      <c r="D423" s="53" t="s">
        <v>372</v>
      </c>
      <c r="E423" s="54" t="s">
        <v>15</v>
      </c>
      <c r="F423" s="52"/>
      <c r="G423" s="52"/>
      <c r="H423" s="52"/>
      <c r="I423" s="52"/>
    </row>
    <row r="424" spans="1:9" ht="17.25" customHeight="1" x14ac:dyDescent="0.35">
      <c r="A424" s="49"/>
      <c r="B424" s="82" t="str">
        <f t="shared" si="7"/>
        <v>Surfacique</v>
      </c>
      <c r="C424" s="15" t="s">
        <v>13</v>
      </c>
      <c r="D424" s="66" t="s">
        <v>373</v>
      </c>
      <c r="E424" s="51" t="s">
        <v>12</v>
      </c>
      <c r="F424" s="52"/>
      <c r="G424" s="52"/>
      <c r="H424" s="52"/>
      <c r="I424" s="52"/>
    </row>
    <row r="425" spans="1:9" ht="17.25" customHeight="1" x14ac:dyDescent="0.35">
      <c r="A425" s="49"/>
      <c r="B425" s="82" t="str">
        <f t="shared" si="7"/>
        <v>Surfacique</v>
      </c>
      <c r="C425" s="15" t="s">
        <v>13</v>
      </c>
      <c r="D425" s="66" t="s">
        <v>374</v>
      </c>
      <c r="E425" s="51" t="s">
        <v>12</v>
      </c>
      <c r="F425" s="52"/>
      <c r="G425" s="52"/>
      <c r="H425" s="52"/>
      <c r="I425" s="52"/>
    </row>
    <row r="426" spans="1:9" ht="11.25" customHeight="1" x14ac:dyDescent="0.35">
      <c r="A426" s="55"/>
      <c r="B426" s="56" t="str">
        <f t="shared" si="7"/>
        <v/>
      </c>
      <c r="C426" s="56"/>
      <c r="D426" s="56" t="str">
        <f>CONCATENATE("Sous-Total : ",A411," - ",D411)</f>
        <v>Sous-Total :  - Sonorisation</v>
      </c>
      <c r="E426" s="57"/>
      <c r="F426" s="58"/>
      <c r="G426" s="58"/>
      <c r="H426" s="59"/>
      <c r="I426" s="60">
        <v>0</v>
      </c>
    </row>
    <row r="427" spans="1:9" ht="11.25" customHeight="1" x14ac:dyDescent="0.35">
      <c r="A427" s="61"/>
      <c r="B427" s="83" t="str">
        <f t="shared" si="7"/>
        <v/>
      </c>
      <c r="C427" s="9" t="s">
        <v>10</v>
      </c>
      <c r="D427" s="62" t="s">
        <v>375</v>
      </c>
      <c r="E427" s="67"/>
      <c r="F427" s="63"/>
      <c r="G427" s="63"/>
      <c r="H427" s="64"/>
      <c r="I427" s="65"/>
    </row>
    <row r="428" spans="1:9" ht="16.5" customHeight="1" x14ac:dyDescent="0.35">
      <c r="A428" s="68"/>
      <c r="B428" s="81" t="str">
        <f t="shared" si="7"/>
        <v>Unitaire</v>
      </c>
      <c r="C428" s="15" t="s">
        <v>13</v>
      </c>
      <c r="D428" s="53" t="s">
        <v>376</v>
      </c>
      <c r="E428" s="54" t="s">
        <v>15</v>
      </c>
      <c r="F428" s="52"/>
      <c r="G428" s="52"/>
      <c r="H428" s="52"/>
      <c r="I428" s="52"/>
    </row>
    <row r="429" spans="1:9" ht="11.25" customHeight="1" x14ac:dyDescent="0.35">
      <c r="A429" s="55"/>
      <c r="B429" s="56" t="str">
        <f t="shared" si="7"/>
        <v/>
      </c>
      <c r="C429" s="56"/>
      <c r="D429" s="56" t="str">
        <f>CONCATENATE("Sous-Total : ",A427," - ",D427)</f>
        <v>Sous-Total :  - Boucle magnétique pour malentendants</v>
      </c>
      <c r="E429" s="57"/>
      <c r="F429" s="58"/>
      <c r="G429" s="58"/>
      <c r="H429" s="59"/>
      <c r="I429" s="60">
        <v>0</v>
      </c>
    </row>
    <row r="430" spans="1:9" ht="17.25" customHeight="1" x14ac:dyDescent="0.35">
      <c r="A430" s="49"/>
      <c r="B430" s="81" t="str">
        <f t="shared" si="7"/>
        <v>Surfacique</v>
      </c>
      <c r="C430" s="9" t="s">
        <v>10</v>
      </c>
      <c r="D430" s="62" t="s">
        <v>377</v>
      </c>
      <c r="E430" s="10" t="s">
        <v>12</v>
      </c>
      <c r="F430" s="52"/>
      <c r="G430" s="52"/>
      <c r="H430" s="52"/>
      <c r="I430" s="52"/>
    </row>
    <row r="431" spans="1:9" ht="17.25" customHeight="1" x14ac:dyDescent="0.35">
      <c r="A431" s="49"/>
      <c r="B431" s="81" t="str">
        <f t="shared" si="7"/>
        <v>Surfacique</v>
      </c>
      <c r="C431" s="15" t="s">
        <v>13</v>
      </c>
      <c r="D431" s="53" t="s">
        <v>378</v>
      </c>
      <c r="E431" s="51" t="s">
        <v>12</v>
      </c>
      <c r="F431" s="52"/>
      <c r="G431" s="52"/>
      <c r="H431" s="52">
        <v>1</v>
      </c>
      <c r="I431" s="52"/>
    </row>
    <row r="432" spans="1:9" ht="17.25" customHeight="1" x14ac:dyDescent="0.35">
      <c r="A432" s="49"/>
      <c r="B432" s="81" t="str">
        <f t="shared" si="7"/>
        <v>Unitaire</v>
      </c>
      <c r="C432" s="15" t="s">
        <v>13</v>
      </c>
      <c r="D432" s="53" t="s">
        <v>379</v>
      </c>
      <c r="E432" s="54" t="s">
        <v>15</v>
      </c>
      <c r="F432" s="52"/>
      <c r="G432" s="52"/>
      <c r="H432" s="52">
        <v>1300</v>
      </c>
      <c r="I432" s="52"/>
    </row>
    <row r="433" spans="1:9" ht="17.25" customHeight="1" x14ac:dyDescent="0.35">
      <c r="A433" s="49"/>
      <c r="B433" s="81" t="str">
        <f t="shared" si="7"/>
        <v>Unitaire</v>
      </c>
      <c r="C433" s="15" t="s">
        <v>13</v>
      </c>
      <c r="D433" s="53" t="s">
        <v>380</v>
      </c>
      <c r="E433" s="54" t="s">
        <v>15</v>
      </c>
      <c r="F433" s="52"/>
      <c r="G433" s="52"/>
      <c r="H433" s="52"/>
      <c r="I433" s="52"/>
    </row>
    <row r="434" spans="1:9" ht="17.25" customHeight="1" x14ac:dyDescent="0.35">
      <c r="A434" s="49"/>
      <c r="B434" s="81" t="str">
        <f t="shared" si="7"/>
        <v>Unitaire</v>
      </c>
      <c r="C434" s="15" t="s">
        <v>13</v>
      </c>
      <c r="D434" s="53" t="s">
        <v>381</v>
      </c>
      <c r="E434" s="54" t="s">
        <v>15</v>
      </c>
      <c r="F434" s="52"/>
      <c r="G434" s="52"/>
      <c r="H434" s="52">
        <v>350</v>
      </c>
      <c r="I434" s="52"/>
    </row>
    <row r="435" spans="1:9" ht="17.25" customHeight="1" x14ac:dyDescent="0.35">
      <c r="A435" s="49"/>
      <c r="B435" s="82" t="str">
        <f t="shared" si="7"/>
        <v>Unitaire</v>
      </c>
      <c r="C435" s="15" t="s">
        <v>13</v>
      </c>
      <c r="D435" s="53" t="s">
        <v>382</v>
      </c>
      <c r="E435" s="54" t="s">
        <v>18</v>
      </c>
      <c r="F435" s="52"/>
      <c r="G435" s="52"/>
      <c r="H435" s="52"/>
      <c r="I435" s="52"/>
    </row>
    <row r="436" spans="1:9" ht="17.25" customHeight="1" x14ac:dyDescent="0.35">
      <c r="A436" s="54"/>
      <c r="B436" s="82" t="str">
        <f t="shared" si="7"/>
        <v>Surfacique</v>
      </c>
      <c r="C436" s="15" t="s">
        <v>13</v>
      </c>
      <c r="D436" s="53" t="s">
        <v>373</v>
      </c>
      <c r="E436" s="51" t="s">
        <v>12</v>
      </c>
      <c r="F436" s="54"/>
      <c r="G436" s="54"/>
      <c r="H436" s="54">
        <v>0.6</v>
      </c>
      <c r="I436" s="54"/>
    </row>
    <row r="437" spans="1:9" ht="17.25" customHeight="1" x14ac:dyDescent="0.35">
      <c r="A437" s="54"/>
      <c r="B437" s="82" t="str">
        <f t="shared" si="7"/>
        <v>Unitaire</v>
      </c>
      <c r="C437" s="15" t="s">
        <v>13</v>
      </c>
      <c r="D437" s="53" t="s">
        <v>383</v>
      </c>
      <c r="E437" s="54" t="s">
        <v>18</v>
      </c>
      <c r="F437" s="54"/>
      <c r="G437" s="54"/>
      <c r="H437" s="54">
        <v>1100</v>
      </c>
      <c r="I437" s="54"/>
    </row>
    <row r="438" spans="1:9" ht="17.25" customHeight="1" x14ac:dyDescent="0.35">
      <c r="A438" s="54"/>
      <c r="B438" s="82" t="str">
        <f t="shared" si="7"/>
        <v>Unitaire</v>
      </c>
      <c r="C438" s="15" t="s">
        <v>13</v>
      </c>
      <c r="D438" s="69" t="s">
        <v>384</v>
      </c>
      <c r="E438" s="54" t="s">
        <v>18</v>
      </c>
      <c r="F438" s="54"/>
      <c r="G438" s="54"/>
      <c r="H438" s="54"/>
      <c r="I438" s="70"/>
    </row>
    <row r="439" spans="1:9" ht="11.25" customHeight="1" x14ac:dyDescent="0.35">
      <c r="A439" s="55"/>
      <c r="B439" s="71" t="str">
        <f t="shared" si="7"/>
        <v/>
      </c>
      <c r="C439" s="71"/>
      <c r="D439" s="71" t="str">
        <f>CONCATENATE("Sous-Total : ",A430," - ",D430)</f>
        <v xml:space="preserve">Sous-Total :  - Distribution de l'heure </v>
      </c>
      <c r="E439" s="57"/>
      <c r="F439" s="58"/>
      <c r="G439" s="58"/>
      <c r="H439" s="59"/>
      <c r="I439" s="60">
        <v>0</v>
      </c>
    </row>
    <row r="440" spans="1:9" ht="15" customHeight="1" x14ac:dyDescent="0.35">
      <c r="A440" s="61"/>
      <c r="B440" s="82" t="str">
        <f t="shared" si="7"/>
        <v>Surfacique</v>
      </c>
      <c r="C440" s="9" t="s">
        <v>10</v>
      </c>
      <c r="D440" s="72" t="s">
        <v>385</v>
      </c>
      <c r="E440" s="10" t="s">
        <v>12</v>
      </c>
      <c r="F440" s="63"/>
      <c r="G440" s="63"/>
      <c r="H440" s="64"/>
      <c r="I440" s="65"/>
    </row>
    <row r="441" spans="1:9" ht="24" customHeight="1" x14ac:dyDescent="0.35">
      <c r="A441" s="49"/>
      <c r="B441" s="81" t="str">
        <f t="shared" si="7"/>
        <v>Unitaire</v>
      </c>
      <c r="C441" s="15" t="s">
        <v>13</v>
      </c>
      <c r="D441" s="66" t="s">
        <v>536</v>
      </c>
      <c r="E441" s="54" t="s">
        <v>18</v>
      </c>
      <c r="F441" s="52"/>
      <c r="G441" s="52"/>
      <c r="H441" s="52">
        <v>4300</v>
      </c>
      <c r="I441" s="52"/>
    </row>
    <row r="442" spans="1:9" ht="21" customHeight="1" x14ac:dyDescent="0.35">
      <c r="A442" s="49"/>
      <c r="B442" s="81" t="str">
        <f t="shared" si="7"/>
        <v>Unitaire</v>
      </c>
      <c r="C442" s="15" t="s">
        <v>13</v>
      </c>
      <c r="D442" s="66" t="s">
        <v>386</v>
      </c>
      <c r="E442" s="54" t="s">
        <v>15</v>
      </c>
      <c r="F442" s="52"/>
      <c r="G442" s="52"/>
      <c r="H442" s="52">
        <v>3700</v>
      </c>
      <c r="I442" s="52"/>
    </row>
    <row r="443" spans="1:9" ht="21" customHeight="1" x14ac:dyDescent="0.35">
      <c r="A443" s="49"/>
      <c r="B443" s="81" t="str">
        <f t="shared" si="7"/>
        <v>Unitaire</v>
      </c>
      <c r="C443" s="15" t="s">
        <v>13</v>
      </c>
      <c r="D443" s="66" t="s">
        <v>387</v>
      </c>
      <c r="E443" s="54" t="s">
        <v>15</v>
      </c>
      <c r="F443" s="54"/>
      <c r="G443" s="54"/>
      <c r="H443" s="52"/>
      <c r="I443" s="52"/>
    </row>
    <row r="444" spans="1:9" ht="21" customHeight="1" x14ac:dyDescent="0.35">
      <c r="A444" s="49"/>
      <c r="B444" s="81" t="str">
        <f t="shared" si="7"/>
        <v>Unitaire</v>
      </c>
      <c r="C444" s="15" t="s">
        <v>13</v>
      </c>
      <c r="D444" s="66" t="s">
        <v>388</v>
      </c>
      <c r="E444" s="54" t="s">
        <v>15</v>
      </c>
      <c r="F444" s="52"/>
      <c r="G444" s="52"/>
      <c r="H444" s="52"/>
      <c r="I444" s="52"/>
    </row>
    <row r="445" spans="1:9" ht="21" customHeight="1" x14ac:dyDescent="0.35">
      <c r="A445" s="54"/>
      <c r="B445" s="81" t="str">
        <f t="shared" si="7"/>
        <v>Unitaire</v>
      </c>
      <c r="C445" s="15" t="s">
        <v>13</v>
      </c>
      <c r="D445" s="53" t="s">
        <v>389</v>
      </c>
      <c r="E445" s="54" t="s">
        <v>15</v>
      </c>
      <c r="F445" s="54"/>
      <c r="G445" s="54"/>
      <c r="H445" s="54">
        <v>90</v>
      </c>
      <c r="I445" s="54"/>
    </row>
    <row r="446" spans="1:9" ht="21" customHeight="1" x14ac:dyDescent="0.35">
      <c r="A446" s="54"/>
      <c r="B446" s="81" t="str">
        <f t="shared" si="7"/>
        <v>Unitaire</v>
      </c>
      <c r="C446" s="15" t="s">
        <v>13</v>
      </c>
      <c r="D446" s="69" t="s">
        <v>390</v>
      </c>
      <c r="E446" s="54" t="s">
        <v>15</v>
      </c>
      <c r="F446" s="54"/>
      <c r="G446" s="54"/>
      <c r="H446" s="54"/>
      <c r="I446" s="70"/>
    </row>
    <row r="447" spans="1:9" ht="21" customHeight="1" x14ac:dyDescent="0.35">
      <c r="A447" s="49"/>
      <c r="B447" s="81" t="str">
        <f t="shared" si="7"/>
        <v>Unitaire</v>
      </c>
      <c r="C447" s="15" t="s">
        <v>13</v>
      </c>
      <c r="D447" s="53" t="s">
        <v>391</v>
      </c>
      <c r="E447" s="70" t="s">
        <v>15</v>
      </c>
      <c r="F447" s="52"/>
      <c r="G447" s="52"/>
      <c r="H447" s="52"/>
      <c r="I447" s="52"/>
    </row>
    <row r="448" spans="1:9" ht="21" customHeight="1" x14ac:dyDescent="0.35">
      <c r="A448" s="49"/>
      <c r="B448" s="81" t="str">
        <f t="shared" si="7"/>
        <v>Unitaire</v>
      </c>
      <c r="C448" s="15" t="s">
        <v>13</v>
      </c>
      <c r="D448" s="53" t="s">
        <v>392</v>
      </c>
      <c r="E448" s="70" t="s">
        <v>15</v>
      </c>
      <c r="F448" s="52"/>
      <c r="G448" s="52"/>
      <c r="H448" s="52"/>
      <c r="I448" s="52"/>
    </row>
    <row r="449" spans="1:9" ht="21" customHeight="1" x14ac:dyDescent="0.35">
      <c r="A449" s="49"/>
      <c r="B449" s="82" t="str">
        <f t="shared" si="7"/>
        <v>Unitaire</v>
      </c>
      <c r="C449" s="15" t="s">
        <v>13</v>
      </c>
      <c r="D449" s="53" t="s">
        <v>393</v>
      </c>
      <c r="E449" s="70" t="s">
        <v>18</v>
      </c>
      <c r="F449" s="52"/>
      <c r="G449" s="52"/>
      <c r="H449" s="52"/>
      <c r="I449" s="52"/>
    </row>
    <row r="450" spans="1:9" ht="21" customHeight="1" x14ac:dyDescent="0.35">
      <c r="A450" s="49"/>
      <c r="B450" s="82" t="str">
        <f t="shared" si="7"/>
        <v>Unitaire</v>
      </c>
      <c r="C450" s="15" t="s">
        <v>13</v>
      </c>
      <c r="D450" s="53" t="s">
        <v>537</v>
      </c>
      <c r="E450" s="70" t="s">
        <v>18</v>
      </c>
      <c r="F450" s="52"/>
      <c r="G450" s="52"/>
      <c r="H450" s="52"/>
      <c r="I450" s="52"/>
    </row>
    <row r="451" spans="1:9" ht="21" customHeight="1" x14ac:dyDescent="0.35">
      <c r="A451" s="49"/>
      <c r="B451" s="82" t="str">
        <f t="shared" si="7"/>
        <v>Unitaire</v>
      </c>
      <c r="C451" s="15" t="s">
        <v>13</v>
      </c>
      <c r="D451" s="53" t="s">
        <v>394</v>
      </c>
      <c r="E451" s="70" t="s">
        <v>18</v>
      </c>
      <c r="F451" s="52"/>
      <c r="G451" s="52"/>
      <c r="H451" s="52"/>
      <c r="I451" s="52"/>
    </row>
    <row r="452" spans="1:9" ht="11.25" customHeight="1" x14ac:dyDescent="0.35">
      <c r="A452" s="55"/>
      <c r="B452" s="56" t="str">
        <f t="shared" si="7"/>
        <v/>
      </c>
      <c r="C452" s="56"/>
      <c r="D452" s="56" t="str">
        <f>CONCATENATE("Sous-Total : ",A440," - ",D440)</f>
        <v>Sous-Total :  - télévision</v>
      </c>
      <c r="E452" s="73"/>
      <c r="F452" s="58"/>
      <c r="G452" s="58"/>
      <c r="H452" s="59"/>
      <c r="I452" s="60">
        <v>0</v>
      </c>
    </row>
    <row r="453" spans="1:9" ht="11.25" customHeight="1" x14ac:dyDescent="0.35">
      <c r="A453" s="61"/>
      <c r="B453" s="82" t="str">
        <f t="shared" si="7"/>
        <v>Surfacique</v>
      </c>
      <c r="C453" s="9" t="s">
        <v>10</v>
      </c>
      <c r="D453" s="62" t="s">
        <v>395</v>
      </c>
      <c r="E453" s="10" t="s">
        <v>12</v>
      </c>
      <c r="F453" s="63"/>
      <c r="G453" s="63"/>
      <c r="H453" s="64"/>
      <c r="I453" s="65"/>
    </row>
    <row r="454" spans="1:9" ht="15" customHeight="1" x14ac:dyDescent="0.35">
      <c r="A454" s="49"/>
      <c r="B454" s="81" t="str">
        <f t="shared" si="7"/>
        <v>Unitaire</v>
      </c>
      <c r="C454" s="15" t="s">
        <v>13</v>
      </c>
      <c r="D454" s="53" t="s">
        <v>396</v>
      </c>
      <c r="E454" s="70" t="s">
        <v>215</v>
      </c>
      <c r="F454" s="52"/>
      <c r="G454" s="52"/>
      <c r="H454" s="52">
        <v>560</v>
      </c>
      <c r="I454" s="52"/>
    </row>
    <row r="455" spans="1:9" ht="15" customHeight="1" x14ac:dyDescent="0.35">
      <c r="A455" s="49"/>
      <c r="B455" s="81" t="str">
        <f t="shared" si="7"/>
        <v>Unitaire</v>
      </c>
      <c r="C455" s="15" t="s">
        <v>13</v>
      </c>
      <c r="D455" s="53" t="s">
        <v>538</v>
      </c>
      <c r="E455" s="70" t="s">
        <v>15</v>
      </c>
      <c r="F455" s="52"/>
      <c r="G455" s="52"/>
      <c r="H455" s="52"/>
      <c r="I455" s="52"/>
    </row>
    <row r="456" spans="1:9" ht="15" customHeight="1" x14ac:dyDescent="0.35">
      <c r="A456" s="49"/>
      <c r="B456" s="81" t="str">
        <f t="shared" si="7"/>
        <v>Unitaire</v>
      </c>
      <c r="C456" s="15" t="s">
        <v>13</v>
      </c>
      <c r="D456" s="53" t="s">
        <v>539</v>
      </c>
      <c r="E456" s="70" t="s">
        <v>15</v>
      </c>
      <c r="F456" s="52"/>
      <c r="G456" s="52"/>
      <c r="H456" s="52"/>
      <c r="I456" s="52"/>
    </row>
    <row r="457" spans="1:9" ht="15" customHeight="1" x14ac:dyDescent="0.35">
      <c r="A457" s="49"/>
      <c r="B457" s="81" t="str">
        <f t="shared" si="7"/>
        <v>Unitaire</v>
      </c>
      <c r="C457" s="15" t="s">
        <v>13</v>
      </c>
      <c r="D457" s="53" t="s">
        <v>397</v>
      </c>
      <c r="E457" s="70" t="s">
        <v>15</v>
      </c>
      <c r="F457" s="52"/>
      <c r="G457" s="52"/>
      <c r="H457" s="52"/>
      <c r="I457" s="52"/>
    </row>
    <row r="458" spans="1:9" ht="15" customHeight="1" x14ac:dyDescent="0.35">
      <c r="A458" s="49"/>
      <c r="B458" s="81" t="str">
        <f t="shared" si="7"/>
        <v>Unitaire</v>
      </c>
      <c r="C458" s="15" t="s">
        <v>13</v>
      </c>
      <c r="D458" s="53" t="s">
        <v>398</v>
      </c>
      <c r="E458" s="70" t="s">
        <v>15</v>
      </c>
      <c r="F458" s="52"/>
      <c r="G458" s="52"/>
      <c r="H458" s="52"/>
      <c r="I458" s="52"/>
    </row>
    <row r="459" spans="1:9" ht="15" customHeight="1" x14ac:dyDescent="0.35">
      <c r="A459" s="54"/>
      <c r="B459" s="81" t="str">
        <f t="shared" si="7"/>
        <v>Unitaire</v>
      </c>
      <c r="C459" s="15" t="s">
        <v>13</v>
      </c>
      <c r="D459" s="53" t="s">
        <v>399</v>
      </c>
      <c r="E459" s="54" t="s">
        <v>15</v>
      </c>
      <c r="F459" s="54"/>
      <c r="G459" s="54"/>
      <c r="H459" s="54"/>
      <c r="I459" s="54"/>
    </row>
    <row r="460" spans="1:9" ht="15" customHeight="1" x14ac:dyDescent="0.35">
      <c r="A460" s="54"/>
      <c r="B460" s="81" t="str">
        <f t="shared" si="7"/>
        <v>Unitaire</v>
      </c>
      <c r="C460" s="15" t="s">
        <v>13</v>
      </c>
      <c r="D460" s="69" t="s">
        <v>400</v>
      </c>
      <c r="E460" s="54" t="s">
        <v>15</v>
      </c>
      <c r="F460" s="54"/>
      <c r="G460" s="54"/>
      <c r="H460" s="54">
        <v>1000</v>
      </c>
      <c r="I460" s="70"/>
    </row>
    <row r="461" spans="1:9" ht="15" customHeight="1" x14ac:dyDescent="0.35">
      <c r="A461" s="49"/>
      <c r="B461" s="81" t="str">
        <f t="shared" si="7"/>
        <v>Unitaire</v>
      </c>
      <c r="C461" s="15" t="s">
        <v>13</v>
      </c>
      <c r="D461" s="53" t="s">
        <v>401</v>
      </c>
      <c r="E461" s="54" t="s">
        <v>15</v>
      </c>
      <c r="F461" s="52"/>
      <c r="G461" s="52"/>
      <c r="H461" s="52"/>
      <c r="I461" s="52"/>
    </row>
    <row r="462" spans="1:9" ht="15" customHeight="1" x14ac:dyDescent="0.35">
      <c r="A462" s="49"/>
      <c r="B462" s="81" t="str">
        <f t="shared" ref="B462:B525" si="8">IF(E462="","",IF(E462="m²","Surfacique","Unitaire"))</f>
        <v>Unitaire</v>
      </c>
      <c r="C462" s="15" t="s">
        <v>13</v>
      </c>
      <c r="D462" s="53" t="s">
        <v>402</v>
      </c>
      <c r="E462" s="54" t="s">
        <v>15</v>
      </c>
      <c r="F462" s="52"/>
      <c r="G462" s="52"/>
      <c r="H462" s="52"/>
      <c r="I462" s="52"/>
    </row>
    <row r="463" spans="1:9" ht="15" customHeight="1" x14ac:dyDescent="0.35">
      <c r="A463" s="49"/>
      <c r="B463" s="82" t="str">
        <f t="shared" si="8"/>
        <v>Unitaire</v>
      </c>
      <c r="C463" s="15" t="s">
        <v>13</v>
      </c>
      <c r="D463" s="53" t="s">
        <v>403</v>
      </c>
      <c r="E463" s="54" t="s">
        <v>18</v>
      </c>
      <c r="F463" s="52"/>
      <c r="G463" s="52"/>
      <c r="H463" s="52"/>
      <c r="I463" s="52"/>
    </row>
    <row r="464" spans="1:9" ht="15" customHeight="1" x14ac:dyDescent="0.35">
      <c r="A464" s="49"/>
      <c r="B464" s="82" t="str">
        <f t="shared" si="8"/>
        <v>Unitaire</v>
      </c>
      <c r="C464" s="15" t="s">
        <v>13</v>
      </c>
      <c r="D464" s="53" t="s">
        <v>404</v>
      </c>
      <c r="E464" s="54" t="s">
        <v>18</v>
      </c>
      <c r="F464" s="52"/>
      <c r="G464" s="52"/>
      <c r="H464" s="52"/>
      <c r="I464" s="52"/>
    </row>
    <row r="465" spans="1:9" ht="15" customHeight="1" x14ac:dyDescent="0.35">
      <c r="A465" s="49"/>
      <c r="B465" s="82" t="str">
        <f t="shared" si="8"/>
        <v>Unitaire</v>
      </c>
      <c r="C465" s="15" t="s">
        <v>13</v>
      </c>
      <c r="D465" s="53" t="s">
        <v>405</v>
      </c>
      <c r="E465" s="54" t="s">
        <v>18</v>
      </c>
      <c r="F465" s="52"/>
      <c r="G465" s="52"/>
      <c r="H465" s="52"/>
      <c r="I465" s="52"/>
    </row>
    <row r="466" spans="1:9" ht="11.25" customHeight="1" x14ac:dyDescent="0.35">
      <c r="A466" s="57"/>
      <c r="B466" s="56" t="str">
        <f t="shared" si="8"/>
        <v/>
      </c>
      <c r="C466" s="56"/>
      <c r="D466" s="56" t="str">
        <f>CONCATENATE("Sous-Total : ",A453," - ",D453)</f>
        <v>Sous-Total :  - Système d'appel malade</v>
      </c>
      <c r="E466" s="57"/>
      <c r="F466" s="74"/>
      <c r="G466" s="74"/>
      <c r="H466" s="75"/>
      <c r="I466" s="76">
        <v>0</v>
      </c>
    </row>
    <row r="467" spans="1:9" ht="11.25" customHeight="1" x14ac:dyDescent="0.35">
      <c r="A467" s="44"/>
      <c r="B467" s="84" t="str">
        <f t="shared" si="8"/>
        <v/>
      </c>
      <c r="C467" s="9" t="s">
        <v>10</v>
      </c>
      <c r="D467" s="45" t="s">
        <v>406</v>
      </c>
      <c r="E467" s="67"/>
      <c r="F467" s="46"/>
      <c r="G467" s="46"/>
      <c r="H467" s="47"/>
      <c r="I467" s="48"/>
    </row>
    <row r="468" spans="1:9" ht="11.25" customHeight="1" x14ac:dyDescent="0.35">
      <c r="A468" s="49"/>
      <c r="B468" s="81" t="str">
        <f t="shared" si="8"/>
        <v>Unitaire</v>
      </c>
      <c r="C468" s="15" t="s">
        <v>13</v>
      </c>
      <c r="D468" s="53" t="s">
        <v>407</v>
      </c>
      <c r="E468" s="54" t="s">
        <v>15</v>
      </c>
      <c r="F468" s="52"/>
      <c r="G468" s="52"/>
      <c r="H468" s="52"/>
      <c r="I468" s="52"/>
    </row>
    <row r="469" spans="1:9" ht="11.25" customHeight="1" x14ac:dyDescent="0.35">
      <c r="A469" s="49"/>
      <c r="B469" s="81" t="str">
        <f t="shared" si="8"/>
        <v>Unitaire</v>
      </c>
      <c r="C469" s="15" t="s">
        <v>13</v>
      </c>
      <c r="D469" s="53" t="s">
        <v>408</v>
      </c>
      <c r="E469" s="54" t="s">
        <v>15</v>
      </c>
      <c r="F469" s="52"/>
      <c r="G469" s="52"/>
      <c r="H469" s="52"/>
      <c r="I469" s="52"/>
    </row>
    <row r="470" spans="1:9" ht="11.25" customHeight="1" x14ac:dyDescent="0.35">
      <c r="A470" s="49"/>
      <c r="B470" s="81" t="str">
        <f t="shared" si="8"/>
        <v>Unitaire</v>
      </c>
      <c r="C470" s="15" t="s">
        <v>13</v>
      </c>
      <c r="D470" s="53" t="s">
        <v>409</v>
      </c>
      <c r="E470" s="54" t="s">
        <v>15</v>
      </c>
      <c r="F470" s="52"/>
      <c r="G470" s="52"/>
      <c r="H470" s="52"/>
      <c r="I470" s="52"/>
    </row>
    <row r="471" spans="1:9" ht="11.25" customHeight="1" x14ac:dyDescent="0.35">
      <c r="A471" s="49"/>
      <c r="B471" s="82" t="str">
        <f t="shared" si="8"/>
        <v>Unitaire</v>
      </c>
      <c r="C471" s="15" t="s">
        <v>13</v>
      </c>
      <c r="D471" s="53" t="s">
        <v>373</v>
      </c>
      <c r="E471" s="54" t="s">
        <v>18</v>
      </c>
      <c r="F471" s="52"/>
      <c r="G471" s="52"/>
      <c r="H471" s="52"/>
      <c r="I471" s="52"/>
    </row>
    <row r="472" spans="1:9" ht="11.25" customHeight="1" x14ac:dyDescent="0.35">
      <c r="A472" s="49"/>
      <c r="B472" s="82" t="str">
        <f t="shared" si="8"/>
        <v>Unitaire</v>
      </c>
      <c r="C472" s="15" t="s">
        <v>13</v>
      </c>
      <c r="D472" s="53" t="s">
        <v>384</v>
      </c>
      <c r="E472" s="54" t="s">
        <v>18</v>
      </c>
      <c r="F472" s="52"/>
      <c r="G472" s="52"/>
      <c r="H472" s="52"/>
      <c r="I472" s="52"/>
    </row>
    <row r="473" spans="1:9" ht="11.25" customHeight="1" x14ac:dyDescent="0.35">
      <c r="A473" s="55"/>
      <c r="B473" s="56" t="str">
        <f t="shared" si="8"/>
        <v/>
      </c>
      <c r="C473" s="56"/>
      <c r="D473" s="56" t="str">
        <f>CONCATENATE("Sous-Total : ",A467," - ",D467)</f>
        <v>Sous-Total :  - Bouton de panique</v>
      </c>
      <c r="E473" s="57"/>
      <c r="F473" s="58"/>
      <c r="G473" s="58"/>
      <c r="H473" s="59"/>
      <c r="I473" s="60">
        <v>0</v>
      </c>
    </row>
    <row r="474" spans="1:9" ht="11.25" customHeight="1" x14ac:dyDescent="0.35">
      <c r="A474" s="44"/>
      <c r="B474" s="82" t="str">
        <f t="shared" si="8"/>
        <v>Surfacique</v>
      </c>
      <c r="C474" s="9" t="s">
        <v>10</v>
      </c>
      <c r="D474" s="62" t="s">
        <v>410</v>
      </c>
      <c r="E474" s="10" t="s">
        <v>12</v>
      </c>
      <c r="F474" s="46"/>
      <c r="G474" s="46"/>
      <c r="H474" s="47"/>
      <c r="I474" s="77"/>
    </row>
    <row r="475" spans="1:9" ht="18" customHeight="1" x14ac:dyDescent="0.35">
      <c r="A475" s="54"/>
      <c r="B475" s="81" t="str">
        <f t="shared" si="8"/>
        <v>Surfacique</v>
      </c>
      <c r="C475" s="15" t="s">
        <v>13</v>
      </c>
      <c r="D475" s="69" t="s">
        <v>411</v>
      </c>
      <c r="E475" s="51" t="s">
        <v>12</v>
      </c>
      <c r="F475" s="54"/>
      <c r="G475" s="54"/>
      <c r="H475" s="54">
        <v>14</v>
      </c>
      <c r="I475" s="70"/>
    </row>
    <row r="476" spans="1:9" ht="18" customHeight="1" x14ac:dyDescent="0.35">
      <c r="A476" s="54"/>
      <c r="B476" s="81" t="str">
        <f t="shared" si="8"/>
        <v>Unitaire</v>
      </c>
      <c r="C476" s="15" t="s">
        <v>13</v>
      </c>
      <c r="D476" s="69" t="s">
        <v>412</v>
      </c>
      <c r="E476" s="54" t="s">
        <v>413</v>
      </c>
      <c r="F476" s="54"/>
      <c r="G476" s="54"/>
      <c r="H476" s="54">
        <v>864</v>
      </c>
      <c r="I476" s="70"/>
    </row>
    <row r="477" spans="1:9" ht="18" customHeight="1" x14ac:dyDescent="0.35">
      <c r="A477" s="54"/>
      <c r="B477" s="81" t="str">
        <f t="shared" si="8"/>
        <v>Unitaire</v>
      </c>
      <c r="C477" s="15" t="s">
        <v>13</v>
      </c>
      <c r="D477" s="69" t="s">
        <v>414</v>
      </c>
      <c r="E477" s="54" t="s">
        <v>413</v>
      </c>
      <c r="F477" s="54"/>
      <c r="G477" s="54"/>
      <c r="H477" s="54">
        <v>1450</v>
      </c>
      <c r="I477" s="70"/>
    </row>
    <row r="478" spans="1:9" ht="18" customHeight="1" x14ac:dyDescent="0.35">
      <c r="A478" s="54"/>
      <c r="B478" s="81" t="str">
        <f t="shared" si="8"/>
        <v>Unitaire</v>
      </c>
      <c r="C478" s="15" t="s">
        <v>13</v>
      </c>
      <c r="D478" s="69" t="s">
        <v>415</v>
      </c>
      <c r="E478" s="54" t="s">
        <v>15</v>
      </c>
      <c r="F478" s="54"/>
      <c r="G478" s="54"/>
      <c r="H478" s="54"/>
      <c r="I478" s="70"/>
    </row>
    <row r="479" spans="1:9" ht="18" customHeight="1" x14ac:dyDescent="0.35">
      <c r="A479" s="49"/>
      <c r="B479" s="81" t="str">
        <f t="shared" si="8"/>
        <v>Unitaire</v>
      </c>
      <c r="C479" s="15" t="s">
        <v>13</v>
      </c>
      <c r="D479" s="53" t="s">
        <v>416</v>
      </c>
      <c r="E479" s="54" t="s">
        <v>15</v>
      </c>
      <c r="F479" s="52"/>
      <c r="G479" s="52"/>
      <c r="H479" s="52"/>
      <c r="I479" s="52"/>
    </row>
    <row r="480" spans="1:9" ht="18" customHeight="1" x14ac:dyDescent="0.35">
      <c r="A480" s="49"/>
      <c r="B480" s="81" t="str">
        <f t="shared" si="8"/>
        <v>Unitaire</v>
      </c>
      <c r="C480" s="15" t="s">
        <v>13</v>
      </c>
      <c r="D480" s="53" t="s">
        <v>417</v>
      </c>
      <c r="E480" s="54" t="s">
        <v>15</v>
      </c>
      <c r="F480" s="52"/>
      <c r="G480" s="52"/>
      <c r="H480" s="52">
        <v>75</v>
      </c>
      <c r="I480" s="52"/>
    </row>
    <row r="481" spans="1:9" ht="18" customHeight="1" x14ac:dyDescent="0.35">
      <c r="A481" s="49"/>
      <c r="B481" s="81" t="str">
        <f t="shared" si="8"/>
        <v>Unitaire</v>
      </c>
      <c r="C481" s="15" t="s">
        <v>13</v>
      </c>
      <c r="D481" s="53" t="s">
        <v>418</v>
      </c>
      <c r="E481" s="54" t="s">
        <v>15</v>
      </c>
      <c r="F481" s="52"/>
      <c r="G481" s="52"/>
      <c r="H481" s="52"/>
      <c r="I481" s="52"/>
    </row>
    <row r="482" spans="1:9" ht="18" customHeight="1" x14ac:dyDescent="0.35">
      <c r="A482" s="49"/>
      <c r="B482" s="81" t="str">
        <f t="shared" si="8"/>
        <v>Unitaire</v>
      </c>
      <c r="C482" s="15" t="s">
        <v>13</v>
      </c>
      <c r="D482" s="53" t="s">
        <v>419</v>
      </c>
      <c r="E482" s="54" t="s">
        <v>15</v>
      </c>
      <c r="F482" s="52"/>
      <c r="G482" s="52"/>
      <c r="H482" s="52">
        <v>4</v>
      </c>
      <c r="I482" s="52"/>
    </row>
    <row r="483" spans="1:9" ht="18" customHeight="1" x14ac:dyDescent="0.35">
      <c r="A483" s="49"/>
      <c r="B483" s="82" t="str">
        <f t="shared" si="8"/>
        <v>Unitaire</v>
      </c>
      <c r="C483" s="15" t="s">
        <v>13</v>
      </c>
      <c r="D483" s="53" t="s">
        <v>420</v>
      </c>
      <c r="E483" s="54" t="s">
        <v>18</v>
      </c>
      <c r="F483" s="52"/>
      <c r="G483" s="52"/>
      <c r="H483" s="52"/>
      <c r="I483" s="52"/>
    </row>
    <row r="484" spans="1:9" ht="18" customHeight="1" x14ac:dyDescent="0.35">
      <c r="A484" s="49"/>
      <c r="B484" s="82" t="str">
        <f t="shared" si="8"/>
        <v>Unitaire</v>
      </c>
      <c r="C484" s="15" t="s">
        <v>13</v>
      </c>
      <c r="D484" s="53" t="s">
        <v>421</v>
      </c>
      <c r="E484" s="54" t="s">
        <v>413</v>
      </c>
      <c r="F484" s="52"/>
      <c r="G484" s="52"/>
      <c r="H484" s="52">
        <v>540</v>
      </c>
      <c r="I484" s="52"/>
    </row>
    <row r="485" spans="1:9" ht="18" customHeight="1" x14ac:dyDescent="0.35">
      <c r="A485" s="49"/>
      <c r="B485" s="82" t="str">
        <f t="shared" si="8"/>
        <v>Unitaire</v>
      </c>
      <c r="C485" s="15" t="s">
        <v>13</v>
      </c>
      <c r="D485" s="53" t="s">
        <v>422</v>
      </c>
      <c r="E485" s="54" t="s">
        <v>25</v>
      </c>
      <c r="F485" s="52"/>
      <c r="G485" s="52"/>
      <c r="H485" s="52">
        <v>13</v>
      </c>
      <c r="I485" s="52"/>
    </row>
    <row r="486" spans="1:9" ht="18" customHeight="1" x14ac:dyDescent="0.35">
      <c r="A486" s="49"/>
      <c r="B486" s="82" t="str">
        <f t="shared" si="8"/>
        <v>Unitaire</v>
      </c>
      <c r="C486" s="15" t="s">
        <v>13</v>
      </c>
      <c r="D486" s="53" t="s">
        <v>423</v>
      </c>
      <c r="E486" s="54" t="s">
        <v>18</v>
      </c>
      <c r="F486" s="52"/>
      <c r="G486" s="52"/>
      <c r="H486" s="52"/>
      <c r="I486" s="52"/>
    </row>
    <row r="487" spans="1:9" ht="18" customHeight="1" x14ac:dyDescent="0.35">
      <c r="A487" s="49"/>
      <c r="B487" s="82" t="str">
        <f t="shared" si="8"/>
        <v>Unitaire</v>
      </c>
      <c r="C487" s="15" t="s">
        <v>13</v>
      </c>
      <c r="D487" s="53" t="s">
        <v>404</v>
      </c>
      <c r="E487" s="54" t="s">
        <v>18</v>
      </c>
      <c r="F487" s="52"/>
      <c r="G487" s="52"/>
      <c r="H487" s="52"/>
      <c r="I487" s="52"/>
    </row>
    <row r="488" spans="1:9" ht="11.25" customHeight="1" x14ac:dyDescent="0.35">
      <c r="A488" s="55"/>
      <c r="B488" s="56" t="str">
        <f t="shared" si="8"/>
        <v/>
      </c>
      <c r="C488" s="56"/>
      <c r="D488" s="56" t="str">
        <f>CONCATENATE("Sous-Total : ",A474," - ",D474)</f>
        <v>Sous-Total :  - Contrôle d'accès</v>
      </c>
      <c r="E488" s="57"/>
      <c r="F488" s="58"/>
      <c r="G488" s="58"/>
      <c r="H488" s="59"/>
      <c r="I488" s="60">
        <v>0</v>
      </c>
    </row>
    <row r="489" spans="1:9" ht="11.25" customHeight="1" x14ac:dyDescent="0.35">
      <c r="A489" s="44"/>
      <c r="B489" s="83" t="str">
        <f t="shared" si="8"/>
        <v/>
      </c>
      <c r="C489" s="9" t="s">
        <v>10</v>
      </c>
      <c r="D489" s="62" t="s">
        <v>424</v>
      </c>
      <c r="E489" s="67"/>
      <c r="F489" s="46"/>
      <c r="G489" s="46"/>
      <c r="H489" s="47"/>
      <c r="I489" s="77"/>
    </row>
    <row r="490" spans="1:9" ht="11.25" customHeight="1" x14ac:dyDescent="0.35">
      <c r="A490" s="78"/>
      <c r="B490" s="81" t="str">
        <f t="shared" si="8"/>
        <v>Unitaire</v>
      </c>
      <c r="C490" s="15" t="s">
        <v>13</v>
      </c>
      <c r="D490" s="69" t="s">
        <v>425</v>
      </c>
      <c r="E490" s="54" t="s">
        <v>15</v>
      </c>
      <c r="F490" s="54"/>
      <c r="G490" s="54"/>
      <c r="H490" s="54"/>
      <c r="I490" s="70"/>
    </row>
    <row r="491" spans="1:9" ht="11.25" customHeight="1" x14ac:dyDescent="0.35">
      <c r="A491" s="68"/>
      <c r="B491" s="81" t="str">
        <f t="shared" si="8"/>
        <v>Unitaire</v>
      </c>
      <c r="C491" s="15" t="s">
        <v>13</v>
      </c>
      <c r="D491" s="53" t="s">
        <v>426</v>
      </c>
      <c r="E491" s="54" t="s">
        <v>15</v>
      </c>
      <c r="F491" s="52"/>
      <c r="G491" s="52"/>
      <c r="H491" s="52"/>
      <c r="I491" s="52"/>
    </row>
    <row r="492" spans="1:9" ht="11.25" customHeight="1" x14ac:dyDescent="0.35">
      <c r="A492" s="55"/>
      <c r="B492" s="56" t="str">
        <f t="shared" si="8"/>
        <v/>
      </c>
      <c r="C492" s="56"/>
      <c r="D492" s="56" t="str">
        <f>CONCATENATE("Sous-Total : ",A489," - ",D489)</f>
        <v>Sous-Total :  - Gestion du temps de travail</v>
      </c>
      <c r="E492" s="57"/>
      <c r="F492" s="58"/>
      <c r="G492" s="58"/>
      <c r="H492" s="59"/>
      <c r="I492" s="60">
        <v>0</v>
      </c>
    </row>
    <row r="493" spans="1:9" ht="11.25" customHeight="1" x14ac:dyDescent="0.35">
      <c r="A493" s="44"/>
      <c r="B493" s="82" t="str">
        <f t="shared" si="8"/>
        <v>Surfacique</v>
      </c>
      <c r="C493" s="9" t="s">
        <v>10</v>
      </c>
      <c r="D493" s="62" t="s">
        <v>427</v>
      </c>
      <c r="E493" s="10" t="s">
        <v>12</v>
      </c>
      <c r="F493" s="46"/>
      <c r="G493" s="46"/>
      <c r="H493" s="47"/>
      <c r="I493" s="77"/>
    </row>
    <row r="494" spans="1:9" ht="19.5" customHeight="1" x14ac:dyDescent="0.35">
      <c r="A494" s="54"/>
      <c r="B494" s="81" t="str">
        <f t="shared" si="8"/>
        <v>Surfacique</v>
      </c>
      <c r="C494" s="15" t="s">
        <v>13</v>
      </c>
      <c r="D494" s="69" t="s">
        <v>540</v>
      </c>
      <c r="E494" s="51" t="s">
        <v>12</v>
      </c>
      <c r="F494" s="54"/>
      <c r="G494" s="54"/>
      <c r="H494" s="54">
        <v>1.4</v>
      </c>
      <c r="I494" s="70"/>
    </row>
    <row r="495" spans="1:9" ht="19.5" customHeight="1" x14ac:dyDescent="0.35">
      <c r="A495" s="54"/>
      <c r="B495" s="81" t="str">
        <f t="shared" si="8"/>
        <v>Unitaire</v>
      </c>
      <c r="C495" s="15" t="s">
        <v>13</v>
      </c>
      <c r="D495" s="69" t="s">
        <v>428</v>
      </c>
      <c r="E495" s="54" t="s">
        <v>15</v>
      </c>
      <c r="F495" s="54"/>
      <c r="G495" s="54"/>
      <c r="H495" s="54">
        <v>1400</v>
      </c>
      <c r="I495" s="70"/>
    </row>
    <row r="496" spans="1:9" ht="19.5" customHeight="1" x14ac:dyDescent="0.35">
      <c r="A496" s="49"/>
      <c r="B496" s="81" t="str">
        <f t="shared" si="8"/>
        <v>Unitaire</v>
      </c>
      <c r="C496" s="15" t="s">
        <v>13</v>
      </c>
      <c r="D496" s="53" t="s">
        <v>429</v>
      </c>
      <c r="E496" s="54" t="s">
        <v>15</v>
      </c>
      <c r="F496" s="52"/>
      <c r="G496" s="52"/>
      <c r="H496" s="52">
        <v>1440</v>
      </c>
      <c r="I496" s="52"/>
    </row>
    <row r="497" spans="1:9" ht="19.5" customHeight="1" x14ac:dyDescent="0.35">
      <c r="A497" s="49"/>
      <c r="B497" s="81" t="str">
        <f t="shared" si="8"/>
        <v>Unitaire</v>
      </c>
      <c r="C497" s="15" t="s">
        <v>13</v>
      </c>
      <c r="D497" s="53" t="s">
        <v>430</v>
      </c>
      <c r="E497" s="54" t="s">
        <v>15</v>
      </c>
      <c r="F497" s="52"/>
      <c r="G497" s="52"/>
      <c r="H497" s="52">
        <v>1512</v>
      </c>
      <c r="I497" s="52"/>
    </row>
    <row r="498" spans="1:9" ht="19.5" customHeight="1" x14ac:dyDescent="0.35">
      <c r="A498" s="49"/>
      <c r="B498" s="81" t="str">
        <f t="shared" si="8"/>
        <v>Unitaire</v>
      </c>
      <c r="C498" s="15" t="s">
        <v>13</v>
      </c>
      <c r="D498" s="53" t="s">
        <v>431</v>
      </c>
      <c r="E498" s="54" t="s">
        <v>15</v>
      </c>
      <c r="F498" s="52"/>
      <c r="G498" s="52"/>
      <c r="H498" s="52">
        <v>1512</v>
      </c>
      <c r="I498" s="52"/>
    </row>
    <row r="499" spans="1:9" ht="19.5" customHeight="1" x14ac:dyDescent="0.35">
      <c r="A499" s="49"/>
      <c r="B499" s="81" t="str">
        <f t="shared" si="8"/>
        <v>Unitaire</v>
      </c>
      <c r="C499" s="15" t="s">
        <v>13</v>
      </c>
      <c r="D499" s="53" t="s">
        <v>432</v>
      </c>
      <c r="E499" s="54" t="s">
        <v>15</v>
      </c>
      <c r="F499" s="52"/>
      <c r="G499" s="52"/>
      <c r="H499" s="52">
        <v>1426</v>
      </c>
      <c r="I499" s="52"/>
    </row>
    <row r="500" spans="1:9" ht="19.5" customHeight="1" x14ac:dyDescent="0.35">
      <c r="A500" s="49"/>
      <c r="B500" s="81" t="str">
        <f t="shared" si="8"/>
        <v>Unitaire</v>
      </c>
      <c r="C500" s="15" t="s">
        <v>13</v>
      </c>
      <c r="D500" s="53" t="s">
        <v>433</v>
      </c>
      <c r="E500" s="54" t="s">
        <v>15</v>
      </c>
      <c r="F500" s="52"/>
      <c r="G500" s="52"/>
      <c r="H500" s="52">
        <v>4400</v>
      </c>
      <c r="I500" s="52"/>
    </row>
    <row r="501" spans="1:9" ht="19.5" customHeight="1" x14ac:dyDescent="0.35">
      <c r="A501" s="49"/>
      <c r="B501" s="82" t="str">
        <f t="shared" si="8"/>
        <v>Unitaire</v>
      </c>
      <c r="C501" s="15" t="s">
        <v>13</v>
      </c>
      <c r="D501" s="53" t="s">
        <v>434</v>
      </c>
      <c r="E501" s="54" t="s">
        <v>15</v>
      </c>
      <c r="F501" s="52"/>
      <c r="G501" s="52"/>
      <c r="H501" s="52">
        <v>13000</v>
      </c>
      <c r="I501" s="52"/>
    </row>
    <row r="502" spans="1:9" ht="19.5" customHeight="1" x14ac:dyDescent="0.35">
      <c r="A502" s="54"/>
      <c r="B502" s="81" t="str">
        <f t="shared" si="8"/>
        <v>Unitaire</v>
      </c>
      <c r="C502" s="15" t="s">
        <v>13</v>
      </c>
      <c r="D502" s="53" t="s">
        <v>435</v>
      </c>
      <c r="E502" s="54" t="s">
        <v>15</v>
      </c>
      <c r="F502" s="54"/>
      <c r="G502" s="54"/>
      <c r="H502" s="54">
        <v>350</v>
      </c>
      <c r="I502" s="54"/>
    </row>
    <row r="503" spans="1:9" ht="19.5" customHeight="1" x14ac:dyDescent="0.35">
      <c r="A503" s="49"/>
      <c r="B503" s="82" t="str">
        <f t="shared" si="8"/>
        <v>Surfacique</v>
      </c>
      <c r="C503" s="15" t="s">
        <v>13</v>
      </c>
      <c r="D503" s="53" t="s">
        <v>436</v>
      </c>
      <c r="E503" s="51" t="s">
        <v>12</v>
      </c>
      <c r="F503" s="52"/>
      <c r="G503" s="52"/>
      <c r="H503" s="52">
        <v>0.7</v>
      </c>
      <c r="I503" s="52"/>
    </row>
    <row r="504" spans="1:9" ht="11.25" customHeight="1" x14ac:dyDescent="0.35">
      <c r="A504" s="55"/>
      <c r="B504" s="56" t="str">
        <f t="shared" si="8"/>
        <v/>
      </c>
      <c r="C504" s="56"/>
      <c r="D504" s="56" t="str">
        <f>CONCATENATE("Sous-Total : ",A493," - ",D493)</f>
        <v>Sous-Total :  - Vidéo surveillance</v>
      </c>
      <c r="E504" s="57"/>
      <c r="F504" s="58"/>
      <c r="G504" s="58"/>
      <c r="H504" s="59"/>
      <c r="I504" s="60">
        <v>0</v>
      </c>
    </row>
    <row r="505" spans="1:9" ht="11.25" customHeight="1" x14ac:dyDescent="0.35">
      <c r="A505" s="61"/>
      <c r="B505" s="82" t="str">
        <f t="shared" si="8"/>
        <v>Surfacique</v>
      </c>
      <c r="C505" s="9" t="s">
        <v>10</v>
      </c>
      <c r="D505" s="62" t="s">
        <v>437</v>
      </c>
      <c r="E505" s="10" t="s">
        <v>12</v>
      </c>
      <c r="F505" s="63"/>
      <c r="G505" s="63"/>
      <c r="H505" s="64"/>
      <c r="I505" s="65"/>
    </row>
    <row r="506" spans="1:9" ht="15.75" customHeight="1" x14ac:dyDescent="0.35">
      <c r="A506" s="49"/>
      <c r="B506" s="81" t="str">
        <f t="shared" si="8"/>
        <v>Surfacique</v>
      </c>
      <c r="C506" s="15" t="s">
        <v>13</v>
      </c>
      <c r="D506" s="53" t="s">
        <v>438</v>
      </c>
      <c r="E506" s="51" t="s">
        <v>12</v>
      </c>
      <c r="F506" s="52"/>
      <c r="G506" s="52"/>
      <c r="H506" s="52">
        <v>2.8</v>
      </c>
      <c r="I506" s="52"/>
    </row>
    <row r="507" spans="1:9" ht="15.75" customHeight="1" x14ac:dyDescent="0.35">
      <c r="A507" s="49"/>
      <c r="B507" s="81" t="str">
        <f t="shared" si="8"/>
        <v>Surfacique</v>
      </c>
      <c r="C507" s="15" t="s">
        <v>13</v>
      </c>
      <c r="D507" s="53" t="s">
        <v>439</v>
      </c>
      <c r="E507" s="51" t="s">
        <v>12</v>
      </c>
      <c r="F507" s="52"/>
      <c r="G507" s="52"/>
      <c r="H507" s="52">
        <v>0.9</v>
      </c>
      <c r="I507" s="52"/>
    </row>
    <row r="508" spans="1:9" ht="15.75" customHeight="1" x14ac:dyDescent="0.35">
      <c r="A508" s="49"/>
      <c r="B508" s="81" t="str">
        <f t="shared" si="8"/>
        <v>Surfacique</v>
      </c>
      <c r="C508" s="15" t="s">
        <v>13</v>
      </c>
      <c r="D508" s="53" t="s">
        <v>440</v>
      </c>
      <c r="E508" s="51" t="s">
        <v>12</v>
      </c>
      <c r="F508" s="52"/>
      <c r="G508" s="52"/>
      <c r="H508" s="52">
        <v>0.4</v>
      </c>
      <c r="I508" s="52"/>
    </row>
    <row r="509" spans="1:9" ht="15.75" customHeight="1" x14ac:dyDescent="0.35">
      <c r="A509" s="49"/>
      <c r="B509" s="81" t="str">
        <f t="shared" si="8"/>
        <v>Unitaire</v>
      </c>
      <c r="C509" s="15" t="s">
        <v>13</v>
      </c>
      <c r="D509" s="53" t="s">
        <v>441</v>
      </c>
      <c r="E509" s="54" t="s">
        <v>15</v>
      </c>
      <c r="F509" s="52"/>
      <c r="G509" s="52"/>
      <c r="H509" s="52">
        <v>1200</v>
      </c>
      <c r="I509" s="52"/>
    </row>
    <row r="510" spans="1:9" ht="15.75" customHeight="1" x14ac:dyDescent="0.35">
      <c r="A510" s="49"/>
      <c r="B510" s="81" t="str">
        <f t="shared" si="8"/>
        <v>Unitaire</v>
      </c>
      <c r="C510" s="15" t="s">
        <v>13</v>
      </c>
      <c r="D510" s="53" t="s">
        <v>442</v>
      </c>
      <c r="E510" s="54" t="s">
        <v>15</v>
      </c>
      <c r="F510" s="52"/>
      <c r="G510" s="52"/>
      <c r="H510" s="52">
        <v>250</v>
      </c>
      <c r="I510" s="52"/>
    </row>
    <row r="511" spans="1:9" ht="15.75" customHeight="1" x14ac:dyDescent="0.35">
      <c r="A511" s="49"/>
      <c r="B511" s="81" t="str">
        <f t="shared" si="8"/>
        <v>Unitaire</v>
      </c>
      <c r="C511" s="15" t="s">
        <v>13</v>
      </c>
      <c r="D511" s="53" t="s">
        <v>443</v>
      </c>
      <c r="E511" s="54" t="s">
        <v>15</v>
      </c>
      <c r="F511" s="52"/>
      <c r="G511" s="52"/>
      <c r="H511" s="52">
        <v>40</v>
      </c>
      <c r="I511" s="52"/>
    </row>
    <row r="512" spans="1:9" ht="15.75" customHeight="1" x14ac:dyDescent="0.35">
      <c r="A512" s="49"/>
      <c r="B512" s="81" t="str">
        <f t="shared" si="8"/>
        <v>Unitaire</v>
      </c>
      <c r="C512" s="15" t="s">
        <v>13</v>
      </c>
      <c r="D512" s="53" t="s">
        <v>444</v>
      </c>
      <c r="E512" s="54" t="s">
        <v>15</v>
      </c>
      <c r="F512" s="52"/>
      <c r="G512" s="52"/>
      <c r="H512" s="52">
        <v>30</v>
      </c>
      <c r="I512" s="52"/>
    </row>
    <row r="513" spans="1:9" ht="15.75" customHeight="1" x14ac:dyDescent="0.35">
      <c r="A513" s="49"/>
      <c r="B513" s="81" t="str">
        <f t="shared" si="8"/>
        <v>Unitaire</v>
      </c>
      <c r="C513" s="15" t="s">
        <v>13</v>
      </c>
      <c r="D513" s="53" t="s">
        <v>445</v>
      </c>
      <c r="E513" s="54" t="s">
        <v>15</v>
      </c>
      <c r="F513" s="52"/>
      <c r="G513" s="52"/>
      <c r="H513" s="52">
        <v>110</v>
      </c>
      <c r="I513" s="52"/>
    </row>
    <row r="514" spans="1:9" ht="15.75" customHeight="1" x14ac:dyDescent="0.35">
      <c r="A514" s="49"/>
      <c r="B514" s="81" t="str">
        <f t="shared" si="8"/>
        <v>Unitaire</v>
      </c>
      <c r="C514" s="15" t="s">
        <v>13</v>
      </c>
      <c r="D514" s="53" t="s">
        <v>446</v>
      </c>
      <c r="E514" s="54" t="s">
        <v>15</v>
      </c>
      <c r="F514" s="52"/>
      <c r="G514" s="52"/>
      <c r="H514" s="52">
        <v>82</v>
      </c>
      <c r="I514" s="52"/>
    </row>
    <row r="515" spans="1:9" ht="15.75" customHeight="1" x14ac:dyDescent="0.35">
      <c r="A515" s="49"/>
      <c r="B515" s="82" t="str">
        <f t="shared" si="8"/>
        <v>Surfacique</v>
      </c>
      <c r="C515" s="15" t="s">
        <v>13</v>
      </c>
      <c r="D515" s="53" t="s">
        <v>447</v>
      </c>
      <c r="E515" s="51" t="s">
        <v>12</v>
      </c>
      <c r="F515" s="52"/>
      <c r="G515" s="52"/>
      <c r="H515" s="52">
        <v>0.5</v>
      </c>
      <c r="I515" s="52"/>
    </row>
    <row r="516" spans="1:9" ht="15.75" customHeight="1" x14ac:dyDescent="0.35">
      <c r="A516" s="54"/>
      <c r="B516" s="82" t="str">
        <f t="shared" si="8"/>
        <v>Unitaire</v>
      </c>
      <c r="C516" s="15" t="s">
        <v>13</v>
      </c>
      <c r="D516" s="53" t="s">
        <v>357</v>
      </c>
      <c r="E516" s="54" t="s">
        <v>18</v>
      </c>
      <c r="F516" s="54"/>
      <c r="G516" s="54"/>
      <c r="H516" s="54">
        <v>3500</v>
      </c>
      <c r="I516" s="54"/>
    </row>
    <row r="517" spans="1:9" ht="15.75" customHeight="1" x14ac:dyDescent="0.35">
      <c r="A517" s="54"/>
      <c r="B517" s="82" t="str">
        <f t="shared" si="8"/>
        <v>Unitaire</v>
      </c>
      <c r="C517" s="15" t="s">
        <v>13</v>
      </c>
      <c r="D517" s="53" t="s">
        <v>448</v>
      </c>
      <c r="E517" s="54" t="s">
        <v>15</v>
      </c>
      <c r="F517" s="54"/>
      <c r="G517" s="54"/>
      <c r="H517" s="54">
        <v>12000</v>
      </c>
      <c r="I517" s="54"/>
    </row>
    <row r="518" spans="1:9" ht="15.75" customHeight="1" x14ac:dyDescent="0.35">
      <c r="A518" s="54"/>
      <c r="B518" s="82" t="str">
        <f t="shared" si="8"/>
        <v>Unitaire</v>
      </c>
      <c r="C518" s="15" t="s">
        <v>13</v>
      </c>
      <c r="D518" s="53" t="s">
        <v>449</v>
      </c>
      <c r="E518" s="54" t="s">
        <v>25</v>
      </c>
      <c r="F518" s="54"/>
      <c r="G518" s="54"/>
      <c r="H518" s="54">
        <v>32</v>
      </c>
      <c r="I518" s="54"/>
    </row>
    <row r="519" spans="1:9" ht="11.25" customHeight="1" x14ac:dyDescent="0.35">
      <c r="A519" s="57"/>
      <c r="B519" s="79" t="str">
        <f t="shared" si="8"/>
        <v/>
      </c>
      <c r="C519" s="79"/>
      <c r="D519" s="79" t="str">
        <f>CONCATENATE("Sous-Total : ",A505," - ",D505)</f>
        <v>Sous-Total :  - Système anti intrusion</v>
      </c>
      <c r="E519" s="57"/>
      <c r="F519" s="74"/>
      <c r="G519" s="74"/>
      <c r="H519" s="75"/>
      <c r="I519" s="80">
        <v>0</v>
      </c>
    </row>
    <row r="520" spans="1:9" ht="11.25" customHeight="1" x14ac:dyDescent="0.35">
      <c r="A520" s="61"/>
      <c r="B520" s="82" t="str">
        <f t="shared" si="8"/>
        <v>Surfacique</v>
      </c>
      <c r="C520" s="9" t="s">
        <v>10</v>
      </c>
      <c r="D520" s="62" t="s">
        <v>450</v>
      </c>
      <c r="E520" s="10" t="s">
        <v>12</v>
      </c>
      <c r="F520" s="63"/>
      <c r="G520" s="63"/>
      <c r="H520" s="64"/>
      <c r="I520" s="65"/>
    </row>
    <row r="521" spans="1:9" ht="15" customHeight="1" x14ac:dyDescent="0.35">
      <c r="A521" s="49"/>
      <c r="B521" s="81" t="str">
        <f t="shared" si="8"/>
        <v>Surfacique</v>
      </c>
      <c r="C521" s="15" t="s">
        <v>13</v>
      </c>
      <c r="D521" s="53" t="s">
        <v>451</v>
      </c>
      <c r="E521" s="51" t="s">
        <v>12</v>
      </c>
      <c r="F521" s="52"/>
      <c r="G521" s="52"/>
      <c r="H521" s="52">
        <v>20.52</v>
      </c>
      <c r="I521" s="52"/>
    </row>
    <row r="522" spans="1:9" ht="15" customHeight="1" x14ac:dyDescent="0.35">
      <c r="A522" s="49"/>
      <c r="B522" s="81" t="str">
        <f t="shared" si="8"/>
        <v>Surfacique</v>
      </c>
      <c r="C522" s="15" t="s">
        <v>13</v>
      </c>
      <c r="D522" s="53" t="s">
        <v>452</v>
      </c>
      <c r="E522" s="51" t="s">
        <v>12</v>
      </c>
      <c r="F522" s="52"/>
      <c r="G522" s="52"/>
      <c r="H522" s="52">
        <v>13</v>
      </c>
      <c r="I522" s="52"/>
    </row>
    <row r="523" spans="1:9" ht="15" customHeight="1" x14ac:dyDescent="0.35">
      <c r="A523" s="49"/>
      <c r="B523" s="81" t="str">
        <f t="shared" si="8"/>
        <v>Surfacique</v>
      </c>
      <c r="C523" s="15" t="s">
        <v>13</v>
      </c>
      <c r="D523" s="53" t="s">
        <v>453</v>
      </c>
      <c r="E523" s="51" t="s">
        <v>12</v>
      </c>
      <c r="F523" s="52"/>
      <c r="G523" s="52"/>
      <c r="H523" s="52">
        <v>8</v>
      </c>
      <c r="I523" s="52"/>
    </row>
    <row r="524" spans="1:9" ht="15" customHeight="1" x14ac:dyDescent="0.35">
      <c r="A524" s="49"/>
      <c r="B524" s="81" t="str">
        <f t="shared" si="8"/>
        <v>Surfacique</v>
      </c>
      <c r="C524" s="15" t="s">
        <v>13</v>
      </c>
      <c r="D524" s="53" t="s">
        <v>454</v>
      </c>
      <c r="E524" s="51" t="s">
        <v>12</v>
      </c>
      <c r="F524" s="52"/>
      <c r="G524" s="52"/>
      <c r="H524" s="52">
        <v>7.5</v>
      </c>
      <c r="I524" s="52"/>
    </row>
    <row r="525" spans="1:9" ht="15" customHeight="1" x14ac:dyDescent="0.35">
      <c r="A525" s="49"/>
      <c r="B525" s="81" t="str">
        <f t="shared" si="8"/>
        <v>Surfacique</v>
      </c>
      <c r="C525" s="15" t="s">
        <v>13</v>
      </c>
      <c r="D525" s="53" t="s">
        <v>455</v>
      </c>
      <c r="E525" s="51" t="s">
        <v>12</v>
      </c>
      <c r="F525" s="52"/>
      <c r="G525" s="52"/>
      <c r="H525" s="52">
        <v>2.1</v>
      </c>
      <c r="I525" s="52"/>
    </row>
    <row r="526" spans="1:9" ht="15" customHeight="1" x14ac:dyDescent="0.35">
      <c r="A526" s="49"/>
      <c r="B526" s="81" t="str">
        <f t="shared" ref="B526:B593" si="9">IF(E526="","",IF(E526="m²","Surfacique","Unitaire"))</f>
        <v>Unitaire</v>
      </c>
      <c r="C526" s="15" t="s">
        <v>13</v>
      </c>
      <c r="D526" s="53" t="s">
        <v>541</v>
      </c>
      <c r="E526" s="54" t="s">
        <v>15</v>
      </c>
      <c r="F526" s="52"/>
      <c r="G526" s="52"/>
      <c r="H526" s="52">
        <v>5760</v>
      </c>
      <c r="I526" s="52"/>
    </row>
    <row r="527" spans="1:9" ht="15" customHeight="1" x14ac:dyDescent="0.35">
      <c r="A527" s="49"/>
      <c r="B527" s="81" t="str">
        <f t="shared" si="9"/>
        <v>Unitaire</v>
      </c>
      <c r="C527" s="15" t="s">
        <v>13</v>
      </c>
      <c r="D527" s="53" t="s">
        <v>456</v>
      </c>
      <c r="E527" s="54" t="s">
        <v>15</v>
      </c>
      <c r="F527" s="52"/>
      <c r="G527" s="52"/>
      <c r="H527" s="52">
        <v>2760</v>
      </c>
      <c r="I527" s="52"/>
    </row>
    <row r="528" spans="1:9" ht="15" customHeight="1" x14ac:dyDescent="0.35">
      <c r="A528" s="49"/>
      <c r="B528" s="81" t="str">
        <f t="shared" si="9"/>
        <v>Unitaire</v>
      </c>
      <c r="C528" s="15" t="s">
        <v>13</v>
      </c>
      <c r="D528" s="53" t="s">
        <v>457</v>
      </c>
      <c r="E528" s="54" t="s">
        <v>15</v>
      </c>
      <c r="F528" s="52"/>
      <c r="G528" s="52"/>
      <c r="H528" s="52">
        <v>5100</v>
      </c>
      <c r="I528" s="52"/>
    </row>
    <row r="529" spans="1:9" ht="15" customHeight="1" x14ac:dyDescent="0.35">
      <c r="A529" s="49"/>
      <c r="B529" s="81" t="str">
        <f t="shared" si="9"/>
        <v>Unitaire</v>
      </c>
      <c r="C529" s="15" t="s">
        <v>13</v>
      </c>
      <c r="D529" s="53" t="s">
        <v>458</v>
      </c>
      <c r="E529" s="54" t="s">
        <v>15</v>
      </c>
      <c r="F529" s="52"/>
      <c r="G529" s="52"/>
      <c r="H529" s="52">
        <v>2800</v>
      </c>
      <c r="I529" s="52"/>
    </row>
    <row r="530" spans="1:9" ht="15" customHeight="1" x14ac:dyDescent="0.35">
      <c r="A530" s="49"/>
      <c r="B530" s="81" t="str">
        <f t="shared" si="9"/>
        <v>Unitaire</v>
      </c>
      <c r="C530" s="15" t="s">
        <v>13</v>
      </c>
      <c r="D530" s="53" t="s">
        <v>459</v>
      </c>
      <c r="E530" s="54" t="s">
        <v>15</v>
      </c>
      <c r="F530" s="52"/>
      <c r="G530" s="52"/>
      <c r="H530" s="52">
        <v>480</v>
      </c>
      <c r="I530" s="52"/>
    </row>
    <row r="531" spans="1:9" ht="15" customHeight="1" x14ac:dyDescent="0.35">
      <c r="A531" s="49"/>
      <c r="B531" s="81" t="str">
        <f t="shared" si="9"/>
        <v>Unitaire</v>
      </c>
      <c r="C531" s="15" t="s">
        <v>13</v>
      </c>
      <c r="D531" s="53" t="s">
        <v>460</v>
      </c>
      <c r="E531" s="54" t="s">
        <v>15</v>
      </c>
      <c r="F531" s="52"/>
      <c r="G531" s="52"/>
      <c r="H531" s="52"/>
      <c r="I531" s="52"/>
    </row>
    <row r="532" spans="1:9" ht="15" customHeight="1" x14ac:dyDescent="0.35">
      <c r="A532" s="49"/>
      <c r="B532" s="81" t="str">
        <f t="shared" si="9"/>
        <v>Unitaire</v>
      </c>
      <c r="C532" s="15" t="s">
        <v>13</v>
      </c>
      <c r="D532" s="53" t="s">
        <v>461</v>
      </c>
      <c r="E532" s="54" t="s">
        <v>15</v>
      </c>
      <c r="F532" s="52"/>
      <c r="G532" s="52"/>
      <c r="H532" s="52">
        <v>63</v>
      </c>
      <c r="I532" s="52"/>
    </row>
    <row r="533" spans="1:9" ht="15" customHeight="1" x14ac:dyDescent="0.35">
      <c r="A533" s="49"/>
      <c r="B533" s="81" t="str">
        <f t="shared" si="9"/>
        <v>Unitaire</v>
      </c>
      <c r="C533" s="15" t="s">
        <v>13</v>
      </c>
      <c r="D533" s="53" t="s">
        <v>462</v>
      </c>
      <c r="E533" s="54" t="s">
        <v>15</v>
      </c>
      <c r="F533" s="52"/>
      <c r="G533" s="52"/>
      <c r="H533" s="52">
        <v>210</v>
      </c>
      <c r="I533" s="52"/>
    </row>
    <row r="534" spans="1:9" ht="15" customHeight="1" x14ac:dyDescent="0.35">
      <c r="A534" s="49"/>
      <c r="B534" s="81" t="str">
        <f t="shared" si="9"/>
        <v>Unitaire</v>
      </c>
      <c r="C534" s="15" t="s">
        <v>13</v>
      </c>
      <c r="D534" s="53" t="s">
        <v>463</v>
      </c>
      <c r="E534" s="54" t="s">
        <v>15</v>
      </c>
      <c r="F534" s="52"/>
      <c r="G534" s="52"/>
      <c r="H534" s="52">
        <v>25</v>
      </c>
      <c r="I534" s="52"/>
    </row>
    <row r="535" spans="1:9" ht="15" customHeight="1" x14ac:dyDescent="0.35">
      <c r="A535" s="49"/>
      <c r="B535" s="81" t="str">
        <f t="shared" si="9"/>
        <v>Unitaire</v>
      </c>
      <c r="C535" s="15" t="s">
        <v>13</v>
      </c>
      <c r="D535" s="53" t="s">
        <v>464</v>
      </c>
      <c r="E535" s="54" t="s">
        <v>15</v>
      </c>
      <c r="F535" s="52"/>
      <c r="G535" s="52"/>
      <c r="H535" s="52">
        <v>62</v>
      </c>
      <c r="I535" s="52"/>
    </row>
    <row r="536" spans="1:9" ht="15" customHeight="1" x14ac:dyDescent="0.35">
      <c r="A536" s="49"/>
      <c r="B536" s="81" t="str">
        <f t="shared" si="9"/>
        <v>Unitaire</v>
      </c>
      <c r="C536" s="15" t="s">
        <v>13</v>
      </c>
      <c r="D536" s="53" t="s">
        <v>465</v>
      </c>
      <c r="E536" s="54" t="s">
        <v>15</v>
      </c>
      <c r="F536" s="52"/>
      <c r="G536" s="52"/>
      <c r="H536" s="52">
        <v>210</v>
      </c>
      <c r="I536" s="52"/>
    </row>
    <row r="537" spans="1:9" ht="15" customHeight="1" x14ac:dyDescent="0.35">
      <c r="A537" s="49"/>
      <c r="B537" s="81" t="str">
        <f t="shared" si="9"/>
        <v>Unitaire</v>
      </c>
      <c r="C537" s="15" t="s">
        <v>13</v>
      </c>
      <c r="D537" s="53" t="s">
        <v>466</v>
      </c>
      <c r="E537" s="54" t="s">
        <v>15</v>
      </c>
      <c r="F537" s="52"/>
      <c r="G537" s="52"/>
      <c r="H537" s="52"/>
      <c r="I537" s="52"/>
    </row>
    <row r="538" spans="1:9" ht="15" customHeight="1" x14ac:dyDescent="0.35">
      <c r="A538" s="49"/>
      <c r="B538" s="81" t="str">
        <f t="shared" si="9"/>
        <v>Unitaire</v>
      </c>
      <c r="C538" s="15" t="s">
        <v>13</v>
      </c>
      <c r="D538" s="53" t="s">
        <v>467</v>
      </c>
      <c r="E538" s="54" t="s">
        <v>15</v>
      </c>
      <c r="F538" s="52"/>
      <c r="G538" s="52"/>
      <c r="H538" s="52">
        <v>57</v>
      </c>
      <c r="I538" s="52"/>
    </row>
    <row r="539" spans="1:9" ht="15" customHeight="1" x14ac:dyDescent="0.35">
      <c r="A539" s="49"/>
      <c r="B539" s="82" t="str">
        <f t="shared" si="9"/>
        <v>Unitaire</v>
      </c>
      <c r="C539" s="15" t="s">
        <v>13</v>
      </c>
      <c r="D539" s="53" t="s">
        <v>468</v>
      </c>
      <c r="E539" s="54" t="s">
        <v>18</v>
      </c>
      <c r="F539" s="52"/>
      <c r="G539" s="52"/>
      <c r="H539" s="52"/>
      <c r="I539" s="52"/>
    </row>
    <row r="540" spans="1:9" ht="15" customHeight="1" x14ac:dyDescent="0.35">
      <c r="A540" s="54"/>
      <c r="B540" s="82" t="str">
        <f t="shared" si="9"/>
        <v>Unitaire</v>
      </c>
      <c r="C540" s="15" t="s">
        <v>13</v>
      </c>
      <c r="D540" s="53" t="s">
        <v>469</v>
      </c>
      <c r="E540" s="54" t="s">
        <v>18</v>
      </c>
      <c r="F540" s="54"/>
      <c r="G540" s="54"/>
      <c r="H540" s="54"/>
      <c r="I540" s="54"/>
    </row>
    <row r="541" spans="1:9" ht="15" customHeight="1" x14ac:dyDescent="0.35">
      <c r="A541" s="54"/>
      <c r="B541" s="82" t="str">
        <f t="shared" si="9"/>
        <v>Unitaire</v>
      </c>
      <c r="C541" s="15" t="s">
        <v>13</v>
      </c>
      <c r="D541" s="69" t="s">
        <v>405</v>
      </c>
      <c r="E541" s="54" t="s">
        <v>18</v>
      </c>
      <c r="F541" s="54"/>
      <c r="G541" s="54"/>
      <c r="H541" s="54"/>
      <c r="I541" s="70"/>
    </row>
    <row r="542" spans="1:9" ht="15" customHeight="1" x14ac:dyDescent="0.35">
      <c r="A542" s="49"/>
      <c r="B542" s="82" t="str">
        <f t="shared" si="9"/>
        <v>Unitaire</v>
      </c>
      <c r="C542" s="15" t="s">
        <v>13</v>
      </c>
      <c r="D542" s="53" t="s">
        <v>470</v>
      </c>
      <c r="E542" s="54" t="s">
        <v>18</v>
      </c>
      <c r="F542" s="52"/>
      <c r="G542" s="52"/>
      <c r="H542" s="52"/>
      <c r="I542" s="52"/>
    </row>
    <row r="543" spans="1:9" ht="15" customHeight="1" x14ac:dyDescent="0.35">
      <c r="A543" s="49"/>
      <c r="B543" s="82" t="str">
        <f t="shared" si="9"/>
        <v>Unitaire</v>
      </c>
      <c r="C543" s="15" t="s">
        <v>13</v>
      </c>
      <c r="D543" s="53" t="s">
        <v>471</v>
      </c>
      <c r="E543" s="54" t="s">
        <v>15</v>
      </c>
      <c r="F543" s="52"/>
      <c r="G543" s="52"/>
      <c r="H543" s="52">
        <v>24</v>
      </c>
      <c r="I543" s="52"/>
    </row>
    <row r="544" spans="1:9" ht="11.25" customHeight="1" x14ac:dyDescent="0.35">
      <c r="A544" s="55"/>
      <c r="B544" s="56" t="str">
        <f t="shared" si="9"/>
        <v/>
      </c>
      <c r="C544" s="56"/>
      <c r="D544" s="56" t="str">
        <f>CONCATENATE("Sous-Total : ",A520," - ",D520)</f>
        <v>Sous-Total :  - Système de sécurité incendie</v>
      </c>
      <c r="E544" s="57"/>
      <c r="F544" s="58"/>
      <c r="G544" s="58"/>
      <c r="H544" s="59"/>
      <c r="I544" s="60">
        <v>0</v>
      </c>
    </row>
    <row r="545" spans="1:9" ht="11.25" customHeight="1" x14ac:dyDescent="0.35">
      <c r="A545" s="61"/>
      <c r="B545" s="82" t="str">
        <f t="shared" si="9"/>
        <v>Surfacique</v>
      </c>
      <c r="C545" s="9" t="s">
        <v>10</v>
      </c>
      <c r="D545" s="62" t="s">
        <v>472</v>
      </c>
      <c r="E545" s="10" t="s">
        <v>12</v>
      </c>
      <c r="F545" s="63"/>
      <c r="G545" s="63"/>
      <c r="H545" s="64"/>
      <c r="I545" s="65"/>
    </row>
    <row r="546" spans="1:9" ht="22.5" customHeight="1" x14ac:dyDescent="0.35">
      <c r="A546" s="49"/>
      <c r="B546" s="82" t="str">
        <f t="shared" si="9"/>
        <v>Surfacique</v>
      </c>
      <c r="C546" s="15" t="s">
        <v>13</v>
      </c>
      <c r="D546" s="50" t="s">
        <v>473</v>
      </c>
      <c r="E546" s="51" t="s">
        <v>12</v>
      </c>
      <c r="F546" s="52"/>
      <c r="G546" s="52"/>
      <c r="H546" s="52">
        <v>1.2</v>
      </c>
      <c r="I546" s="52"/>
    </row>
    <row r="547" spans="1:9" ht="22.5" customHeight="1" x14ac:dyDescent="0.35">
      <c r="A547" s="49"/>
      <c r="B547" s="82" t="str">
        <f t="shared" si="9"/>
        <v>Unitaire</v>
      </c>
      <c r="C547" s="15" t="s">
        <v>13</v>
      </c>
      <c r="D547" s="53" t="s">
        <v>474</v>
      </c>
      <c r="E547" s="54" t="s">
        <v>475</v>
      </c>
      <c r="F547" s="52"/>
      <c r="G547" s="52"/>
      <c r="H547" s="52">
        <v>110</v>
      </c>
      <c r="I547" s="52"/>
    </row>
    <row r="548" spans="1:9" ht="22.5" customHeight="1" x14ac:dyDescent="0.35">
      <c r="A548" s="49"/>
      <c r="B548" s="82" t="str">
        <f t="shared" si="9"/>
        <v>Unitaire</v>
      </c>
      <c r="C548" s="15" t="s">
        <v>13</v>
      </c>
      <c r="D548" s="53" t="s">
        <v>476</v>
      </c>
      <c r="E548" s="54" t="s">
        <v>475</v>
      </c>
      <c r="F548" s="52"/>
      <c r="G548" s="52"/>
      <c r="H548" s="52">
        <v>105</v>
      </c>
      <c r="I548" s="52"/>
    </row>
    <row r="549" spans="1:9" ht="22.5" customHeight="1" x14ac:dyDescent="0.35">
      <c r="A549" s="49"/>
      <c r="B549" s="82" t="str">
        <f t="shared" si="9"/>
        <v>Unitaire</v>
      </c>
      <c r="C549" s="15" t="s">
        <v>13</v>
      </c>
      <c r="D549" s="53" t="s">
        <v>477</v>
      </c>
      <c r="E549" s="54" t="s">
        <v>475</v>
      </c>
      <c r="F549" s="52"/>
      <c r="G549" s="52"/>
      <c r="H549" s="52">
        <v>60</v>
      </c>
      <c r="I549" s="52"/>
    </row>
    <row r="550" spans="1:9" ht="22.5" customHeight="1" x14ac:dyDescent="0.35">
      <c r="A550" s="49"/>
      <c r="B550" s="82" t="str">
        <f t="shared" si="9"/>
        <v>Unitaire</v>
      </c>
      <c r="C550" s="15" t="s">
        <v>13</v>
      </c>
      <c r="D550" s="53" t="s">
        <v>478</v>
      </c>
      <c r="E550" s="54" t="s">
        <v>475</v>
      </c>
      <c r="F550" s="52"/>
      <c r="G550" s="52"/>
      <c r="H550" s="52">
        <v>18</v>
      </c>
      <c r="I550" s="52"/>
    </row>
    <row r="551" spans="1:9" ht="22.5" customHeight="1" x14ac:dyDescent="0.35">
      <c r="A551" s="49"/>
      <c r="B551" s="82" t="str">
        <f t="shared" si="9"/>
        <v>Unitaire</v>
      </c>
      <c r="C551" s="15" t="s">
        <v>13</v>
      </c>
      <c r="D551" s="53" t="s">
        <v>479</v>
      </c>
      <c r="E551" s="54" t="s">
        <v>15</v>
      </c>
      <c r="F551" s="52"/>
      <c r="G551" s="52"/>
      <c r="H551" s="52">
        <v>5000</v>
      </c>
      <c r="I551" s="52"/>
    </row>
    <row r="552" spans="1:9" ht="22.5" customHeight="1" x14ac:dyDescent="0.35">
      <c r="A552" s="49"/>
      <c r="B552" s="82" t="str">
        <f t="shared" si="9"/>
        <v>Unitaire</v>
      </c>
      <c r="C552" s="15" t="s">
        <v>13</v>
      </c>
      <c r="D552" s="53" t="s">
        <v>480</v>
      </c>
      <c r="E552" s="54" t="s">
        <v>475</v>
      </c>
      <c r="F552" s="52"/>
      <c r="G552" s="52"/>
      <c r="H552" s="52">
        <v>17.5</v>
      </c>
      <c r="I552" s="52"/>
    </row>
    <row r="553" spans="1:9" ht="22.5" customHeight="1" x14ac:dyDescent="0.35">
      <c r="A553" s="49"/>
      <c r="B553" s="82" t="str">
        <f t="shared" si="9"/>
        <v>Unitaire</v>
      </c>
      <c r="C553" s="15" t="s">
        <v>13</v>
      </c>
      <c r="D553" s="53" t="s">
        <v>481</v>
      </c>
      <c r="E553" s="54" t="s">
        <v>18</v>
      </c>
      <c r="F553" s="52"/>
      <c r="G553" s="52"/>
      <c r="H553" s="52"/>
      <c r="I553" s="52"/>
    </row>
    <row r="554" spans="1:9" ht="22.5" customHeight="1" x14ac:dyDescent="0.35">
      <c r="A554" s="49"/>
      <c r="B554" s="82" t="str">
        <f t="shared" si="9"/>
        <v>Unitaire</v>
      </c>
      <c r="C554" s="15" t="s">
        <v>13</v>
      </c>
      <c r="D554" s="53" t="s">
        <v>482</v>
      </c>
      <c r="E554" s="54" t="s">
        <v>18</v>
      </c>
      <c r="F554" s="52"/>
      <c r="G554" s="52"/>
      <c r="H554" s="52"/>
      <c r="I554" s="52"/>
    </row>
    <row r="555" spans="1:9" ht="22.5" customHeight="1" x14ac:dyDescent="0.35">
      <c r="A555" s="54"/>
      <c r="B555" s="82" t="str">
        <f t="shared" si="9"/>
        <v>Unitaire</v>
      </c>
      <c r="C555" s="15" t="s">
        <v>13</v>
      </c>
      <c r="D555" s="69" t="s">
        <v>483</v>
      </c>
      <c r="E555" s="54" t="s">
        <v>18</v>
      </c>
      <c r="F555" s="54"/>
      <c r="G555" s="54"/>
      <c r="H555" s="54"/>
      <c r="I555" s="70"/>
    </row>
    <row r="556" spans="1:9" ht="11.25" customHeight="1" x14ac:dyDescent="0.35">
      <c r="A556" s="57"/>
      <c r="B556" s="56" t="str">
        <f t="shared" si="9"/>
        <v/>
      </c>
      <c r="C556" s="56"/>
      <c r="D556" s="56" t="str">
        <f>CONCATENATE("Sous-Total : ",A545," - ",D545)</f>
        <v>Sous-Total :  - SYSTÈME GTC</v>
      </c>
      <c r="E556" s="57"/>
      <c r="F556" s="74"/>
      <c r="G556" s="74"/>
      <c r="H556" s="75"/>
      <c r="I556" s="76">
        <v>0</v>
      </c>
    </row>
    <row r="557" spans="1:9" ht="14.25" customHeight="1" x14ac:dyDescent="0.35">
      <c r="A557" s="61"/>
      <c r="B557" s="83" t="str">
        <f t="shared" si="9"/>
        <v/>
      </c>
      <c r="C557" s="9" t="s">
        <v>10</v>
      </c>
      <c r="D557" s="62" t="s">
        <v>484</v>
      </c>
      <c r="E557" s="67"/>
      <c r="F557" s="63"/>
      <c r="G557" s="63"/>
      <c r="H557" s="64"/>
      <c r="I557" s="65"/>
    </row>
    <row r="558" spans="1:9" ht="14.25" customHeight="1" x14ac:dyDescent="0.35">
      <c r="A558" s="49"/>
      <c r="B558" s="81" t="str">
        <f t="shared" si="9"/>
        <v>Unitaire</v>
      </c>
      <c r="C558" s="15" t="s">
        <v>13</v>
      </c>
      <c r="D558" s="53" t="s">
        <v>485</v>
      </c>
      <c r="E558" s="54" t="s">
        <v>15</v>
      </c>
      <c r="F558" s="52"/>
      <c r="G558" s="52"/>
      <c r="H558" s="52">
        <v>1920</v>
      </c>
      <c r="I558" s="52"/>
    </row>
    <row r="559" spans="1:9" ht="14.25" customHeight="1" x14ac:dyDescent="0.35">
      <c r="A559" s="49"/>
      <c r="B559" s="81" t="str">
        <f t="shared" si="9"/>
        <v>Unitaire</v>
      </c>
      <c r="C559" s="15" t="s">
        <v>13</v>
      </c>
      <c r="D559" s="53" t="s">
        <v>486</v>
      </c>
      <c r="E559" s="54" t="s">
        <v>15</v>
      </c>
      <c r="F559" s="52"/>
      <c r="G559" s="52"/>
      <c r="H559" s="52">
        <v>3830</v>
      </c>
      <c r="I559" s="52"/>
    </row>
    <row r="560" spans="1:9" ht="14.25" customHeight="1" x14ac:dyDescent="0.35">
      <c r="A560" s="57"/>
      <c r="B560" s="56" t="str">
        <f t="shared" si="9"/>
        <v/>
      </c>
      <c r="C560" s="56"/>
      <c r="D560" s="56" t="str">
        <f>CONCATENATE("Sous-Total : ",A557," - ",D557)</f>
        <v>Sous-Total :  - Alarme technique</v>
      </c>
      <c r="E560" s="57"/>
      <c r="F560" s="74"/>
      <c r="G560" s="74"/>
      <c r="H560" s="75"/>
      <c r="I560" s="76">
        <v>0</v>
      </c>
    </row>
    <row r="561" spans="1:9" ht="11.25" customHeight="1" x14ac:dyDescent="0.35">
      <c r="A561" s="61"/>
      <c r="B561" s="83" t="str">
        <f t="shared" si="9"/>
        <v/>
      </c>
      <c r="C561" s="9" t="s">
        <v>10</v>
      </c>
      <c r="D561" s="62" t="s">
        <v>487</v>
      </c>
      <c r="E561" s="67"/>
      <c r="F561" s="63"/>
      <c r="G561" s="63"/>
      <c r="H561" s="64"/>
      <c r="I561" s="65"/>
    </row>
    <row r="562" spans="1:9" ht="18" customHeight="1" x14ac:dyDescent="0.35">
      <c r="A562" s="49"/>
      <c r="B562" s="81" t="str">
        <f t="shared" si="9"/>
        <v>Unitaire</v>
      </c>
      <c r="C562" s="15" t="s">
        <v>13</v>
      </c>
      <c r="D562" s="53" t="s">
        <v>488</v>
      </c>
      <c r="E562" s="54" t="s">
        <v>15</v>
      </c>
      <c r="F562" s="52"/>
      <c r="G562" s="52"/>
      <c r="H562" s="52">
        <v>135000</v>
      </c>
      <c r="I562" s="52"/>
    </row>
    <row r="563" spans="1:9" ht="18" customHeight="1" x14ac:dyDescent="0.35">
      <c r="A563" s="49"/>
      <c r="B563" s="81" t="str">
        <f t="shared" si="9"/>
        <v>Unitaire</v>
      </c>
      <c r="C563" s="15" t="s">
        <v>13</v>
      </c>
      <c r="D563" s="53" t="s">
        <v>489</v>
      </c>
      <c r="E563" s="54" t="s">
        <v>15</v>
      </c>
      <c r="F563" s="52"/>
      <c r="G563" s="52"/>
      <c r="H563" s="52">
        <v>4480</v>
      </c>
      <c r="I563" s="52"/>
    </row>
    <row r="564" spans="1:9" ht="18" customHeight="1" x14ac:dyDescent="0.35">
      <c r="A564" s="49"/>
      <c r="B564" s="81" t="str">
        <f t="shared" si="9"/>
        <v>Unitaire</v>
      </c>
      <c r="C564" s="15" t="s">
        <v>13</v>
      </c>
      <c r="D564" s="53" t="s">
        <v>490</v>
      </c>
      <c r="E564" s="54" t="s">
        <v>15</v>
      </c>
      <c r="F564" s="52"/>
      <c r="G564" s="52"/>
      <c r="H564" s="52">
        <v>9374</v>
      </c>
      <c r="I564" s="52"/>
    </row>
    <row r="565" spans="1:9" ht="18" customHeight="1" x14ac:dyDescent="0.35">
      <c r="A565" s="54"/>
      <c r="B565" s="81" t="str">
        <f t="shared" si="9"/>
        <v>Unitaire</v>
      </c>
      <c r="C565" s="15" t="s">
        <v>13</v>
      </c>
      <c r="D565" s="53" t="s">
        <v>491</v>
      </c>
      <c r="E565" s="54" t="s">
        <v>18</v>
      </c>
      <c r="F565" s="54"/>
      <c r="G565" s="54"/>
      <c r="H565" s="54">
        <v>4972</v>
      </c>
      <c r="I565" s="54"/>
    </row>
    <row r="566" spans="1:9" ht="18" customHeight="1" x14ac:dyDescent="0.35">
      <c r="A566" s="54"/>
      <c r="B566" s="81" t="str">
        <f t="shared" si="9"/>
        <v>Unitaire</v>
      </c>
      <c r="C566" s="15" t="s">
        <v>13</v>
      </c>
      <c r="D566" s="69" t="s">
        <v>492</v>
      </c>
      <c r="E566" s="54" t="s">
        <v>18</v>
      </c>
      <c r="F566" s="54"/>
      <c r="G566" s="54"/>
      <c r="H566" s="54">
        <v>5234</v>
      </c>
      <c r="I566" s="70"/>
    </row>
    <row r="567" spans="1:9" ht="18" customHeight="1" x14ac:dyDescent="0.35">
      <c r="A567" s="54"/>
      <c r="B567" s="81" t="str">
        <f t="shared" si="9"/>
        <v>Unitaire</v>
      </c>
      <c r="C567" s="15" t="s">
        <v>13</v>
      </c>
      <c r="D567" s="69" t="s">
        <v>493</v>
      </c>
      <c r="E567" s="54" t="s">
        <v>15</v>
      </c>
      <c r="F567" s="54"/>
      <c r="G567" s="54"/>
      <c r="H567" s="54">
        <v>4</v>
      </c>
      <c r="I567" s="70"/>
    </row>
    <row r="568" spans="1:9" ht="18" customHeight="1" x14ac:dyDescent="0.35">
      <c r="A568" s="54"/>
      <c r="B568" s="81" t="str">
        <f t="shared" si="9"/>
        <v>Unitaire</v>
      </c>
      <c r="C568" s="15" t="s">
        <v>13</v>
      </c>
      <c r="D568" s="69" t="s">
        <v>494</v>
      </c>
      <c r="E568" s="54" t="s">
        <v>15</v>
      </c>
      <c r="F568" s="54"/>
      <c r="G568" s="54"/>
      <c r="H568" s="54">
        <v>3738</v>
      </c>
      <c r="I568" s="70"/>
    </row>
    <row r="569" spans="1:9" ht="18" customHeight="1" x14ac:dyDescent="0.35">
      <c r="A569" s="54"/>
      <c r="B569" s="81" t="str">
        <f t="shared" si="9"/>
        <v>Unitaire</v>
      </c>
      <c r="C569" s="15" t="s">
        <v>13</v>
      </c>
      <c r="D569" s="69" t="s">
        <v>495</v>
      </c>
      <c r="E569" s="54" t="s">
        <v>15</v>
      </c>
      <c r="F569" s="54"/>
      <c r="G569" s="54"/>
      <c r="H569" s="54">
        <v>2746</v>
      </c>
      <c r="I569" s="70"/>
    </row>
    <row r="570" spans="1:9" ht="18" customHeight="1" x14ac:dyDescent="0.35">
      <c r="A570" s="54"/>
      <c r="B570" s="81" t="str">
        <f t="shared" si="9"/>
        <v>Unitaire</v>
      </c>
      <c r="C570" s="15" t="s">
        <v>13</v>
      </c>
      <c r="D570" s="69" t="s">
        <v>496</v>
      </c>
      <c r="E570" s="54" t="s">
        <v>15</v>
      </c>
      <c r="F570" s="54"/>
      <c r="G570" s="54"/>
      <c r="H570" s="54">
        <v>576</v>
      </c>
      <c r="I570" s="70"/>
    </row>
    <row r="571" spans="1:9" ht="18" customHeight="1" x14ac:dyDescent="0.35">
      <c r="A571" s="54"/>
      <c r="B571" s="81" t="str">
        <f t="shared" si="9"/>
        <v>Unitaire</v>
      </c>
      <c r="C571" s="15" t="s">
        <v>13</v>
      </c>
      <c r="D571" s="69" t="s">
        <v>497</v>
      </c>
      <c r="E571" s="54" t="s">
        <v>18</v>
      </c>
      <c r="F571" s="54"/>
      <c r="G571" s="54"/>
      <c r="H571" s="54">
        <v>5183</v>
      </c>
      <c r="I571" s="70"/>
    </row>
    <row r="572" spans="1:9" ht="11.25" customHeight="1" x14ac:dyDescent="0.35">
      <c r="A572" s="57"/>
      <c r="B572" s="56" t="str">
        <f t="shared" si="9"/>
        <v/>
      </c>
      <c r="C572" s="56"/>
      <c r="D572" s="56" t="str">
        <f>CONCATENATE("Sous-Total : ",A561," - ",D561)</f>
        <v>Sous-Total :  - Système de péage pour parking</v>
      </c>
      <c r="E572" s="57"/>
      <c r="F572" s="74"/>
      <c r="G572" s="74"/>
      <c r="H572" s="75"/>
      <c r="I572" s="76">
        <v>0</v>
      </c>
    </row>
    <row r="573" spans="1:9" ht="11.25" customHeight="1" x14ac:dyDescent="0.35">
      <c r="A573" s="61"/>
      <c r="B573" s="83" t="str">
        <f t="shared" si="9"/>
        <v/>
      </c>
      <c r="C573" s="9" t="s">
        <v>10</v>
      </c>
      <c r="D573" s="62" t="s">
        <v>498</v>
      </c>
      <c r="E573" s="67"/>
      <c r="F573" s="63"/>
      <c r="G573" s="63"/>
      <c r="H573" s="64"/>
      <c r="I573" s="65"/>
    </row>
    <row r="574" spans="1:9" ht="19.5" customHeight="1" x14ac:dyDescent="0.35">
      <c r="A574" s="49"/>
      <c r="B574" s="81" t="str">
        <f t="shared" si="9"/>
        <v>Unitaire</v>
      </c>
      <c r="C574" s="15" t="s">
        <v>13</v>
      </c>
      <c r="D574" s="53" t="s">
        <v>499</v>
      </c>
      <c r="E574" s="54" t="s">
        <v>15</v>
      </c>
      <c r="F574" s="52"/>
      <c r="G574" s="52"/>
      <c r="H574" s="52">
        <v>1500</v>
      </c>
      <c r="I574" s="52"/>
    </row>
    <row r="575" spans="1:9" ht="19.5" customHeight="1" x14ac:dyDescent="0.35">
      <c r="A575" s="49"/>
      <c r="B575" s="81" t="str">
        <f t="shared" si="9"/>
        <v>Unitaire</v>
      </c>
      <c r="C575" s="15" t="s">
        <v>13</v>
      </c>
      <c r="D575" s="53" t="s">
        <v>500</v>
      </c>
      <c r="E575" s="54" t="s">
        <v>15</v>
      </c>
      <c r="F575" s="52"/>
      <c r="G575" s="52"/>
      <c r="H575" s="52">
        <v>600</v>
      </c>
      <c r="I575" s="52"/>
    </row>
    <row r="576" spans="1:9" ht="19.5" customHeight="1" x14ac:dyDescent="0.35">
      <c r="A576" s="54"/>
      <c r="B576" s="81" t="str">
        <f t="shared" si="9"/>
        <v>Unitaire</v>
      </c>
      <c r="C576" s="15" t="s">
        <v>13</v>
      </c>
      <c r="D576" s="53" t="s">
        <v>501</v>
      </c>
      <c r="E576" s="54" t="s">
        <v>18</v>
      </c>
      <c r="F576" s="54"/>
      <c r="G576" s="54"/>
      <c r="H576" s="54">
        <v>1300</v>
      </c>
      <c r="I576" s="54"/>
    </row>
    <row r="577" spans="1:9" ht="19.5" customHeight="1" x14ac:dyDescent="0.35">
      <c r="A577" s="54"/>
      <c r="B577" s="81" t="str">
        <f t="shared" si="9"/>
        <v>Unitaire</v>
      </c>
      <c r="C577" s="15" t="s">
        <v>13</v>
      </c>
      <c r="D577" s="69" t="s">
        <v>502</v>
      </c>
      <c r="E577" s="54" t="s">
        <v>18</v>
      </c>
      <c r="F577" s="54"/>
      <c r="G577" s="54"/>
      <c r="H577" s="54">
        <v>2400</v>
      </c>
      <c r="I577" s="70"/>
    </row>
    <row r="578" spans="1:9" ht="19.5" customHeight="1" x14ac:dyDescent="0.35">
      <c r="A578" s="54"/>
      <c r="B578" s="81" t="str">
        <f t="shared" si="9"/>
        <v>Unitaire</v>
      </c>
      <c r="C578" s="15" t="s">
        <v>13</v>
      </c>
      <c r="D578" s="69" t="s">
        <v>503</v>
      </c>
      <c r="E578" s="54" t="s">
        <v>18</v>
      </c>
      <c r="F578" s="54"/>
      <c r="G578" s="54"/>
      <c r="H578" s="54">
        <v>3900</v>
      </c>
      <c r="I578" s="70"/>
    </row>
    <row r="579" spans="1:9" ht="19.5" customHeight="1" x14ac:dyDescent="0.35">
      <c r="A579" s="54"/>
      <c r="B579" s="81" t="str">
        <f t="shared" si="9"/>
        <v>Unitaire</v>
      </c>
      <c r="C579" s="15" t="s">
        <v>13</v>
      </c>
      <c r="D579" s="69" t="s">
        <v>504</v>
      </c>
      <c r="E579" s="54" t="s">
        <v>18</v>
      </c>
      <c r="F579" s="54"/>
      <c r="G579" s="54"/>
      <c r="H579" s="54">
        <v>11000</v>
      </c>
      <c r="I579" s="70"/>
    </row>
    <row r="580" spans="1:9" ht="19.5" customHeight="1" x14ac:dyDescent="0.35">
      <c r="A580" s="54"/>
      <c r="B580" s="81" t="str">
        <f t="shared" si="9"/>
        <v>Unitaire</v>
      </c>
      <c r="C580" s="15" t="s">
        <v>13</v>
      </c>
      <c r="D580" s="69" t="s">
        <v>505</v>
      </c>
      <c r="E580" s="54" t="s">
        <v>15</v>
      </c>
      <c r="F580" s="54"/>
      <c r="G580" s="54"/>
      <c r="H580" s="54">
        <v>650</v>
      </c>
      <c r="I580" s="70"/>
    </row>
    <row r="581" spans="1:9" ht="11.25" customHeight="1" x14ac:dyDescent="0.35">
      <c r="A581" s="57"/>
      <c r="B581" s="56" t="str">
        <f t="shared" si="9"/>
        <v/>
      </c>
      <c r="C581" s="56"/>
      <c r="D581" s="56" t="str">
        <f>CONCATENATE("Sous-Total : ",A573," - ",D573)</f>
        <v>Sous-Total :  - Détection CO-NO2</v>
      </c>
      <c r="E581" s="57"/>
      <c r="F581" s="74"/>
      <c r="G581" s="74"/>
      <c r="H581" s="75"/>
      <c r="I581" s="76">
        <v>0</v>
      </c>
    </row>
    <row r="582" spans="1:9" ht="14.25" customHeight="1" x14ac:dyDescent="0.35">
      <c r="A582" s="61"/>
      <c r="B582" s="83" t="str">
        <f t="shared" si="9"/>
        <v/>
      </c>
      <c r="C582" s="9" t="s">
        <v>10</v>
      </c>
      <c r="D582" s="62" t="s">
        <v>506</v>
      </c>
      <c r="E582" s="67"/>
      <c r="F582" s="63"/>
      <c r="G582" s="63"/>
      <c r="H582" s="64"/>
      <c r="I582" s="65"/>
    </row>
    <row r="583" spans="1:9" ht="14.25" customHeight="1" x14ac:dyDescent="0.35">
      <c r="A583" s="49"/>
      <c r="B583" s="81" t="str">
        <f t="shared" si="9"/>
        <v>Unitaire</v>
      </c>
      <c r="C583" s="15" t="s">
        <v>13</v>
      </c>
      <c r="D583" s="53" t="s">
        <v>507</v>
      </c>
      <c r="E583" s="54" t="s">
        <v>15</v>
      </c>
      <c r="F583" s="52"/>
      <c r="G583" s="52"/>
      <c r="H583" s="52">
        <v>1400</v>
      </c>
      <c r="I583" s="52"/>
    </row>
    <row r="584" spans="1:9" ht="14.25" customHeight="1" x14ac:dyDescent="0.35">
      <c r="A584" s="57"/>
      <c r="B584" s="56" t="str">
        <f t="shared" si="9"/>
        <v/>
      </c>
      <c r="C584" s="56"/>
      <c r="D584" s="56" t="str">
        <f>CONCATENATE("Sous-Total : ",A582," - ",D582)</f>
        <v>Sous-Total :  - Vidéo Projecteur Courte focale</v>
      </c>
      <c r="E584" s="57"/>
      <c r="F584" s="74"/>
      <c r="G584" s="74"/>
      <c r="H584" s="75"/>
      <c r="I584" s="76">
        <v>0</v>
      </c>
    </row>
    <row r="585" spans="1:9" ht="9.75" customHeight="1" x14ac:dyDescent="0.35">
      <c r="A585" s="61"/>
      <c r="B585" s="83" t="str">
        <f t="shared" si="9"/>
        <v/>
      </c>
      <c r="C585" s="9" t="s">
        <v>10</v>
      </c>
      <c r="D585" s="62" t="s">
        <v>508</v>
      </c>
      <c r="E585" s="67"/>
      <c r="F585" s="63"/>
      <c r="G585" s="63"/>
      <c r="H585" s="64"/>
      <c r="I585" s="65"/>
    </row>
    <row r="586" spans="1:9" ht="11.25" customHeight="1" x14ac:dyDescent="0.35">
      <c r="A586" s="49"/>
      <c r="B586" s="81" t="str">
        <f t="shared" si="9"/>
        <v>Unitaire</v>
      </c>
      <c r="C586" s="15" t="s">
        <v>13</v>
      </c>
      <c r="D586" s="53" t="s">
        <v>509</v>
      </c>
      <c r="E586" s="54" t="s">
        <v>15</v>
      </c>
      <c r="F586" s="52"/>
      <c r="G586" s="52"/>
      <c r="H586" s="52">
        <v>2600</v>
      </c>
      <c r="I586" s="52"/>
    </row>
    <row r="587" spans="1:9" ht="11.25" customHeight="1" x14ac:dyDescent="0.35">
      <c r="A587" s="57"/>
      <c r="B587" s="56" t="str">
        <f t="shared" si="9"/>
        <v/>
      </c>
      <c r="C587" s="56"/>
      <c r="D587" s="56" t="str">
        <f>CONCATENATE("Sous-Total : ",A585," - ",D585)</f>
        <v>Sous-Total :  - Tableau Banc Interactif</v>
      </c>
      <c r="E587" s="57"/>
      <c r="F587" s="74"/>
      <c r="G587" s="74"/>
      <c r="H587" s="75"/>
      <c r="I587" s="76">
        <v>0</v>
      </c>
    </row>
    <row r="588" spans="1:9" ht="11.25" customHeight="1" x14ac:dyDescent="0.35">
      <c r="A588" s="61"/>
      <c r="B588" s="83" t="str">
        <f t="shared" si="9"/>
        <v/>
      </c>
      <c r="C588" s="9" t="s">
        <v>10</v>
      </c>
      <c r="D588" s="62" t="s">
        <v>510</v>
      </c>
      <c r="E588" s="67"/>
      <c r="F588" s="63"/>
      <c r="G588" s="63"/>
      <c r="H588" s="64"/>
      <c r="I588" s="65"/>
    </row>
    <row r="589" spans="1:9" ht="11.25" customHeight="1" x14ac:dyDescent="0.35">
      <c r="A589" s="49"/>
      <c r="B589" s="81" t="str">
        <f t="shared" si="9"/>
        <v>Unitaire</v>
      </c>
      <c r="C589" s="15" t="s">
        <v>13</v>
      </c>
      <c r="D589" s="53" t="s">
        <v>511</v>
      </c>
      <c r="E589" s="54" t="s">
        <v>15</v>
      </c>
      <c r="F589" s="52"/>
      <c r="G589" s="52"/>
      <c r="H589" s="52"/>
      <c r="I589" s="52"/>
    </row>
    <row r="590" spans="1:9" ht="11.25" customHeight="1" x14ac:dyDescent="0.35">
      <c r="A590" s="49"/>
      <c r="B590" s="81" t="str">
        <f t="shared" si="9"/>
        <v>Unitaire</v>
      </c>
      <c r="C590" s="15" t="s">
        <v>13</v>
      </c>
      <c r="D590" s="53" t="s">
        <v>512</v>
      </c>
      <c r="E590" s="54" t="s">
        <v>15</v>
      </c>
      <c r="F590" s="52"/>
      <c r="G590" s="52"/>
      <c r="H590" s="52">
        <v>1400</v>
      </c>
      <c r="I590" s="52"/>
    </row>
    <row r="591" spans="1:9" ht="11.25" customHeight="1" x14ac:dyDescent="0.35">
      <c r="A591" s="57"/>
      <c r="B591" s="56" t="str">
        <f t="shared" si="9"/>
        <v/>
      </c>
      <c r="C591" s="56"/>
      <c r="D591" s="56" t="str">
        <f>CONCATENATE("Sous-Total : ",A588," - ",D588)</f>
        <v>Sous-Total :  - Panneau d'affichage sportif</v>
      </c>
      <c r="E591" s="57"/>
      <c r="F591" s="74"/>
      <c r="G591" s="74"/>
      <c r="H591" s="75"/>
      <c r="I591" s="76">
        <v>0</v>
      </c>
    </row>
    <row r="592" spans="1:9" ht="12.75" customHeight="1" x14ac:dyDescent="0.35">
      <c r="A592" s="39"/>
      <c r="B592" s="39" t="str">
        <f t="shared" si="9"/>
        <v/>
      </c>
      <c r="C592" s="39"/>
      <c r="D592" s="39"/>
      <c r="E592" s="39"/>
      <c r="F592" s="17"/>
      <c r="G592" s="17"/>
      <c r="H592" s="17"/>
      <c r="I592" s="17"/>
    </row>
    <row r="593" spans="1:9" ht="12.75" customHeight="1" x14ac:dyDescent="0.35">
      <c r="A593" s="19"/>
      <c r="B593" s="20" t="str">
        <f t="shared" si="9"/>
        <v/>
      </c>
      <c r="C593" s="20"/>
      <c r="D593" s="20" t="s">
        <v>513</v>
      </c>
      <c r="E593" s="19"/>
      <c r="F593" s="21"/>
      <c r="G593" s="21"/>
      <c r="H593" s="22"/>
      <c r="I593" s="23">
        <v>0</v>
      </c>
    </row>
  </sheetData>
  <mergeCells count="3">
    <mergeCell ref="A2:I2"/>
    <mergeCell ref="A313:I313"/>
    <mergeCell ref="A333:I333"/>
  </mergeCells>
  <pageMargins left="0.70866141732283472" right="0.70866141732283472" top="0.74803149606299213" bottom="0.74803149606299213" header="0" footer="0"/>
  <pageSetup paperSize="9" orientation="portrait"/>
  <headerFooter>
    <oddFooter>&amp;LAvril 2026&amp;R 000000 &amp;P/</oddFooter>
  </headerFooter>
  <rowBreaks count="1" manualBreakCount="1">
    <brk id="25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DPGF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MAGRO Eric</dc:creator>
  <cp:lastModifiedBy>MAGRO Eric</cp:lastModifiedBy>
  <dcterms:created xsi:type="dcterms:W3CDTF">2026-04-02T07:34:22Z</dcterms:created>
  <dcterms:modified xsi:type="dcterms:W3CDTF">2026-05-09T10:28:58Z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94d68a-d2f5-40e0-927d-026bfab8fc4b_Enabled">
    <vt:lpwstr>true</vt:lpwstr>
  </property>
  <property fmtid="{D5CDD505-2E9C-101B-9397-08002B2CF9AE}" pid="3" name="MSIP_Label_c294d68a-d2f5-40e0-927d-026bfab8fc4b_SetDate">
    <vt:lpwstr>2026-04-02T07:34:51Z</vt:lpwstr>
  </property>
  <property fmtid="{D5CDD505-2E9C-101B-9397-08002B2CF9AE}" pid="4" name="MSIP_Label_c294d68a-d2f5-40e0-927d-026bfab8fc4b_Method">
    <vt:lpwstr>Privileged</vt:lpwstr>
  </property>
  <property fmtid="{D5CDD505-2E9C-101B-9397-08002B2CF9AE}" pid="5" name="MSIP_Label_c294d68a-d2f5-40e0-927d-026bfab8fc4b_Name">
    <vt:lpwstr>l1_internal</vt:lpwstr>
  </property>
  <property fmtid="{D5CDD505-2E9C-101B-9397-08002B2CF9AE}" pid="6" name="MSIP_Label_c294d68a-d2f5-40e0-927d-026bfab8fc4b_SiteId">
    <vt:lpwstr>a5877034-8d6a-496a-8cf8-ceb5e3451109</vt:lpwstr>
  </property>
  <property fmtid="{D5CDD505-2E9C-101B-9397-08002B2CF9AE}" pid="7" name="MSIP_Label_c294d68a-d2f5-40e0-927d-026bfab8fc4b_ActionId">
    <vt:lpwstr>d9a6d158-4308-48bf-a270-b5bae6b0d6bb</vt:lpwstr>
  </property>
  <property fmtid="{D5CDD505-2E9C-101B-9397-08002B2CF9AE}" pid="8" name="MSIP_Label_c294d68a-d2f5-40e0-927d-026bfab8fc4b_ContentBits">
    <vt:lpwstr>2</vt:lpwstr>
  </property>
  <property fmtid="{D5CDD505-2E9C-101B-9397-08002B2CF9AE}" pid="9" name="MSIP_Label_c294d68a-d2f5-40e0-927d-026bfab8fc4b_Tag">
    <vt:lpwstr>10, 0, 1, 1</vt:lpwstr>
  </property>
</Properties>
</file>