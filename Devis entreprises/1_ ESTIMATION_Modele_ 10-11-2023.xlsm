
<file path=[Content_Types].xml><?xml version="1.0" encoding="utf-8"?>
<Types xmlns="http://schemas.openxmlformats.org/package/2006/content-types">
  <Default ContentType="application/vnd.ms-office.vbaProject" Extension="bin"/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custom-properties+xml" PartName="/docProps/custom.xml"/>
  <Override ContentType="application/vnd.openxmlformats-officedocument.spreadsheetml.worksheet+xml" PartName="/xl/worksheets/sheet5.xml"/>
  <Override ContentType="application/vnd.openxmlformats-officedocument.spreadsheetml.worksheet+xml" PartName="/xl/worksheets/sheet4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6.xml"/>
  <Override ContentType="application/vnd.openxmlformats-officedocument.spreadsheetml.worksheet+xml" PartName="/xl/worksheets/sheet8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8.xml"/>
  <Override ContentType="application/vnd.openxmlformats-officedocument.drawing+xml" PartName="/xl/drawings/drawing3.xml"/>
  <Override ContentType="application/vnd.openxmlformats-officedocument.drawing+xml" PartName="/xl/drawings/drawing6.xml"/>
  <Override ContentType="application/vnd.openxmlformats-officedocument.drawing+xml" PartName="/xl/drawings/drawing5.xml"/>
  <Override ContentType="application/vnd.openxmlformats-officedocument.drawing+xml" PartName="/xl/drawings/drawing1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externalLink+xml" PartName="/xl/externalLinks/externalLink1.xml"/>
  <Override ContentType="application/vnd.openxmlformats-officedocument.spreadsheetml.externalLink+xml" PartName="/xl/externalLinks/externalLink2.xml"/>
  <Override ContentType="application/vnd.openxmlformats-officedocument.spreadsheetml.externalLink+xml" PartName="/xl/externalLinks/externalLink3.xml"/>
  <Override ContentType="application/vnd.openxmlformats-officedocument.spreadsheetml.externalLink+xml" PartName="/xl/externalLinks/externalLink5.xml"/>
  <Override ContentType="application/vnd.openxmlformats-officedocument.spreadsheetml.externalLink+xml" PartName="/xl/externalLinks/externalLink4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custom-properties" Target="docProps/custom.xml"/><Relationship Id="rId3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 codeName="ThisWorkbook"/>
  <sheets>
    <sheet state="visible" name="ERP" sheetId="1" r:id="rId5"/>
    <sheet state="visible" name="Indus" sheetId="2" r:id="rId6"/>
    <sheet state="visible" name="Logement" sheetId="3" r:id="rId7"/>
    <sheet state="visible" name="Graph Estimation" sheetId="4" r:id="rId8"/>
    <sheet state="visible" name="Ascenseurs" sheetId="5" r:id="rId9"/>
    <sheet state="visible" name="DPGF" sheetId="6" r:id="rId10"/>
    <sheet state="visible" name="Logements" sheetId="7" r:id="rId11"/>
    <sheet state="visible" name="G. Scolaire" sheetId="8" r:id="rId12"/>
  </sheets>
  <externalReferences>
    <externalReference r:id="rId13"/>
    <externalReference r:id="rId14"/>
    <externalReference r:id="rId15"/>
    <externalReference r:id="rId16"/>
    <externalReference r:id="rId17"/>
  </externalReferences>
  <definedNames>
    <definedName name="Armoires">'[1]6_Armoires'!$A$11:$A$105</definedName>
    <definedName name="FIN">'[2]MINUTE DE METRE'!#REF!</definedName>
    <definedName name="Locaux">'[1]5_Locaux'!$A$8:$A$500</definedName>
    <definedName name="PM10.0102">'[2]MINUTE DE METRE'!$N$523</definedName>
    <definedName name="PM10.0202">'[2]MINUTE DE METRE'!$N$525</definedName>
    <definedName name="PM10.0302">'[2]MINUTE DE METRE'!$N$527</definedName>
    <definedName name="PM10.0402">'[2]MINUTE DE METRE'!$N$529</definedName>
    <definedName name="PM10.0502">'[2]MINUTE DE METRE'!$N$531</definedName>
    <definedName name="PM10.1001.01">'[2]MINUTE DE METRE'!$N$496</definedName>
    <definedName name="PM10.1002.01">'[2]MINUTE DE METRE'!#REF!</definedName>
    <definedName name="PM10.1101.01">'[2]MINUTE DE METRE'!$N$498</definedName>
    <definedName name="PM10.1102.01">'[2]MINUTE DE METRE'!#REF!</definedName>
    <definedName name="PM10.1201.01">'[2]MINUTE DE METRE'!$N$500</definedName>
    <definedName name="PM10.1202.01">'[2]MINUTE DE METRE'!#REF!</definedName>
    <definedName name="PM10.2001.02">'[2]MINUTE DE METRE'!$N$503</definedName>
    <definedName name="PM10.2002.02">'[2]MINUTE DE METRE'!#REF!</definedName>
    <definedName name="PM10.2101.02">'[2]MINUTE DE METRE'!$N$505</definedName>
    <definedName name="PM10.2102.02">'[2]MINUTE DE METRE'!#REF!</definedName>
    <definedName name="PM10.2201.02">'[2]MINUTE DE METRE'!$N$507</definedName>
    <definedName name="PM10.2202.02">'[2]MINUTE DE METRE'!#REF!</definedName>
    <definedName name="PM10.2301.02">'[2]MINUTE DE METRE'!$N$509</definedName>
    <definedName name="PM10.2302.02">'[2]MINUTE DE METRE'!#REF!</definedName>
    <definedName name="PM10.3001.03">'[2]MINUTE DE METRE'!$N$512</definedName>
    <definedName name="PM10.3002.03">'[2]MINUTE DE METRE'!#REF!</definedName>
    <definedName name="PM10.3501.04">'[2]MINUTE DE METRE'!$N$515</definedName>
    <definedName name="PM10.3502.04">'[2]MINUTE DE METRE'!#REF!</definedName>
    <definedName name="PM10.3601.04">'[2]MINUTE DE METRE'!$N$517</definedName>
    <definedName name="PM10.3602.04">'[2]MINUTE DE METRE'!#REF!</definedName>
    <definedName name="PM10.4001.05">'[2]MINUTE DE METRE'!$N$520</definedName>
    <definedName name="PM10.4002.05">'[2]MINUTE DE METRE'!#REF!</definedName>
    <definedName name="PM20100ARD190003.01">'[2]MINUTE DE METRE'!$N$20</definedName>
    <definedName name="PM20100ARD1900103.02">'[2]MINUTE DE METRE'!$N$48</definedName>
    <definedName name="PM20100ARD202003.01">'[2]MINUTE DE METRE'!$N$24</definedName>
    <definedName name="PM20100cou9803.01">'[2]MINUTE DE METRE'!$N$22</definedName>
    <definedName name="PM20100kkk50003.03">'[2]MINUTE DE METRE'!$N$55</definedName>
    <definedName name="PM20100kkk50103.03">'[2]MINUTE DE METRE'!$N$57</definedName>
    <definedName name="PM20100ttt900203.02">'[2]MINUTE DE METRE'!$N$50</definedName>
    <definedName name="PM20300TC14003.01">'[2]MINUTE DE METRE'!$N$26</definedName>
    <definedName name="PM20500BAC101005">'[2]MINUTE DE METRE'!#REF!</definedName>
    <definedName name="PM20500BAC103003.01">'[2]MINUTE DE METRE'!$N$12</definedName>
    <definedName name="PM20500BAC105003.01">'[2]MINUTE DE METRE'!$N$14</definedName>
    <definedName name="PM20500BAC105005">'[2]MINUTE DE METRE'!$N$14</definedName>
    <definedName name="PM20500BAC150003.01">'[2]MINUTE DE METRE'!$N$16</definedName>
    <definedName name="PM20500BAC150005">'[2]MINUTE DE METRE'!$N$16</definedName>
    <definedName name="PM20600BAC202003.01">'[2]MINUTE DE METRE'!$N$10</definedName>
    <definedName name="PM20600BAC204003.01">'[2]MINUTE DE METRE'!$N$18</definedName>
    <definedName name="PM20600BAC204005">'[2]MINUTE DE METRE'!$N$18</definedName>
    <definedName name="PM20900ETA101003.02">'[2]MINUTE DE METRE'!$N$29</definedName>
    <definedName name="PM20900ETA102003.02">'[2]MINUTE DE METRE'!$N$33</definedName>
    <definedName name="PM20900ETA103003.02">'[2]MINUTE DE METRE'!$N$38</definedName>
    <definedName name="PM20900ETA104003.02">'[2]MINUTE DE METRE'!$N$40</definedName>
    <definedName name="PM20900ETA106003.02">'[2]MINUTE DE METRE'!$N$44</definedName>
    <definedName name="PM20900ETA109003.02">'[2]MINUTE DE METRE'!$N$46</definedName>
    <definedName name="PM20950LAN101003.02">'[2]MINUTE DE METRE'!$N$52</definedName>
    <definedName name="PM35100ALV102008.01">'[2]MINUTE DE METRE'!$N$108</definedName>
    <definedName name="PM35100ALV102008.03">'[2]MINUTE DE METRE'!$N$212</definedName>
    <definedName name="PM35100ALV104008.03">'[2]MINUTE DE METRE'!$N$214</definedName>
    <definedName name="PM35100PAP102008.01">'[2]MINUTE DE METRE'!$N$112</definedName>
    <definedName name="PM35100PAP103008.01">'[2]MINUTE DE METRE'!$N$110</definedName>
    <definedName name="PM35100PAP104008.01">'[2]MINUTE DE METRE'!$N$115</definedName>
    <definedName name="PM35100PAP301008.01">'[2]MINUTE DE METRE'!$N$117</definedName>
    <definedName name="PM35100PAP350008.01">'[2]MINUTE DE METRE'!$N$123</definedName>
    <definedName name="PM35100PAP352008.01">'[2]MINUTE DE METRE'!$N$128</definedName>
    <definedName name="PM35100PAP401008.01">'[2]MINUTE DE METRE'!$N$131</definedName>
    <definedName name="PM35200DIV101008.01">'[2]MINUTE DE METRE'!$N$134</definedName>
    <definedName name="PM35200DIV101008.03">'[2]MINUTE DE METRE'!$N$216</definedName>
    <definedName name="PM35200DIV103008.01">'[2]MINUTE DE METRE'!$N$138</definedName>
    <definedName name="PM35200DIV104008.01">'[2]MINUTE DE METRE'!$N$140</definedName>
    <definedName name="PM35200DIV106008.02">'[2]MINUTE DE METRE'!$N$145</definedName>
    <definedName name="PM35200DIV106008.03">'[2]MINUTE DE METRE'!$N$218</definedName>
    <definedName name="PM3530008.03">'[2]MINUTE DE METRE'!$N$220</definedName>
    <definedName name="PM35400MOB101008.03">'[2]MINUTE DE METRE'!$N$222</definedName>
    <definedName name="PM35400MOB102008.03">'[2]MINUTE DE METRE'!$N$224</definedName>
    <definedName name="PM35400MOB110008.03">'[2]MINUTE DE METRE'!$N$226</definedName>
    <definedName name="PM35men0108.01">'[2]MINUTE DE METRE'!$N$120</definedName>
    <definedName name="PM35men0208.01">'[2]MINUTE DE METRE'!$N$136</definedName>
    <definedName name="PM35men0308.02">'[2]MINUTE DE METRE'!$N$143</definedName>
    <definedName name="PM35men0408.02">'[2]MINUTE DE METRE'!#REF!</definedName>
    <definedName name="PM35men0508.02">'[2]MINUTE DE METRE'!$N$147</definedName>
    <definedName name="PM35men0608.02">'[2]MINUTE DE METRE'!$N$166</definedName>
    <definedName name="PM35men0708.02">'[2]MINUTE DE METRE'!$N$184</definedName>
    <definedName name="PM35men0808.02">'[2]MINUTE DE METRE'!$N$186</definedName>
    <definedName name="PM35men0908.02">'[2]MINUTE DE METRE'!$N$157</definedName>
    <definedName name="PM35men1008.02">'[2]MINUTE DE METRE'!$N$188</definedName>
    <definedName name="PM35men1108.02">'[2]MINUTE DE METRE'!$N$190</definedName>
    <definedName name="PM35men1208.02">'[2]MINUTE DE METRE'!$N$192</definedName>
    <definedName name="PM35men1308.02">'[2]MINUTE DE METRE'!$N$194</definedName>
    <definedName name="PM35men1408.02">'[2]MINUTE DE METRE'!$N$196</definedName>
    <definedName name="PM35men152308.02">'[2]MINUTE DE METRE'!$N$198</definedName>
    <definedName name="PM35men2008.03">'[2]MINUTE DE METRE'!$N$228</definedName>
    <definedName name="PM35men3008.02">'[2]MINUTE DE METRE'!$N$164</definedName>
    <definedName name="PM35men5008.02">'[2]MINUTE DE METRE'!$N$180</definedName>
    <definedName name="PM35men5108.02">'[2]MINUTE DE METRE'!$N$182</definedName>
    <definedName name="PM35men6008.02">'[2]MINUTE DE METRE'!$N$203</definedName>
    <definedName name="PM35men6508.02">'[2]MINUTE DE METRE'!$N$205</definedName>
    <definedName name="PM35men6608.02">'[2]MINUTE DE METRE'!$N$207</definedName>
    <definedName name="PM35men6708.02">'[2]MINUTE DE METRE'!$N$209</definedName>
    <definedName name="PM35zzmn5608.01">'[2]MINUTE DE METRE'!$N$126</definedName>
    <definedName name="PM40100PLA108009.01">'[2]MINUTE DE METRE'!$N$232</definedName>
    <definedName name="PM40100PLA108009.02">'[2]MINUTE DE METRE'!$N$271</definedName>
    <definedName name="PM40100PLA700009.01">'[2]MINUTE DE METRE'!$N$234</definedName>
    <definedName name="PM40100PLA700009.02">'[2]MINUTE DE METRE'!$N$273</definedName>
    <definedName name="PM40200CPL100009.02">'[2]MINUTE DE METRE'!$N$275</definedName>
    <definedName name="PM40200CPL101009.02">'[2]MINUTE DE METRE'!$N$277</definedName>
    <definedName name="PM40200STYL100009.01">'[2]MINUTE DE METRE'!$N$236</definedName>
    <definedName name="PM40200STYL101509.01">'[2]MINUTE DE METRE'!$N$258</definedName>
    <definedName name="PM40400PLP201009.01">'[2]MINUTE DE METRE'!$N$260</definedName>
    <definedName name="PM40pla8009.02">'[2]MINUTE DE METRE'!$N$279</definedName>
    <definedName name="PM40pla80109.01">'[2]MINUTE DE METRE'!$N$264</definedName>
    <definedName name="PM40pla90009.01">'[2]MINUTE DE METRE'!$N$266</definedName>
    <definedName name="PM40PLAT0109.01">'[2]MINUTE DE METRE'!$N$262</definedName>
    <definedName name="PM40ser0106.02">'[2]MINUTE DE METRE'!$N$64</definedName>
    <definedName name="PM40ser0106.03">'[2]MINUTE DE METRE'!#REF!</definedName>
    <definedName name="PM40ser0206.02">'[2]MINUTE DE METRE'!$N$68</definedName>
    <definedName name="PM40ser0206.03">'[2]MINUTE DE METRE'!#REF!</definedName>
    <definedName name="PM40ser0306.02">'[2]MINUTE DE METRE'!$N$66</definedName>
    <definedName name="PM40ser0306.03">'[2]MINUTE DE METRE'!#REF!</definedName>
    <definedName name="PM40ser1006.03">'[2]MINUTE DE METRE'!$N$71</definedName>
    <definedName name="PM40ser1106.03">'[2]MINUTE DE METRE'!$N$73</definedName>
    <definedName name="PM40ser1206.03">'[2]MINUTE DE METRE'!$N$75</definedName>
    <definedName name="PM40ser12106.03">'[2]MINUTE DE METRE'!$N$77</definedName>
    <definedName name="PM40ser1306.03">'[2]MINUTE DE METRE'!$N$81</definedName>
    <definedName name="PM40ser1406.03">'[2]MINUTE DE METRE'!$N$87</definedName>
    <definedName name="PM40ser2006.03">'[2]MINUTE DE METRE'!$N$89</definedName>
    <definedName name="PM40ser2206.03">'[2]MINUTE DE METRE'!$N$91</definedName>
    <definedName name="PM40ser2406.03">'[2]MINUTE DE METRE'!$N$93</definedName>
    <definedName name="PM40ser2606.03">'[2]MINUTE DE METRE'!$N$95</definedName>
    <definedName name="PM40ser2706.03">'[2]MINUTE DE METRE'!$N$99</definedName>
    <definedName name="PM40ser2806.03">'[2]MINUTE DE METRE'!$N$97</definedName>
    <definedName name="PM40ser3006.03">'[2]MINUTE DE METRE'!$N$79</definedName>
    <definedName name="PM40SER9902">'[2]MINUTE DE METRE'!$N$4</definedName>
    <definedName name="PM40SER9904">'[2]MINUTE DE METRE'!$N$4</definedName>
    <definedName name="PM40ser991202">'[2]MINUTE DE METRE'!$N$6</definedName>
    <definedName name="PM45100FIB101012">'[2]MINUTE DE METRE'!$N$389</definedName>
    <definedName name="PM45100FIB102012">'[2]MINUTE DE METRE'!$N$401</definedName>
    <definedName name="PM45100FIB110012">'[2]MINUTE DE METRE'!$N$404</definedName>
    <definedName name="PM45100FIB200012">'[2]MINUTE DE METRE'!$N$412</definedName>
    <definedName name="PM45200FPM400012">'[2]MINUTE DE METRE'!$N$418</definedName>
    <definedName name="PM45fp5512">'[2]MINUTE DE METRE'!$N$407</definedName>
    <definedName name="PM45pla99009.01">'[2]MINUTE DE METRE'!$N$268</definedName>
    <definedName name="PM45zzplaf0112">'[2]MINUTE DE METRE'!$N$421</definedName>
    <definedName name="PM475fp55812">'[2]MINUTE DE METRE'!$N$415</definedName>
    <definedName name="PM50200SOL100010.01">'[2]MINUTE DE METRE'!$N$283</definedName>
    <definedName name="PM50200SOL100110.02">'[2]MINUTE DE METRE'!$N$336</definedName>
    <definedName name="PM50200SOL101810.01">'[2]MINUTE DE METRE'!$N$310</definedName>
    <definedName name="PM50200SOL102010.01">'[2]MINUTE DE METRE'!$N$317</definedName>
    <definedName name="PM50300SOL0500110.02">'[2]MINUTE DE METRE'!$N$340</definedName>
    <definedName name="PM50300SOL101010.01">'[2]MINUTE DE METRE'!$N$306</definedName>
    <definedName name="PM50300SOL102010.01">'[2]MINUTE DE METRE'!$N$285</definedName>
    <definedName name="PM50300SOL150010.01">'[2]MINUTE DE METRE'!$N$308</definedName>
    <definedName name="PM50400MOQ1020110.02">'[2]MINUTE DE METRE'!$N$338</definedName>
    <definedName name="PM50400MOQ105010.01">'[2]MINUTE DE METRE'!$N$323</definedName>
    <definedName name="PM50500DIV101010.01">'[2]MINUTE DE METRE'!$N$327</definedName>
    <definedName name="PM50500DIV102010.01">'[2]MINUTE DE METRE'!$N$329</definedName>
    <definedName name="PM50sol0110.01">'[2]MINUTE DE METRE'!$N$319</definedName>
    <definedName name="PM50sszz0510.01">'[2]MINUTE DE METRE'!$N$321</definedName>
    <definedName name="PM50sszz12010.01">'[2]MINUTE DE METRE'!$N$325</definedName>
    <definedName name="PM55100CAR100011.01">'[2]MINUTE DE METRE'!$N$344</definedName>
    <definedName name="PM55100CAR200011.01">'[2]MINUTE DE METRE'!$N$351</definedName>
    <definedName name="PM55100CAR2000111.02">'[2]MINUTE DE METRE'!$N$382</definedName>
    <definedName name="PM55100CAR400011.01">'[2]MINUTE DE METRE'!$N$364</definedName>
    <definedName name="PM55100rrs0111.01">'[2]MINUTE DE METRE'!$N$346</definedName>
    <definedName name="PM55200FAI100011.01">'[2]MINUTE DE METRE'!$N$368</definedName>
    <definedName name="PM55200FAI1000111.02">'[2]MINUTE DE METRE'!$N$386</definedName>
    <definedName name="PM55200FAI200011.01">'[2]MINUTE DE METRE'!$N$375</definedName>
    <definedName name="PM55300PLIN100011.01">'[2]MINUTE DE METRE'!$N$348</definedName>
    <definedName name="PM55300PLIN1000111.01">'[2]MINUTE DE METRE'!$N$358</definedName>
    <definedName name="PM55300PLIN1000111.02">'[2]MINUTE DE METRE'!$N$384</definedName>
    <definedName name="PM55300PLIN200011.01">'[2]MINUTE DE METRE'!$N$366</definedName>
    <definedName name="PM55400DIV102010.01">'[2]MINUTE DE METRE'!$N$331</definedName>
    <definedName name="PM55400DIV105011.01">'[2]MINUTE DE METRE'!$N$377</definedName>
    <definedName name="PM55400DIV200011.01">'[2]MINUTE DE METRE'!$N$379</definedName>
    <definedName name="PM55sszz5010.01">'[2]MINUTE DE METRE'!$N$333</definedName>
    <definedName name="PM60100PIN1020113.02">'[2]MINUTE DE METRE'!$N$456</definedName>
    <definedName name="PM60100PIN10201213.02">'[2]MINUTE DE METRE'!$N$458</definedName>
    <definedName name="PM60100PIN103013.01">'[2]MINUTE DE METRE'!$N$427</definedName>
    <definedName name="PM60100PIN1040113.02">'[2]MINUTE DE METRE'!$N$460</definedName>
    <definedName name="PM60100PIN104013.01">'[2]MINUTE DE METRE'!$N$431</definedName>
    <definedName name="PM60100PIN1040213.01">'[2]MINUTE DE METRE'!$N$433</definedName>
    <definedName name="PM60100PIN1040313.01">'[2]MINUTE DE METRE'!$N$429</definedName>
    <definedName name="PM60100PIN1100113.01">'[2]MINUTE DE METRE'!$N$437</definedName>
    <definedName name="PM60100PIN110013.01">'[2]MINUTE DE METRE'!$N$439</definedName>
    <definedName name="PM60100PIN120013.01">'[2]MINUTE DE METRE'!$N$441</definedName>
    <definedName name="PM60100PIN200013.01">'[2]MINUTE DE METRE'!$N$435</definedName>
    <definedName name="PM60100PIN201013.01">'[2]MINUTE DE METRE'!$N$443</definedName>
    <definedName name="PM60100PIN300013.01">'[2]MINUTE DE METRE'!$N$445</definedName>
    <definedName name="PM60100PIN400013.01">'[2]MINUTE DE METRE'!$N$449</definedName>
    <definedName name="PM60100PIN9000113.02">'[2]MINUTE DE METRE'!$N$462</definedName>
    <definedName name="PM60100PIN900013.01">'[2]MINUTE DE METRE'!$N$451</definedName>
    <definedName name="PM60200REV200013.01">'[2]MINUTE DE METRE'!$N$447</definedName>
    <definedName name="PM60200REV300013.02">'[2]MINUTE DE METRE'!$N$454</definedName>
    <definedName name="PM60pein0113.01">'[2]MINUTE DE METRE'!$N$425</definedName>
    <definedName name="PM80chauf0115">'[2]MINUTE DE METRE'!$N$468</definedName>
    <definedName name="PM80elec0116">'[2]MINUTE DE METRE'!$N$471</definedName>
    <definedName name="PM80elec0217">'[2]MINUTE DE METRE'!$N$474</definedName>
    <definedName name="PM80occ0107">'[2]MINUTE DE METRE'!$N$102</definedName>
    <definedName name="PM80occ0207">'[2]MINUTE DE METRE'!$N$104</definedName>
    <definedName name="PM80plom0214">'[2]MINUTE DE METRE'!$N$465</definedName>
    <definedName name="PM90ASC1017">'[2]MINUTE DE METRE'!$N$479</definedName>
    <definedName name="PM90pa0118">'[2]MINUTE DE METRE'!$N$482</definedName>
    <definedName name="PM90pa0218">'[2]MINUTE DE METRE'!$N$484</definedName>
    <definedName name="PM90pa0318">'[2]MINUTE DE METRE'!$N$486</definedName>
    <definedName name="PM90pa0418">'[2]MINUTE DE METRE'!$N$488</definedName>
    <definedName name="PM90pa0518">'[2]MINUTE DE METRE'!$N$490</definedName>
    <definedName name="PU_CAR_Chape_Vicat_Topcem">'[3]BB prix'!$F$30</definedName>
    <definedName name="PU_GO_Aciers_HA">'[3]BB prix'!$F$15</definedName>
    <definedName name="PU_GO_Aciers_TS">'[3]BB prix'!$F$16</definedName>
    <definedName name="PU_GO_beton_élevation">'[3]BB prix'!$F$11</definedName>
    <definedName name="PU_GO_Coffrage_banche">'[3]BB prix'!$F$19</definedName>
    <definedName name="PV20500BAC1010">'[2]MINUTE DE METRE'!#REF!</definedName>
    <definedName name="PV35men04">'[2]MINUTE DE METRE'!#REF!</definedName>
    <definedName name="QQ10.0102">'[2]MINUTE DE METRE'!$E$523</definedName>
    <definedName name="QQ10.0202">'[2]MINUTE DE METRE'!$E$525</definedName>
    <definedName name="QQ10.0302">'[2]MINUTE DE METRE'!$E$527</definedName>
    <definedName name="QQ10.0402">'[2]MINUTE DE METRE'!$E$529</definedName>
    <definedName name="QQ10.0502">'[2]MINUTE DE METRE'!$E$531</definedName>
    <definedName name="QQ10.1001.01">'[2]MINUTE DE METRE'!$E$496</definedName>
    <definedName name="QQ10.1002.01">'[2]MINUTE DE METRE'!#REF!</definedName>
    <definedName name="QQ10.1101.01">'[2]MINUTE DE METRE'!$E$498</definedName>
    <definedName name="QQ10.1102.01">'[2]MINUTE DE METRE'!#REF!</definedName>
    <definedName name="QQ10.1201.01">'[2]MINUTE DE METRE'!$E$500</definedName>
    <definedName name="QQ10.1202.01">'[2]MINUTE DE METRE'!#REF!</definedName>
    <definedName name="QQ10.2001.02">'[2]MINUTE DE METRE'!$E$503</definedName>
    <definedName name="QQ10.2002.02">'[2]MINUTE DE METRE'!#REF!</definedName>
    <definedName name="QQ10.2101.02">'[2]MINUTE DE METRE'!$E$505</definedName>
    <definedName name="QQ10.2102.02">'[2]MINUTE DE METRE'!#REF!</definedName>
    <definedName name="QQ10.2201.02">'[2]MINUTE DE METRE'!$E$507</definedName>
    <definedName name="QQ10.2202.02">'[2]MINUTE DE METRE'!#REF!</definedName>
    <definedName name="QQ10.2301.02">'[2]MINUTE DE METRE'!$E$509</definedName>
    <definedName name="QQ10.2302.02">'[2]MINUTE DE METRE'!#REF!</definedName>
    <definedName name="QQ10.3001.03">'[2]MINUTE DE METRE'!$E$512</definedName>
    <definedName name="QQ10.3002.03">'[2]MINUTE DE METRE'!#REF!</definedName>
    <definedName name="QQ10.3501.04">'[2]MINUTE DE METRE'!$E$515</definedName>
    <definedName name="QQ10.3502.04">'[2]MINUTE DE METRE'!#REF!</definedName>
    <definedName name="QQ10.3601.04">'[2]MINUTE DE METRE'!$E$517</definedName>
    <definedName name="QQ10.3602.04">'[2]MINUTE DE METRE'!#REF!</definedName>
    <definedName name="QQ10.4001.05">'[2]MINUTE DE METRE'!$E$520</definedName>
    <definedName name="QQ10.4002.05">'[2]MINUTE DE METRE'!#REF!</definedName>
    <definedName name="QQ20100ARD190003.01">'[2]MINUTE DE METRE'!$E$20</definedName>
    <definedName name="QQ20100ARD1900103.02">'[2]MINUTE DE METRE'!$E$48</definedName>
    <definedName name="QQ20100ARD202003.01">'[2]MINUTE DE METRE'!$E$24</definedName>
    <definedName name="QQ20100cou9803.01">'[2]MINUTE DE METRE'!$E$22</definedName>
    <definedName name="QQ20100kkk50003.03">'[2]MINUTE DE METRE'!$E$55</definedName>
    <definedName name="QQ20100kkk50103.03">'[2]MINUTE DE METRE'!$E$57</definedName>
    <definedName name="QQ20100ttt900203.02">'[2]MINUTE DE METRE'!$E$50</definedName>
    <definedName name="QQ20300TC14003.01">'[2]MINUTE DE METRE'!$E$26</definedName>
    <definedName name="QQ20500BAC101005">'[2]MINUTE DE METRE'!#REF!</definedName>
    <definedName name="QQ20500BAC103003.01">'[2]MINUTE DE METRE'!$E$12</definedName>
    <definedName name="QQ20500BAC105003.01">'[2]MINUTE DE METRE'!$E$14</definedName>
    <definedName name="QQ20500BAC105005">'[2]MINUTE DE METRE'!$E$14</definedName>
    <definedName name="QQ20500BAC150003.01">'[2]MINUTE DE METRE'!$E$16</definedName>
    <definedName name="QQ20500BAC150005">'[2]MINUTE DE METRE'!$E$16</definedName>
    <definedName name="QQ20600BAC202003.01">'[2]MINUTE DE METRE'!$E$10</definedName>
    <definedName name="QQ20600BAC204003.01">'[2]MINUTE DE METRE'!$E$18</definedName>
    <definedName name="QQ20600BAC204005">'[2]MINUTE DE METRE'!$E$18</definedName>
    <definedName name="QQ20900ETA101003.02">'[2]MINUTE DE METRE'!$E$29</definedName>
    <definedName name="QQ20900ETA102003.02">'[2]MINUTE DE METRE'!$E$33</definedName>
    <definedName name="QQ20900ETA103003.02">'[2]MINUTE DE METRE'!$E$38</definedName>
    <definedName name="QQ20900ETA104003.02">'[2]MINUTE DE METRE'!$E$40</definedName>
    <definedName name="QQ20900ETA106003.02">'[2]MINUTE DE METRE'!$E$44</definedName>
    <definedName name="QQ20900ETA109003.02">'[2]MINUTE DE METRE'!$E$46</definedName>
    <definedName name="QQ20950LAN101003.02">'[2]MINUTE DE METRE'!$E$52</definedName>
    <definedName name="QQ35100ALV102008.01">'[2]MINUTE DE METRE'!$E$108</definedName>
    <definedName name="QQ35100ALV102008.03">'[2]MINUTE DE METRE'!$E$212</definedName>
    <definedName name="QQ35100ALV104008.03">'[2]MINUTE DE METRE'!$E$214</definedName>
    <definedName name="QQ35100PAP102008.01">'[2]MINUTE DE METRE'!$E$112</definedName>
    <definedName name="QQ35100PAP103008.01">'[2]MINUTE DE METRE'!$E$110</definedName>
    <definedName name="QQ35100PAP104008.01">'[2]MINUTE DE METRE'!$E$115</definedName>
    <definedName name="QQ35100PAP301008.01">'[2]MINUTE DE METRE'!$E$117</definedName>
    <definedName name="QQ35100PAP350008.01">'[2]MINUTE DE METRE'!$E$123</definedName>
    <definedName name="QQ35100PAP352008.01">'[2]MINUTE DE METRE'!$E$128</definedName>
    <definedName name="QQ35100PAP401008.01">'[2]MINUTE DE METRE'!$E$131</definedName>
    <definedName name="QQ35200DIV101008.01">'[2]MINUTE DE METRE'!$E$134</definedName>
    <definedName name="QQ35200DIV101008.03">'[2]MINUTE DE METRE'!$E$216</definedName>
    <definedName name="QQ35200DIV103008.01">'[2]MINUTE DE METRE'!$E$138</definedName>
    <definedName name="QQ35200DIV104008.01">'[2]MINUTE DE METRE'!$E$140</definedName>
    <definedName name="QQ35200DIV106008.02">'[2]MINUTE DE METRE'!$E$145</definedName>
    <definedName name="QQ35200DIV106008.03">'[2]MINUTE DE METRE'!$E$218</definedName>
    <definedName name="QQ3530008.03">'[2]MINUTE DE METRE'!$E$220</definedName>
    <definedName name="QQ35400MOB101008.03">'[2]MINUTE DE METRE'!$E$222</definedName>
    <definedName name="QQ35400MOB102008.03">'[2]MINUTE DE METRE'!$E$224</definedName>
    <definedName name="QQ35400MOB110008.03">'[2]MINUTE DE METRE'!$E$226</definedName>
    <definedName name="QQ35men0108.01">'[2]MINUTE DE METRE'!$E$120</definedName>
    <definedName name="QQ35men0208.01">'[2]MINUTE DE METRE'!$E$136</definedName>
    <definedName name="QQ35men0308.02">'[2]MINUTE DE METRE'!$E$143</definedName>
    <definedName name="QQ35men0408.02">'[2]MINUTE DE METRE'!#REF!</definedName>
    <definedName name="QQ35men0508.02">'[2]MINUTE DE METRE'!$E$147</definedName>
    <definedName name="QQ35men0608.02">'[2]MINUTE DE METRE'!$E$166</definedName>
    <definedName name="QQ35men0708.02">'[2]MINUTE DE METRE'!$E$184</definedName>
    <definedName name="QQ35men0808.02">'[2]MINUTE DE METRE'!$E$186</definedName>
    <definedName name="QQ35men0908.02">'[2]MINUTE DE METRE'!$E$157</definedName>
    <definedName name="QQ35men1008.02">'[2]MINUTE DE METRE'!$E$188</definedName>
    <definedName name="QQ35men1108.02">'[2]MINUTE DE METRE'!$E$190</definedName>
    <definedName name="QQ35men1208.02">'[2]MINUTE DE METRE'!$E$192</definedName>
    <definedName name="QQ35men1308.02">'[2]MINUTE DE METRE'!$E$194</definedName>
    <definedName name="QQ35men1408.02">'[2]MINUTE DE METRE'!$E$196</definedName>
    <definedName name="QQ35men152308.02">'[2]MINUTE DE METRE'!$E$198</definedName>
    <definedName name="QQ35men2008.03">'[2]MINUTE DE METRE'!$E$228</definedName>
    <definedName name="QQ35men3008.02">'[2]MINUTE DE METRE'!$E$164</definedName>
    <definedName name="QQ35men5008.02">'[2]MINUTE DE METRE'!$E$180</definedName>
    <definedName name="QQ35men5108.02">'[2]MINUTE DE METRE'!$E$182</definedName>
    <definedName name="QQ35men6008.02">'[2]MINUTE DE METRE'!$E$203</definedName>
    <definedName name="QQ35men6508.02">'[2]MINUTE DE METRE'!$E$205</definedName>
    <definedName name="QQ35men6608.02">'[2]MINUTE DE METRE'!$E$207</definedName>
    <definedName name="QQ35men6708.02">'[2]MINUTE DE METRE'!$E$209</definedName>
    <definedName name="QQ35zzmn5608.01">'[2]MINUTE DE METRE'!$E$126</definedName>
    <definedName name="QQ40100PLA108009.01">'[2]MINUTE DE METRE'!$E$232</definedName>
    <definedName name="QQ40100PLA108009.02">'[2]MINUTE DE METRE'!$E$271</definedName>
    <definedName name="QQ40100PLA700009.01">'[2]MINUTE DE METRE'!$E$234</definedName>
    <definedName name="QQ40100PLA700009.02">'[2]MINUTE DE METRE'!$E$273</definedName>
    <definedName name="QQ40200CPL100009.02">'[2]MINUTE DE METRE'!$E$275</definedName>
    <definedName name="QQ40200CPL101009.02">'[2]MINUTE DE METRE'!$E$277</definedName>
    <definedName name="QQ40200STYL100009.01">'[2]MINUTE DE METRE'!$E$236</definedName>
    <definedName name="QQ40200STYL101509.01">'[2]MINUTE DE METRE'!$E$258</definedName>
    <definedName name="QQ40400PLP201009.01">'[2]MINUTE DE METRE'!$E$260</definedName>
    <definedName name="QQ40pla8009.02">'[2]MINUTE DE METRE'!$E$279</definedName>
    <definedName name="QQ40pla80109.01">'[2]MINUTE DE METRE'!$E$264</definedName>
    <definedName name="QQ40pla90009.01">'[2]MINUTE DE METRE'!$E$266</definedName>
    <definedName name="QQ40PLAT0109.01">'[2]MINUTE DE METRE'!$E$262</definedName>
    <definedName name="QQ40ser0106.02">'[2]MINUTE DE METRE'!$E$64</definedName>
    <definedName name="QQ40ser0106.03">'[2]MINUTE DE METRE'!#REF!</definedName>
    <definedName name="QQ40ser0206.02">'[2]MINUTE DE METRE'!$E$68</definedName>
    <definedName name="QQ40ser0206.03">'[2]MINUTE DE METRE'!#REF!</definedName>
    <definedName name="QQ40ser0306.02">'[2]MINUTE DE METRE'!$E$66</definedName>
    <definedName name="QQ40ser0306.03">'[2]MINUTE DE METRE'!#REF!</definedName>
    <definedName name="QQ40ser1006.03">'[2]MINUTE DE METRE'!$E$71</definedName>
    <definedName name="QQ40ser1106.03">'[2]MINUTE DE METRE'!$E$73</definedName>
    <definedName name="QQ40ser1206.03">'[2]MINUTE DE METRE'!$E$75</definedName>
    <definedName name="QQ40ser12106.03">'[2]MINUTE DE METRE'!$E$77</definedName>
    <definedName name="QQ40ser1306.03">'[2]MINUTE DE METRE'!$E$81</definedName>
    <definedName name="QQ40ser1406.03">'[2]MINUTE DE METRE'!$E$87</definedName>
    <definedName name="QQ40ser2006.03">'[2]MINUTE DE METRE'!$E$89</definedName>
    <definedName name="QQ40ser2206.03">'[2]MINUTE DE METRE'!$E$91</definedName>
    <definedName name="QQ40ser2406.03">'[2]MINUTE DE METRE'!$E$93</definedName>
    <definedName name="QQ40ser2606.03">'[2]MINUTE DE METRE'!$E$95</definedName>
    <definedName name="QQ40ser2706.03">'[2]MINUTE DE METRE'!$E$99</definedName>
    <definedName name="QQ40ser2806.03">'[2]MINUTE DE METRE'!$E$97</definedName>
    <definedName name="QQ40ser3006.03">'[2]MINUTE DE METRE'!$E$79</definedName>
    <definedName name="QQ40SER9902">'[2]MINUTE DE METRE'!$E$4</definedName>
    <definedName name="QQ40SER9904">'[2]MINUTE DE METRE'!$E$4</definedName>
    <definedName name="QQ40ser991202">'[2]MINUTE DE METRE'!$E$6</definedName>
    <definedName name="QQ45100FIB101012">'[2]MINUTE DE METRE'!$E$389</definedName>
    <definedName name="QQ45100FIB102012">'[2]MINUTE DE METRE'!$E$401</definedName>
    <definedName name="QQ45100FIB110012">'[2]MINUTE DE METRE'!$E$404</definedName>
    <definedName name="QQ45100FIB200012">'[2]MINUTE DE METRE'!$E$412</definedName>
    <definedName name="QQ45200FPM400012">'[2]MINUTE DE METRE'!$E$418</definedName>
    <definedName name="QQ45fp5512">'[2]MINUTE DE METRE'!$E$407</definedName>
    <definedName name="QQ45pla99009.01">'[2]MINUTE DE METRE'!$E$268</definedName>
    <definedName name="QQ45zzplaf0112">'[2]MINUTE DE METRE'!$E$421</definedName>
    <definedName name="QQ475fp55812">'[2]MINUTE DE METRE'!$E$415</definedName>
    <definedName name="QQ50200SOL100010.01">'[2]MINUTE DE METRE'!$E$283</definedName>
    <definedName name="QQ50200SOL100110.02">'[2]MINUTE DE METRE'!$E$336</definedName>
    <definedName name="QQ50200SOL101810.01">'[2]MINUTE DE METRE'!$E$310</definedName>
    <definedName name="QQ50200SOL102010.01">'[2]MINUTE DE METRE'!$E$317</definedName>
    <definedName name="QQ50300SOL0500110.02">'[2]MINUTE DE METRE'!$E$340</definedName>
    <definedName name="QQ50300SOL101010.01">'[2]MINUTE DE METRE'!$E$306</definedName>
    <definedName name="QQ50300SOL102010.01">'[2]MINUTE DE METRE'!$E$285</definedName>
    <definedName name="QQ50300SOL150010.01">'[2]MINUTE DE METRE'!$E$308</definedName>
    <definedName name="QQ50400MOQ1020110.02">'[2]MINUTE DE METRE'!$E$338</definedName>
    <definedName name="QQ50400MOQ105010.01">'[2]MINUTE DE METRE'!$E$323</definedName>
    <definedName name="QQ50500DIV101010.01">'[2]MINUTE DE METRE'!$E$327</definedName>
    <definedName name="QQ50500DIV102010.01">'[2]MINUTE DE METRE'!$E$329</definedName>
    <definedName name="QQ50sol0110.01">'[2]MINUTE DE METRE'!$E$319</definedName>
    <definedName name="QQ50sszz0510.01">'[2]MINUTE DE METRE'!$E$321</definedName>
    <definedName name="QQ50sszz12010.01">'[2]MINUTE DE METRE'!$E$325</definedName>
    <definedName name="QQ55100CAR100011.01">'[2]MINUTE DE METRE'!$E$344</definedName>
    <definedName name="QQ55100CAR200011.01">'[2]MINUTE DE METRE'!$E$351</definedName>
    <definedName name="QQ55100CAR2000111.02">'[2]MINUTE DE METRE'!$E$382</definedName>
    <definedName name="QQ55100CAR400011.01">'[2]MINUTE DE METRE'!$E$364</definedName>
    <definedName name="QQ55100rrs0111.01">'[2]MINUTE DE METRE'!$E$346</definedName>
    <definedName name="QQ55200FAI100011.01">'[2]MINUTE DE METRE'!$E$368</definedName>
    <definedName name="QQ55200FAI1000111.02">'[2]MINUTE DE METRE'!$E$386</definedName>
    <definedName name="QQ55200FAI200011.01">'[2]MINUTE DE METRE'!$E$375</definedName>
    <definedName name="QQ55300PLIN100011.01">'[2]MINUTE DE METRE'!$E$348</definedName>
    <definedName name="QQ55300PLIN1000111.01">'[2]MINUTE DE METRE'!$E$358</definedName>
    <definedName name="QQ55300PLIN1000111.02">'[2]MINUTE DE METRE'!$E$384</definedName>
    <definedName name="QQ55300PLIN200011.01">'[2]MINUTE DE METRE'!$E$366</definedName>
    <definedName name="QQ55400DIV102010.01">'[2]MINUTE DE METRE'!$E$331</definedName>
    <definedName name="QQ55400DIV105011.01">'[2]MINUTE DE METRE'!$E$377</definedName>
    <definedName name="QQ55400DIV200011.01">'[2]MINUTE DE METRE'!$E$379</definedName>
    <definedName name="QQ55sszz5010.01">'[2]MINUTE DE METRE'!$E$333</definedName>
    <definedName name="QQ60100PIN1020113.02">'[2]MINUTE DE METRE'!$E$456</definedName>
    <definedName name="QQ60100PIN10201213.02">'[2]MINUTE DE METRE'!$E$458</definedName>
    <definedName name="QQ60100PIN103013.01">'[2]MINUTE DE METRE'!$E$427</definedName>
    <definedName name="QQ60100PIN1040113.02">'[2]MINUTE DE METRE'!$E$460</definedName>
    <definedName name="QQ60100PIN104013.01">'[2]MINUTE DE METRE'!$E$431</definedName>
    <definedName name="QQ60100PIN1040213.01">'[2]MINUTE DE METRE'!$E$433</definedName>
    <definedName name="QQ60100PIN1040313.01">'[2]MINUTE DE METRE'!$E$429</definedName>
    <definedName name="QQ60100PIN1100113.01">'[2]MINUTE DE METRE'!$E$437</definedName>
    <definedName name="QQ60100PIN110013.01">'[2]MINUTE DE METRE'!$E$439</definedName>
    <definedName name="QQ60100PIN120013.01">'[2]MINUTE DE METRE'!$E$441</definedName>
    <definedName name="QQ60100PIN200013.01">'[2]MINUTE DE METRE'!$E$435</definedName>
    <definedName name="QQ60100PIN201013.01">'[2]MINUTE DE METRE'!$E$443</definedName>
    <definedName name="QQ60100PIN300013.01">'[2]MINUTE DE METRE'!$E$445</definedName>
    <definedName name="QQ60100PIN400013.01">'[2]MINUTE DE METRE'!$E$449</definedName>
    <definedName name="QQ60100PIN9000113.02">'[2]MINUTE DE METRE'!$E$462</definedName>
    <definedName name="QQ60100PIN900013.01">'[2]MINUTE DE METRE'!$E$451</definedName>
    <definedName name="QQ60200REV200013.01">'[2]MINUTE DE METRE'!$E$447</definedName>
    <definedName name="QQ60200REV300013.02">'[2]MINUTE DE METRE'!$E$454</definedName>
    <definedName name="QQ60pein0113.01">'[2]MINUTE DE METRE'!$E$425</definedName>
    <definedName name="QQ80chauf0115">'[2]MINUTE DE METRE'!$E$468</definedName>
    <definedName name="QQ80elec0116">'[2]MINUTE DE METRE'!$E$471</definedName>
    <definedName name="QQ80elec0217">'[2]MINUTE DE METRE'!$E$474</definedName>
    <definedName name="QQ80occ0107">'[2]MINUTE DE METRE'!$E$102</definedName>
    <definedName name="QQ80occ0207">'[2]MINUTE DE METRE'!$E$104</definedName>
    <definedName name="QQ80plom0214">'[2]MINUTE DE METRE'!$E$465</definedName>
    <definedName name="QQ90ASC1017">'[2]MINUTE DE METRE'!$E$479</definedName>
    <definedName name="QQ90pa0118">'[2]MINUTE DE METRE'!$E$482</definedName>
    <definedName name="QQ90pa0218">'[2]MINUTE DE METRE'!$E$484</definedName>
    <definedName name="QQ90pa0318">'[2]MINUTE DE METRE'!$E$486</definedName>
    <definedName name="QQ90pa0418">'[2]MINUTE DE METRE'!$E$488</definedName>
    <definedName name="QQ90pa0518">'[2]MINUTE DE METRE'!$E$490</definedName>
    <definedName name="SHOB_hautRDC">'[4]SHOB-SHON'!$D$5</definedName>
    <definedName name="SHOB_SS">'[4]SHOB-SHON'!$B$5</definedName>
    <definedName name="SHON_basRDC">'[4]SHOB-SHON'!$C$7</definedName>
    <definedName name="SHON_totale">'[4]SHOB-SHON'!$E$7</definedName>
    <definedName name="SU_Rdc">'[5]Données APS'!$D$106</definedName>
    <definedName name="SU_Ssol">'[5]Données APS'!$C$106</definedName>
    <definedName name="Surf_Plafond_Bois">'[4]Données APS'!$K$22</definedName>
    <definedName name="Surf_Plafond_droitHydro">'[4]Données APS'!$K$21</definedName>
    <definedName name="Surf_Plafond_MetalPerfore">'[4]Données APS'!$K$19</definedName>
    <definedName name="Surf_Plafond_Mineral">'[4]Données APS'!$K$20</definedName>
    <definedName name="Surf_RevSol_finitionBrute">'[4]Données APS'!$K$9</definedName>
    <definedName name="Surf_RevSol_gc1">'[4]Données APS'!$K$4</definedName>
    <definedName name="Surf_RevSol_gc2">'[4]Données APS'!$K$7</definedName>
    <definedName name="Surf_RevSol_peintureSol">'[4]Données APS'!$K$10</definedName>
    <definedName name="Surf_RevSol_résina">'[4]Données APS'!$K$8</definedName>
    <definedName name="Surf_RevSol_revsportif">'[4]Données APS'!$K$6</definedName>
    <definedName name="Surf_RevSol_solsouple">'[4]Données APS'!$K$5</definedName>
    <definedName name="Tension">'[1]15_CVC Vn'!$AE$8:$AE$10</definedName>
    <definedName name="TRAVAIL">#REF!,#REF!,#REF!,#REF!,#REF!,#REF!,#REF!,#REF!,#REF!,#REF!,#REF!,#REF!</definedName>
    <definedName name="Type_Raccord">'[1]15_CVC Vn'!$AC$8:$AC$10</definedName>
    <definedName name="TOTAL">#REF!</definedName>
    <definedName name="tot09.01">#REF!</definedName>
    <definedName name="___tot17">#REF!</definedName>
    <definedName name="SHON5">#REF!</definedName>
    <definedName name="Bacou">#REF!</definedName>
    <definedName name="LOT">#REF!</definedName>
    <definedName name="tot08.02">#REF!</definedName>
    <definedName name="SHON6">#REF!</definedName>
    <definedName name="PPM">#REF!</definedName>
    <definedName name="__tot13">#REF!</definedName>
    <definedName name="tot04.01">#REF!</definedName>
    <definedName name="tttcs">#REF!</definedName>
    <definedName name="__tot03">#REF!</definedName>
    <definedName name="__tot06">#REF!</definedName>
    <definedName name="___tot20">#REF!</definedName>
    <definedName name="_tot13">#REF!</definedName>
    <definedName name="SHON4">#REF!</definedName>
    <definedName name="PCENT3">#REF!</definedName>
    <definedName name="tot20.03">#REF!</definedName>
    <definedName name="PCENT6">#REF!</definedName>
    <definedName name="SH">#REF!</definedName>
    <definedName name="SHOB">#REF!</definedName>
    <definedName name="___tot02">#REF!</definedName>
    <definedName name="tot20.05">#REF!</definedName>
    <definedName localSheetId="3" name="Depart">#REF!</definedName>
    <definedName name="tot08.03">#REF!</definedName>
    <definedName name="tttc">#REF!</definedName>
    <definedName name="__tot12">#REF!</definedName>
    <definedName name="___tot03">#REF!</definedName>
    <definedName name="tot02.01">#REF!</definedName>
    <definedName name="Départ2">#REF!</definedName>
    <definedName name="__tot07">#REF!</definedName>
    <definedName name="__tot17">#REF!</definedName>
    <definedName name="___tot12">#REF!</definedName>
    <definedName name="HA">#REF!</definedName>
    <definedName name="ARRPU">#REF!</definedName>
    <definedName name="__tot18">#REF!</definedName>
    <definedName name="tot02.04">#REF!</definedName>
    <definedName name="___tot19">#REF!</definedName>
    <definedName name="SHON3">#REF!</definedName>
    <definedName name="UF">#REF!</definedName>
    <definedName name="SUN">#REF!</definedName>
    <definedName name="_tot06">#REF!</definedName>
    <definedName name="_tot02">#REF!</definedName>
    <definedName name="__tot16">#REF!</definedName>
    <definedName name="tot06.03">#REF!</definedName>
    <definedName name="tot20.02">#REF!</definedName>
    <definedName name="cib">#REF!</definedName>
    <definedName name="tot04.02">#REF!</definedName>
    <definedName name="tot16.02">#REF!</definedName>
    <definedName name="tot01.01">#REF!</definedName>
    <definedName name="total_ligne">#REF!</definedName>
    <definedName name="PCENT1">#REF!</definedName>
    <definedName name="tot02.05">#REF!</definedName>
    <definedName name="tot03.02">#REF!</definedName>
    <definedName name="SU">#REF!</definedName>
    <definedName name="tot20.01">#REF!</definedName>
    <definedName name="_tot14">#REF!</definedName>
    <definedName name="PCENT4">#REF!</definedName>
    <definedName name="Poutre">#REF!</definedName>
    <definedName name="variant">#REF!</definedName>
    <definedName name="___tot09">#REF!</definedName>
    <definedName name="SUB">#REF!</definedName>
    <definedName name="___cib2">#REF!</definedName>
    <definedName name="tot10.02">#REF!</definedName>
    <definedName name="PCENT2">#REF!</definedName>
    <definedName name="tot01.05">#REF!</definedName>
    <definedName name="tot16.03">#REF!</definedName>
    <definedName name="GR">#REF!</definedName>
    <definedName name="___tot05">#REF!</definedName>
    <definedName name="tot11.01">#REF!</definedName>
    <definedName name="_tot18">#REF!</definedName>
    <definedName name="tablarr">#REF!</definedName>
    <definedName name="tot01.03">#REF!</definedName>
    <definedName name="TS">#REF!</definedName>
    <definedName name="tot10.01">#REF!</definedName>
    <definedName name="__tot01">#REF!</definedName>
    <definedName name="tot20.06">#REF!</definedName>
    <definedName name="CLIENT">#REF!</definedName>
    <definedName name="tot03.01">#REF!</definedName>
    <definedName name="PCENTTOT">#REF!</definedName>
    <definedName name="SHON2">#REF!</definedName>
    <definedName name="thts">#REF!</definedName>
    <definedName name="___tot16">#REF!</definedName>
    <definedName name="___tot01">#REF!</definedName>
    <definedName localSheetId="1" name="total_ligne">#REF!</definedName>
    <definedName name="_tot16">#REF!</definedName>
    <definedName name="SHON_">#REF!</definedName>
    <definedName name="___tot15">#REF!</definedName>
    <definedName name="___tot11">#REF!</definedName>
    <definedName name="__tot09">#REF!</definedName>
    <definedName name="tot02.02">#REF!</definedName>
    <definedName name="__tot10">#REF!</definedName>
    <definedName localSheetId="3" name="UF">#REF!</definedName>
    <definedName name="div">#REF!</definedName>
    <definedName name="tot13.01">#REF!</definedName>
    <definedName name="___tot07">#REF!</definedName>
    <definedName name="PCENT5">#REF!</definedName>
    <definedName name="Taches">#REF!</definedName>
    <definedName name="bas_de_page">#REF!</definedName>
    <definedName name="_tot08">#REF!</definedName>
    <definedName name="__tot08">#REF!</definedName>
    <definedName localSheetId="3" name="Taches">#REF!</definedName>
    <definedName name="coeff">#REF!</definedName>
    <definedName name="_tot05">#REF!</definedName>
    <definedName name="__tot05">#REF!</definedName>
    <definedName name="___tot13">#REF!</definedName>
    <definedName name="Pot">#REF!</definedName>
    <definedName name="tot20.04">#REF!</definedName>
    <definedName name="dht">#REF!</definedName>
    <definedName name="tot02.03">#REF!</definedName>
    <definedName name="tot11.02">#REF!</definedName>
    <definedName name="__tot20">#REF!</definedName>
    <definedName name="_tot01">#REF!</definedName>
    <definedName name="__tot19">#REF!</definedName>
    <definedName name="Baint">#REF!</definedName>
    <definedName name="tot13.02">#REF!</definedName>
    <definedName name="_tot11">#REF!</definedName>
    <definedName name="_tot12">#REF!</definedName>
    <definedName name="_tot19">#REF!</definedName>
    <definedName name="__tot02">#REF!</definedName>
    <definedName localSheetId="3" name="GR">#REF!</definedName>
    <definedName name="SHON1">#REF!</definedName>
    <definedName name="tht">#REF!</definedName>
    <definedName name="__tot04">#REF!</definedName>
    <definedName name="___tot08">#REF!</definedName>
    <definedName name="_tot03">#REF!</definedName>
    <definedName name="Grosb">#REF!</definedName>
    <definedName name="_tot17">#REF!</definedName>
    <definedName name="tot01.02">#REF!</definedName>
    <definedName name="__tot11">#REF!</definedName>
    <definedName name="__cib2">#REF!</definedName>
    <definedName name="SHOP">#REF!</definedName>
    <definedName name="tot03.03">#REF!</definedName>
    <definedName name="Béton">#REF!</definedName>
    <definedName name="__tot15">#REF!</definedName>
    <definedName name="SHON">#REF!</definedName>
    <definedName name="___tot10">#REF!</definedName>
    <definedName name="dttc">#REF!</definedName>
    <definedName name="_cib2">#REF!</definedName>
    <definedName name="_tot04">#REF!</definedName>
    <definedName name="Ba">#REF!</definedName>
    <definedName name="tot06.01">#REF!</definedName>
    <definedName name="_tot09">#REF!</definedName>
    <definedName name="_tot20">#REF!</definedName>
    <definedName name="___tot14">#REF!</definedName>
    <definedName name="tot16.01">#REF!</definedName>
    <definedName name="_tot07">#REF!</definedName>
    <definedName name="HT">#REF!</definedName>
    <definedName name="tot06.02">#REF!</definedName>
    <definedName name="___tot18">#REF!</definedName>
    <definedName name="_tot15">#REF!</definedName>
    <definedName name="tot09.02">#REF!</definedName>
    <definedName name="___tot04">#REF!</definedName>
    <definedName name="__tot14">#REF!</definedName>
    <definedName name="Depart">#REF!</definedName>
    <definedName name="_tot10">#REF!</definedName>
    <definedName name="tot08.01">#REF!</definedName>
    <definedName name="tot01.04">#REF!</definedName>
    <definedName name="delta">#REF!</definedName>
    <definedName name="___tot06">#REF!</definedName>
    <definedName name="Doka">#REF!</definedName>
    <definedName localSheetId="2" name="total_ligne">#REF!</definedName>
    <definedName name="bhy">#REF!</definedName>
    <definedName hidden="1" localSheetId="1" name="_xlnm._FilterDatabase">Indus!$A$12:$F$555</definedName>
  </definedNames>
  <calcPr/>
  <extLst>
    <ext uri="GoogleSheetsCustomDataVersion2">
      <go:sheetsCustomData xmlns:go="http://customooxmlschemas.google.com/" r:id="rId18" roundtripDataChecksum="OJqs7cBQ29mmmCSIIOvqUvGRW8abi3bka1JEB6AQv08="/>
    </ext>
  </extLst>
</workbook>
</file>

<file path=xl/sharedStrings.xml><?xml version="1.0" encoding="utf-8"?>
<sst xmlns="http://schemas.openxmlformats.org/spreadsheetml/2006/main" count="3137" uniqueCount="1082">
  <si>
    <r>
      <rPr>
        <rFont val="Arial"/>
        <b/>
        <color theme="1"/>
        <sz val="8.0"/>
      </rPr>
      <t xml:space="preserve">Estimation de prix
Lot n° </t>
    </r>
    <r>
      <rPr>
        <rFont val="Arial"/>
        <b/>
        <color rgb="FFFF0000"/>
        <sz val="8.0"/>
      </rPr>
      <t xml:space="preserve">xx </t>
    </r>
    <r>
      <rPr>
        <rFont val="Arial"/>
        <b/>
        <color theme="1"/>
        <sz val="8.0"/>
      </rPr>
      <t>Electricité Courants forts et Courants faibles</t>
    </r>
  </si>
  <si>
    <t>Affaire</t>
  </si>
  <si>
    <t>Estimation de base</t>
  </si>
  <si>
    <t>Phase</t>
  </si>
  <si>
    <t>APD</t>
  </si>
  <si>
    <t>Date</t>
  </si>
  <si>
    <t>Vérification du total</t>
  </si>
  <si>
    <t>% du montant global</t>
  </si>
  <si>
    <t>Surface Bâtiment (m²)</t>
  </si>
  <si>
    <t>Montant de l'estimation avant ajustement</t>
  </si>
  <si>
    <t>Coefficient de complexité</t>
  </si>
  <si>
    <t>Coefficient de risque (financier ou technique)</t>
  </si>
  <si>
    <t>coefficient d'incertitude (lié à la phase)</t>
  </si>
  <si>
    <t xml:space="preserve">Total Général : </t>
  </si>
  <si>
    <t>Prix au m² :</t>
  </si>
  <si>
    <t>Art.</t>
  </si>
  <si>
    <t>DESIGNATION</t>
  </si>
  <si>
    <t>U</t>
  </si>
  <si>
    <t>Q MOE</t>
  </si>
  <si>
    <t>Q entreprise</t>
  </si>
  <si>
    <t>PU € HT</t>
  </si>
  <si>
    <t>Montant € HT</t>
  </si>
  <si>
    <t>Date de l'estimation</t>
  </si>
  <si>
    <t>Surface du bâtiment</t>
  </si>
  <si>
    <t>Courants Forts</t>
  </si>
  <si>
    <t>Etudes, Plans, DOE</t>
  </si>
  <si>
    <t>réalisation des plans et schémas d'exécution</t>
  </si>
  <si>
    <t>m²</t>
  </si>
  <si>
    <t>aa</t>
  </si>
  <si>
    <t>Essais, mise en service</t>
  </si>
  <si>
    <t>réalisation des essais et de la mise en service</t>
  </si>
  <si>
    <t>Réalisation des essais et de la mise en service</t>
  </si>
  <si>
    <t>ens</t>
  </si>
  <si>
    <t>Consuel</t>
  </si>
  <si>
    <t>u</t>
  </si>
  <si>
    <t>Cosael</t>
  </si>
  <si>
    <t>Bureau de contrôle</t>
  </si>
  <si>
    <t>ab</t>
  </si>
  <si>
    <t>Installation de chantier</t>
  </si>
  <si>
    <t>Au m²</t>
  </si>
  <si>
    <t>Création d'un départ dans l'armoire générale chantier</t>
  </si>
  <si>
    <t>Fourniture et installation de coffret de chantier</t>
  </si>
  <si>
    <t>Eclairage de chantier</t>
  </si>
  <si>
    <t>ac</t>
  </si>
  <si>
    <t>Installation existantes</t>
  </si>
  <si>
    <t>Dépose des installations existantes</t>
  </si>
  <si>
    <t>Consignations des installations</t>
  </si>
  <si>
    <t>J</t>
  </si>
  <si>
    <t>ad</t>
  </si>
  <si>
    <t>Réseau de terre</t>
  </si>
  <si>
    <t xml:space="preserve">Fourniture et installation d'une câblette de terre en fond de fouille </t>
  </si>
  <si>
    <t>ml</t>
  </si>
  <si>
    <t>Fourniture et installation de barrette de coupure</t>
  </si>
  <si>
    <t>Mise à la terre des masses métalliques</t>
  </si>
  <si>
    <t>Liaisons équipotentielles</t>
  </si>
  <si>
    <t>ae</t>
  </si>
  <si>
    <t>VRD</t>
  </si>
  <si>
    <t>Dallage au sol pour transfo de 20 m² (pas une dalle portée)</t>
  </si>
  <si>
    <t>Terrassement + évacuation</t>
  </si>
  <si>
    <t>Tranchée de 1m de largeur</t>
  </si>
  <si>
    <t xml:space="preserve">Fourreaux TPC DN 200 </t>
  </si>
  <si>
    <t>Chambres de tirage K1C</t>
  </si>
  <si>
    <t>af</t>
  </si>
  <si>
    <t>Poste de transformation</t>
  </si>
  <si>
    <t>Poste complet intégré au bâtiment</t>
  </si>
  <si>
    <t>630 KVA : 3 cellules + 1 TRS + Liaisons HT et BT + divers poste</t>
  </si>
  <si>
    <t>1 000 KVA : 3 cellules + 1 TRS + Liaisons HT et BT + divers poste</t>
  </si>
  <si>
    <t>2x800 KVA : 2IM+1CM+1DM2+2QM 43A + 2TRS(A0AK)</t>
  </si>
  <si>
    <t>3x800 KVA : 2IM+1CM+1DM2+3QM 43A + 3TRS(B0BK)</t>
  </si>
  <si>
    <t>3x1000 KVA : 2IM+1CM+1DM2+3QM 43A + 3TRS(B0BK)</t>
  </si>
  <si>
    <t>2x2 500 KVA : 2IM+1CM+1DM2+2DM1 + 2TRS(B0BK)</t>
  </si>
  <si>
    <t xml:space="preserve">Postes préfabiqués </t>
  </si>
  <si>
    <t>Poste béton bocage : 7m Vide</t>
  </si>
  <si>
    <t>Poste béton bocage : 5m Vide</t>
  </si>
  <si>
    <t>Poste béton bocage : 7m (gruté avec équipement mini)</t>
  </si>
  <si>
    <t>Poste préfabriqué type POSTE MISTRAL3 avec tout l'équipement électrique et de sécurité 400KVA (Type de poste pour 630KVA maxi)</t>
  </si>
  <si>
    <t>Poste Biosco 10L + 2IM + 1CM + 1DM1 (hors transfo)</t>
  </si>
  <si>
    <t>Poste B100 + 2IM + 1CM + 1DM1 (hors transfo)</t>
  </si>
  <si>
    <t>Poste Biosco 10L (Pas de cellule)</t>
  </si>
  <si>
    <t>Transformateurs seuls</t>
  </si>
  <si>
    <t>Transformateur 630KVA+bac</t>
  </si>
  <si>
    <t>Transformateur 630KVA - bitension - UCC 9% - ICC 10 KA</t>
  </si>
  <si>
    <t>Transformateur 630KVA+bac - UCC6% - Ecodesign</t>
  </si>
  <si>
    <t>Transformateur 800 KVA - bitension -BoBK+bac</t>
  </si>
  <si>
    <t>Transformateur 1000 KVA - bitension -BoBk+bac</t>
  </si>
  <si>
    <t>Transformateur 1250 KVA - bitension +bac</t>
  </si>
  <si>
    <t>Transformateur 1600KVA - bitension +bac</t>
  </si>
  <si>
    <t>Transformateur 2500KVA - bitension -BobK+Bac extinction naturelle</t>
  </si>
  <si>
    <t>Bac de rétention</t>
  </si>
  <si>
    <t>Cellules</t>
  </si>
  <si>
    <t>Cellules HTA - Inter</t>
  </si>
  <si>
    <t>Cellules CM</t>
  </si>
  <si>
    <t>Cellules DM2</t>
  </si>
  <si>
    <t>Celllules DM1</t>
  </si>
  <si>
    <t>TM</t>
  </si>
  <si>
    <t>Cellule de bouclage</t>
  </si>
  <si>
    <t>Cellule de remontée de barre</t>
  </si>
  <si>
    <t>Divers équipements Postes</t>
  </si>
  <si>
    <t>Mise en service SEPAM</t>
  </si>
  <si>
    <t>Bardin</t>
  </si>
  <si>
    <t>Alimentation BT vers TGBT</t>
  </si>
  <si>
    <t>Accessoires de pose et raccordement cellules</t>
  </si>
  <si>
    <t>equipement sécurité réglementaire</t>
  </si>
  <si>
    <t>liaison HTA cellule - transfo</t>
  </si>
  <si>
    <t>Câble HTA extérieur</t>
  </si>
  <si>
    <t>Tableau auxiliaire poste</t>
  </si>
  <si>
    <t>Alimentation HTA</t>
  </si>
  <si>
    <t>Câbles HTA</t>
  </si>
  <si>
    <t>Alimentation BT</t>
  </si>
  <si>
    <t>Alimentation du TGBT</t>
  </si>
  <si>
    <t>Fourniture et installation du poste de transformation</t>
  </si>
  <si>
    <t>Fourniture et installation de cellules interrupteurs</t>
  </si>
  <si>
    <t>Fourniture et installation de cellule protection transformateur</t>
  </si>
  <si>
    <t>Fourniture et installation de transformateur 630 Kva</t>
  </si>
  <si>
    <t>Fourniture et installation de bac de rétention</t>
  </si>
  <si>
    <t>Fourniture et mise en œuvre de la liaison HTA</t>
  </si>
  <si>
    <t>Fourniture et mise en œuvre de la liaison BT vers le TGBT</t>
  </si>
  <si>
    <t>Fourniture et mise en peuvre des équipements de sécurité</t>
  </si>
  <si>
    <t>Fourniture et mise en œuvre des protection transformateur</t>
  </si>
  <si>
    <t>Le raccordement et la mise en service du poste de tansformation</t>
  </si>
  <si>
    <t>ag</t>
  </si>
  <si>
    <t>Reconfiguration de boucle</t>
  </si>
  <si>
    <t>Calculateur (par calculteur traité)</t>
  </si>
  <si>
    <t>Switchs optiques (par poste traité)</t>
  </si>
  <si>
    <t>Ordinateur de supervision</t>
  </si>
  <si>
    <t>Etude et analyse fonctionnelle (ensemble des postes)</t>
  </si>
  <si>
    <t>Paramétrage et programmation du système (par poste traité)</t>
  </si>
  <si>
    <t>Essais et mise en service + formation(ensemble)</t>
  </si>
  <si>
    <t>ah</t>
  </si>
  <si>
    <t>Branchements - Comptage concessionnaire</t>
  </si>
  <si>
    <t>Tarif Jaune</t>
  </si>
  <si>
    <t>Tarif jaune 400A comprenant : coffret 400A, disjoncteur abonné, pose du tarif jaune, câble d'alimentation et câble de téléreport</t>
  </si>
  <si>
    <t>Tarif jaune 250A comprenant : coffret 400A, disjoncteur abonné, pose du tarif jaune, câble d'alimentation et câble de téléreport</t>
  </si>
  <si>
    <t>Tarif jaune 160A comprenant : coffret 400A, disjoncteur abonné, pose du tarif jaune, câble d'alimentation et câble de téléreport</t>
  </si>
  <si>
    <t>Tarif Bleu</t>
  </si>
  <si>
    <t>Tarif bleu comprenant : coffret EDF, disjoncteur AB 4x63A, pose comptage, câble d'alimentation et câble de téléreport</t>
  </si>
  <si>
    <t>Coffret de coupure</t>
  </si>
  <si>
    <t>Disjoncteur de protection général</t>
  </si>
  <si>
    <t>Câble de liaison HN33S33</t>
  </si>
  <si>
    <t>Câble de téléreport</t>
  </si>
  <si>
    <t>Disjoncteur de branchement abonné dans le bâtiment</t>
  </si>
  <si>
    <t>Comptage concessionnaire</t>
  </si>
  <si>
    <t>ai</t>
  </si>
  <si>
    <t>Groupe électrogène</t>
  </si>
  <si>
    <t>Groupe extérieur complet - 1000KVA</t>
  </si>
  <si>
    <t>Génie civil</t>
  </si>
  <si>
    <t>Réalisation d'une dalle anti vibratille (8x4m)</t>
  </si>
  <si>
    <t>traversée de murs</t>
  </si>
  <si>
    <t>Tranchée</t>
  </si>
  <si>
    <t>Fourreaux (elec+telecom+fiul)</t>
  </si>
  <si>
    <t>Pénétration dans le batiment</t>
  </si>
  <si>
    <t>groupe 1000KVA</t>
  </si>
  <si>
    <t>Fourniture, installation et raccordement du groupe 1000KVA</t>
  </si>
  <si>
    <t>câbles (40mx4 par phase)</t>
  </si>
  <si>
    <t>fiul</t>
  </si>
  <si>
    <t>l</t>
  </si>
  <si>
    <t>essais (banc de charge)</t>
  </si>
  <si>
    <t>Transport pose et repose du groupe</t>
  </si>
  <si>
    <t>Ens</t>
  </si>
  <si>
    <t>Groupe intérieur complet (ensemble)</t>
  </si>
  <si>
    <t>2 GE 1500 KVA HTA non capoté - dans un local</t>
  </si>
  <si>
    <t>Groupes KD1500 (SDMO) - 1520 KVA</t>
  </si>
  <si>
    <t>Armoires de commande</t>
  </si>
  <si>
    <t>Transfo HTA (2 TRs SEC 1600KVA + Gaine à barre)</t>
  </si>
  <si>
    <t>installation dans le local (echappement, réservoir, pièges à sons, traitement sonorie parois)</t>
  </si>
  <si>
    <t>Divers services (matériel de sécurité)</t>
  </si>
  <si>
    <t>Recette usine</t>
  </si>
  <si>
    <t>2 GE 2000 KVA HTA non capoté - dans un local</t>
  </si>
  <si>
    <t>Groupes KD2000 (SDMO) - 2000 KVA</t>
  </si>
  <si>
    <t>Transfo HTA (2 TRs SEC 2000KVA + Gaine à barre)</t>
  </si>
  <si>
    <t>Divers</t>
  </si>
  <si>
    <t>Groupe électrogène de sécurité - 80 KVA - Capoté insonorisé</t>
  </si>
  <si>
    <t>Groupe électrogène de sécurité - 250 KVA - Capoté insonorisé</t>
  </si>
  <si>
    <t>Groupe électrogène de sécurité - 640 KVA</t>
  </si>
  <si>
    <t>Groupe intérieur complet (détaillé)</t>
  </si>
  <si>
    <t>Groupe électrogène 400kVA, conforme au CCTP</t>
  </si>
  <si>
    <t>Armoire électrique TD GES</t>
  </si>
  <si>
    <t>Cuve 1000l, y compris raccordement, mise en service, installation, etc. …</t>
  </si>
  <si>
    <t>Echappement</t>
  </si>
  <si>
    <t>Pièges à sons</t>
  </si>
  <si>
    <t>Traitement acoustique (silencieux, insonorisation du local, etc. …)</t>
  </si>
  <si>
    <t>Essais et mise en service</t>
  </si>
  <si>
    <t>HTA pour groupe électrogène (transfo élévateurs)</t>
  </si>
  <si>
    <t>Poste Béton + 1 IM + 1 DM1 + 1CM</t>
  </si>
  <si>
    <t>Liaison BT GE - Transfo</t>
  </si>
  <si>
    <t>Cellules HTA - DM1  - protection TRS</t>
  </si>
  <si>
    <t>Cellules HTA - QM - Protection homopolaire</t>
  </si>
  <si>
    <t>protection homopolaire</t>
  </si>
  <si>
    <t>Cellule Comptage CM</t>
  </si>
  <si>
    <t>Cellules HTA - DM2  - bouclage</t>
  </si>
  <si>
    <t>aj</t>
  </si>
  <si>
    <t>Alimentation sans interruption</t>
  </si>
  <si>
    <t>Fourniture, pose et mise en service onduleur 5KVA - 10min</t>
  </si>
  <si>
    <t>Fourniture, pose et mise en service onduleur 10KVA - 10min</t>
  </si>
  <si>
    <t>Fourniture, pose et mise en service onduleur 15KVA - 40min</t>
  </si>
  <si>
    <t>Fourniture, pose et mise en service onduleur 20KVA - 10min</t>
  </si>
  <si>
    <t>Fourniture, pose et mise en service onduleur 100KVA - 10min</t>
  </si>
  <si>
    <t>Fourniture, pose et mise en service onduleur 120KVA - 10min</t>
  </si>
  <si>
    <t>Fourniture, pose et mise en service onduleur 250KVA - 30min + STS+raccordements</t>
  </si>
  <si>
    <t>Dépose, repose et raccordement d'un onduleur existant</t>
  </si>
  <si>
    <t>Fourniture, pose et raccordement transfo d'isolement 410/410V 80KVA</t>
  </si>
  <si>
    <t>Onduleur</t>
  </si>
  <si>
    <t>ak</t>
  </si>
  <si>
    <t>Transformateur Basse Tension</t>
  </si>
  <si>
    <t>Transfo BT/BT - 315 KVA (Y compris protection amont/aval)</t>
  </si>
  <si>
    <t>al</t>
  </si>
  <si>
    <t>Alimentation Electrique de sécurité (A.E.S.)</t>
  </si>
  <si>
    <t>Onduleur AES - 60 KVA - 90 mn + TRS intégré</t>
  </si>
  <si>
    <t>Onduleur AES - 200 KVA - 90 mn + TRS intégré</t>
  </si>
  <si>
    <t>am</t>
  </si>
  <si>
    <t>Protection contre les effets directs de la foudre</t>
  </si>
  <si>
    <t>Pointes</t>
  </si>
  <si>
    <t>Descentes</t>
  </si>
  <si>
    <t>Pattes d'oies</t>
  </si>
  <si>
    <t>Câblette enterrée</t>
  </si>
  <si>
    <t>an</t>
  </si>
  <si>
    <t>Protection contre les effets indirects de la foudre</t>
  </si>
  <si>
    <t>Parafoudre type 2</t>
  </si>
  <si>
    <t>ao</t>
  </si>
  <si>
    <t>Tableau général basse Tension (TGBT)</t>
  </si>
  <si>
    <t>TGBT</t>
  </si>
  <si>
    <t>TGBT Gymnase</t>
  </si>
  <si>
    <t>TGBT (1250 KVA - 4 baies)</t>
  </si>
  <si>
    <t>TGBT (1250 KVA - 14 baies)</t>
  </si>
  <si>
    <t>TGBT 800KVA - (1250A)</t>
  </si>
  <si>
    <t>TGBT 630 KVA - (1000A)</t>
  </si>
  <si>
    <t>TGBT (400A)</t>
  </si>
  <si>
    <t>TGBT (200A)</t>
  </si>
  <si>
    <t>TGBT (125A)</t>
  </si>
  <si>
    <t>TGBT (63A)</t>
  </si>
  <si>
    <t>TGBT HQI (250 KVA) - Hospitaliser</t>
  </si>
  <si>
    <t>TGS</t>
  </si>
  <si>
    <t>Tableaux électriques TGS</t>
  </si>
  <si>
    <t>ap</t>
  </si>
  <si>
    <t>Batterie de condensateur</t>
  </si>
  <si>
    <t>Armoire de compensation automatique 100 KVAR</t>
  </si>
  <si>
    <t>Armoire de compensation automatique 150 KVAR</t>
  </si>
  <si>
    <t>Armoire de compensation automatique 225 KVAR</t>
  </si>
  <si>
    <t>Coffret batterie de condensateur</t>
  </si>
  <si>
    <t>aq</t>
  </si>
  <si>
    <t>Tableau divisionnaire de distribution (TD)</t>
  </si>
  <si>
    <t>Optimiseur</t>
  </si>
  <si>
    <t>Optimiseur de puissance</t>
  </si>
  <si>
    <t>Tableaux divisionnaires</t>
  </si>
  <si>
    <t xml:space="preserve">TD _ </t>
  </si>
  <si>
    <t>TD _ Salle de sport</t>
  </si>
  <si>
    <t>Au détail</t>
  </si>
  <si>
    <t>TD 400A</t>
  </si>
  <si>
    <t>TD 100A</t>
  </si>
  <si>
    <t>TD 50A</t>
  </si>
  <si>
    <t>TD (1 pour 700m² de bureaux)</t>
  </si>
  <si>
    <t>TD ITM</t>
  </si>
  <si>
    <t>Tableautin chambres</t>
  </si>
  <si>
    <t>Alimentation des TD</t>
  </si>
  <si>
    <t>Alimentation des armoires électriques</t>
  </si>
  <si>
    <t xml:space="preserve">TD </t>
  </si>
  <si>
    <t>ar</t>
  </si>
  <si>
    <t>Distribution - cheminements</t>
  </si>
  <si>
    <t>chemins de câbles + Fourreaux_ Hotel</t>
  </si>
  <si>
    <t>chemins de câbles + Fourreaux_ (Font Romeu 2021)</t>
  </si>
  <si>
    <t>chemins de câbles + Fourreaux_ Hopital</t>
  </si>
  <si>
    <t>chemins de câbles + Fourreaux_ Divers ERP</t>
  </si>
  <si>
    <t>chemins de câbles _ Salle de sport</t>
  </si>
  <si>
    <t>goulotte plastique 3 compartiments 160x50mm</t>
  </si>
  <si>
    <t>Chemin de câbles 500x50</t>
  </si>
  <si>
    <t>Chemin de câbles 400x50</t>
  </si>
  <si>
    <t>Chemin de câbles 300x50</t>
  </si>
  <si>
    <t>Chemin de câbles 200x50</t>
  </si>
  <si>
    <t>Chemin de câbles 100x50</t>
  </si>
  <si>
    <t>Fourreaux DN200, DN 90</t>
  </si>
  <si>
    <t>chambre de tirage K2C</t>
  </si>
  <si>
    <t>PVC 42/45</t>
  </si>
  <si>
    <t>gaine TPC diam 90 mm</t>
  </si>
  <si>
    <t>Divers cheminements</t>
  </si>
  <si>
    <t>as</t>
  </si>
  <si>
    <t>Appareillage</t>
  </si>
  <si>
    <t>Divers appareillage - Font Romeu (2021)</t>
  </si>
  <si>
    <t>Divers appareillage - Bureau</t>
  </si>
  <si>
    <t>Divers appareillage - Ecole</t>
  </si>
  <si>
    <t>Divers appareillage - Crèche</t>
  </si>
  <si>
    <t>Divers appareillage - Hopital-RPA</t>
  </si>
  <si>
    <t>Divers appareillage - Médiathèque</t>
  </si>
  <si>
    <t>Divers appareillage - Atelier</t>
  </si>
  <si>
    <t>Divers appareillage - Labo</t>
  </si>
  <si>
    <t>Divers appareillage - Hotel</t>
  </si>
  <si>
    <t>Divers appareillage - Salle de sport</t>
  </si>
  <si>
    <t>câblage appareillage (Inter+PC,…)</t>
  </si>
  <si>
    <t>Poste de Travail (3PC+2RJ)</t>
  </si>
  <si>
    <t>Interrupteur SA, Va et Vient</t>
  </si>
  <si>
    <t>Interrupteur SA, Va et Vient - à clef</t>
  </si>
  <si>
    <t>Interrupteur SA, Va et Vient - étanches</t>
  </si>
  <si>
    <t>bouton poussoir</t>
  </si>
  <si>
    <t xml:space="preserve">détecteur de présence </t>
  </si>
  <si>
    <t>détecteur de présence étanche</t>
  </si>
  <si>
    <t>détecteur de présence + luminosité</t>
  </si>
  <si>
    <t xml:space="preserve">Prise de courant 2 x 10/16 A+T  encastrée </t>
  </si>
  <si>
    <t>Prise de courant 2 x 10/16 A+T encastré - étanche</t>
  </si>
  <si>
    <t>Prise de courant 3P+N+T 32A</t>
  </si>
  <si>
    <t>Coup de poing de coupure d'urgence (rouge)</t>
  </si>
  <si>
    <t>poste de travail (2 pc normal + 1 pc RJ45)</t>
  </si>
  <si>
    <t>Câblage de l'appareillage</t>
  </si>
  <si>
    <t>at</t>
  </si>
  <si>
    <t>Eclairage</t>
  </si>
  <si>
    <t>Luminaires intérieurs</t>
  </si>
  <si>
    <t>Luminaires intérieurs avec 50% de gradation</t>
  </si>
  <si>
    <t>Luminaires intérieurs (Font romeu 2021)</t>
  </si>
  <si>
    <t xml:space="preserve">Luminaires _ Salle de sport - </t>
  </si>
  <si>
    <t>Luminaires extérieurs</t>
  </si>
  <si>
    <t>câblage des luminaires intérieures</t>
  </si>
  <si>
    <t>câblage des luminaires intérieures _ Salle de sport</t>
  </si>
  <si>
    <t>GTL (Gaine Tête de lit)</t>
  </si>
  <si>
    <t>lit</t>
  </si>
  <si>
    <t>luminaires type A</t>
  </si>
  <si>
    <t>luminaires type B</t>
  </si>
  <si>
    <t>luminaires type C</t>
  </si>
  <si>
    <t>luminaires type D</t>
  </si>
  <si>
    <t>luminaires type E</t>
  </si>
  <si>
    <t>luminaires type F</t>
  </si>
  <si>
    <t>luminaires type G</t>
  </si>
  <si>
    <t>luminaires type H</t>
  </si>
  <si>
    <t>luminaires type I</t>
  </si>
  <si>
    <t>luminaires type J</t>
  </si>
  <si>
    <t>luminaires type K</t>
  </si>
  <si>
    <t>luminaires type L</t>
  </si>
  <si>
    <t>luminaires type M</t>
  </si>
  <si>
    <t>luminaires type N</t>
  </si>
  <si>
    <t>luminaires type P</t>
  </si>
  <si>
    <t>luminaires type Q</t>
  </si>
  <si>
    <t>câblage des luminaires intérieur</t>
  </si>
  <si>
    <t>au</t>
  </si>
  <si>
    <t>Eclairage de sécurité</t>
  </si>
  <si>
    <t>Bureaux</t>
  </si>
  <si>
    <t>Ecoles</t>
  </si>
  <si>
    <t>Creche</t>
  </si>
  <si>
    <t xml:space="preserve">EHPAD </t>
  </si>
  <si>
    <t>Hopitaux</t>
  </si>
  <si>
    <t>Médiathèque</t>
  </si>
  <si>
    <t>Atelier</t>
  </si>
  <si>
    <t>Laboratoire</t>
  </si>
  <si>
    <t>Hotel</t>
  </si>
  <si>
    <t>Salle de sport</t>
  </si>
  <si>
    <t>Câblage des BAES</t>
  </si>
  <si>
    <t>blocs de secours de balisage (éclairage par la tranche)</t>
  </si>
  <si>
    <t>blocs de secours de balisage standard étanche</t>
  </si>
  <si>
    <t>blocs de secours d'ambiance</t>
  </si>
  <si>
    <t>blocs de secours portatif type BAPI</t>
  </si>
  <si>
    <t>câblage des blocs secours</t>
  </si>
  <si>
    <t>av</t>
  </si>
  <si>
    <t>Alimentations spécifiques</t>
  </si>
  <si>
    <t>Alimentations spécifiques - Salle de sport</t>
  </si>
  <si>
    <t>Alimentation spécifiques_ Hopital</t>
  </si>
  <si>
    <t>Alimentation spécifiques_ Divers ERP</t>
  </si>
  <si>
    <t>Alimentation spécifiques courants faible (à l'unité)</t>
  </si>
  <si>
    <t>Alimentation spécifiques petites puissances  (à l'unité) (volets roulants,…)</t>
  </si>
  <si>
    <t>Alimentation spécifiques courants forts de forte puissance</t>
  </si>
  <si>
    <t>Alimentation moteurs de désenfumage</t>
  </si>
  <si>
    <t>Alimentation cuisine (ensemble des alims spécifiques)</t>
  </si>
  <si>
    <t>Fourniture, pose et raccordements câbles U 1000 RO2V :</t>
  </si>
  <si>
    <t>Les ventilo-convecteurs,</t>
  </si>
  <si>
    <t>Les locaux de brassage, le local autocom et le local serveur,</t>
  </si>
  <si>
    <t>Les équipements courants faibles (tableaux d’alarmes, etc…),</t>
  </si>
  <si>
    <t>Les ballons d’eau chaude ECS,</t>
  </si>
  <si>
    <t>Les appareils de cuisson et les différents appareils équipant la cuisine,</t>
  </si>
  <si>
    <t>Les appareils de production de froid,</t>
  </si>
  <si>
    <t>Les appareils de chauffage et de froid indépendants (convecteurs, climatiseurs, DRV, etc.),</t>
  </si>
  <si>
    <t>Les chaudières,</t>
  </si>
  <si>
    <t>Les VMC,</t>
  </si>
  <si>
    <t>Les portillons de contrôle d’accès, les portes et les barrières commandées,</t>
  </si>
  <si>
    <t>Les portails motorisés extérieurs,</t>
  </si>
  <si>
    <t>Les pompes de relevage,</t>
  </si>
  <si>
    <t>Les appareils élévateurs,</t>
  </si>
  <si>
    <t>Les volets roulants,</t>
  </si>
  <si>
    <t>L’arrosage,</t>
  </si>
  <si>
    <t>Fourniture, pose et raccordements câbles CR1:</t>
  </si>
  <si>
    <t>Les extracteurs,</t>
  </si>
  <si>
    <t>Autres prestations à détailler</t>
  </si>
  <si>
    <t>Prix unitaires des câbles</t>
  </si>
  <si>
    <t>Equipements CVC - AEN 1 :  Câble U1000 R2V 5G6 mm²</t>
  </si>
  <si>
    <t>Equipements CVC - AEN 4 :  Câble U1000 R2V 5G4 mm²</t>
  </si>
  <si>
    <t>Equipements CVC - AEN 5 :  Câble U1000 R2V 5G2,5 mm²</t>
  </si>
  <si>
    <t>Equipements CVC - AED 4 :  Câble CR1 C1 SNA SH 5G4 mm²</t>
  </si>
  <si>
    <t>Ventilateur de désenfumage : Câble CR1 C1 SNA SH 3G6 mm²</t>
  </si>
  <si>
    <t>Réarmement clapet coupe feu : Câble U1000 R2V 3G2,5 mm²</t>
  </si>
  <si>
    <t>Equipement déportés SSI MD20 : Câble CR1 C1 SNA SH 3G2,5 mm²</t>
  </si>
  <si>
    <t>Baie SSI : Câble CR1 C1 SNA SH 3G4 mm²</t>
  </si>
  <si>
    <t>aw</t>
  </si>
  <si>
    <t>Bornes de charges des véhicules électriques</t>
  </si>
  <si>
    <t>Borne de charges + Câblage</t>
  </si>
  <si>
    <t>Borne de charges + câblage (Schneider 2PC - 22 kW - EVLINK Parking</t>
  </si>
  <si>
    <t>Borne Schneider EVW2S22P44 - 22KW</t>
  </si>
  <si>
    <t>ax</t>
  </si>
  <si>
    <t>Paillasses</t>
  </si>
  <si>
    <t>Paillsasses électotech équipées (Langlois)</t>
  </si>
  <si>
    <t>Paillsasses labo équipées</t>
  </si>
  <si>
    <t>Paillases non équipées</t>
  </si>
  <si>
    <t>ay</t>
  </si>
  <si>
    <t>SYSTÈME GTC</t>
  </si>
  <si>
    <t>Au m² (Qté de point / m² = 0,15 point/m²)</t>
  </si>
  <si>
    <t>points</t>
  </si>
  <si>
    <t>Au détail sans automate ni programmation</t>
  </si>
  <si>
    <t>Récupération des points (compris automate) (au nombre de points)</t>
  </si>
  <si>
    <t>programmation supervision (au nombre de points)</t>
  </si>
  <si>
    <t>Supervision (poste info +imprimante +onduleur+serveur )</t>
  </si>
  <si>
    <t>Supervision (logiciel) (au nombre de point)</t>
  </si>
  <si>
    <t>Au détail avec automates et programmation</t>
  </si>
  <si>
    <t>Automates + Prog Automates</t>
  </si>
  <si>
    <t>Supervision</t>
  </si>
  <si>
    <t>Programmation</t>
  </si>
  <si>
    <t>Unités de traitement local (UTL)</t>
  </si>
  <si>
    <t>Réseau Ethernet de la GTB</t>
  </si>
  <si>
    <t>Matériel actif du réseau Ethernet</t>
  </si>
  <si>
    <t>Programmation du système GTB</t>
  </si>
  <si>
    <t>Le câblage du système GTB</t>
  </si>
  <si>
    <t>Les essais plateforme du système GTB</t>
  </si>
  <si>
    <t xml:space="preserve">Les essais sur site </t>
  </si>
  <si>
    <t>az</t>
  </si>
  <si>
    <t>az-Total CFO</t>
  </si>
  <si>
    <t>Sous total Courants Forts</t>
  </si>
  <si>
    <t>Installation photovoltaïque</t>
  </si>
  <si>
    <t>Système photovoltïque</t>
  </si>
  <si>
    <t>Panneaux posés sur toiture terrasse (puissance installée)</t>
  </si>
  <si>
    <t>P (KWc)</t>
  </si>
  <si>
    <t>Modification et raccordement au TGBT</t>
  </si>
  <si>
    <t>Tableaux TD SG (sous-générateurs)</t>
  </si>
  <si>
    <t>Cheminements</t>
  </si>
  <si>
    <t>Câbles courants continu modules- onduleurs</t>
  </si>
  <si>
    <t>Câbles U1000 RO2V onduleurs - TD SG - TG6</t>
  </si>
  <si>
    <t>Supports de modules</t>
  </si>
  <si>
    <t xml:space="preserve">Modules photovoltaïques </t>
  </si>
  <si>
    <t>onduleurs</t>
  </si>
  <si>
    <t>Système de supervision</t>
  </si>
  <si>
    <t>ba</t>
  </si>
  <si>
    <t>ba-Total PV</t>
  </si>
  <si>
    <t>Sous total Installation Photovoltaïque</t>
  </si>
  <si>
    <t>Courants Faibles - SSI</t>
  </si>
  <si>
    <t>Précâblage VDI</t>
  </si>
  <si>
    <t>Crèche</t>
  </si>
  <si>
    <t>Hôpitaux</t>
  </si>
  <si>
    <t>Hôtel</t>
  </si>
  <si>
    <t>Gymnase</t>
  </si>
  <si>
    <t>Réseau VDI catégorie 6 - prise avec câblage et répartiteur</t>
  </si>
  <si>
    <t>Fibre optique</t>
  </si>
  <si>
    <t>Tête fibre optique</t>
  </si>
  <si>
    <t>tiroirs optiques</t>
  </si>
  <si>
    <t>convertisseurs optique/cuivre</t>
  </si>
  <si>
    <t>réflectométrie</t>
  </si>
  <si>
    <t>jarretières optiques</t>
  </si>
  <si>
    <t>baie de brassage</t>
  </si>
  <si>
    <t>répartiteurs de brassage 24 ports VDI</t>
  </si>
  <si>
    <t>jarretières de brassage cuivre</t>
  </si>
  <si>
    <t>prises RJ 45 murales</t>
  </si>
  <si>
    <t>câblage cuivre 4paires</t>
  </si>
  <si>
    <t>essais du précâblage VDI</t>
  </si>
  <si>
    <t>Fibre Optique :</t>
  </si>
  <si>
    <t>Rocade optique</t>
  </si>
  <si>
    <t>Jarretière optiques</t>
  </si>
  <si>
    <t>Convertisseur Optique / cuivre</t>
  </si>
  <si>
    <t>ca</t>
  </si>
  <si>
    <t>Système wifi</t>
  </si>
  <si>
    <t>Système Wi-Fi (bornes + Câblage)</t>
  </si>
  <si>
    <t>Système Wi-Fi (bornes + Câblage) - Hôtel</t>
  </si>
  <si>
    <t>Système Wi-Fi (Câblage sans bornes)</t>
  </si>
  <si>
    <t>Système Wi-Fi (bornes + Câblage) - très bon débit</t>
  </si>
  <si>
    <t>Antennes wifi</t>
  </si>
  <si>
    <t>Switch POE</t>
  </si>
  <si>
    <t>Contrôleur superviseur réseau Wifi</t>
  </si>
  <si>
    <t>programmation, essais et mise en service</t>
  </si>
  <si>
    <t>cb</t>
  </si>
  <si>
    <t>Téléphonie</t>
  </si>
  <si>
    <t>Téléphonie IP + DECT (au m²)</t>
  </si>
  <si>
    <t>Répartiteur général téléphonique</t>
  </si>
  <si>
    <t>Autocom PABX</t>
  </si>
  <si>
    <t>Autocom IPBX</t>
  </si>
  <si>
    <t>poste opérateur standard</t>
  </si>
  <si>
    <t>Poste bureau responsable</t>
  </si>
  <si>
    <t>Poste bureau classique</t>
  </si>
  <si>
    <t>Poste Téléphonique IP</t>
  </si>
  <si>
    <t xml:space="preserve">poste analogique chambre d'hôtel </t>
  </si>
  <si>
    <t>Rocade téléphonique</t>
  </si>
  <si>
    <t>Lignes spécifiques</t>
  </si>
  <si>
    <t>DECT</t>
  </si>
  <si>
    <t>Antennes DECT</t>
  </si>
  <si>
    <t>Poste DECT</t>
  </si>
  <si>
    <t>accessoires</t>
  </si>
  <si>
    <t>Système DECT (Câblage sans bornes)</t>
  </si>
  <si>
    <t>cc</t>
  </si>
  <si>
    <t>Système de sécurité incendie</t>
  </si>
  <si>
    <t>Catégorie A</t>
  </si>
  <si>
    <t>SSI Catégorie A SDI de type 1 + CMSI</t>
  </si>
  <si>
    <t>SSI Catégorie A SDA de type 1 pour ERP avec peu d'asservissement</t>
  </si>
  <si>
    <t>SSI catégorie A - Désenfumage - Lycée</t>
  </si>
  <si>
    <t>SSI catégorie A - Désenfumage - Hôtel</t>
  </si>
  <si>
    <t>SSI salle de sport</t>
  </si>
  <si>
    <t>Catégorie C, D, E</t>
  </si>
  <si>
    <t>SSI Catégorie C,Dou E SDA de type 2b</t>
  </si>
  <si>
    <t>SSI Catégorie Dou E SDA de type 4</t>
  </si>
  <si>
    <t>Détail</t>
  </si>
  <si>
    <t>Tableau SDI</t>
  </si>
  <si>
    <t>Tableau CMSI</t>
  </si>
  <si>
    <t>TRE</t>
  </si>
  <si>
    <t>DM</t>
  </si>
  <si>
    <t>DM ATEX</t>
  </si>
  <si>
    <t>AES</t>
  </si>
  <si>
    <t>DAI optique</t>
  </si>
  <si>
    <t>DAI ATEX</t>
  </si>
  <si>
    <t>IA</t>
  </si>
  <si>
    <t>Flash lumineux</t>
  </si>
  <si>
    <t>Dépose et destruction des anciens détecteurs</t>
  </si>
  <si>
    <t>centrale incendie</t>
  </si>
  <si>
    <t>tableau de report</t>
  </si>
  <si>
    <t>alimentation secourue</t>
  </si>
  <si>
    <t>déclencheurs manuels</t>
  </si>
  <si>
    <t>diffuseurs sonores</t>
  </si>
  <si>
    <t>diffuseurs lumineux</t>
  </si>
  <si>
    <t>asservissements et câblage des DAS</t>
  </si>
  <si>
    <t>câblage SSI</t>
  </si>
  <si>
    <t>Essais et Cahier de recette</t>
  </si>
  <si>
    <t>Formation de l'exploitant</t>
  </si>
  <si>
    <t>cd</t>
  </si>
  <si>
    <t>Files d'attente</t>
  </si>
  <si>
    <t>ce</t>
  </si>
  <si>
    <t>Système d'appel malade</t>
  </si>
  <si>
    <t>Appel malade avec phonie (par lit)</t>
  </si>
  <si>
    <t>Appel malade sur IP par chambre</t>
  </si>
  <si>
    <t>Bloc porte simple (1BP + 1 voyant)</t>
  </si>
  <si>
    <t>Bloc porte + Afficheur</t>
  </si>
  <si>
    <t>Bloc porte phonie</t>
  </si>
  <si>
    <t>Bloc porte + Afficheur + Phonie</t>
  </si>
  <si>
    <t>Pupitre d'appel malade</t>
  </si>
  <si>
    <t>Tirette d'appel infirmière tête de lit</t>
  </si>
  <si>
    <t>Tirette d'appel infirmière sanitaire</t>
  </si>
  <si>
    <t xml:space="preserve">Hublot </t>
  </si>
  <si>
    <t>Bloc porte</t>
  </si>
  <si>
    <t>Appel infirmière d'urgence</t>
  </si>
  <si>
    <t>câblage</t>
  </si>
  <si>
    <t>Mise en service</t>
  </si>
  <si>
    <t>cf</t>
  </si>
  <si>
    <t>Distribution de l'heure et sonnerie interclasse</t>
  </si>
  <si>
    <t>Heure _ Salle de sport</t>
  </si>
  <si>
    <t>Horloge mère</t>
  </si>
  <si>
    <t>Horloge réceptrice</t>
  </si>
  <si>
    <t>Câblage</t>
  </si>
  <si>
    <t>Sonnerie interclasse</t>
  </si>
  <si>
    <t>Amplificateur + Lecteur + Tuner + Micro</t>
  </si>
  <si>
    <t>antenne GPS</t>
  </si>
  <si>
    <t>horloge réceptrices</t>
  </si>
  <si>
    <t>cg</t>
  </si>
  <si>
    <t>Contrôle d'accès</t>
  </si>
  <si>
    <t>CA Complet au m²</t>
  </si>
  <si>
    <t>Contrôle d'accès (compris câblage et badge) - Font romeu 2021</t>
  </si>
  <si>
    <t>CA Complet par porte</t>
  </si>
  <si>
    <t>Contrôle d'accès (UTL + lecteur + BBG+BP) (par porte)</t>
  </si>
  <si>
    <t>Contrôle d'accès (UTL + lecteur + BBG+BP) (par porte Hôtel)</t>
  </si>
  <si>
    <t>CA détaillé</t>
  </si>
  <si>
    <t>Badge</t>
  </si>
  <si>
    <t>câblage (par porte)</t>
  </si>
  <si>
    <t>Economiseur pour chambre d'hôtel</t>
  </si>
  <si>
    <t>Raccordement au système existant</t>
  </si>
  <si>
    <t>Asservissement détection incendie (par porte)</t>
  </si>
  <si>
    <t>MES, essais, formation (par porte)</t>
  </si>
  <si>
    <t>Lecteurs de badges</t>
  </si>
  <si>
    <t>Modules de gestion des portes (UTL)</t>
  </si>
  <si>
    <t>Badges</t>
  </si>
  <si>
    <t>câblage des portes (Bris de glace vert, contacts de position, gâche électrique, BP de sortie)</t>
  </si>
  <si>
    <t>câblage du système de contrôle d'accès</t>
  </si>
  <si>
    <t>ch</t>
  </si>
  <si>
    <t>Système de péage pour parking</t>
  </si>
  <si>
    <t>Barrière rapide (Type MIB 30 bras droit) et panneau complet - CHENAL D'ENTREE</t>
  </si>
  <si>
    <t>Barrière rapide (Type MIB 30 bras droit) et horodateur (paiement de type forfait) - CHENAL DE SORTIE</t>
  </si>
  <si>
    <t>Gestion du comptage et gestion de gratuité et module de sortie avec clavier à code</t>
  </si>
  <si>
    <t>Barrière automatique avec borne support lecteur de badge et interphonie et boucle de sol (Entrée principale)</t>
  </si>
  <si>
    <t>Badge de proximité</t>
  </si>
  <si>
    <t>Barrière automatique avec borne support lecteur de badge et boucle de sol (Entrée du personnel)</t>
  </si>
  <si>
    <t>Barrière automatique avec boucle de sol (Sortie)</t>
  </si>
  <si>
    <t>Poste "chef" interphonie</t>
  </si>
  <si>
    <t>Pose, câblage, programmation, mise en service et formation</t>
  </si>
  <si>
    <t>Système complet (2 barrières entrée, 2 barrières sorties, 2 caisses barrières, 1 caisse piéton, 1 comptage véhicule)</t>
  </si>
  <si>
    <t>ci</t>
  </si>
  <si>
    <t>Gestion du temps de travail</t>
  </si>
  <si>
    <t>cj</t>
  </si>
  <si>
    <t>Interphonie / Visiophonie</t>
  </si>
  <si>
    <t>Interphonie au m²</t>
  </si>
  <si>
    <t>Platine interphone bouton avec centrale et câblage de la gâche</t>
  </si>
  <si>
    <t>Combiné intérieur avec câblage</t>
  </si>
  <si>
    <t>Platine de rue</t>
  </si>
  <si>
    <t>Postes intérieures</t>
  </si>
  <si>
    <t xml:space="preserve">Câblages </t>
  </si>
  <si>
    <t>Mise en service, essais</t>
  </si>
  <si>
    <t>ck</t>
  </si>
  <si>
    <t>Interphonie de sécurité</t>
  </si>
  <si>
    <t>Poste Principal</t>
  </si>
  <si>
    <t>Poste secondaire</t>
  </si>
  <si>
    <t>cl</t>
  </si>
  <si>
    <t>Interphonie de service</t>
  </si>
  <si>
    <t>cm</t>
  </si>
  <si>
    <t>Télévision</t>
  </si>
  <si>
    <t>Station de réception TV - Hôtel</t>
  </si>
  <si>
    <t>Equipement de réception et amplificateurs</t>
  </si>
  <si>
    <t>Prises TV/FM/Sat avec câblage</t>
  </si>
  <si>
    <t>Antennes Hertziennes, y compris mât , supportage, haubans,…conformément au CCTP</t>
  </si>
  <si>
    <t>Amplis</t>
  </si>
  <si>
    <t>Adaptateur TNT</t>
  </si>
  <si>
    <t>Fourniture de prises TV 2 sorties,</t>
  </si>
  <si>
    <t>Mise en service, essais, cosael</t>
  </si>
  <si>
    <t>cn</t>
  </si>
  <si>
    <t>Alarme technique</t>
  </si>
  <si>
    <t>Tableau d'alarme 12 directions</t>
  </si>
  <si>
    <t>Tableau d'alarme 24 directions</t>
  </si>
  <si>
    <t>Tableau d'alarme</t>
  </si>
  <si>
    <t>Câblage des alarmes</t>
  </si>
  <si>
    <t>co</t>
  </si>
  <si>
    <t>Système anti intrusion</t>
  </si>
  <si>
    <t>Alarme intrusion - EHPAD</t>
  </si>
  <si>
    <t>Alarme intrusion - Gymnase</t>
  </si>
  <si>
    <t>Alarme intrusion - Hôtel</t>
  </si>
  <si>
    <t>Centrale anti intrusion</t>
  </si>
  <si>
    <t>Alimentation stabilisée de l'alarme</t>
  </si>
  <si>
    <t>Détecteur double technologie</t>
  </si>
  <si>
    <t>Détecteurs magnétiques</t>
  </si>
  <si>
    <t>Clavier déportés</t>
  </si>
  <si>
    <t>Sirène intérieure auto alimentée</t>
  </si>
  <si>
    <t xml:space="preserve">Câblage </t>
  </si>
  <si>
    <t>mise en service</t>
  </si>
  <si>
    <t>Portique anti vol d'entrée</t>
  </si>
  <si>
    <t>Détection intrusion périmétrique</t>
  </si>
  <si>
    <t>centrale anti intrusion</t>
  </si>
  <si>
    <t>détecteurs double technologie</t>
  </si>
  <si>
    <t>détecteurs magnétiques</t>
  </si>
  <si>
    <t>clavier déporté</t>
  </si>
  <si>
    <t>sirène intérieure auto alimentée</t>
  </si>
  <si>
    <t>câblage du système anti intrusion</t>
  </si>
  <si>
    <t>cp</t>
  </si>
  <si>
    <t>Vidéo surveillance</t>
  </si>
  <si>
    <t>vidéo surveillance - Hôtel</t>
  </si>
  <si>
    <t>Caméra intérieure fixe avec alim et câblage</t>
  </si>
  <si>
    <t>Caméra intérieure dôme avec alim et câblage</t>
  </si>
  <si>
    <t>Caméra extérieure fixe avec alim et câblage</t>
  </si>
  <si>
    <t>Caméra extérieure fixe infrarouge avec alim et câblage</t>
  </si>
  <si>
    <t>Moniteur et enregistreur numérique</t>
  </si>
  <si>
    <t>Régie Vidéo</t>
  </si>
  <si>
    <t>Serveur Vidéo IP + Enregistreur+Commutateur+platine de commande</t>
  </si>
  <si>
    <t>Moniteur seul</t>
  </si>
  <si>
    <t>Câblage et mise en service</t>
  </si>
  <si>
    <t>Caméra intérieure</t>
  </si>
  <si>
    <t>caméra extérieure</t>
  </si>
  <si>
    <t>enregistreur numérique</t>
  </si>
  <si>
    <t>Ecran + support</t>
  </si>
  <si>
    <t>câblage vidéo coaxial</t>
  </si>
  <si>
    <t>Accessoires de pose et raccordement</t>
  </si>
  <si>
    <t>cq</t>
  </si>
  <si>
    <t>Comptage véhicules</t>
  </si>
  <si>
    <t>cr</t>
  </si>
  <si>
    <t>Détection CO-NO2</t>
  </si>
  <si>
    <t>Centrale de détection CO-NO2</t>
  </si>
  <si>
    <t>Détecteurs CO-NO2</t>
  </si>
  <si>
    <t>Tableau de bord</t>
  </si>
  <si>
    <t>Module de synthèse gaz et modules passerelle Modbus</t>
  </si>
  <si>
    <t>Câblage, MES, essais</t>
  </si>
  <si>
    <t>Coffret de gestion puissance moteur d'extraction/désenfumage</t>
  </si>
  <si>
    <t>Coffret pompier</t>
  </si>
  <si>
    <t>cs</t>
  </si>
  <si>
    <t>Sonorisation</t>
  </si>
  <si>
    <t>Sonorisation d'appel général au m² - complet (médiathèque, lycée, bureaux)</t>
  </si>
  <si>
    <t>HP 100V en plafond + Câblage (surface sonorisée)</t>
  </si>
  <si>
    <t xml:space="preserve">Haut parleur de Sonorisation médiathèque 1/12m², </t>
  </si>
  <si>
    <t xml:space="preserve">Haut parleur de Sonorisation Centre socio culturel (160m²), </t>
  </si>
  <si>
    <t xml:space="preserve">Enceintes de Sonorisation gymnase, </t>
  </si>
  <si>
    <t>Amplificateur 120w - 100v (1entrée)</t>
  </si>
  <si>
    <t>Amplificateur boucle magnétique</t>
  </si>
  <si>
    <t>boucle magnétique</t>
  </si>
  <si>
    <t>Microphone</t>
  </si>
  <si>
    <t>Lecteur CD</t>
  </si>
  <si>
    <t>Centrale de sonorisation</t>
  </si>
  <si>
    <t>pupitre microphone</t>
  </si>
  <si>
    <t>Mise en service et essais</t>
  </si>
  <si>
    <t>ct</t>
  </si>
  <si>
    <t>Vidéo Projecteur Courte focale</t>
  </si>
  <si>
    <t>VPI (Y compris câblage)</t>
  </si>
  <si>
    <t>cu</t>
  </si>
  <si>
    <t>Tableau Banc Interactif</t>
  </si>
  <si>
    <t>Tableau Blanc Interactif (Y compris câblage)</t>
  </si>
  <si>
    <t>cv</t>
  </si>
  <si>
    <t>Panneau d'affichage sportif</t>
  </si>
  <si>
    <t>Panneau d'affichage électronique</t>
  </si>
  <si>
    <t>Panneau d'affichage de Basket</t>
  </si>
  <si>
    <t>cw</t>
  </si>
  <si>
    <t>cw-Total CFA</t>
  </si>
  <si>
    <t>Sous total Courants Faibles</t>
  </si>
  <si>
    <t>Estimation de prix</t>
  </si>
  <si>
    <t>vérification du Total</t>
  </si>
  <si>
    <t>Affaire : Château La Rose Trintaudon</t>
  </si>
  <si>
    <t xml:space="preserve">Montant de l'estimation avant ajustement
</t>
  </si>
  <si>
    <t>DA Argonay</t>
  </si>
  <si>
    <t>DA Martignas</t>
  </si>
  <si>
    <t>Bâtiment Vinicole</t>
  </si>
  <si>
    <t>Phase : APD</t>
  </si>
  <si>
    <t>Coefficient d'incertitude (lié à la phase).</t>
  </si>
  <si>
    <t>Date : 26/05/2020</t>
  </si>
  <si>
    <t>Coefficient mesures sanitaires liées au COVID 19</t>
  </si>
  <si>
    <t>Affaire de référence pour la base de prix</t>
  </si>
  <si>
    <t>total général</t>
  </si>
  <si>
    <t>Année de la base de prix de référence : 2019</t>
  </si>
  <si>
    <t xml:space="preserve">Prix au m² : </t>
  </si>
  <si>
    <t>Surface du bâtiment :</t>
  </si>
  <si>
    <t xml:space="preserve">Surface de la référence (m²) </t>
  </si>
  <si>
    <t>SousLot</t>
  </si>
  <si>
    <t>Désignation des ouvrages</t>
  </si>
  <si>
    <t>Qté</t>
  </si>
  <si>
    <t>Prix unitaire</t>
  </si>
  <si>
    <t>Prix Total HT</t>
  </si>
  <si>
    <t>Prix total</t>
  </si>
  <si>
    <t>Ratio /m²</t>
  </si>
  <si>
    <t>Courants forts</t>
  </si>
  <si>
    <t>Sous total</t>
  </si>
  <si>
    <t>bureau de contrôle pour consuel</t>
  </si>
  <si>
    <t>Cosael (TV)</t>
  </si>
  <si>
    <t>création d'un départ dans le TGBT</t>
  </si>
  <si>
    <t>fourniture et installation d'une câblette de terre 50mm² en fond de fouille du CHAI</t>
  </si>
  <si>
    <t>fourniture et installation de barrette de coupure</t>
  </si>
  <si>
    <t>mise à la terre des masses métalliques</t>
  </si>
  <si>
    <t>liaisons équipotentielles</t>
  </si>
  <si>
    <t>2x1000 KVA : 2IM+1QM 43A + 2TRS sec</t>
  </si>
  <si>
    <t>Poste béton bocage : 7m (gruté avec équipement pour création de boucle)</t>
  </si>
  <si>
    <t>Alimentation BT vers TGBT - 800 KVA</t>
  </si>
  <si>
    <t>Alimentation BT vers TGBT - 1600 KVA</t>
  </si>
  <si>
    <t>Création d'une boucle HTA</t>
  </si>
  <si>
    <t>Liaisons par câbles HTA</t>
  </si>
  <si>
    <t>1300ml</t>
  </si>
  <si>
    <t>3 Postes HT</t>
  </si>
  <si>
    <t>Comptages</t>
  </si>
  <si>
    <t>1 GE 1500 KVA HTA non capoté - dans un local - Prix Complet avec Acoustique, échappement, fioul,…</t>
  </si>
  <si>
    <t>Equipements : Démarrage, lubrification, refroidissement, échappement</t>
  </si>
  <si>
    <t>Armoires de commande et puissance</t>
  </si>
  <si>
    <t>Accessoires de sécurité</t>
  </si>
  <si>
    <t>Isolation phonique</t>
  </si>
  <si>
    <t>Grilles E/S air</t>
  </si>
  <si>
    <t>Citerne de stockage 30 000litres, poste de dépotage, fioul</t>
  </si>
  <si>
    <t>Installation</t>
  </si>
  <si>
    <t>Offre SDMO</t>
  </si>
  <si>
    <t>Protectin contre les effets directs de la foudre</t>
  </si>
  <si>
    <t>PDA + descentes et Pattes d'oies</t>
  </si>
  <si>
    <t>Pointe + 2 descentes</t>
  </si>
  <si>
    <t>Câblette 50mm² (pourtour du bâtiment)</t>
  </si>
  <si>
    <t>Parafoudres (1 par TD éloigné de + de 30m)</t>
  </si>
  <si>
    <t>Batterie de Condensateurs</t>
  </si>
  <si>
    <t>Onduleurs</t>
  </si>
  <si>
    <t>Onduleur 50 KVA + Distribution</t>
  </si>
  <si>
    <t>Tableaux électriques</t>
  </si>
  <si>
    <t>TGBT - IS 211</t>
  </si>
  <si>
    <t>TGBT (1600 KVA - 2 baies - 110 KA)</t>
  </si>
  <si>
    <t>TGBT (3x1600 KVA - 8 baies - 110 KA)</t>
  </si>
  <si>
    <t>TGBT 800KVA - (1250A) - 20 KA</t>
  </si>
  <si>
    <t>TGBT - IS 233</t>
  </si>
  <si>
    <t>TGBT -233 - 1250KVA - 4 baies - Racc. AR - Hazemeyer</t>
  </si>
  <si>
    <t>TGBT - 233 - 1000KVA, inverseur de source en tête, OKKEN - 6 cellules</t>
  </si>
  <si>
    <t>Px /cellule</t>
  </si>
  <si>
    <t>TGBT - 233 - 1000KVA, inverseur de source en tête, OKKEN - 4 cellules</t>
  </si>
  <si>
    <t>Système DCU</t>
  </si>
  <si>
    <t>SCU complet - 1 DCU / Local Procédé</t>
  </si>
  <si>
    <t>m</t>
  </si>
  <si>
    <t>chemins de câbles + Fourreaux</t>
  </si>
  <si>
    <t>px/m²</t>
  </si>
  <si>
    <t>Alimentations</t>
  </si>
  <si>
    <t>Distribution puissances BT - Machines Procédés</t>
  </si>
  <si>
    <t>Distribution puissances BT - Alim. Bâtiment</t>
  </si>
  <si>
    <t>Alimentation des fortes puissances</t>
  </si>
  <si>
    <t>Divers alim force</t>
  </si>
  <si>
    <t>Alim HTA du poste</t>
  </si>
  <si>
    <t>Liaison HTA de la boucle</t>
  </si>
  <si>
    <t>Alim TGBT</t>
  </si>
  <si>
    <t>&gt;95²</t>
  </si>
  <si>
    <t>TGBT Vers TD</t>
  </si>
  <si>
    <t>Alim entre TGBT et armoires 400A (&gt;95²)</t>
  </si>
  <si>
    <t>Alim entre TGBT et armoires 400A (&lt;95²)</t>
  </si>
  <si>
    <t>Alim entre TGBT et armoires 200A (&lt;50²)</t>
  </si>
  <si>
    <t>Alim entre TGBT et armoires 100A (&lt;25²) - (50*15€)</t>
  </si>
  <si>
    <t>TGBT Vers Equipements forte puissance</t>
  </si>
  <si>
    <t>400A (95²)</t>
  </si>
  <si>
    <t>200A (50²)</t>
  </si>
  <si>
    <t>100A (25²)</t>
  </si>
  <si>
    <t>TD vers Terminaux</t>
  </si>
  <si>
    <t>Câblage petites alimentations &lt;10² (moyenne 70ml * 7€)</t>
  </si>
  <si>
    <t>Divers appareillage - Indulstriel</t>
  </si>
  <si>
    <t>Détecteur de présence Luxomat</t>
  </si>
  <si>
    <t>Interrupteur / Bouton poussoirs - Mosaic 45</t>
  </si>
  <si>
    <t>Prises de courant 2x16A + T - Mosaic 45</t>
  </si>
  <si>
    <t>Prises de courant 2x16A + T - Mosaic 45 + détrompeur pour réseau ondulé</t>
  </si>
  <si>
    <t>Poste de travail (4 PC 16A + 2 RJ45 )</t>
  </si>
  <si>
    <t>Interrupteur / Bouton poussoirs - Plexo</t>
  </si>
  <si>
    <t>Prises de courant 2x16A + T - Plexo</t>
  </si>
  <si>
    <t>Prises de courant 2x32A + T</t>
  </si>
  <si>
    <t>Prises de courant 4x32A + T - Hypra / IEC + Fiche</t>
  </si>
  <si>
    <t>Coffret 8PC</t>
  </si>
  <si>
    <t>Coffret de PC</t>
  </si>
  <si>
    <t>Boîtier Poly énergie</t>
  </si>
  <si>
    <t>Bâtiment Industriel</t>
  </si>
  <si>
    <t>Système GTC</t>
  </si>
  <si>
    <t>Au détail (Nb de points = 15% de la surface)</t>
  </si>
  <si>
    <t>au point</t>
  </si>
  <si>
    <t>GTC Complete (automate + prog automate + prog supervision) au point</t>
  </si>
  <si>
    <t>Courants faibles</t>
  </si>
  <si>
    <t>précâblage VDI</t>
  </si>
  <si>
    <t>Tete fibre optique</t>
  </si>
  <si>
    <t>système wifi</t>
  </si>
  <si>
    <t>Système Wi-fi (bornes + Câblage)</t>
  </si>
  <si>
    <t>Système Wi-fi (Câblage sans bornes)</t>
  </si>
  <si>
    <t>Système Wi-fi (bornes + Câblage) - tres bon débit</t>
  </si>
  <si>
    <t>téléphonie</t>
  </si>
  <si>
    <t>Autocom et appareils téléphoniques de bureau</t>
  </si>
  <si>
    <t xml:space="preserve">câblage des antennes </t>
  </si>
  <si>
    <t>Caégorie A</t>
  </si>
  <si>
    <t>Dépose et destruction des anciens detecteurs</t>
  </si>
  <si>
    <t>Centrale SSI Catégorie A</t>
  </si>
  <si>
    <t>Detecteur de flamme</t>
  </si>
  <si>
    <t>Détecteur linéaire</t>
  </si>
  <si>
    <t>Détecteur optique</t>
  </si>
  <si>
    <t>Afficheur numérique de message d'alerte</t>
  </si>
  <si>
    <t>Sirène</t>
  </si>
  <si>
    <t>Système d'aspiration</t>
  </si>
  <si>
    <t>Contrôle d'accés (compris câblage et badge)</t>
  </si>
  <si>
    <t>Economiseur pour chambre d'hotel</t>
  </si>
  <si>
    <t>portier interphonie</t>
  </si>
  <si>
    <t>Platine interphone bouton avec centrale et câblage de la gache</t>
  </si>
  <si>
    <t>télévision</t>
  </si>
  <si>
    <t>boucle magntique</t>
  </si>
  <si>
    <t>Distribution de l'heure</t>
  </si>
  <si>
    <t>Alarme anti intrusion</t>
  </si>
  <si>
    <t>Alarme intrusion</t>
  </si>
  <si>
    <t>Caméra intérieure domme avec alim et câblage</t>
  </si>
  <si>
    <t>Ne rien écrire sous cette ligne</t>
  </si>
  <si>
    <t>Estimation de prix - Logements</t>
  </si>
  <si>
    <t xml:space="preserve">Affaire : </t>
  </si>
  <si>
    <t>Prix total HT :</t>
  </si>
  <si>
    <t>Phase : APS</t>
  </si>
  <si>
    <t xml:space="preserve">Prix par logement : </t>
  </si>
  <si>
    <t>Prix moyen par logmeent pour un bâtiment standard = 5000€/logement</t>
  </si>
  <si>
    <t xml:space="preserve">Date : </t>
  </si>
  <si>
    <t>Nombre de logements total</t>
  </si>
  <si>
    <t>Nombre de Hall</t>
  </si>
  <si>
    <t>Nombre de lace de parking</t>
  </si>
  <si>
    <t>Nombre de T1</t>
  </si>
  <si>
    <t>Nombre de T2</t>
  </si>
  <si>
    <t>Nombre de T3</t>
  </si>
  <si>
    <t>Nombre de T4</t>
  </si>
  <si>
    <t>Nombre de T5</t>
  </si>
  <si>
    <t>Référence</t>
  </si>
  <si>
    <t>Date de la référence</t>
  </si>
  <si>
    <t>SS Totaux</t>
  </si>
  <si>
    <t>Orphée</t>
  </si>
  <si>
    <t>Consuel logements</t>
  </si>
  <si>
    <t>Consuel SG</t>
  </si>
  <si>
    <t>Au nombre de logements</t>
  </si>
  <si>
    <t>fourniture et installation d'une câblette de terre 50mu en fond de fouille du CHAI</t>
  </si>
  <si>
    <t>Raccordement au réseau BT ERDF/Colonne montante</t>
  </si>
  <si>
    <t>Câble entre coffret C400 et Pied de colonne</t>
  </si>
  <si>
    <t>Colonne montante 200A</t>
  </si>
  <si>
    <t>Colonne montante 400A</t>
  </si>
  <si>
    <t>Alimentation des logements</t>
  </si>
  <si>
    <t>Alimentation des SG</t>
  </si>
  <si>
    <t>Equipement des logements</t>
  </si>
  <si>
    <t>Logement T1</t>
  </si>
  <si>
    <t>Logement T2</t>
  </si>
  <si>
    <t>Logement T3</t>
  </si>
  <si>
    <t>Logement T4</t>
  </si>
  <si>
    <t>Logement T5</t>
  </si>
  <si>
    <t>Equipement des Services Généraux</t>
  </si>
  <si>
    <t>Au nombre de Halls</t>
  </si>
  <si>
    <t>Eclairage de sécurité - 3ème famille B</t>
  </si>
  <si>
    <t>Au nombre de Halls concernés</t>
  </si>
  <si>
    <t>Eclairage de circulation extérieur</t>
  </si>
  <si>
    <t>Tableau d'alarme 4 directions</t>
  </si>
  <si>
    <t>Tableau d'alarme 8 directions</t>
  </si>
  <si>
    <t>Adduction téléphonie</t>
  </si>
  <si>
    <t>tableau de communication logements</t>
  </si>
  <si>
    <t>Type T1/T2</t>
  </si>
  <si>
    <t>Type T3/T4</t>
  </si>
  <si>
    <t>Type T5</t>
  </si>
  <si>
    <t>Gaine télécom vers logements</t>
  </si>
  <si>
    <t>Désenfumage</t>
  </si>
  <si>
    <t>Au nombre de Halls désenfumés</t>
  </si>
  <si>
    <t>Interphonie/Portier/Contrôle d'accés</t>
  </si>
  <si>
    <t>Au nombre de logements (version GSM 1 Hall)</t>
  </si>
  <si>
    <t>Accés parking</t>
  </si>
  <si>
    <t>Platine de rue Vidéo à défilement (Hall)+ Alim gâche + BP - GSM</t>
  </si>
  <si>
    <t>Kit Vigik de porte+ Alim gâche+BP</t>
  </si>
  <si>
    <t>Accès véhicule parking</t>
  </si>
  <si>
    <t xml:space="preserve">Badges </t>
  </si>
  <si>
    <t>Parking logements</t>
  </si>
  <si>
    <t>Au nombre de place</t>
  </si>
  <si>
    <t>TOTAL HT</t>
  </si>
  <si>
    <t>Estimation de prix par systèmes</t>
  </si>
  <si>
    <t>Systèmes</t>
  </si>
  <si>
    <t>%</t>
  </si>
  <si>
    <t>€ Total</t>
  </si>
  <si>
    <t>Poste de Transformation</t>
  </si>
  <si>
    <t>Branchement BT</t>
  </si>
  <si>
    <t>Appareillages</t>
  </si>
  <si>
    <t>GTC</t>
  </si>
  <si>
    <t>Photovoltaïque</t>
  </si>
  <si>
    <t>VDI + Wifi</t>
  </si>
  <si>
    <t>SSI</t>
  </si>
  <si>
    <t>Viséo surveillance</t>
  </si>
  <si>
    <t>Totaux</t>
  </si>
  <si>
    <r>
      <rPr>
        <rFont val="Arial"/>
        <b/>
        <color theme="1"/>
        <sz val="8.0"/>
      </rPr>
      <t xml:space="preserve">Affaire : 
Estimation de prix
Lot n° </t>
    </r>
    <r>
      <rPr>
        <rFont val="Arial"/>
        <b/>
        <color rgb="FFFF0000"/>
        <sz val="8.0"/>
      </rPr>
      <t xml:space="preserve">xx </t>
    </r>
    <r>
      <rPr>
        <rFont val="Arial"/>
        <b/>
        <color theme="1"/>
        <sz val="8.0"/>
      </rPr>
      <t>Electricité Courants forts et Courants faibles</t>
    </r>
  </si>
  <si>
    <t xml:space="preserve">Phase : </t>
  </si>
  <si>
    <t>Ascenseurs</t>
  </si>
  <si>
    <t>Ascenseurs - 630 Kg (8 arrêts) - 1,6m/s</t>
  </si>
  <si>
    <t>Ascenseurs - 630 Kg (4 arrêts) - 1m/s</t>
  </si>
  <si>
    <t>Ascenseurs - 800 Kg en Duplex (7 arrêts) - 1m/s</t>
  </si>
  <si>
    <t>Ascenseurs - 1000 Kg (11 arrêts) - 1,6m/s - 2 faces</t>
  </si>
  <si>
    <t>Ascenseurs - 1600 Kg (4 arrêts) - 1m/s - 1 face</t>
  </si>
  <si>
    <t>1.3</t>
  </si>
  <si>
    <t>fourniture du dossier DOE</t>
  </si>
  <si>
    <t>1.6</t>
  </si>
  <si>
    <t>bureau de contrôle</t>
  </si>
  <si>
    <t>2.2</t>
  </si>
  <si>
    <t>création d'un départ dans l'armoire générale chantier</t>
  </si>
  <si>
    <t>2.4</t>
  </si>
  <si>
    <t xml:space="preserve">fourniture et installation d'une câblette de terre en fond de fouille </t>
  </si>
  <si>
    <t>2.5</t>
  </si>
  <si>
    <t>Branchements</t>
  </si>
  <si>
    <t>2.6</t>
  </si>
  <si>
    <t>2.7</t>
  </si>
  <si>
    <t>Armoire TGBT</t>
  </si>
  <si>
    <t>2.8</t>
  </si>
  <si>
    <t>Tableaux divisionnaires de distribution (TD)</t>
  </si>
  <si>
    <t>TD 0.1</t>
  </si>
  <si>
    <t>TD 0.2</t>
  </si>
  <si>
    <t>TD 0.3</t>
  </si>
  <si>
    <t>TD 1.1</t>
  </si>
  <si>
    <t>2.11</t>
  </si>
  <si>
    <t>Distribution</t>
  </si>
  <si>
    <t>chemins de câbles 500x50mm</t>
  </si>
  <si>
    <t>chemins de câbles 300x50mm</t>
  </si>
  <si>
    <t>chemins de câbles 150x50mm</t>
  </si>
  <si>
    <t>2.12</t>
  </si>
  <si>
    <t>2.13</t>
  </si>
  <si>
    <t>luminaires type A - Asymétrique des Tableaux des salles de classe</t>
  </si>
  <si>
    <t>luminaires type B - Encastré des Salles de classe, bureaux</t>
  </si>
  <si>
    <t>luminaires type C - Spot des circulations, sanitaires</t>
  </si>
  <si>
    <t>luminaires type D - Apparent des Locaux techniques</t>
  </si>
  <si>
    <t>luminaires type E - Apparent de la Salle polyvalente</t>
  </si>
  <si>
    <t>luminaires type F - Suspendus de la Salle restaurant</t>
  </si>
  <si>
    <t>luminaires type G - Encastrés du préau</t>
  </si>
  <si>
    <t>luminaires type H - Encastré de la bibliothèque</t>
  </si>
  <si>
    <t>2.15</t>
  </si>
  <si>
    <t>2.16</t>
  </si>
  <si>
    <t>2.18</t>
  </si>
  <si>
    <t>Renvoi d'alarme sur Système GTC</t>
  </si>
  <si>
    <t>Etudes : Liste de points Elec , analyse fonctionnelle Elec</t>
  </si>
  <si>
    <t>Câblage jusqu'aux armoires CVC (au nombre de points)</t>
  </si>
  <si>
    <t>Courants Faibles</t>
  </si>
  <si>
    <t>3.1</t>
  </si>
  <si>
    <t>3.2</t>
  </si>
  <si>
    <t>antennes wifi</t>
  </si>
  <si>
    <t>3.3</t>
  </si>
  <si>
    <t>répartiteur général téléphonique raccordement concessionnaire</t>
  </si>
  <si>
    <t>autocommutateur téléphonique</t>
  </si>
  <si>
    <t>postes téléphoniques</t>
  </si>
  <si>
    <t>lignes téléphoniques directes</t>
  </si>
  <si>
    <t>3.4</t>
  </si>
  <si>
    <t>3.5</t>
  </si>
  <si>
    <t>Tirrette d'appel infirmière tête de lit</t>
  </si>
  <si>
    <t>Tirrette d'appel infirmière sanitaire</t>
  </si>
  <si>
    <t>3.6</t>
  </si>
  <si>
    <t>3.7</t>
  </si>
  <si>
    <t>3.8</t>
  </si>
  <si>
    <t>RECAPITULATIF</t>
  </si>
  <si>
    <t>TVA 19,6%</t>
  </si>
  <si>
    <t>TOTAL TTC</t>
  </si>
  <si>
    <t>Options</t>
  </si>
  <si>
    <r>
      <rPr>
        <rFont val="Century Gothic"/>
        <b/>
        <color theme="1"/>
        <sz val="11.0"/>
      </rPr>
      <t xml:space="preserve">L'entrepreneur du présent lot devra, </t>
    </r>
    <r>
      <rPr>
        <rFont val="Century Gothic"/>
        <b/>
        <color theme="1"/>
        <sz val="11.0"/>
        <u/>
      </rPr>
      <t>obligatoirement</t>
    </r>
    <r>
      <rPr>
        <rFont val="Century Gothic"/>
        <b/>
        <color theme="1"/>
        <sz val="11.0"/>
      </rPr>
      <t>, joindre à son acte d'engagement une décomposition du prix global et forfaitaire, établie en deux exemplaires, suivant le présent cadre</t>
    </r>
  </si>
  <si>
    <t xml:space="preserve">FRAIS COMMUNS ET PARKING </t>
  </si>
  <si>
    <t>ACCESSION</t>
  </si>
  <si>
    <t>LOCATIF</t>
  </si>
  <si>
    <t>N°</t>
  </si>
  <si>
    <t>DESIGNATION DES OUVRAGES</t>
  </si>
  <si>
    <t>Quantité</t>
  </si>
  <si>
    <t>Prix Unit.</t>
  </si>
  <si>
    <t>Total € HT</t>
  </si>
  <si>
    <t>1.</t>
  </si>
  <si>
    <t>Dispositions générales</t>
  </si>
  <si>
    <t>1.4.</t>
  </si>
  <si>
    <t>Etudes, plans DOE</t>
  </si>
  <si>
    <t>1.8.4</t>
  </si>
  <si>
    <t>Consuels</t>
  </si>
  <si>
    <t>Cosael TV</t>
  </si>
  <si>
    <t>Sous-total 1. HT</t>
  </si>
  <si>
    <t>3.</t>
  </si>
  <si>
    <t>Electricité courants forts</t>
  </si>
  <si>
    <t>Installation provisoire de chantier</t>
  </si>
  <si>
    <t>Réseau de terre et liaisons équipotentielles</t>
  </si>
  <si>
    <t>Origine des installations électriques/Branchements</t>
  </si>
  <si>
    <t>Colonnes montantes</t>
  </si>
  <si>
    <t>Dérivations individuelles</t>
  </si>
  <si>
    <t>Installation des parties communes</t>
  </si>
  <si>
    <t>3.5.1</t>
  </si>
  <si>
    <t>Tableaux divisionnaires services généraux</t>
  </si>
  <si>
    <t>TD SG1</t>
  </si>
  <si>
    <t>TD SG2</t>
  </si>
  <si>
    <t>TD SG3</t>
  </si>
  <si>
    <t>TD SG4</t>
  </si>
  <si>
    <t>TD SG5</t>
  </si>
  <si>
    <t>3.5.3</t>
  </si>
  <si>
    <t>Chemins de câbles</t>
  </si>
  <si>
    <t>Chemins de câbles ENEDIS dans le parking</t>
  </si>
  <si>
    <t>Chemins de câbles Courants forts sous passerelles</t>
  </si>
  <si>
    <t>3.5.7</t>
  </si>
  <si>
    <t>Eclairage extérieur</t>
  </si>
  <si>
    <t>Luminaires type 1 - circulations extérieures, passerelles</t>
  </si>
  <si>
    <t>Luminaires type 5 - Cheminements extérieurs</t>
  </si>
  <si>
    <t>Luminaires type 6 - Patio extérieur</t>
  </si>
  <si>
    <t>Détecteurs de présence</t>
  </si>
  <si>
    <t>Câblage du système d'éclairage extérieur</t>
  </si>
  <si>
    <t>3.5.8</t>
  </si>
  <si>
    <t>Equipement des locaux communs (local vélo, hall, locaux techniques, local opérateur, local surpresseur)</t>
  </si>
  <si>
    <t>locaux communs du bâtiment 1</t>
  </si>
  <si>
    <t>locaux communs du bâtiment 2</t>
  </si>
  <si>
    <t>locaux communs du bâtiment 3</t>
  </si>
  <si>
    <t>locaux communs du bâtiment 4</t>
  </si>
  <si>
    <t>locaux communs du bâtiment 5</t>
  </si>
  <si>
    <t>3.5.9</t>
  </si>
  <si>
    <t>Equipements du Parking</t>
  </si>
  <si>
    <t>Tableau divisionnaire TD PKA</t>
  </si>
  <si>
    <t>Tableau divisionnaire TD PKL</t>
  </si>
  <si>
    <t>Eclairage parking</t>
  </si>
  <si>
    <t>Luminaires</t>
  </si>
  <si>
    <t>Détecteur de présence</t>
  </si>
  <si>
    <t>Câblage du système d'éclairage</t>
  </si>
  <si>
    <t>Eclairage de sécurité parking</t>
  </si>
  <si>
    <t>Blocs d'éclairage de sécurité</t>
  </si>
  <si>
    <t>Câblage du système d'éclairage de sécurité</t>
  </si>
  <si>
    <t>3.5.10</t>
  </si>
  <si>
    <t>Caissons d'extraction VMC</t>
  </si>
  <si>
    <t>Chaudières individuelles</t>
  </si>
  <si>
    <t>Surpresseur</t>
  </si>
  <si>
    <t>Système de contrôle d'accès et interphonie</t>
  </si>
  <si>
    <t>Porte du parking</t>
  </si>
  <si>
    <t>Sèches serviettes</t>
  </si>
  <si>
    <t>Pompe de relevage</t>
  </si>
  <si>
    <t>Installation intérieure des logements</t>
  </si>
  <si>
    <t>3.6.1</t>
  </si>
  <si>
    <t>Tableaux d'abonnés</t>
  </si>
  <si>
    <t>Logement de type T2</t>
  </si>
  <si>
    <t>Logement de type T3</t>
  </si>
  <si>
    <t>Logement de type T4</t>
  </si>
  <si>
    <t>Logement de type T5</t>
  </si>
  <si>
    <t>3.6.2</t>
  </si>
  <si>
    <t>Equipements, distribution et appareillage</t>
  </si>
  <si>
    <t>Electricité courants faibles</t>
  </si>
  <si>
    <t>4.1 et 4.2</t>
  </si>
  <si>
    <t>Distribution du réseau de communication</t>
  </si>
  <si>
    <t>Fourreaux pour le cheminements des câbles concessionnaires</t>
  </si>
  <si>
    <t>Colonnes montantes courants faibles</t>
  </si>
  <si>
    <t>Chemins de câbles Courant faibles dans le parking</t>
  </si>
  <si>
    <t>Chemins de câbles courants faibles sous passerelles</t>
  </si>
  <si>
    <t>4.3</t>
  </si>
  <si>
    <t>prise optique par logement</t>
  </si>
  <si>
    <t>4.4</t>
  </si>
  <si>
    <t>Tableaux de communication</t>
  </si>
  <si>
    <t>Logements de types T1 et T2</t>
  </si>
  <si>
    <t>Logements de types T3, T4 et T5</t>
  </si>
  <si>
    <t>4.5</t>
  </si>
  <si>
    <t>Interphonie/contrôle d'accès</t>
  </si>
  <si>
    <t>Postes intérieurs des logements</t>
  </si>
  <si>
    <t>Gestion de portes par lecteurs Vigik</t>
  </si>
  <si>
    <t>Ventouses de déverrouillage</t>
  </si>
  <si>
    <t>Gâches électriques</t>
  </si>
  <si>
    <t>Câblage des système de contrôle d'accès-Interphonie</t>
  </si>
  <si>
    <t>4.6</t>
  </si>
  <si>
    <t>Télévision (par bâtiment)</t>
  </si>
  <si>
    <t>Système de réception antenne en toiture</t>
  </si>
  <si>
    <t>Système de réception câblé Numéricâble</t>
  </si>
  <si>
    <t>Distribution et câblage du réseau de télévision</t>
  </si>
  <si>
    <t>4.7</t>
  </si>
  <si>
    <t>Alarmes techniques (par bâtiment)</t>
  </si>
  <si>
    <t xml:space="preserve">Tableaux 10 alarmes </t>
  </si>
  <si>
    <t>distribution et câblage des alarmes techniques</t>
  </si>
  <si>
    <t>TOTAL € HT</t>
  </si>
  <si>
    <t>Réponse MOE :
La puissance électrique pour le nouveau bâtiment est estimée à 295 KVA. Le
groupe électrogène existant est de 165 KVA.
Dans le projet il est prévu de secourir l’ensemble des installations du nouveau bâtiment.</t>
  </si>
  <si>
    <t>une décomposition du prix global et forfaitaire, établie en deux exemplaires,</t>
  </si>
  <si>
    <t xml:space="preserve">suivant le présent cadre. 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</si>
</sst>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10">
    <numFmt numFmtId="164" formatCode="D/M/YYYY"/>
    <numFmt numFmtId="165" formatCode="_-* #,##0.0_-;\-* #,##0.0_-;_-* &quot;-&quot;??_-;_-@"/>
    <numFmt numFmtId="166" formatCode="_-* #,##0.0\ _€_-;\-* #,##0.0\ _€_-;_-* &quot;-&quot;?\ _€_-;_-@"/>
    <numFmt numFmtId="167" formatCode="_-* #,##0.00_-;\-* #,##0.00_-;_-* &quot;-&quot;??_-;_-@"/>
    <numFmt numFmtId="168" formatCode="#,##0.0"/>
    <numFmt numFmtId="169" formatCode="[$-40C]mmmm\-yy"/>
    <numFmt numFmtId="170" formatCode="0.0"/>
    <numFmt numFmtId="171" formatCode="_-* #,##0.00\ _€_-;\-* #,##0.00\ _€_-;_-* &quot;-&quot;??\ _€_-;_-@"/>
    <numFmt numFmtId="172" formatCode="_-* #,##0\ _€_-;\-* #,##0\ _€_-;_-* &quot;-&quot;??\ _€_-;_-@"/>
    <numFmt numFmtId="173" formatCode="0.0%"/>
  </numFmts>
  <fonts count="31">
    <font>
      <sz val="10.0"/>
      <color rgb="FF000000"/>
      <name val="Open Sans"/>
      <scheme val="minor"/>
    </font>
    <font>
      <b/>
      <sz val="8.0"/>
      <color theme="1"/>
      <name val="Arial"/>
    </font>
    <font/>
    <font>
      <sz val="8.0"/>
      <color theme="1"/>
      <name val="Arial"/>
    </font>
    <font>
      <b/>
      <sz val="10.0"/>
      <color theme="1"/>
      <name val="Quattrocento Sans"/>
    </font>
    <font>
      <b/>
      <color theme="1"/>
      <name val="Quattrocento Sans"/>
    </font>
    <font>
      <b/>
      <sz val="8.0"/>
      <color theme="0"/>
      <name val="Arial"/>
    </font>
    <font>
      <b/>
      <sz val="8.0"/>
      <color rgb="FF0F243E"/>
      <name val="Arial"/>
    </font>
    <font>
      <sz val="8.0"/>
      <color rgb="FF366092"/>
      <name val="Arial"/>
    </font>
    <font>
      <sz val="8.0"/>
      <color rgb="FF0F243E"/>
      <name val="Arial"/>
    </font>
    <font>
      <sz val="8.0"/>
      <color rgb="FF3005BB"/>
      <name val="Arial"/>
    </font>
    <font>
      <sz val="8.0"/>
      <color rgb="FFFF0000"/>
      <name val="Arial"/>
    </font>
    <font>
      <b/>
      <sz val="9.0"/>
      <color theme="0"/>
      <name val="Arial"/>
    </font>
    <font>
      <sz val="8.0"/>
      <color theme="0"/>
      <name val="Arial"/>
    </font>
    <font>
      <b/>
      <sz val="9.0"/>
      <color theme="1"/>
      <name val="Arial"/>
    </font>
    <font>
      <sz val="6.0"/>
      <color rgb="FF3005BB"/>
      <name val="Arial"/>
    </font>
    <font>
      <b/>
      <sz val="8.0"/>
      <color rgb="FF3005BB"/>
      <name val="Arial"/>
    </font>
    <font>
      <sz val="6.0"/>
      <color theme="1"/>
      <name val="Arial"/>
    </font>
    <font>
      <b/>
      <sz val="6.0"/>
      <color theme="1"/>
      <name val="Arial"/>
    </font>
    <font>
      <sz val="11.0"/>
      <color theme="1"/>
      <name val="Calibri"/>
    </font>
    <font>
      <u/>
      <sz val="11.0"/>
      <color theme="0"/>
      <name val="Calibri"/>
    </font>
    <font>
      <b/>
      <sz val="11.0"/>
      <color theme="1"/>
      <name val="Calibri"/>
    </font>
    <font>
      <b/>
      <sz val="9.0"/>
      <color theme="1"/>
      <name val="Calibri"/>
    </font>
    <font>
      <sz val="10.0"/>
      <color theme="1"/>
      <name val="Arial"/>
    </font>
    <font>
      <sz val="9.0"/>
      <color theme="1"/>
      <name val="Arial"/>
    </font>
    <font>
      <b/>
      <sz val="9.0"/>
      <color rgb="FF0F243E"/>
      <name val="Arial"/>
    </font>
    <font>
      <sz val="9.0"/>
      <color rgb="FF0F243E"/>
      <name val="Arial"/>
    </font>
    <font>
      <b/>
      <sz val="9.0"/>
      <color rgb="FF003366"/>
      <name val="Arial"/>
    </font>
    <font>
      <b/>
      <sz val="11.0"/>
      <color theme="1"/>
      <name val="Century Gothic"/>
    </font>
    <font>
      <b/>
      <sz val="10.0"/>
      <color theme="1"/>
      <name val="Century Gothic"/>
    </font>
    <font>
      <b/>
      <sz val="11.0"/>
      <color rgb="FF000000"/>
      <name val="Calibri"/>
    </font>
  </fonts>
  <fills count="21">
    <fill>
      <patternFill patternType="none"/>
    </fill>
    <fill>
      <patternFill patternType="lightGray"/>
    </fill>
    <fill>
      <patternFill patternType="solid">
        <fgColor rgb="FFEEECE1"/>
        <bgColor rgb="FFEEECE1"/>
      </patternFill>
    </fill>
    <fill>
      <patternFill patternType="solid">
        <fgColor rgb="FF205867"/>
        <bgColor rgb="FF205867"/>
      </patternFill>
    </fill>
    <fill>
      <patternFill patternType="solid">
        <fgColor rgb="FFEAF1DD"/>
        <bgColor rgb="FFEAF1DD"/>
      </patternFill>
    </fill>
    <fill>
      <patternFill patternType="solid">
        <fgColor rgb="FF31859B"/>
        <bgColor rgb="FF31859B"/>
      </patternFill>
    </fill>
    <fill>
      <patternFill patternType="solid">
        <fgColor rgb="FFFDE9D9"/>
        <bgColor rgb="FFFDE9D9"/>
      </patternFill>
    </fill>
    <fill>
      <patternFill patternType="solid">
        <fgColor rgb="FFB8CCE4"/>
        <bgColor rgb="FFB8CCE4"/>
      </patternFill>
    </fill>
    <fill>
      <patternFill patternType="solid">
        <fgColor rgb="FFFFC000"/>
        <bgColor rgb="FFFFC000"/>
      </patternFill>
    </fill>
    <fill>
      <patternFill patternType="solid">
        <fgColor rgb="FFDBE5F1"/>
        <bgColor rgb="FFDBE5F1"/>
      </patternFill>
    </fill>
    <fill>
      <patternFill patternType="solid">
        <fgColor rgb="FFDAEEF3"/>
        <bgColor rgb="FFDAEEF3"/>
      </patternFill>
    </fill>
    <fill>
      <patternFill patternType="solid">
        <fgColor rgb="FFE5DFEC"/>
        <bgColor rgb="FFE5DFEC"/>
      </patternFill>
    </fill>
    <fill>
      <patternFill patternType="solid">
        <fgColor rgb="FFD6E3BC"/>
        <bgColor rgb="FFD6E3BC"/>
      </patternFill>
    </fill>
    <fill>
      <patternFill patternType="solid">
        <fgColor rgb="FFE36C09"/>
        <bgColor rgb="FFE36C09"/>
      </patternFill>
    </fill>
    <fill>
      <patternFill patternType="solid">
        <fgColor rgb="FFFF0000"/>
        <bgColor rgb="FFFF0000"/>
      </patternFill>
    </fill>
    <fill>
      <patternFill patternType="solid">
        <fgColor rgb="FFC6D9F0"/>
        <bgColor rgb="FFC6D9F0"/>
      </patternFill>
    </fill>
    <fill>
      <patternFill patternType="solid">
        <fgColor rgb="FFD8D8D8"/>
        <bgColor rgb="FFD8D8D8"/>
      </patternFill>
    </fill>
    <fill>
      <patternFill patternType="solid">
        <fgColor rgb="FFFFFF00"/>
        <bgColor rgb="FFFFFF00"/>
      </patternFill>
    </fill>
    <fill>
      <patternFill patternType="solid">
        <fgColor rgb="FF0F243E"/>
        <bgColor rgb="FF0F243E"/>
      </patternFill>
    </fill>
    <fill>
      <patternFill patternType="solid">
        <fgColor rgb="FFCCC0D9"/>
        <bgColor rgb="FFCCC0D9"/>
      </patternFill>
    </fill>
    <fill>
      <patternFill patternType="solid">
        <fgColor rgb="FFB2A1C7"/>
        <bgColor rgb="FFB2A1C7"/>
      </patternFill>
    </fill>
  </fills>
  <borders count="126">
    <border/>
    <border>
      <left style="medium">
        <color rgb="FF000000"/>
      </left>
      <top style="medium">
        <color rgb="FF000000"/>
      </top>
    </border>
    <border>
      <top style="medium">
        <color rgb="FF000000"/>
      </top>
    </border>
    <border>
      <right style="thin">
        <color rgb="FF000000"/>
      </right>
      <top style="medium">
        <color rgb="FF000000"/>
      </top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</border>
    <border>
      <left style="medium">
        <color rgb="FF000000"/>
      </left>
      <right style="medium">
        <color rgb="FF000000"/>
      </right>
      <top style="thin">
        <color rgb="FF000000"/>
      </top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</border>
    <border>
      <left style="thin">
        <color rgb="FF000000"/>
      </left>
      <top style="thin">
        <color rgb="FF000000"/>
      </top>
      <bottom style="medium">
        <color rgb="FF000000"/>
      </bottom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</border>
    <border>
      <right style="thin">
        <color rgb="FF000000"/>
      </right>
      <top style="thin">
        <color rgb="FF000000"/>
      </top>
      <bottom style="medium">
        <color rgb="FF000000"/>
      </bottom>
    </border>
    <border>
      <left style="medium">
        <color rgb="FF000000"/>
      </left>
      <right style="medium">
        <color rgb="FF000000"/>
      </right>
      <bottom style="thin">
        <color rgb="FF000000"/>
      </bottom>
    </border>
    <border>
      <left style="medium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medium">
        <color rgb="FF000000"/>
      </left>
      <right style="medium">
        <color rgb="FF000000"/>
      </right>
      <top style="thin">
        <color rgb="FF000000"/>
      </top>
      <bottom style="medium">
        <color rgb="FF000000"/>
      </bottom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</border>
    <border>
      <left style="medium">
        <color rgb="FF000000"/>
      </left>
      <top style="thin">
        <color rgb="FF000000"/>
      </top>
      <bottom style="medium">
        <color rgb="FF000000"/>
      </bottom>
    </border>
    <border>
      <left style="medium">
        <color rgb="FF000000"/>
      </left>
      <right style="thin">
        <color rgb="FF000000"/>
      </right>
      <top style="medium">
        <color rgb="FF000000"/>
      </top>
      <bottom style="medium">
        <color rgb="FF000000"/>
      </bottom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</border>
    <border>
      <left style="thin">
        <color rgb="FF000000"/>
      </left>
      <right style="medium">
        <color rgb="FF000000"/>
      </right>
      <top style="medium">
        <color rgb="FF000000"/>
      </top>
      <bottom style="medium">
        <color rgb="FF000000"/>
      </bottom>
    </border>
    <border>
      <left style="medium">
        <color rgb="FF000000"/>
      </left>
      <right style="thin">
        <color rgb="FF000000"/>
      </right>
      <bottom style="medium">
        <color rgb="FF000000"/>
      </bottom>
    </border>
    <border>
      <left style="thin">
        <color rgb="FF000000"/>
      </left>
      <right style="thin">
        <color rgb="FF000000"/>
      </right>
      <bottom style="medium">
        <color rgb="FF000000"/>
      </bottom>
    </border>
    <border>
      <left style="thin">
        <color rgb="FF000000"/>
      </left>
      <bottom style="medium">
        <color rgb="FF000000"/>
      </bottom>
    </border>
    <border>
      <bottom style="medium">
        <color rgb="FF000000"/>
      </bottom>
    </border>
    <border>
      <right style="thin">
        <color rgb="FF000000"/>
      </right>
      <bottom style="medium">
        <color rgb="FF000000"/>
      </bottom>
    </border>
    <border>
      <left style="thin">
        <color rgb="FF000000"/>
      </left>
      <right style="medium">
        <color rgb="FF000000"/>
      </right>
      <bottom style="medium">
        <color rgb="FF000000"/>
      </bottom>
    </border>
    <border>
      <left style="medium">
        <color rgb="FF000000"/>
      </left>
      <right style="thin">
        <color rgb="FF000000"/>
      </right>
    </border>
    <border>
      <left style="thin">
        <color rgb="FF000000"/>
      </left>
      <right style="thin">
        <color rgb="FF000000"/>
      </right>
    </border>
    <border>
      <top style="medium">
        <color rgb="FF000000"/>
      </top>
      <bottom style="medium">
        <color rgb="FF000000"/>
      </bottom>
    </border>
    <border>
      <left style="thin">
        <color rgb="FF000000"/>
      </left>
      <right style="thin">
        <color rgb="FF000000"/>
      </right>
      <top style="medium">
        <color rgb="FF000000"/>
      </top>
    </border>
    <border>
      <right style="medium">
        <color rgb="FF000000"/>
      </right>
      <top style="medium">
        <color rgb="FF000000"/>
      </top>
      <bottom style="medium">
        <color rgb="FF000000"/>
      </bottom>
    </border>
    <border>
      <left style="thin">
        <color rgb="FF000000"/>
      </left>
      <top style="medium">
        <color rgb="FF000000"/>
      </top>
      <bottom style="medium">
        <color rgb="FF000000"/>
      </bottom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</border>
    <border>
      <left/>
      <right style="thin">
        <color rgb="FF000000"/>
      </right>
      <top style="thin">
        <color rgb="FF000000"/>
      </top>
      <bottom style="thin">
        <color rgb="FF000000"/>
      </bottom>
    </border>
    <border>
      <left/>
      <right style="thin">
        <color rgb="FF000000"/>
      </right>
      <top style="thin">
        <color rgb="FF000000"/>
      </top>
      <bottom style="medium">
        <color rgb="FF000000"/>
      </bottom>
    </border>
    <border>
      <right style="thin">
        <color rgb="FF000000"/>
      </right>
      <bottom style="thin">
        <color rgb="FF000000"/>
      </bottom>
    </border>
    <border>
      <left style="thin">
        <color rgb="FF000000"/>
      </left>
      <right style="medium">
        <color rgb="FF000000"/>
      </right>
      <bottom style="thin">
        <color rgb="FF000000"/>
      </bottom>
    </border>
    <border>
      <right style="thin">
        <color rgb="FF000000"/>
      </right>
      <top style="thin">
        <color rgb="FF000000"/>
      </top>
    </border>
    <border>
      <left style="thin">
        <color rgb="FF000000"/>
      </left>
      <right style="medium">
        <color rgb="FF000000"/>
      </right>
      <top style="thin">
        <color rgb="FF000000"/>
      </top>
      <bottom/>
    </border>
    <border>
      <left/>
      <right style="thin">
        <color rgb="FF000000"/>
      </right>
      <top style="medium">
        <color rgb="FF000000"/>
      </top>
      <bottom style="thin">
        <color rgb="FF000000"/>
      </bottom>
    </border>
    <border>
      <left/>
      <right style="thin">
        <color rgb="FF000000"/>
      </right>
      <top style="thin">
        <color rgb="FF000000"/>
      </top>
      <bottom/>
    </border>
    <border>
      <left style="thin">
        <color rgb="FF000000"/>
      </left>
      <right style="thin">
        <color rgb="FF000000"/>
      </right>
      <top style="thin">
        <color rgb="FF000000"/>
      </top>
      <bottom/>
    </border>
    <border>
      <right style="thin">
        <color rgb="FF000000"/>
      </right>
      <top style="medium">
        <color rgb="FF000000"/>
      </top>
      <bottom style="thin">
        <color rgb="FF000000"/>
      </bottom>
    </border>
    <border>
      <left/>
      <right style="thin">
        <color rgb="FF000000"/>
      </right>
      <top/>
      <bottom/>
    </border>
    <border>
      <left style="thin">
        <color rgb="FF000000"/>
      </left>
      <right style="thin">
        <color rgb="FF000000"/>
      </right>
      <top/>
      <bottom/>
    </border>
    <border>
      <left style="thin">
        <color rgb="FF000000"/>
      </left>
      <right style="medium">
        <color rgb="FF000000"/>
      </right>
      <top/>
      <bottom/>
    </border>
    <border>
      <left style="thin">
        <color rgb="FF000000"/>
      </left>
      <right style="medium">
        <color rgb="FF000000"/>
      </right>
      <top style="thin">
        <color rgb="FF000000"/>
      </top>
    </border>
    <border>
      <left/>
      <right style="thin">
        <color rgb="FF000000"/>
      </right>
      <top style="medium">
        <color rgb="FF000000"/>
      </top>
      <bottom style="medium">
        <color rgb="FF000000"/>
      </bottom>
    </border>
    <border>
      <left/>
      <right style="thin">
        <color rgb="FF000000"/>
      </right>
      <top/>
      <bottom style="thin">
        <color rgb="FF000000"/>
      </bottom>
    </border>
    <border>
      <left style="thin">
        <color rgb="FF000000"/>
      </left>
      <right style="thin">
        <color rgb="FF000000"/>
      </right>
      <top/>
      <bottom style="thin">
        <color rgb="FF000000"/>
      </bottom>
    </border>
    <border>
      <left style="thin">
        <color rgb="FF000000"/>
      </left>
      <right style="medium">
        <color rgb="FF000000"/>
      </right>
      <top/>
      <bottom style="thin">
        <color rgb="FF000000"/>
      </bottom>
    </border>
    <border>
      <left/>
      <right/>
      <top style="medium">
        <color rgb="FF000000"/>
      </top>
      <bottom style="medium">
        <color rgb="FF000000"/>
      </bottom>
    </border>
    <border>
      <left/>
      <right style="medium">
        <color rgb="FF000000"/>
      </right>
      <top style="medium">
        <color rgb="FF000000"/>
      </top>
      <bottom style="medium">
        <color rgb="FF000000"/>
      </bottom>
    </border>
    <border>
      <left/>
      <top/>
      <bottom style="thin">
        <color rgb="FF000000"/>
      </bottom>
    </border>
    <border>
      <top/>
      <bottom style="thin">
        <color rgb="FF000000"/>
      </bottom>
    </border>
    <border>
      <right style="thin">
        <color rgb="FF000000"/>
      </right>
      <top/>
      <bottom style="thin">
        <color rgb="FF000000"/>
      </bottom>
    </border>
    <border>
      <right style="thin">
        <color rgb="FF000000"/>
      </right>
      <top style="medium">
        <color rgb="FF000000"/>
      </top>
      <bottom style="medium">
        <color rgb="FF000000"/>
      </bottom>
    </border>
    <border>
      <left style="medium">
        <color rgb="FF000000"/>
      </left>
      <top style="medium">
        <color rgb="FF000000"/>
      </top>
      <bottom/>
    </border>
    <border>
      <top style="medium">
        <color rgb="FF000000"/>
      </top>
      <bottom/>
    </border>
    <border>
      <right style="medium">
        <color rgb="FF000000"/>
      </right>
      <top style="medium">
        <color rgb="FF000000"/>
      </top>
      <bottom/>
    </border>
    <border>
      <right style="medium">
        <color rgb="FF000000"/>
      </right>
      <top style="medium">
        <color rgb="FF000000"/>
      </top>
      <bottom style="thin">
        <color rgb="FF000000"/>
      </bottom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</border>
    <border>
      <top style="medium">
        <color rgb="FF000000"/>
      </top>
      <bottom style="thin">
        <color rgb="FF000000"/>
      </bottom>
    </border>
    <border>
      <top style="thin">
        <color rgb="FF000000"/>
      </top>
      <bottom style="medium">
        <color rgb="FF000000"/>
      </bottom>
    </border>
    <border>
      <left style="thin">
        <color rgb="FF000000"/>
      </left>
      <top style="medium">
        <color rgb="FF000000"/>
      </top>
      <bottom style="thin">
        <color rgb="FF000000"/>
      </bottom>
    </border>
    <border>
      <top style="thin">
        <color rgb="FF000000"/>
      </top>
    </border>
    <border>
      <left/>
      <top style="medium">
        <color rgb="FF000000"/>
      </top>
      <bottom style="medium">
        <color rgb="FF000000"/>
      </bottom>
    </border>
    <border>
      <left style="medium">
        <color rgb="FF000000"/>
      </left>
    </border>
    <border>
      <right style="medium">
        <color rgb="FF000000"/>
      </right>
    </border>
    <border>
      <left style="medium">
        <color rgb="FF000000"/>
      </left>
      <top style="medium">
        <color rgb="FF000000"/>
      </top>
      <bottom style="medium">
        <color rgb="FF000000"/>
      </bottom>
    </border>
    <border>
      <right style="medium">
        <color rgb="FF000000"/>
      </right>
      <bottom style="thin">
        <color rgb="FF000000"/>
      </bottom>
    </border>
    <border>
      <left style="medium">
        <color rgb="FF000000"/>
      </left>
      <bottom style="medium">
        <color rgb="FF000000"/>
      </bottom>
    </border>
    <border>
      <right style="medium">
        <color rgb="FF000000"/>
      </right>
      <bottom style="medium">
        <color rgb="FF000000"/>
      </bottom>
    </border>
    <border>
      <right style="medium">
        <color rgb="FF000000"/>
      </right>
      <top style="thin">
        <color rgb="FF000000"/>
      </top>
    </border>
    <border>
      <left style="medium">
        <color rgb="FF000000"/>
      </left>
      <right style="medium">
        <color rgb="FF000000"/>
      </right>
      <top style="medium">
        <color rgb="FF000000"/>
      </top>
    </border>
    <border>
      <right style="thin">
        <color rgb="FF000000"/>
      </right>
    </border>
    <border>
      <left style="thin">
        <color rgb="FF000000"/>
      </left>
      <right style="medium">
        <color rgb="FF000000"/>
      </right>
    </border>
    <border>
      <left/>
      <right/>
      <top/>
      <bottom/>
    </border>
    <border>
      <right style="medium">
        <color rgb="FF000000"/>
      </right>
      <top style="medium">
        <color rgb="FF000000"/>
      </top>
    </border>
    <border>
      <left/>
      <right/>
      <top style="medium">
        <color rgb="FF000000"/>
      </top>
      <bottom/>
    </border>
    <border>
      <left/>
      <right/>
      <top/>
      <bottom style="medium">
        <color rgb="FF000000"/>
      </bottom>
    </border>
    <border>
      <left style="medium">
        <color rgb="FF000000"/>
      </left>
      <right style="thin">
        <color rgb="FF000000"/>
      </right>
      <top style="medium">
        <color rgb="FF000000"/>
      </top>
    </border>
    <border>
      <right style="thin">
        <color rgb="FF000000"/>
      </right>
      <top style="double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top style="double">
        <color rgb="FF000000"/>
      </top>
      <bottom style="thin">
        <color rgb="FF000000"/>
      </bottom>
    </border>
    <border>
      <left style="thin">
        <color rgb="FF000000"/>
      </left>
      <right style="medium">
        <color rgb="FF000000"/>
      </right>
      <top style="double">
        <color rgb="FF000000"/>
      </top>
      <bottom style="thin">
        <color rgb="FF000000"/>
      </bottom>
    </border>
    <border>
      <left style="medium">
        <color rgb="FF000000"/>
      </left>
      <right/>
      <top style="medium">
        <color rgb="FF000000"/>
      </top>
      <bottom/>
    </border>
    <border>
      <left/>
      <right style="medium">
        <color rgb="FF000000"/>
      </right>
      <top style="medium">
        <color rgb="FF000000"/>
      </top>
      <bottom/>
    </border>
    <border>
      <left style="medium">
        <color rgb="FF000000"/>
      </left>
      <right/>
      <top/>
      <bottom/>
    </border>
    <border>
      <left style="medium">
        <color rgb="FF000000"/>
      </left>
      <top style="medium">
        <color rgb="FF000000"/>
      </top>
      <bottom style="thin">
        <color rgb="FF000000"/>
      </bottom>
    </border>
    <border>
      <left/>
      <right style="medium">
        <color rgb="FF000000"/>
      </right>
      <top/>
      <bottom/>
    </border>
    <border>
      <left style="medium">
        <color rgb="FF000000"/>
      </left>
      <right style="thin">
        <color rgb="FF000000"/>
      </right>
      <top style="thin">
        <color rgb="FF000000"/>
      </top>
      <bottom/>
    </border>
    <border>
      <left style="medium">
        <color rgb="FF000000"/>
      </left>
      <right style="thin">
        <color rgb="FF000000"/>
      </right>
      <top/>
      <bottom style="medium">
        <color rgb="FF000000"/>
      </bottom>
    </border>
    <border>
      <left style="thin">
        <color rgb="FF000000"/>
      </left>
      <right style="thin">
        <color rgb="FF000000"/>
      </right>
      <top/>
      <bottom style="medium">
        <color rgb="FF000000"/>
      </bottom>
    </border>
    <border>
      <left style="thin">
        <color rgb="FF000000"/>
      </left>
      <right style="medium">
        <color rgb="FF000000"/>
      </right>
      <top/>
      <bottom style="medium">
        <color rgb="FF000000"/>
      </bottom>
    </border>
    <border>
      <left style="medium">
        <color rgb="FF000000"/>
      </left>
      <right/>
      <top/>
      <bottom style="medium">
        <color rgb="FF000000"/>
      </bottom>
    </border>
    <border>
      <left/>
      <right style="medium">
        <color rgb="FF000000"/>
      </right>
      <top/>
      <bottom style="medium">
        <color rgb="FF000000"/>
      </bottom>
    </border>
    <border>
      <left style="thin">
        <color rgb="FF000000"/>
      </left>
      <bottom style="thin">
        <color rgb="FF000000"/>
      </bottom>
    </border>
    <border>
      <bottom style="thin">
        <color rgb="FF000000"/>
      </bottom>
    </border>
    <border>
      <left style="thin">
        <color rgb="FF000000"/>
      </left>
      <top style="thin">
        <color rgb="FF000000"/>
      </top>
    </border>
    <border>
      <right/>
      <top style="medium">
        <color rgb="FF000000"/>
      </top>
      <bottom/>
    </border>
    <border>
      <left style="thick">
        <color rgb="FF000000"/>
      </left>
      <top style="thick">
        <color rgb="FF000000"/>
      </top>
    </border>
    <border>
      <top style="thick">
        <color rgb="FF000000"/>
      </top>
    </border>
    <border>
      <right style="thick">
        <color rgb="FF000000"/>
      </right>
      <top style="thick">
        <color rgb="FF000000"/>
      </top>
    </border>
    <border>
      <left style="thick">
        <color rgb="FF000000"/>
      </left>
    </border>
    <border>
      <right style="thick">
        <color rgb="FF000000"/>
      </right>
    </border>
    <border>
      <left style="thick">
        <color rgb="FF000000"/>
      </left>
      <bottom style="thick">
        <color rgb="FF000000"/>
      </bottom>
    </border>
    <border>
      <bottom style="thick">
        <color rgb="FF000000"/>
      </bottom>
    </border>
    <border>
      <right style="thick">
        <color rgb="FF000000"/>
      </right>
      <bottom style="thick">
        <color rgb="FF000000"/>
      </bottom>
    </border>
    <border>
      <left style="thin">
        <color rgb="FF000000"/>
      </left>
      <right style="medium">
        <color rgb="FF000000"/>
      </right>
      <top style="medium">
        <color rgb="FF000000"/>
      </top>
    </border>
    <border>
      <left style="medium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</border>
    <border>
      <top style="hair">
        <color rgb="FF000000"/>
      </top>
      <bottom style="hair">
        <color rgb="FF000000"/>
      </bottom>
    </border>
    <border>
      <left style="thin">
        <color rgb="FF000000"/>
      </left>
      <bottom style="hair">
        <color rgb="FF000000"/>
      </bottom>
    </border>
    <border>
      <left style="thin">
        <color rgb="FF000000"/>
      </left>
      <right style="thin">
        <color rgb="FF000000"/>
      </right>
      <bottom style="hair">
        <color rgb="FF000000"/>
      </bottom>
    </border>
    <border>
      <left style="thin">
        <color rgb="FF000000"/>
      </left>
      <right/>
      <top/>
      <bottom style="hair">
        <color rgb="FF000000"/>
      </bottom>
    </border>
    <border>
      <left style="thin">
        <color rgb="FF000000"/>
      </left>
      <right style="thin">
        <color rgb="FF000000"/>
      </right>
      <top/>
      <bottom style="hair">
        <color rgb="FF000000"/>
      </bottom>
    </border>
    <border>
      <left style="thin">
        <color rgb="FF000000"/>
      </left>
    </border>
  </borders>
  <cellStyleXfs count="1">
    <xf borderId="0" fillId="0" fontId="0" numFmtId="0" applyAlignment="1" applyFont="1"/>
  </cellStyleXfs>
  <cellXfs count="598">
    <xf borderId="0" fillId="0" fontId="0" numFmtId="0" xfId="0" applyAlignment="1" applyFont="1">
      <alignment readingOrder="0" shrinkToFit="0" vertical="bottom" wrapText="0"/>
    </xf>
    <xf borderId="1" fillId="0" fontId="1" numFmtId="0" xfId="0" applyAlignment="1" applyBorder="1" applyFont="1">
      <alignment horizontal="left" shrinkToFit="0" vertical="top" wrapText="1"/>
    </xf>
    <xf borderId="2" fillId="0" fontId="2" numFmtId="0" xfId="0" applyBorder="1" applyFont="1"/>
    <xf borderId="3" fillId="0" fontId="2" numFmtId="0" xfId="0" applyBorder="1" applyFont="1"/>
    <xf borderId="0" fillId="0" fontId="3" numFmtId="0" xfId="0" applyFont="1"/>
    <xf borderId="4" fillId="0" fontId="1" numFmtId="0" xfId="0" applyAlignment="1" applyBorder="1" applyFont="1">
      <alignment horizontal="left" shrinkToFit="0" vertical="center" wrapText="1"/>
    </xf>
    <xf borderId="5" fillId="0" fontId="3" numFmtId="0" xfId="0" applyAlignment="1" applyBorder="1" applyFont="1">
      <alignment readingOrder="0" shrinkToFit="0" vertical="center" wrapText="1"/>
    </xf>
    <xf borderId="5" fillId="0" fontId="3" numFmtId="0" xfId="0" applyAlignment="1" applyBorder="1" applyFont="1">
      <alignment shrinkToFit="0" vertical="center" wrapText="1"/>
    </xf>
    <xf borderId="5" fillId="0" fontId="3" numFmtId="0" xfId="0" applyAlignment="1" applyBorder="1" applyFont="1">
      <alignment horizontal="center" vertical="center"/>
    </xf>
    <xf borderId="6" fillId="0" fontId="1" numFmtId="0" xfId="0" applyAlignment="1" applyBorder="1" applyFont="1">
      <alignment horizontal="center" shrinkToFit="0" vertical="center" wrapText="1"/>
    </xf>
    <xf borderId="7" fillId="0" fontId="1" numFmtId="0" xfId="0" applyAlignment="1" applyBorder="1" applyFont="1">
      <alignment horizontal="left" shrinkToFit="0" vertical="center" wrapText="1"/>
    </xf>
    <xf borderId="8" fillId="0" fontId="3" numFmtId="164" xfId="0" applyAlignment="1" applyBorder="1" applyFont="1" applyNumberFormat="1">
      <alignment shrinkToFit="0" vertical="center" wrapText="1"/>
    </xf>
    <xf borderId="8" fillId="0" fontId="3" numFmtId="0" xfId="0" applyAlignment="1" applyBorder="1" applyFont="1">
      <alignment shrinkToFit="0" vertical="center" wrapText="1"/>
    </xf>
    <xf borderId="9" fillId="0" fontId="3" numFmtId="0" xfId="0" applyAlignment="1" applyBorder="1" applyFont="1">
      <alignment shrinkToFit="0" vertical="center" wrapText="1"/>
    </xf>
    <xf borderId="8" fillId="0" fontId="3" numFmtId="0" xfId="0" applyAlignment="1" applyBorder="1" applyFont="1">
      <alignment horizontal="center" vertical="center"/>
    </xf>
    <xf borderId="10" fillId="2" fontId="1" numFmtId="0" xfId="0" applyAlignment="1" applyBorder="1" applyFill="1" applyFont="1">
      <alignment horizontal="center" shrinkToFit="0" vertical="center" wrapText="1"/>
    </xf>
    <xf borderId="11" fillId="0" fontId="1" numFmtId="0" xfId="0" applyAlignment="1" applyBorder="1" applyFont="1">
      <alignment horizontal="left" shrinkToFit="0" vertical="center" wrapText="1"/>
    </xf>
    <xf borderId="12" fillId="0" fontId="3" numFmtId="0" xfId="0" applyAlignment="1" applyBorder="1" applyFont="1">
      <alignment shrinkToFit="0" vertical="center" wrapText="1"/>
    </xf>
    <xf borderId="13" fillId="0" fontId="3" numFmtId="0" xfId="0" applyAlignment="1" applyBorder="1" applyFont="1">
      <alignment shrinkToFit="0" vertical="center" wrapText="1"/>
    </xf>
    <xf borderId="14" fillId="0" fontId="3" numFmtId="0" xfId="0" applyAlignment="1" applyBorder="1" applyFont="1">
      <alignment readingOrder="0" shrinkToFit="0" vertical="center" wrapText="1"/>
    </xf>
    <xf borderId="15" fillId="0" fontId="3" numFmtId="0" xfId="0" applyAlignment="1" applyBorder="1" applyFont="1">
      <alignment horizontal="center" vertical="center"/>
    </xf>
    <xf borderId="16" fillId="0" fontId="2" numFmtId="0" xfId="0" applyBorder="1" applyFont="1"/>
    <xf borderId="17" fillId="0" fontId="1" numFmtId="0" xfId="0" applyAlignment="1" applyBorder="1" applyFont="1">
      <alignment horizontal="left" shrinkToFit="0" vertical="center" wrapText="1"/>
    </xf>
    <xf borderId="18" fillId="0" fontId="3" numFmtId="0" xfId="0" applyAlignment="1" applyBorder="1" applyFont="1">
      <alignment shrinkToFit="0" vertical="center" wrapText="1"/>
    </xf>
    <xf borderId="18" fillId="0" fontId="3" numFmtId="165" xfId="0" applyAlignment="1" applyBorder="1" applyFont="1" applyNumberFormat="1">
      <alignment horizontal="center" vertical="center"/>
    </xf>
    <xf borderId="19" fillId="2" fontId="3" numFmtId="165" xfId="0" applyAlignment="1" applyBorder="1" applyFont="1" applyNumberFormat="1">
      <alignment horizontal="center" vertical="center"/>
    </xf>
    <xf borderId="8" fillId="0" fontId="3" numFmtId="9" xfId="0" applyAlignment="1" applyBorder="1" applyFont="1" applyNumberFormat="1">
      <alignment shrinkToFit="0" vertical="center" wrapText="1"/>
    </xf>
    <xf borderId="8" fillId="0" fontId="3" numFmtId="165" xfId="0" applyAlignment="1" applyBorder="1" applyFont="1" applyNumberFormat="1">
      <alignment horizontal="center" vertical="center"/>
    </xf>
    <xf borderId="16" fillId="0" fontId="1" numFmtId="0" xfId="0" applyAlignment="1" applyBorder="1" applyFont="1">
      <alignment horizontal="center" shrinkToFit="0" vertical="center" wrapText="1"/>
    </xf>
    <xf borderId="20" fillId="0" fontId="1" numFmtId="0" xfId="0" applyAlignment="1" applyBorder="1" applyFont="1">
      <alignment horizontal="center" shrinkToFit="0" vertical="center" wrapText="1"/>
    </xf>
    <xf borderId="9" fillId="0" fontId="3" numFmtId="9" xfId="0" applyAlignment="1" applyBorder="1" applyFont="1" applyNumberFormat="1">
      <alignment shrinkToFit="0" vertical="center" wrapText="1"/>
    </xf>
    <xf borderId="9" fillId="0" fontId="3" numFmtId="165" xfId="0" applyAlignment="1" applyBorder="1" applyFont="1" applyNumberFormat="1">
      <alignment horizontal="center" vertical="center"/>
    </xf>
    <xf borderId="21" fillId="0" fontId="1" numFmtId="0" xfId="0" applyAlignment="1" applyBorder="1" applyFont="1">
      <alignment horizontal="left" shrinkToFit="0" vertical="center" wrapText="1"/>
    </xf>
    <xf borderId="22" fillId="0" fontId="1" numFmtId="0" xfId="0" applyAlignment="1" applyBorder="1" applyFont="1">
      <alignment shrinkToFit="0" vertical="center" wrapText="1"/>
    </xf>
    <xf borderId="23" fillId="0" fontId="1" numFmtId="0" xfId="0" applyAlignment="1" applyBorder="1" applyFont="1">
      <alignment shrinkToFit="0" vertical="center" wrapText="1"/>
    </xf>
    <xf borderId="24" fillId="0" fontId="1" numFmtId="165" xfId="0" applyAlignment="1" applyBorder="1" applyFont="1" applyNumberFormat="1">
      <alignment horizontal="center" vertical="center"/>
    </xf>
    <xf borderId="19" fillId="0" fontId="1" numFmtId="0" xfId="0" applyAlignment="1" applyBorder="1" applyFont="1">
      <alignment horizontal="center" shrinkToFit="0" vertical="center" wrapText="1"/>
    </xf>
    <xf borderId="25" fillId="0" fontId="1" numFmtId="0" xfId="0" applyAlignment="1" applyBorder="1" applyFont="1">
      <alignment horizontal="center" shrinkToFit="0" vertical="center" wrapText="1"/>
    </xf>
    <xf borderId="26" fillId="0" fontId="1" numFmtId="0" xfId="0" applyAlignment="1" applyBorder="1" applyFont="1">
      <alignment horizontal="center" shrinkToFit="0" vertical="center" wrapText="1"/>
    </xf>
    <xf borderId="27" fillId="0" fontId="1" numFmtId="0" xfId="0" applyAlignment="1" applyBorder="1" applyFont="1">
      <alignment horizontal="right" shrinkToFit="0" vertical="center" wrapText="1"/>
    </xf>
    <xf borderId="28" fillId="0" fontId="2" numFmtId="0" xfId="0" applyBorder="1" applyFont="1"/>
    <xf borderId="29" fillId="0" fontId="2" numFmtId="0" xfId="0" applyBorder="1" applyFont="1"/>
    <xf borderId="26" fillId="0" fontId="1" numFmtId="0" xfId="0" applyAlignment="1" applyBorder="1" applyFont="1">
      <alignment shrinkToFit="0" vertical="center" wrapText="1"/>
    </xf>
    <xf borderId="26" fillId="0" fontId="1" numFmtId="166" xfId="0" applyAlignment="1" applyBorder="1" applyFont="1" applyNumberFormat="1">
      <alignment shrinkToFit="0" vertical="center" wrapText="1"/>
    </xf>
    <xf borderId="30" fillId="0" fontId="1" numFmtId="0" xfId="0" applyAlignment="1" applyBorder="1" applyFont="1">
      <alignment horizontal="center" shrinkToFit="0" vertical="center" wrapText="1"/>
    </xf>
    <xf borderId="31" fillId="0" fontId="1" numFmtId="0" xfId="0" applyAlignment="1" applyBorder="1" applyFont="1">
      <alignment horizontal="center" shrinkToFit="0" vertical="center" wrapText="1"/>
    </xf>
    <xf borderId="32" fillId="0" fontId="1" numFmtId="0" xfId="0" applyAlignment="1" applyBorder="1" applyFont="1">
      <alignment horizontal="center" shrinkToFit="0" vertical="center" wrapText="1"/>
    </xf>
    <xf borderId="33" fillId="0" fontId="4" numFmtId="0" xfId="0" applyAlignment="1" applyBorder="1" applyFont="1">
      <alignment horizontal="center" vertical="center"/>
    </xf>
    <xf borderId="34" fillId="0" fontId="1" numFmtId="0" xfId="0" applyAlignment="1" applyBorder="1" applyFont="1">
      <alignment horizontal="center" shrinkToFit="0" vertical="center" wrapText="1"/>
    </xf>
    <xf borderId="33" fillId="0" fontId="5" numFmtId="1" xfId="0" applyAlignment="1" applyBorder="1" applyFont="1" applyNumberFormat="1">
      <alignment horizontal="center" shrinkToFit="0" wrapText="1"/>
    </xf>
    <xf borderId="33" fillId="0" fontId="5" numFmtId="167" xfId="0" applyAlignment="1" applyBorder="1" applyFont="1" applyNumberFormat="1">
      <alignment horizontal="center" shrinkToFit="0" wrapText="1"/>
    </xf>
    <xf borderId="35" fillId="0" fontId="5" numFmtId="167" xfId="0" applyAlignment="1" applyBorder="1" applyFont="1" applyNumberFormat="1">
      <alignment horizontal="center" shrinkToFit="0" wrapText="1"/>
    </xf>
    <xf borderId="36" fillId="0" fontId="1" numFmtId="4" xfId="0" applyAlignment="1" applyBorder="1" applyFont="1" applyNumberFormat="1">
      <alignment horizontal="center" shrinkToFit="0" vertical="center" wrapText="1"/>
    </xf>
    <xf borderId="4" fillId="0" fontId="1" numFmtId="4" xfId="0" applyAlignment="1" applyBorder="1" applyFont="1" applyNumberFormat="1">
      <alignment horizontal="center" shrinkToFit="0" vertical="center" wrapText="1"/>
    </xf>
    <xf borderId="5" fillId="0" fontId="1" numFmtId="4" xfId="0" applyAlignment="1" applyBorder="1" applyFont="1" applyNumberFormat="1">
      <alignment horizontal="center" shrinkToFit="0" vertical="center" wrapText="1"/>
    </xf>
    <xf borderId="6" fillId="0" fontId="1" numFmtId="4" xfId="0" applyAlignment="1" applyBorder="1" applyFont="1" applyNumberFormat="1">
      <alignment horizontal="center" shrinkToFit="0" vertical="center" wrapText="1"/>
    </xf>
    <xf borderId="37" fillId="3" fontId="6" numFmtId="49" xfId="0" applyAlignment="1" applyBorder="1" applyFill="1" applyFont="1" applyNumberFormat="1">
      <alignment horizontal="center" shrinkToFit="0" vertical="center" wrapText="1"/>
    </xf>
    <xf borderId="38" fillId="0" fontId="2" numFmtId="0" xfId="0" applyBorder="1" applyFont="1"/>
    <xf borderId="39" fillId="0" fontId="2" numFmtId="0" xfId="0" applyBorder="1" applyFont="1"/>
    <xf borderId="0" fillId="0" fontId="3" numFmtId="9" xfId="0" applyFont="1" applyNumberFormat="1"/>
    <xf borderId="11" fillId="0" fontId="3" numFmtId="0" xfId="0" applyAlignment="1" applyBorder="1" applyFont="1">
      <alignment horizontal="center"/>
    </xf>
    <xf borderId="12" fillId="0" fontId="3" numFmtId="0" xfId="0" applyAlignment="1" applyBorder="1" applyFont="1">
      <alignment horizontal="center"/>
    </xf>
    <xf borderId="12" fillId="0" fontId="3" numFmtId="164" xfId="0" applyAlignment="1" applyBorder="1" applyFont="1" applyNumberFormat="1">
      <alignment horizontal="center"/>
    </xf>
    <xf borderId="12" fillId="0" fontId="3" numFmtId="165" xfId="0" applyAlignment="1" applyBorder="1" applyFont="1" applyNumberFormat="1">
      <alignment horizontal="center"/>
    </xf>
    <xf borderId="40" fillId="0" fontId="3" numFmtId="9" xfId="0" applyAlignment="1" applyBorder="1" applyFont="1" applyNumberFormat="1">
      <alignment horizontal="center"/>
    </xf>
    <xf borderId="41" fillId="0" fontId="3" numFmtId="2" xfId="0" applyAlignment="1" applyBorder="1" applyFont="1" applyNumberFormat="1">
      <alignment horizontal="center" shrinkToFit="0" wrapText="1"/>
    </xf>
    <xf borderId="39" fillId="0" fontId="7" numFmtId="49" xfId="0" applyAlignment="1" applyBorder="1" applyFont="1" applyNumberFormat="1">
      <alignment horizontal="left" shrinkToFit="0" vertical="center" wrapText="1"/>
    </xf>
    <xf borderId="8" fillId="0" fontId="3" numFmtId="49" xfId="0" applyAlignment="1" applyBorder="1" applyFont="1" applyNumberFormat="1">
      <alignment horizontal="center" shrinkToFit="0" wrapText="1"/>
    </xf>
    <xf borderId="8" fillId="0" fontId="3" numFmtId="167" xfId="0" applyAlignment="1" applyBorder="1" applyFont="1" applyNumberFormat="1">
      <alignment horizontal="center" vertical="center"/>
    </xf>
    <xf borderId="42" fillId="4" fontId="8" numFmtId="49" xfId="0" applyAlignment="1" applyBorder="1" applyFill="1" applyFont="1" applyNumberFormat="1">
      <alignment horizontal="left" shrinkToFit="0" vertical="center" wrapText="1"/>
    </xf>
    <xf borderId="8" fillId="4" fontId="8" numFmtId="49" xfId="0" applyAlignment="1" applyBorder="1" applyFont="1" applyNumberFormat="1">
      <alignment horizontal="center" shrinkToFit="0" wrapText="1"/>
    </xf>
    <xf borderId="8" fillId="4" fontId="8" numFmtId="2" xfId="0" applyAlignment="1" applyBorder="1" applyFont="1" applyNumberFormat="1">
      <alignment horizontal="center" vertical="center"/>
    </xf>
    <xf borderId="8" fillId="4" fontId="8" numFmtId="2" xfId="0" applyAlignment="1" applyBorder="1" applyFont="1" applyNumberFormat="1">
      <alignment horizontal="center" readingOrder="0" vertical="center"/>
    </xf>
    <xf borderId="8" fillId="4" fontId="3" numFmtId="2" xfId="0" applyAlignment="1" applyBorder="1" applyFont="1" applyNumberFormat="1">
      <alignment shrinkToFit="0" wrapText="1"/>
    </xf>
    <xf borderId="42" fillId="5" fontId="6" numFmtId="0" xfId="0" applyAlignment="1" applyBorder="1" applyFill="1" applyFont="1">
      <alignment shrinkToFit="0" vertical="center" wrapText="1"/>
    </xf>
    <xf borderId="8" fillId="5" fontId="6" numFmtId="49" xfId="0" applyAlignment="1" applyBorder="1" applyFont="1" applyNumberFormat="1">
      <alignment shrinkToFit="0" vertical="center" wrapText="1"/>
    </xf>
    <xf borderId="8" fillId="5" fontId="6" numFmtId="2" xfId="0" applyAlignment="1" applyBorder="1" applyFont="1" applyNumberFormat="1">
      <alignment shrinkToFit="0" vertical="center" wrapText="1"/>
    </xf>
    <xf borderId="8" fillId="5" fontId="6" numFmtId="2" xfId="0" applyAlignment="1" applyBorder="1" applyFont="1" applyNumberFormat="1">
      <alignment horizontal="center" shrinkToFit="0" vertical="center" wrapText="1"/>
    </xf>
    <xf borderId="8" fillId="0" fontId="3" numFmtId="2" xfId="0" applyAlignment="1" applyBorder="1" applyFont="1" applyNumberFormat="1">
      <alignment horizontal="center" vertical="center"/>
    </xf>
    <xf borderId="42" fillId="6" fontId="3" numFmtId="0" xfId="0" applyAlignment="1" applyBorder="1" applyFill="1" applyFont="1">
      <alignment shrinkToFit="0" wrapText="1"/>
    </xf>
    <xf borderId="8" fillId="6" fontId="3" numFmtId="49" xfId="0" applyAlignment="1" applyBorder="1" applyFont="1" applyNumberFormat="1">
      <alignment horizontal="center" shrinkToFit="0" wrapText="1"/>
    </xf>
    <xf borderId="8" fillId="6" fontId="3" numFmtId="2" xfId="0" applyAlignment="1" applyBorder="1" applyFont="1" applyNumberFormat="1">
      <alignment horizontal="center" readingOrder="0" vertical="center"/>
    </xf>
    <xf borderId="43" fillId="5" fontId="6" numFmtId="0" xfId="0" applyAlignment="1" applyBorder="1" applyFont="1">
      <alignment shrinkToFit="0" vertical="center" wrapText="1"/>
    </xf>
    <xf borderId="12" fillId="5" fontId="6" numFmtId="49" xfId="0" applyAlignment="1" applyBorder="1" applyFont="1" applyNumberFormat="1">
      <alignment shrinkToFit="0" vertical="center" wrapText="1"/>
    </xf>
    <xf borderId="12" fillId="5" fontId="6" numFmtId="2" xfId="0" applyAlignment="1" applyBorder="1" applyFont="1" applyNumberFormat="1">
      <alignment shrinkToFit="0" vertical="center" wrapText="1"/>
    </xf>
    <xf borderId="12" fillId="5" fontId="6" numFmtId="2" xfId="0" applyAlignment="1" applyBorder="1" applyFont="1" applyNumberFormat="1">
      <alignment horizontal="center" shrinkToFit="0" vertical="center" wrapText="1"/>
    </xf>
    <xf borderId="44" fillId="0" fontId="7" numFmtId="49" xfId="0" applyAlignment="1" applyBorder="1" applyFont="1" applyNumberFormat="1">
      <alignment horizontal="left" shrinkToFit="0" vertical="center" wrapText="1"/>
    </xf>
    <xf borderId="18" fillId="0" fontId="3" numFmtId="49" xfId="0" applyAlignment="1" applyBorder="1" applyFont="1" applyNumberFormat="1">
      <alignment horizontal="center" shrinkToFit="0" wrapText="1"/>
    </xf>
    <xf borderId="18" fillId="0" fontId="3" numFmtId="2" xfId="0" applyAlignment="1" applyBorder="1" applyFont="1" applyNumberFormat="1">
      <alignment horizontal="center" vertical="center"/>
    </xf>
    <xf borderId="45" fillId="0" fontId="3" numFmtId="2" xfId="0" applyAlignment="1" applyBorder="1" applyFont="1" applyNumberFormat="1">
      <alignment horizontal="center" vertical="center"/>
    </xf>
    <xf borderId="41" fillId="4" fontId="3" numFmtId="2" xfId="0" applyAlignment="1" applyBorder="1" applyFont="1" applyNumberFormat="1">
      <alignment shrinkToFit="0" wrapText="1"/>
    </xf>
    <xf borderId="46" fillId="0" fontId="7" numFmtId="49" xfId="0" applyAlignment="1" applyBorder="1" applyFont="1" applyNumberFormat="1">
      <alignment horizontal="left" shrinkToFit="0" vertical="center" wrapText="1"/>
    </xf>
    <xf borderId="9" fillId="0" fontId="3" numFmtId="49" xfId="0" applyAlignment="1" applyBorder="1" applyFont="1" applyNumberFormat="1">
      <alignment horizontal="center" shrinkToFit="0" wrapText="1"/>
    </xf>
    <xf borderId="9" fillId="0" fontId="3" numFmtId="2" xfId="0" applyAlignment="1" applyBorder="1" applyFont="1" applyNumberFormat="1">
      <alignment horizontal="center" vertical="center"/>
    </xf>
    <xf borderId="47" fillId="4" fontId="3" numFmtId="2" xfId="0" applyAlignment="1" applyBorder="1" applyFont="1" applyNumberFormat="1">
      <alignment shrinkToFit="0" wrapText="1"/>
    </xf>
    <xf borderId="48" fillId="6" fontId="3" numFmtId="0" xfId="0" applyAlignment="1" applyBorder="1" applyFont="1">
      <alignment shrinkToFit="0" wrapText="1"/>
    </xf>
    <xf borderId="5" fillId="6" fontId="3" numFmtId="49" xfId="0" applyAlignment="1" applyBorder="1" applyFont="1" applyNumberFormat="1">
      <alignment horizontal="center" shrinkToFit="0" wrapText="1"/>
    </xf>
    <xf borderId="5" fillId="6" fontId="3" numFmtId="2" xfId="0" applyAlignment="1" applyBorder="1" applyFont="1" applyNumberFormat="1">
      <alignment horizontal="center" vertical="center"/>
    </xf>
    <xf borderId="5" fillId="0" fontId="3" numFmtId="2" xfId="0" applyAlignment="1" applyBorder="1" applyFont="1" applyNumberFormat="1">
      <alignment horizontal="center" vertical="center"/>
    </xf>
    <xf borderId="6" fillId="4" fontId="3" numFmtId="2" xfId="0" applyAlignment="1" applyBorder="1" applyFont="1" applyNumberFormat="1">
      <alignment shrinkToFit="0" wrapText="1"/>
    </xf>
    <xf borderId="8" fillId="6" fontId="3" numFmtId="2" xfId="0" applyAlignment="1" applyBorder="1" applyFont="1" applyNumberFormat="1">
      <alignment horizontal="center" vertical="center"/>
    </xf>
    <xf borderId="49" fillId="5" fontId="6" numFmtId="0" xfId="0" applyAlignment="1" applyBorder="1" applyFont="1">
      <alignment shrinkToFit="0" vertical="center" wrapText="1"/>
    </xf>
    <xf borderId="50" fillId="5" fontId="6" numFmtId="49" xfId="0" applyAlignment="1" applyBorder="1" applyFont="1" applyNumberFormat="1">
      <alignment shrinkToFit="0" vertical="center" wrapText="1"/>
    </xf>
    <xf borderId="50" fillId="5" fontId="6" numFmtId="2" xfId="0" applyAlignment="1" applyBorder="1" applyFont="1" applyNumberFormat="1">
      <alignment shrinkToFit="0" vertical="center" wrapText="1"/>
    </xf>
    <xf borderId="47" fillId="5" fontId="6" numFmtId="2" xfId="0" applyAlignment="1" applyBorder="1" applyFont="1" applyNumberFormat="1">
      <alignment horizontal="center" shrinkToFit="0" vertical="center" wrapText="1"/>
    </xf>
    <xf borderId="51" fillId="0" fontId="7" numFmtId="49" xfId="0" applyAlignment="1" applyBorder="1" applyFont="1" applyNumberFormat="1">
      <alignment horizontal="left" shrinkToFit="0" vertical="center" wrapText="1"/>
    </xf>
    <xf borderId="5" fillId="0" fontId="3" numFmtId="49" xfId="0" applyAlignment="1" applyBorder="1" applyFont="1" applyNumberFormat="1">
      <alignment horizontal="center" shrinkToFit="0" wrapText="1"/>
    </xf>
    <xf borderId="6" fillId="0" fontId="3" numFmtId="2" xfId="0" applyAlignment="1" applyBorder="1" applyFont="1" applyNumberFormat="1">
      <alignment horizontal="center" vertical="center"/>
    </xf>
    <xf borderId="5" fillId="6" fontId="3" numFmtId="2" xfId="0" applyAlignment="1" applyBorder="1" applyFont="1" applyNumberFormat="1">
      <alignment horizontal="center" readingOrder="0" vertical="center"/>
    </xf>
    <xf borderId="40" fillId="5" fontId="6" numFmtId="2" xfId="0" applyAlignment="1" applyBorder="1" applyFont="1" applyNumberFormat="1">
      <alignment horizontal="center" shrinkToFit="0" vertical="center" wrapText="1"/>
    </xf>
    <xf borderId="42" fillId="7" fontId="9" numFmtId="49" xfId="0" applyAlignment="1" applyBorder="1" applyFill="1" applyFont="1" applyNumberFormat="1">
      <alignment horizontal="left" shrinkToFit="0" vertical="center" wrapText="1"/>
    </xf>
    <xf borderId="8" fillId="7" fontId="3" numFmtId="49" xfId="0" applyAlignment="1" applyBorder="1" applyFont="1" applyNumberFormat="1">
      <alignment horizontal="center" shrinkToFit="0" wrapText="1"/>
    </xf>
    <xf borderId="8" fillId="7" fontId="10" numFmtId="2" xfId="0" applyAlignment="1" applyBorder="1" applyFont="1" applyNumberFormat="1">
      <alignment horizontal="center" shrinkToFit="0" wrapText="1"/>
    </xf>
    <xf borderId="8" fillId="7" fontId="3" numFmtId="2" xfId="0" applyAlignment="1" applyBorder="1" applyFont="1" applyNumberFormat="1">
      <alignment shrinkToFit="0" wrapText="1"/>
    </xf>
    <xf borderId="41" fillId="0" fontId="3" numFmtId="2" xfId="0" applyAlignment="1" applyBorder="1" applyFont="1" applyNumberFormat="1">
      <alignment horizontal="center" vertical="center"/>
    </xf>
    <xf borderId="39" fillId="0" fontId="3" numFmtId="0" xfId="0" applyAlignment="1" applyBorder="1" applyFont="1">
      <alignment shrinkToFit="0" wrapText="1"/>
    </xf>
    <xf borderId="8" fillId="0" fontId="3" numFmtId="2" xfId="0" applyAlignment="1" applyBorder="1" applyFont="1" applyNumberFormat="1">
      <alignment horizontal="center" shrinkToFit="0" wrapText="1"/>
    </xf>
    <xf borderId="8" fillId="0" fontId="3" numFmtId="2" xfId="0" applyAlignment="1" applyBorder="1" applyFont="1" applyNumberFormat="1">
      <alignment horizontal="center" readingOrder="0" shrinkToFit="0" wrapText="1"/>
    </xf>
    <xf borderId="8" fillId="0" fontId="3" numFmtId="2" xfId="0" applyAlignment="1" applyBorder="1" applyFont="1" applyNumberFormat="1">
      <alignment shrinkToFit="0" wrapText="1"/>
    </xf>
    <xf borderId="42" fillId="8" fontId="3" numFmtId="0" xfId="0" applyAlignment="1" applyBorder="1" applyFill="1" applyFont="1">
      <alignment shrinkToFit="0" wrapText="1"/>
    </xf>
    <xf borderId="46" fillId="0" fontId="3" numFmtId="0" xfId="0" applyAlignment="1" applyBorder="1" applyFont="1">
      <alignment shrinkToFit="0" wrapText="1"/>
    </xf>
    <xf borderId="9" fillId="0" fontId="3" numFmtId="2" xfId="0" applyAlignment="1" applyBorder="1" applyFont="1" applyNumberFormat="1">
      <alignment horizontal="center" shrinkToFit="0" wrapText="1"/>
    </xf>
    <xf borderId="9" fillId="0" fontId="3" numFmtId="2" xfId="0" applyAlignment="1" applyBorder="1" applyFont="1" applyNumberFormat="1">
      <alignment shrinkToFit="0" wrapText="1"/>
    </xf>
    <xf borderId="9" fillId="0" fontId="3" numFmtId="2" xfId="0" applyAlignment="1" applyBorder="1" applyFont="1" applyNumberFormat="1">
      <alignment horizontal="center" readingOrder="0" shrinkToFit="0" wrapText="1"/>
    </xf>
    <xf borderId="43" fillId="6" fontId="3" numFmtId="0" xfId="0" applyAlignment="1" applyBorder="1" applyFont="1">
      <alignment shrinkToFit="0" wrapText="1"/>
    </xf>
    <xf borderId="12" fillId="6" fontId="3" numFmtId="49" xfId="0" applyAlignment="1" applyBorder="1" applyFont="1" applyNumberFormat="1">
      <alignment horizontal="center" shrinkToFit="0" wrapText="1"/>
    </xf>
    <xf borderId="12" fillId="6" fontId="3" numFmtId="2" xfId="0" applyAlignment="1" applyBorder="1" applyFont="1" applyNumberFormat="1">
      <alignment horizontal="center" vertical="center"/>
    </xf>
    <xf borderId="12" fillId="0" fontId="3" numFmtId="2" xfId="0" applyAlignment="1" applyBorder="1" applyFont="1" applyNumberFormat="1">
      <alignment horizontal="center" vertical="center"/>
    </xf>
    <xf borderId="40" fillId="4" fontId="3" numFmtId="2" xfId="0" applyAlignment="1" applyBorder="1" applyFont="1" applyNumberFormat="1">
      <alignment shrinkToFit="0" wrapText="1"/>
    </xf>
    <xf borderId="52" fillId="5" fontId="6" numFmtId="0" xfId="0" applyAlignment="1" applyBorder="1" applyFont="1">
      <alignment shrinkToFit="0" vertical="center" wrapText="1"/>
    </xf>
    <xf borderId="53" fillId="5" fontId="6" numFmtId="49" xfId="0" applyAlignment="1" applyBorder="1" applyFont="1" applyNumberFormat="1">
      <alignment shrinkToFit="0" vertical="center" wrapText="1"/>
    </xf>
    <xf borderId="53" fillId="5" fontId="6" numFmtId="2" xfId="0" applyAlignment="1" applyBorder="1" applyFont="1" applyNumberFormat="1">
      <alignment shrinkToFit="0" vertical="center" wrapText="1"/>
    </xf>
    <xf borderId="54" fillId="5" fontId="6" numFmtId="2" xfId="0" applyAlignment="1" applyBorder="1" applyFont="1" applyNumberFormat="1">
      <alignment horizontal="center" shrinkToFit="0" vertical="center" wrapText="1"/>
    </xf>
    <xf borderId="5" fillId="0" fontId="3" numFmtId="49" xfId="0" applyBorder="1" applyFont="1" applyNumberFormat="1"/>
    <xf borderId="39" fillId="0" fontId="3" numFmtId="0" xfId="0" applyAlignment="1" applyBorder="1" applyFont="1">
      <alignment shrinkToFit="0" vertical="center" wrapText="1"/>
    </xf>
    <xf borderId="46" fillId="0" fontId="3" numFmtId="0" xfId="0" applyAlignment="1" applyBorder="1" applyFont="1">
      <alignment shrinkToFit="0" vertical="center" wrapText="1"/>
    </xf>
    <xf borderId="12" fillId="6" fontId="3" numFmtId="2" xfId="0" applyAlignment="1" applyBorder="1" applyFont="1" applyNumberFormat="1">
      <alignment horizontal="center" readingOrder="0" vertical="center"/>
    </xf>
    <xf borderId="39" fillId="0" fontId="11" numFmtId="0" xfId="0" applyAlignment="1" applyBorder="1" applyFont="1">
      <alignment shrinkToFit="0" wrapText="1"/>
    </xf>
    <xf borderId="42" fillId="9" fontId="11" numFmtId="0" xfId="0" applyAlignment="1" applyBorder="1" applyFill="1" applyFont="1">
      <alignment shrinkToFit="0" wrapText="1"/>
    </xf>
    <xf borderId="8" fillId="0" fontId="3" numFmtId="49" xfId="0" applyAlignment="1" applyBorder="1" applyFont="1" applyNumberFormat="1">
      <alignment horizontal="center" readingOrder="0" shrinkToFit="0" wrapText="1"/>
    </xf>
    <xf borderId="55" fillId="0" fontId="3" numFmtId="2" xfId="0" applyAlignment="1" applyBorder="1" applyFont="1" applyNumberFormat="1">
      <alignment horizontal="center" vertical="center"/>
    </xf>
    <xf borderId="56" fillId="6" fontId="3" numFmtId="0" xfId="0" applyAlignment="1" applyBorder="1" applyFont="1">
      <alignment shrinkToFit="0" wrapText="1"/>
    </xf>
    <xf borderId="23" fillId="6" fontId="3" numFmtId="49" xfId="0" applyAlignment="1" applyBorder="1" applyFont="1" applyNumberFormat="1">
      <alignment horizontal="center" shrinkToFit="0" wrapText="1"/>
    </xf>
    <xf borderId="23" fillId="6" fontId="3" numFmtId="2" xfId="0" applyAlignment="1" applyBorder="1" applyFont="1" applyNumberFormat="1">
      <alignment horizontal="center" vertical="center"/>
    </xf>
    <xf borderId="23" fillId="0" fontId="3" numFmtId="2" xfId="0" applyAlignment="1" applyBorder="1" applyFont="1" applyNumberFormat="1">
      <alignment horizontal="center" vertical="center"/>
    </xf>
    <xf borderId="24" fillId="4" fontId="3" numFmtId="2" xfId="0" applyAlignment="1" applyBorder="1" applyFont="1" applyNumberFormat="1">
      <alignment shrinkToFit="0" wrapText="1"/>
    </xf>
    <xf borderId="42" fillId="4" fontId="3" numFmtId="0" xfId="0" applyAlignment="1" applyBorder="1" applyFont="1">
      <alignment shrinkToFit="0" wrapText="1"/>
    </xf>
    <xf borderId="8" fillId="4" fontId="3" numFmtId="49" xfId="0" applyAlignment="1" applyBorder="1" applyFont="1" applyNumberFormat="1">
      <alignment horizontal="center" shrinkToFit="0" wrapText="1"/>
    </xf>
    <xf borderId="8" fillId="4" fontId="10" numFmtId="2" xfId="0" applyAlignment="1" applyBorder="1" applyFont="1" applyNumberFormat="1">
      <alignment horizontal="center" shrinkToFit="0" wrapText="1"/>
    </xf>
    <xf borderId="8" fillId="4" fontId="10" numFmtId="2" xfId="0" applyAlignment="1" applyBorder="1" applyFont="1" applyNumberFormat="1">
      <alignment horizontal="center" readingOrder="0" shrinkToFit="0" wrapText="1"/>
    </xf>
    <xf borderId="15" fillId="0" fontId="7" numFmtId="49" xfId="0" applyAlignment="1" applyBorder="1" applyFont="1" applyNumberFormat="1">
      <alignment horizontal="left" shrinkToFit="0" vertical="center" wrapText="1"/>
    </xf>
    <xf borderId="12" fillId="0" fontId="3" numFmtId="49" xfId="0" applyAlignment="1" applyBorder="1" applyFont="1" applyNumberFormat="1">
      <alignment horizontal="center" shrinkToFit="0" wrapText="1"/>
    </xf>
    <xf borderId="57" fillId="6" fontId="3" numFmtId="0" xfId="0" applyAlignment="1" applyBorder="1" applyFont="1">
      <alignment shrinkToFit="0" wrapText="1"/>
    </xf>
    <xf borderId="58" fillId="6" fontId="3" numFmtId="49" xfId="0" applyAlignment="1" applyBorder="1" applyFont="1" applyNumberFormat="1">
      <alignment horizontal="center" shrinkToFit="0" wrapText="1"/>
    </xf>
    <xf borderId="58" fillId="6" fontId="3" numFmtId="2" xfId="0" applyAlignment="1" applyBorder="1" applyFont="1" applyNumberFormat="1">
      <alignment horizontal="center" vertical="center"/>
    </xf>
    <xf borderId="59" fillId="4" fontId="3" numFmtId="2" xfId="0" applyAlignment="1" applyBorder="1" applyFont="1" applyNumberFormat="1">
      <alignment shrinkToFit="0" wrapText="1"/>
    </xf>
    <xf borderId="40" fillId="0" fontId="3" numFmtId="2" xfId="0" applyAlignment="1" applyBorder="1" applyFont="1" applyNumberFormat="1">
      <alignment horizontal="center" vertical="center"/>
    </xf>
    <xf borderId="8" fillId="0" fontId="10" numFmtId="2" xfId="0" applyAlignment="1" applyBorder="1" applyFont="1" applyNumberFormat="1">
      <alignment horizontal="center" shrinkToFit="0" wrapText="1"/>
    </xf>
    <xf borderId="49" fillId="4" fontId="3" numFmtId="0" xfId="0" applyAlignment="1" applyBorder="1" applyFont="1">
      <alignment shrinkToFit="0" wrapText="1"/>
    </xf>
    <xf borderId="50" fillId="4" fontId="3" numFmtId="49" xfId="0" applyAlignment="1" applyBorder="1" applyFont="1" applyNumberFormat="1">
      <alignment horizontal="center" shrinkToFit="0" wrapText="1"/>
    </xf>
    <xf borderId="50" fillId="4" fontId="10" numFmtId="2" xfId="0" applyAlignment="1" applyBorder="1" applyFont="1" applyNumberFormat="1">
      <alignment horizontal="center" shrinkToFit="0" wrapText="1"/>
    </xf>
    <xf borderId="50" fillId="4" fontId="3" numFmtId="2" xfId="0" applyAlignment="1" applyBorder="1" applyFont="1" applyNumberFormat="1">
      <alignment shrinkToFit="0" wrapText="1"/>
    </xf>
    <xf borderId="41" fillId="0" fontId="3" numFmtId="2" xfId="0" applyBorder="1" applyFont="1" applyNumberFormat="1"/>
    <xf borderId="0" fillId="0" fontId="3" numFmtId="49" xfId="0" applyFont="1" applyNumberFormat="1"/>
    <xf borderId="0" fillId="0" fontId="3" numFmtId="2" xfId="0" applyAlignment="1" applyFont="1" applyNumberFormat="1">
      <alignment horizontal="center" vertical="center"/>
    </xf>
    <xf borderId="0" fillId="0" fontId="3" numFmtId="0" xfId="0" applyAlignment="1" applyFont="1">
      <alignment horizontal="center" vertical="center"/>
    </xf>
    <xf borderId="49" fillId="10" fontId="1" numFmtId="0" xfId="0" applyAlignment="1" applyBorder="1" applyFill="1" applyFont="1">
      <alignment horizontal="center" shrinkToFit="0" wrapText="1"/>
    </xf>
    <xf borderId="50" fillId="10" fontId="3" numFmtId="49" xfId="0" applyAlignment="1" applyBorder="1" applyFont="1" applyNumberFormat="1">
      <alignment horizontal="center" shrinkToFit="0" wrapText="1"/>
    </xf>
    <xf borderId="50" fillId="10" fontId="3" numFmtId="2" xfId="0" applyAlignment="1" applyBorder="1" applyFont="1" applyNumberFormat="1">
      <alignment horizontal="center" vertical="center"/>
    </xf>
    <xf borderId="47" fillId="10" fontId="3" numFmtId="2" xfId="0" applyAlignment="1" applyBorder="1" applyFont="1" applyNumberFormat="1">
      <alignment horizontal="center" vertical="center"/>
    </xf>
    <xf borderId="49" fillId="10" fontId="3" numFmtId="0" xfId="0" applyAlignment="1" applyBorder="1" applyFont="1">
      <alignment shrinkToFit="0" wrapText="1"/>
    </xf>
    <xf borderId="39" fillId="0" fontId="3" numFmtId="0" xfId="0" applyAlignment="1" applyBorder="1" applyFont="1">
      <alignment horizontal="center" shrinkToFit="0" wrapText="1"/>
    </xf>
    <xf borderId="60" fillId="3" fontId="6" numFmtId="49" xfId="0" applyAlignment="1" applyBorder="1" applyFont="1" applyNumberFormat="1">
      <alignment shrinkToFit="0" vertical="center" wrapText="1"/>
    </xf>
    <xf borderId="60" fillId="3" fontId="6" numFmtId="2" xfId="0" applyAlignment="1" applyBorder="1" applyFont="1" applyNumberFormat="1">
      <alignment shrinkToFit="0" vertical="center" wrapText="1"/>
    </xf>
    <xf borderId="61" fillId="3" fontId="6" numFmtId="2" xfId="0" applyAlignment="1" applyBorder="1" applyFont="1" applyNumberFormat="1">
      <alignment shrinkToFit="0" vertical="center" wrapText="1"/>
    </xf>
    <xf borderId="61" fillId="3" fontId="6" numFmtId="2" xfId="0" applyAlignment="1" applyBorder="1" applyFont="1" applyNumberFormat="1">
      <alignment horizontal="center" shrinkToFit="0" vertical="center" wrapText="1"/>
    </xf>
    <xf borderId="41" fillId="3" fontId="6" numFmtId="49" xfId="0" applyAlignment="1" applyBorder="1" applyFont="1" applyNumberFormat="1">
      <alignment horizontal="center" shrinkToFit="0" vertical="center" wrapText="1"/>
    </xf>
    <xf borderId="62" fillId="3" fontId="6" numFmtId="49" xfId="0" applyAlignment="1" applyBorder="1" applyFont="1" applyNumberFormat="1">
      <alignment horizontal="center" shrinkToFit="0" vertical="center" wrapText="1"/>
    </xf>
    <xf borderId="63" fillId="0" fontId="2" numFmtId="0" xfId="0" applyBorder="1" applyFont="1"/>
    <xf borderId="64" fillId="0" fontId="2" numFmtId="0" xfId="0" applyBorder="1" applyFont="1"/>
    <xf borderId="18" fillId="0" fontId="3" numFmtId="2" xfId="0" applyAlignment="1" applyBorder="1" applyFont="1" applyNumberFormat="1">
      <alignment horizontal="center"/>
    </xf>
    <xf borderId="8" fillId="0" fontId="3" numFmtId="2" xfId="0" applyAlignment="1" applyBorder="1" applyFont="1" applyNumberFormat="1">
      <alignment horizontal="center"/>
    </xf>
    <xf borderId="0" fillId="0" fontId="3" numFmtId="0" xfId="0" applyAlignment="1" applyFont="1">
      <alignment shrinkToFit="0" wrapText="1"/>
    </xf>
    <xf borderId="65" fillId="0" fontId="7" numFmtId="49" xfId="0" applyAlignment="1" applyBorder="1" applyFont="1" applyNumberFormat="1">
      <alignment horizontal="left" shrinkToFit="0" vertical="center" wrapText="1"/>
    </xf>
    <xf borderId="23" fillId="0" fontId="3" numFmtId="49" xfId="0" applyAlignment="1" applyBorder="1" applyFont="1" applyNumberFormat="1">
      <alignment horizontal="center" shrinkToFit="0" wrapText="1"/>
    </xf>
    <xf borderId="24" fillId="0" fontId="3" numFmtId="2" xfId="0" applyAlignment="1" applyBorder="1" applyFont="1" applyNumberFormat="1">
      <alignment horizontal="center" vertical="center"/>
    </xf>
    <xf borderId="57" fillId="11" fontId="3" numFmtId="0" xfId="0" applyAlignment="1" applyBorder="1" applyFill="1" applyFont="1">
      <alignment shrinkToFit="0" wrapText="1"/>
    </xf>
    <xf borderId="58" fillId="11" fontId="3" numFmtId="49" xfId="0" applyAlignment="1" applyBorder="1" applyFont="1" applyNumberFormat="1">
      <alignment horizontal="center" shrinkToFit="0" wrapText="1"/>
    </xf>
    <xf borderId="58" fillId="11" fontId="10" numFmtId="2" xfId="0" applyAlignment="1" applyBorder="1" applyFont="1" applyNumberFormat="1">
      <alignment horizontal="center" shrinkToFit="0" wrapText="1"/>
    </xf>
    <xf borderId="58" fillId="11" fontId="3" numFmtId="2" xfId="0" applyAlignment="1" applyBorder="1" applyFont="1" applyNumberFormat="1">
      <alignment shrinkToFit="0" wrapText="1"/>
    </xf>
    <xf borderId="59" fillId="11" fontId="3" numFmtId="2" xfId="0" applyAlignment="1" applyBorder="1" applyFont="1" applyNumberFormat="1">
      <alignment shrinkToFit="0" wrapText="1"/>
    </xf>
    <xf borderId="15" fillId="0" fontId="3" numFmtId="0" xfId="0" applyAlignment="1" applyBorder="1" applyFont="1">
      <alignment shrinkToFit="0" wrapText="1"/>
    </xf>
    <xf borderId="12" fillId="0" fontId="3" numFmtId="2" xfId="0" applyAlignment="1" applyBorder="1" applyFont="1" applyNumberFormat="1">
      <alignment horizontal="center" shrinkToFit="0" wrapText="1"/>
    </xf>
    <xf borderId="12" fillId="0" fontId="3" numFmtId="2" xfId="0" applyAlignment="1" applyBorder="1" applyFont="1" applyNumberFormat="1">
      <alignment shrinkToFit="0" wrapText="1"/>
    </xf>
    <xf borderId="42" fillId="6" fontId="7" numFmtId="49" xfId="0" applyAlignment="1" applyBorder="1" applyFont="1" applyNumberFormat="1">
      <alignment horizontal="left" shrinkToFit="0" vertical="center" wrapText="1"/>
    </xf>
    <xf borderId="8" fillId="6" fontId="7" numFmtId="49" xfId="0" applyAlignment="1" applyBorder="1" applyFont="1" applyNumberFormat="1">
      <alignment horizontal="left" shrinkToFit="0" vertical="center" wrapText="1"/>
    </xf>
    <xf borderId="8" fillId="6" fontId="7" numFmtId="2" xfId="0" applyAlignment="1" applyBorder="1" applyFont="1" applyNumberFormat="1">
      <alignment horizontal="left" shrinkToFit="0" vertical="center" wrapText="1"/>
    </xf>
    <xf borderId="41" fillId="6" fontId="7" numFmtId="2" xfId="0" applyAlignment="1" applyBorder="1" applyFont="1" applyNumberFormat="1">
      <alignment horizontal="left" shrinkToFit="0" vertical="center" wrapText="1"/>
    </xf>
    <xf borderId="43" fillId="4" fontId="3" numFmtId="0" xfId="0" applyAlignment="1" applyBorder="1" applyFont="1">
      <alignment shrinkToFit="0" wrapText="1"/>
    </xf>
    <xf borderId="12" fillId="4" fontId="3" numFmtId="49" xfId="0" applyAlignment="1" applyBorder="1" applyFont="1" applyNumberFormat="1">
      <alignment horizontal="center" shrinkToFit="0" wrapText="1"/>
    </xf>
    <xf borderId="12" fillId="4" fontId="10" numFmtId="2" xfId="0" applyAlignment="1" applyBorder="1" applyFont="1" applyNumberFormat="1">
      <alignment horizontal="center" shrinkToFit="0" wrapText="1"/>
    </xf>
    <xf borderId="12" fillId="4" fontId="3" numFmtId="2" xfId="0" applyAlignment="1" applyBorder="1" applyFont="1" applyNumberFormat="1">
      <alignment shrinkToFit="0" wrapText="1"/>
    </xf>
    <xf borderId="8" fillId="0" fontId="3" numFmtId="49" xfId="0" applyAlignment="1" applyBorder="1" applyFont="1" applyNumberFormat="1">
      <alignment horizontal="center"/>
    </xf>
    <xf borderId="39" fillId="0" fontId="3" numFmtId="0" xfId="0" applyAlignment="1" applyBorder="1" applyFont="1">
      <alignment horizontal="left"/>
    </xf>
    <xf borderId="8" fillId="0" fontId="1" numFmtId="49" xfId="0" applyAlignment="1" applyBorder="1" applyFont="1" applyNumberFormat="1">
      <alignment horizontal="center" shrinkToFit="0" wrapText="1"/>
    </xf>
    <xf borderId="8" fillId="0" fontId="1" numFmtId="2" xfId="0" applyAlignment="1" applyBorder="1" applyFont="1" applyNumberFormat="1">
      <alignment horizontal="center" shrinkToFit="0" wrapText="1"/>
    </xf>
    <xf borderId="8" fillId="0" fontId="1" numFmtId="2" xfId="0" applyAlignment="1" applyBorder="1" applyFont="1" applyNumberFormat="1">
      <alignment shrinkToFit="0" wrapText="1"/>
    </xf>
    <xf borderId="5" fillId="0" fontId="1" numFmtId="49" xfId="0" applyAlignment="1" applyBorder="1" applyFont="1" applyNumberFormat="1">
      <alignment horizontal="center" shrinkToFit="0" wrapText="1"/>
    </xf>
    <xf borderId="18" fillId="0" fontId="1" numFmtId="49" xfId="0" applyAlignment="1" applyBorder="1" applyFont="1" applyNumberFormat="1">
      <alignment horizontal="center" shrinkToFit="0" wrapText="1"/>
    </xf>
    <xf borderId="46" fillId="0" fontId="3" numFmtId="0" xfId="0" applyAlignment="1" applyBorder="1" applyFont="1">
      <alignment horizontal="left"/>
    </xf>
    <xf borderId="9" fillId="0" fontId="3" numFmtId="49" xfId="0" applyAlignment="1" applyBorder="1" applyFont="1" applyNumberFormat="1">
      <alignment horizontal="center"/>
    </xf>
    <xf borderId="40" fillId="0" fontId="3" numFmtId="2" xfId="0" applyBorder="1" applyFont="1" applyNumberFormat="1"/>
    <xf borderId="66" fillId="3" fontId="12" numFmtId="0" xfId="0" applyAlignment="1" applyBorder="1" applyFont="1">
      <alignment horizontal="center" shrinkToFit="0" vertical="center" wrapText="1"/>
    </xf>
    <xf borderId="67" fillId="0" fontId="2" numFmtId="0" xfId="0" applyBorder="1" applyFont="1"/>
    <xf borderId="68" fillId="0" fontId="2" numFmtId="0" xfId="0" applyBorder="1" applyFont="1"/>
    <xf borderId="69" fillId="0" fontId="1" numFmtId="0" xfId="0" applyAlignment="1" applyBorder="1" applyFont="1">
      <alignment horizontal="center" shrinkToFit="0" vertical="center" wrapText="1"/>
    </xf>
    <xf borderId="70" fillId="0" fontId="1" numFmtId="0" xfId="0" applyAlignment="1" applyBorder="1" applyFont="1">
      <alignment horizontal="left" shrinkToFit="0" vertical="center" wrapText="1"/>
    </xf>
    <xf borderId="71" fillId="0" fontId="1" numFmtId="0" xfId="0" applyAlignment="1" applyBorder="1" applyFont="1">
      <alignment horizontal="left" shrinkToFit="0" vertical="center" wrapText="1"/>
    </xf>
    <xf borderId="51" fillId="0" fontId="2" numFmtId="0" xfId="0" applyBorder="1" applyFont="1"/>
    <xf borderId="8" fillId="0" fontId="1" numFmtId="9" xfId="0" applyAlignment="1" applyBorder="1" applyFont="1" applyNumberFormat="1">
      <alignment horizontal="center" shrinkToFit="0" vertical="center" wrapText="1"/>
    </xf>
    <xf borderId="6" fillId="0" fontId="1" numFmtId="168" xfId="0" applyAlignment="1" applyBorder="1" applyFont="1" applyNumberFormat="1">
      <alignment horizontal="right" shrinkToFit="0" vertical="center" wrapText="1"/>
    </xf>
    <xf borderId="72" fillId="0" fontId="1" numFmtId="168" xfId="0" applyAlignment="1" applyBorder="1" applyFont="1" applyNumberFormat="1">
      <alignment horizontal="right" vertical="center"/>
    </xf>
    <xf borderId="73" fillId="12" fontId="3" numFmtId="0" xfId="0" applyAlignment="1" applyBorder="1" applyFill="1" applyFont="1">
      <alignment horizontal="center"/>
    </xf>
    <xf borderId="69" fillId="0" fontId="2" numFmtId="0" xfId="0" applyBorder="1" applyFont="1"/>
    <xf borderId="20" fillId="12" fontId="1" numFmtId="0" xfId="0" applyAlignment="1" applyBorder="1" applyFont="1">
      <alignment horizontal="left" shrinkToFit="0" vertical="center" wrapText="1"/>
    </xf>
    <xf borderId="38" fillId="0" fontId="1" numFmtId="0" xfId="0" applyAlignment="1" applyBorder="1" applyFont="1">
      <alignment horizontal="left" shrinkToFit="0" vertical="center" wrapText="1"/>
    </xf>
    <xf borderId="41" fillId="0" fontId="1" numFmtId="168" xfId="0" applyAlignment="1" applyBorder="1" applyFont="1" applyNumberFormat="1">
      <alignment horizontal="right" shrinkToFit="0" vertical="center" wrapText="1"/>
    </xf>
    <xf borderId="0" fillId="0" fontId="1" numFmtId="168" xfId="0" applyAlignment="1" applyFont="1" applyNumberFormat="1">
      <alignment horizontal="right" vertical="center"/>
    </xf>
    <xf borderId="8" fillId="0" fontId="3" numFmtId="0" xfId="0" applyBorder="1" applyFont="1"/>
    <xf borderId="41" fillId="0" fontId="3" numFmtId="0" xfId="0" applyBorder="1" applyFont="1"/>
    <xf borderId="20" fillId="0" fontId="1" numFmtId="0" xfId="0" applyAlignment="1" applyBorder="1" applyFont="1">
      <alignment horizontal="left" shrinkToFit="0" vertical="center" wrapText="1"/>
    </xf>
    <xf borderId="74" fillId="0" fontId="1" numFmtId="0" xfId="0" applyAlignment="1" applyBorder="1" applyFont="1">
      <alignment horizontal="left" shrinkToFit="0" vertical="center" wrapText="1"/>
    </xf>
    <xf borderId="46" fillId="0" fontId="2" numFmtId="0" xfId="0" applyBorder="1" applyFont="1"/>
    <xf borderId="9" fillId="0" fontId="1" numFmtId="9" xfId="0" applyAlignment="1" applyBorder="1" applyFont="1" applyNumberFormat="1">
      <alignment horizontal="center" shrinkToFit="0" vertical="center" wrapText="1"/>
    </xf>
    <xf borderId="55" fillId="0" fontId="1" numFmtId="168" xfId="0" applyAlignment="1" applyBorder="1" applyFont="1" applyNumberFormat="1">
      <alignment horizontal="right" shrinkToFit="0" vertical="center" wrapText="1"/>
    </xf>
    <xf borderId="75" fillId="12" fontId="1" numFmtId="0" xfId="0" applyAlignment="1" applyBorder="1" applyFont="1">
      <alignment horizontal="left" shrinkToFit="0" vertical="center" wrapText="1"/>
    </xf>
    <xf borderId="65" fillId="0" fontId="2" numFmtId="0" xfId="0" applyBorder="1" applyFont="1"/>
    <xf borderId="23" fillId="12" fontId="1" numFmtId="9" xfId="0" applyAlignment="1" applyBorder="1" applyFont="1" applyNumberFormat="1">
      <alignment horizontal="center" shrinkToFit="0" vertical="center" wrapText="1"/>
    </xf>
    <xf borderId="24" fillId="12" fontId="1" numFmtId="168" xfId="0" applyAlignment="1" applyBorder="1" applyFont="1" applyNumberFormat="1">
      <alignment horizontal="right" shrinkToFit="0" vertical="center" wrapText="1"/>
    </xf>
    <xf borderId="19" fillId="0" fontId="1" numFmtId="0" xfId="0" applyAlignment="1" applyBorder="1" applyFont="1">
      <alignment horizontal="left" shrinkToFit="0" vertical="center" wrapText="1"/>
    </xf>
    <xf borderId="72" fillId="0" fontId="1" numFmtId="0" xfId="0" applyAlignment="1" applyBorder="1" applyFont="1">
      <alignment horizontal="right" shrinkToFit="0" vertical="center" wrapText="1"/>
    </xf>
    <xf borderId="15" fillId="0" fontId="2" numFmtId="0" xfId="0" applyBorder="1" applyFont="1"/>
    <xf borderId="12" fillId="0" fontId="1" numFmtId="0" xfId="0" applyAlignment="1" applyBorder="1" applyFont="1">
      <alignment shrinkToFit="0" vertical="center" wrapText="1"/>
    </xf>
    <xf borderId="40" fillId="0" fontId="1" numFmtId="168" xfId="0" applyAlignment="1" applyBorder="1" applyFont="1" applyNumberFormat="1">
      <alignment horizontal="right" shrinkToFit="0" vertical="center" wrapText="1"/>
    </xf>
    <xf borderId="0" fillId="0" fontId="3" numFmtId="0" xfId="0" applyAlignment="1" applyFont="1">
      <alignment horizontal="left"/>
    </xf>
    <xf borderId="76" fillId="0" fontId="1" numFmtId="0" xfId="0" applyAlignment="1" applyBorder="1" applyFont="1">
      <alignment horizontal="left" shrinkToFit="0" vertical="center" wrapText="1"/>
    </xf>
    <xf borderId="0" fillId="0" fontId="1" numFmtId="0" xfId="0" applyAlignment="1" applyFont="1">
      <alignment shrinkToFit="0" vertical="center" wrapText="1"/>
    </xf>
    <xf borderId="0" fillId="0" fontId="1" numFmtId="0" xfId="0" applyAlignment="1" applyFont="1">
      <alignment horizontal="left" shrinkToFit="0" vertical="center" wrapText="1"/>
    </xf>
    <xf borderId="77" fillId="0" fontId="1" numFmtId="0" xfId="0" applyAlignment="1" applyBorder="1" applyFont="1">
      <alignment shrinkToFit="0" vertical="center" wrapText="1"/>
    </xf>
    <xf borderId="9" fillId="0" fontId="3" numFmtId="169" xfId="0" applyAlignment="1" applyBorder="1" applyFont="1" applyNumberFormat="1">
      <alignment horizontal="center"/>
    </xf>
    <xf borderId="40" fillId="0" fontId="3" numFmtId="168" xfId="0" applyBorder="1" applyFont="1" applyNumberFormat="1"/>
    <xf borderId="78" fillId="0" fontId="1" numFmtId="0" xfId="0" applyAlignment="1" applyBorder="1" applyFont="1">
      <alignment horizontal="right" shrinkToFit="0" vertical="center" wrapText="1"/>
    </xf>
    <xf borderId="24" fillId="4" fontId="10" numFmtId="0" xfId="0" applyAlignment="1" applyBorder="1" applyFont="1">
      <alignment horizontal="center" shrinkToFit="0" wrapText="1"/>
    </xf>
    <xf borderId="70" fillId="0" fontId="3" numFmtId="0" xfId="0" applyAlignment="1" applyBorder="1" applyFont="1">
      <alignment horizontal="center" shrinkToFit="0" vertical="center" wrapText="1"/>
    </xf>
    <xf borderId="79" fillId="0" fontId="3" numFmtId="0" xfId="0" applyBorder="1" applyFont="1"/>
    <xf borderId="80" fillId="0" fontId="1" numFmtId="0" xfId="0" applyAlignment="1" applyBorder="1" applyFont="1">
      <alignment horizontal="center" shrinkToFit="0" vertical="center" wrapText="1"/>
    </xf>
    <xf borderId="28" fillId="0" fontId="1" numFmtId="0" xfId="0" applyAlignment="1" applyBorder="1" applyFont="1">
      <alignment horizontal="center" shrinkToFit="0" vertical="center" wrapText="1"/>
    </xf>
    <xf borderId="81" fillId="0" fontId="1" numFmtId="0" xfId="0" applyAlignment="1" applyBorder="1" applyFont="1">
      <alignment horizontal="center" shrinkToFit="0" vertical="center" wrapText="1"/>
    </xf>
    <xf borderId="10" fillId="0" fontId="3" numFmtId="168" xfId="0" applyAlignment="1" applyBorder="1" applyFont="1" applyNumberFormat="1">
      <alignment horizontal="center" shrinkToFit="0" vertical="center" wrapText="1"/>
    </xf>
    <xf borderId="82" fillId="0" fontId="3" numFmtId="170" xfId="0" applyAlignment="1" applyBorder="1" applyFont="1" applyNumberFormat="1">
      <alignment horizontal="center" shrinkToFit="0" vertical="center" wrapText="1"/>
    </xf>
    <xf borderId="83" fillId="0" fontId="1" numFmtId="0" xfId="0" applyAlignment="1" applyBorder="1" applyFont="1">
      <alignment horizontal="center" shrinkToFit="0" vertical="center" wrapText="1"/>
    </xf>
    <xf borderId="84" fillId="0" fontId="1" numFmtId="0" xfId="0" applyAlignment="1" applyBorder="1" applyFont="1">
      <alignment horizontal="center" shrinkToFit="0" vertical="center" wrapText="1"/>
    </xf>
    <xf borderId="32" fillId="0" fontId="1" numFmtId="4" xfId="0" applyAlignment="1" applyBorder="1" applyFont="1" applyNumberFormat="1">
      <alignment horizontal="center" shrinkToFit="0" vertical="center" wrapText="1"/>
    </xf>
    <xf borderId="85" fillId="0" fontId="1" numFmtId="4" xfId="0" applyAlignment="1" applyBorder="1" applyFont="1" applyNumberFormat="1">
      <alignment horizontal="center" shrinkToFit="0" vertical="center" wrapText="1"/>
    </xf>
    <xf borderId="0" fillId="0" fontId="1" numFmtId="0" xfId="0" applyAlignment="1" applyFont="1">
      <alignment horizontal="left" shrinkToFit="0" wrapText="1"/>
    </xf>
    <xf borderId="22" fillId="0" fontId="3" numFmtId="0" xfId="0" applyAlignment="1" applyBorder="1" applyFont="1">
      <alignment horizontal="center" shrinkToFit="0" vertical="center" wrapText="1"/>
    </xf>
    <xf borderId="24" fillId="0" fontId="3" numFmtId="0" xfId="0" applyAlignment="1" applyBorder="1" applyFont="1">
      <alignment horizontal="center" vertical="center"/>
    </xf>
    <xf borderId="20" fillId="13" fontId="13" numFmtId="0" xfId="0" applyBorder="1" applyFill="1" applyFont="1"/>
    <xf borderId="42" fillId="13" fontId="6" numFmtId="49" xfId="0" applyAlignment="1" applyBorder="1" applyFont="1" applyNumberFormat="1">
      <alignment horizontal="center" shrinkToFit="0" vertical="center" wrapText="1"/>
    </xf>
    <xf borderId="8" fillId="13" fontId="13" numFmtId="0" xfId="0" applyAlignment="1" applyBorder="1" applyFont="1">
      <alignment horizontal="center" shrinkToFit="0" wrapText="1"/>
    </xf>
    <xf borderId="8" fillId="13" fontId="13" numFmtId="4" xfId="0" applyAlignment="1" applyBorder="1" applyFont="1" applyNumberFormat="1">
      <alignment shrinkToFit="0" wrapText="1"/>
    </xf>
    <xf borderId="41" fillId="13" fontId="13" numFmtId="4" xfId="0" applyAlignment="1" applyBorder="1" applyFont="1" applyNumberFormat="1">
      <alignment shrinkToFit="0" wrapText="1"/>
    </xf>
    <xf borderId="0" fillId="0" fontId="3" numFmtId="4" xfId="0" applyAlignment="1" applyFont="1" applyNumberFormat="1">
      <alignment horizontal="right"/>
    </xf>
    <xf borderId="18" fillId="0" fontId="3" numFmtId="169" xfId="0" applyAlignment="1" applyBorder="1" applyFont="1" applyNumberFormat="1">
      <alignment horizontal="center"/>
    </xf>
    <xf borderId="45" fillId="0" fontId="3" numFmtId="0" xfId="0" applyBorder="1" applyFont="1"/>
    <xf borderId="45" fillId="0" fontId="3" numFmtId="171" xfId="0" applyBorder="1" applyFont="1" applyNumberFormat="1"/>
    <xf borderId="20" fillId="0" fontId="3" numFmtId="49" xfId="0" applyBorder="1" applyFont="1" applyNumberFormat="1"/>
    <xf borderId="8" fillId="0" fontId="3" numFmtId="0" xfId="0" applyAlignment="1" applyBorder="1" applyFont="1">
      <alignment horizontal="center" shrinkToFit="0" wrapText="1"/>
    </xf>
    <xf borderId="8" fillId="0" fontId="3" numFmtId="4" xfId="0" applyAlignment="1" applyBorder="1" applyFont="1" applyNumberFormat="1">
      <alignment shrinkToFit="0" wrapText="1"/>
    </xf>
    <xf borderId="41" fillId="0" fontId="3" numFmtId="4" xfId="0" applyAlignment="1" applyBorder="1" applyFont="1" applyNumberFormat="1">
      <alignment shrinkToFit="0" wrapText="1"/>
    </xf>
    <xf borderId="20" fillId="0" fontId="3" numFmtId="0" xfId="0" applyBorder="1" applyFont="1"/>
    <xf borderId="8" fillId="4" fontId="3" numFmtId="0" xfId="0" applyAlignment="1" applyBorder="1" applyFont="1">
      <alignment horizontal="center" shrinkToFit="0" wrapText="1"/>
    </xf>
    <xf borderId="8" fillId="4" fontId="10" numFmtId="0" xfId="0" applyAlignment="1" applyBorder="1" applyFont="1">
      <alignment horizontal="center" shrinkToFit="0" wrapText="1"/>
    </xf>
    <xf borderId="8" fillId="4" fontId="3" numFmtId="4" xfId="0" applyAlignment="1" applyBorder="1" applyFont="1" applyNumberFormat="1">
      <alignment shrinkToFit="0" wrapText="1"/>
    </xf>
    <xf borderId="41" fillId="4" fontId="3" numFmtId="4" xfId="0" applyAlignment="1" applyBorder="1" applyFont="1" applyNumberFormat="1">
      <alignment shrinkToFit="0" wrapText="1"/>
    </xf>
    <xf borderId="18" fillId="0" fontId="3" numFmtId="172" xfId="0" applyAlignment="1" applyBorder="1" applyFont="1" applyNumberFormat="1">
      <alignment horizontal="center"/>
    </xf>
    <xf borderId="20" fillId="3" fontId="13" numFmtId="49" xfId="0" applyBorder="1" applyFont="1" applyNumberFormat="1"/>
    <xf borderId="42" fillId="3" fontId="6" numFmtId="0" xfId="0" applyAlignment="1" applyBorder="1" applyFont="1">
      <alignment horizontal="right" shrinkToFit="0" wrapText="1"/>
    </xf>
    <xf borderId="8" fillId="3" fontId="6" numFmtId="0" xfId="0" applyAlignment="1" applyBorder="1" applyFont="1">
      <alignment horizontal="center" shrinkToFit="0" wrapText="1"/>
    </xf>
    <xf borderId="8" fillId="3" fontId="6" numFmtId="4" xfId="0" applyAlignment="1" applyBorder="1" applyFont="1" applyNumberFormat="1">
      <alignment shrinkToFit="0" wrapText="1"/>
    </xf>
    <xf borderId="41" fillId="3" fontId="6" numFmtId="4" xfId="0" applyAlignment="1" applyBorder="1" applyFont="1" applyNumberFormat="1">
      <alignment shrinkToFit="0" wrapText="1"/>
    </xf>
    <xf borderId="39" fillId="0" fontId="9" numFmtId="49" xfId="0" applyAlignment="1" applyBorder="1" applyFont="1" applyNumberFormat="1">
      <alignment horizontal="left" shrinkToFit="0" vertical="center" wrapText="1"/>
    </xf>
    <xf borderId="8" fillId="0" fontId="10" numFmtId="0" xfId="0" applyAlignment="1" applyBorder="1" applyFont="1">
      <alignment horizontal="center" shrinkToFit="0" wrapText="1"/>
    </xf>
    <xf borderId="8" fillId="7" fontId="3" numFmtId="0" xfId="0" applyAlignment="1" applyBorder="1" applyFont="1">
      <alignment horizontal="center" shrinkToFit="0" wrapText="1"/>
    </xf>
    <xf borderId="8" fillId="7" fontId="10" numFmtId="0" xfId="0" applyAlignment="1" applyBorder="1" applyFont="1">
      <alignment horizontal="center" shrinkToFit="0" wrapText="1"/>
    </xf>
    <xf borderId="8" fillId="7" fontId="3" numFmtId="4" xfId="0" applyAlignment="1" applyBorder="1" applyFont="1" applyNumberFormat="1">
      <alignment shrinkToFit="0" wrapText="1"/>
    </xf>
    <xf borderId="41" fillId="7" fontId="3" numFmtId="4" xfId="0" applyAlignment="1" applyBorder="1" applyFont="1" applyNumberFormat="1">
      <alignment shrinkToFit="0" wrapText="1"/>
    </xf>
    <xf borderId="8" fillId="0" fontId="1" numFmtId="0" xfId="0" applyAlignment="1" applyBorder="1" applyFont="1">
      <alignment horizontal="center" shrinkToFit="0" wrapText="1"/>
    </xf>
    <xf borderId="8" fillId="0" fontId="1" numFmtId="4" xfId="0" applyAlignment="1" applyBorder="1" applyFont="1" applyNumberFormat="1">
      <alignment shrinkToFit="0" wrapText="1"/>
    </xf>
    <xf borderId="39" fillId="0" fontId="1" numFmtId="0" xfId="0" applyAlignment="1" applyBorder="1" applyFont="1">
      <alignment horizontal="right" shrinkToFit="0" wrapText="1"/>
    </xf>
    <xf borderId="8" fillId="0" fontId="3" numFmtId="169" xfId="0" applyAlignment="1" applyBorder="1" applyFont="1" applyNumberFormat="1">
      <alignment horizontal="center"/>
    </xf>
    <xf borderId="18" fillId="0" fontId="3" numFmtId="171" xfId="0" applyAlignment="1" applyBorder="1" applyFont="1" applyNumberFormat="1">
      <alignment horizontal="center"/>
    </xf>
    <xf borderId="41" fillId="0" fontId="1" numFmtId="4" xfId="0" applyAlignment="1" applyBorder="1" applyFont="1" applyNumberFormat="1">
      <alignment shrinkToFit="0" wrapText="1"/>
    </xf>
    <xf borderId="20" fillId="4" fontId="3" numFmtId="0" xfId="0" applyBorder="1" applyFont="1"/>
    <xf borderId="50" fillId="4" fontId="3" numFmtId="0" xfId="0" applyAlignment="1" applyBorder="1" applyFont="1">
      <alignment horizontal="center" shrinkToFit="0" wrapText="1"/>
    </xf>
    <xf borderId="8" fillId="4" fontId="1" numFmtId="0" xfId="0" applyAlignment="1" applyBorder="1" applyFont="1">
      <alignment horizontal="center" shrinkToFit="0" wrapText="1"/>
    </xf>
    <xf borderId="50" fillId="4" fontId="3" numFmtId="4" xfId="0" applyAlignment="1" applyBorder="1" applyFont="1" applyNumberFormat="1">
      <alignment shrinkToFit="0" wrapText="1"/>
    </xf>
    <xf borderId="0" fillId="0" fontId="3" numFmtId="171" xfId="0" applyFont="1" applyNumberFormat="1"/>
    <xf borderId="9" fillId="0" fontId="3" numFmtId="0" xfId="0" applyAlignment="1" applyBorder="1" applyFont="1">
      <alignment horizontal="center" shrinkToFit="0" wrapText="1"/>
    </xf>
    <xf borderId="9" fillId="0" fontId="3" numFmtId="4" xfId="0" applyAlignment="1" applyBorder="1" applyFont="1" applyNumberFormat="1">
      <alignment shrinkToFit="0" wrapText="1"/>
    </xf>
    <xf borderId="8" fillId="0" fontId="3" numFmtId="0" xfId="0" applyAlignment="1" applyBorder="1" applyFont="1">
      <alignment horizontal="center"/>
    </xf>
    <xf borderId="39" fillId="0" fontId="3" numFmtId="0" xfId="0" applyAlignment="1" applyBorder="1" applyFont="1">
      <alignment horizontal="left" shrinkToFit="0" wrapText="1"/>
    </xf>
    <xf borderId="39" fillId="0" fontId="3" numFmtId="0" xfId="0" applyBorder="1" applyFont="1"/>
    <xf borderId="19" fillId="0" fontId="3" numFmtId="0" xfId="0" applyBorder="1" applyFont="1"/>
    <xf borderId="15" fillId="0" fontId="3" numFmtId="0" xfId="0" applyBorder="1" applyFont="1"/>
    <xf borderId="12" fillId="0" fontId="3" numFmtId="0" xfId="0" applyBorder="1" applyFont="1"/>
    <xf borderId="40" fillId="0" fontId="3" numFmtId="0" xfId="0" applyBorder="1" applyFont="1"/>
    <xf borderId="86" fillId="14" fontId="13" numFmtId="0" xfId="0" applyBorder="1" applyFill="1" applyFont="1"/>
    <xf borderId="58" fillId="14" fontId="13" numFmtId="0" xfId="0" applyBorder="1" applyFont="1"/>
    <xf borderId="59" fillId="14" fontId="13" numFmtId="0" xfId="0" applyBorder="1" applyFont="1"/>
    <xf borderId="0" fillId="0" fontId="14" numFmtId="0" xfId="0" applyAlignment="1" applyFont="1">
      <alignment shrinkToFit="0" vertical="center" wrapText="1"/>
    </xf>
    <xf borderId="1" fillId="0" fontId="14" numFmtId="0" xfId="0" applyAlignment="1" applyBorder="1" applyFont="1">
      <alignment horizontal="center" shrinkToFit="0" vertical="center" wrapText="1"/>
    </xf>
    <xf borderId="87" fillId="0" fontId="2" numFmtId="0" xfId="0" applyBorder="1" applyFont="1"/>
    <xf borderId="0" fillId="0" fontId="14" numFmtId="0" xfId="0" applyAlignment="1" applyFont="1">
      <alignment horizontal="center" shrinkToFit="0" vertical="center" wrapText="1"/>
    </xf>
    <xf borderId="0" fillId="0" fontId="1" numFmtId="0" xfId="0" applyAlignment="1" applyFont="1">
      <alignment horizontal="right" shrinkToFit="0" vertical="center" wrapText="1"/>
    </xf>
    <xf borderId="77" fillId="0" fontId="1" numFmtId="171" xfId="0" applyAlignment="1" applyBorder="1" applyFont="1" applyNumberFormat="1">
      <alignment horizontal="left" shrinkToFit="0" vertical="center" wrapText="1"/>
    </xf>
    <xf borderId="0" fillId="0" fontId="15" numFmtId="0" xfId="0" applyFont="1"/>
    <xf borderId="0" fillId="0" fontId="15" numFmtId="0" xfId="0" applyAlignment="1" applyFont="1">
      <alignment horizontal="center"/>
    </xf>
    <xf borderId="1" fillId="0" fontId="16" numFmtId="0" xfId="0" applyAlignment="1" applyBorder="1" applyFont="1">
      <alignment horizontal="right" shrinkToFit="0" wrapText="1"/>
    </xf>
    <xf borderId="2" fillId="0" fontId="10" numFmtId="0" xfId="0" applyAlignment="1" applyBorder="1" applyFont="1">
      <alignment horizontal="right" shrinkToFit="0" wrapText="1"/>
    </xf>
    <xf borderId="88" fillId="4" fontId="10" numFmtId="0" xfId="0" applyAlignment="1" applyBorder="1" applyFont="1">
      <alignment horizontal="center" shrinkToFit="0" wrapText="1"/>
    </xf>
    <xf borderId="2" fillId="0" fontId="10" numFmtId="4" xfId="0" applyAlignment="1" applyBorder="1" applyFont="1" applyNumberFormat="1">
      <alignment shrinkToFit="0" wrapText="1"/>
    </xf>
    <xf borderId="87" fillId="0" fontId="10" numFmtId="4" xfId="0" applyAlignment="1" applyBorder="1" applyFont="1" applyNumberFormat="1">
      <alignment shrinkToFit="0" wrapText="1"/>
    </xf>
    <xf borderId="0" fillId="0" fontId="10" numFmtId="0" xfId="0" applyFont="1"/>
    <xf borderId="76" fillId="0" fontId="16" numFmtId="0" xfId="0" applyAlignment="1" applyBorder="1" applyFont="1">
      <alignment horizontal="right" shrinkToFit="0" wrapText="1"/>
    </xf>
    <xf borderId="0" fillId="0" fontId="10" numFmtId="0" xfId="0" applyAlignment="1" applyFont="1">
      <alignment horizontal="right" shrinkToFit="0" wrapText="1"/>
    </xf>
    <xf borderId="86" fillId="15" fontId="10" numFmtId="0" xfId="0" applyAlignment="1" applyBorder="1" applyFill="1" applyFont="1">
      <alignment horizontal="center" shrinkToFit="0" wrapText="1"/>
    </xf>
    <xf borderId="0" fillId="0" fontId="10" numFmtId="4" xfId="0" applyAlignment="1" applyFont="1" applyNumberFormat="1">
      <alignment shrinkToFit="0" wrapText="1"/>
    </xf>
    <xf borderId="77" fillId="0" fontId="10" numFmtId="4" xfId="0" applyAlignment="1" applyBorder="1" applyFont="1" applyNumberFormat="1">
      <alignment shrinkToFit="0" wrapText="1"/>
    </xf>
    <xf borderId="86" fillId="16" fontId="10" numFmtId="0" xfId="0" applyAlignment="1" applyBorder="1" applyFill="1" applyFont="1">
      <alignment horizontal="center" shrinkToFit="0" wrapText="1"/>
    </xf>
    <xf borderId="86" fillId="6" fontId="10" numFmtId="0" xfId="0" applyAlignment="1" applyBorder="1" applyFont="1">
      <alignment horizontal="center" shrinkToFit="0" wrapText="1"/>
    </xf>
    <xf borderId="0" fillId="0" fontId="16" numFmtId="0" xfId="0" applyAlignment="1" applyFont="1">
      <alignment horizontal="right" shrinkToFit="0" wrapText="1"/>
    </xf>
    <xf borderId="77" fillId="0" fontId="16" numFmtId="0" xfId="0" applyAlignment="1" applyBorder="1" applyFont="1">
      <alignment shrinkToFit="0" wrapText="1"/>
    </xf>
    <xf borderId="0" fillId="0" fontId="17" numFmtId="0" xfId="0" applyFont="1"/>
    <xf borderId="0" fillId="0" fontId="17" numFmtId="0" xfId="0" applyAlignment="1" applyFont="1">
      <alignment horizontal="center"/>
    </xf>
    <xf borderId="0" fillId="0" fontId="1" numFmtId="0" xfId="0" applyAlignment="1" applyFont="1">
      <alignment horizontal="center" shrinkToFit="0" vertical="center" wrapText="1"/>
    </xf>
    <xf borderId="77" fillId="0" fontId="1" numFmtId="0" xfId="0" applyAlignment="1" applyBorder="1" applyFont="1">
      <alignment horizontal="center" shrinkToFit="0" vertical="center" wrapText="1"/>
    </xf>
    <xf borderId="80" fillId="0" fontId="16" numFmtId="0" xfId="0" applyAlignment="1" applyBorder="1" applyFont="1">
      <alignment horizontal="right" shrinkToFit="0" wrapText="1"/>
    </xf>
    <xf borderId="89" fillId="6" fontId="10" numFmtId="0" xfId="0" applyAlignment="1" applyBorder="1" applyFont="1">
      <alignment horizontal="center" shrinkToFit="0" wrapText="1"/>
    </xf>
    <xf borderId="28" fillId="0" fontId="16" numFmtId="0" xfId="0" applyAlignment="1" applyBorder="1" applyFont="1">
      <alignment horizontal="right" shrinkToFit="0" wrapText="1"/>
    </xf>
    <xf borderId="90" fillId="0" fontId="18" numFmtId="0" xfId="0" applyAlignment="1" applyBorder="1" applyFont="1">
      <alignment horizontal="center" shrinkToFit="0" vertical="center" wrapText="1"/>
    </xf>
    <xf borderId="26" fillId="0" fontId="1" numFmtId="4" xfId="0" applyAlignment="1" applyBorder="1" applyFont="1" applyNumberFormat="1">
      <alignment horizontal="center" shrinkToFit="0" vertical="center" wrapText="1"/>
    </xf>
    <xf borderId="30" fillId="0" fontId="1" numFmtId="4" xfId="0" applyAlignment="1" applyBorder="1" applyFont="1" applyNumberFormat="1">
      <alignment horizontal="center" shrinkToFit="0" vertical="center" wrapText="1"/>
    </xf>
    <xf borderId="0" fillId="0" fontId="1" numFmtId="0" xfId="0" applyAlignment="1" applyFont="1">
      <alignment horizontal="center" shrinkToFit="0" wrapText="1"/>
    </xf>
    <xf borderId="6" fillId="0" fontId="17" numFmtId="0" xfId="0" applyAlignment="1" applyBorder="1" applyFont="1">
      <alignment horizontal="center"/>
    </xf>
    <xf borderId="44" fillId="0" fontId="1" numFmtId="49" xfId="0" applyAlignment="1" applyBorder="1" applyFont="1" applyNumberFormat="1">
      <alignment horizontal="center" shrinkToFit="0" vertical="center" wrapText="1"/>
    </xf>
    <xf borderId="18" fillId="0" fontId="3" numFmtId="0" xfId="0" applyAlignment="1" applyBorder="1" applyFont="1">
      <alignment horizontal="center" shrinkToFit="0" wrapText="1"/>
    </xf>
    <xf borderId="18" fillId="0" fontId="3" numFmtId="4" xfId="0" applyAlignment="1" applyBorder="1" applyFont="1" applyNumberFormat="1">
      <alignment shrinkToFit="0" wrapText="1"/>
    </xf>
    <xf borderId="45" fillId="0" fontId="3" numFmtId="4" xfId="0" applyAlignment="1" applyBorder="1" applyFont="1" applyNumberFormat="1">
      <alignment shrinkToFit="0" wrapText="1"/>
    </xf>
    <xf borderId="0" fillId="0" fontId="3" numFmtId="0" xfId="0" applyAlignment="1" applyFont="1">
      <alignment horizontal="center"/>
    </xf>
    <xf borderId="7" fillId="0" fontId="17" numFmtId="0" xfId="0" applyBorder="1" applyFont="1"/>
    <xf borderId="41" fillId="0" fontId="17" numFmtId="0" xfId="0" applyAlignment="1" applyBorder="1" applyFont="1">
      <alignment horizontal="center"/>
    </xf>
    <xf borderId="41" fillId="0" fontId="17" numFmtId="17" xfId="0" applyAlignment="1" applyBorder="1" applyFont="1" applyNumberFormat="1">
      <alignment horizontal="center"/>
    </xf>
    <xf borderId="15" fillId="0" fontId="1" numFmtId="0" xfId="0" applyAlignment="1" applyBorder="1" applyFont="1">
      <alignment horizontal="right" shrinkToFit="0" wrapText="1"/>
    </xf>
    <xf borderId="12" fillId="0" fontId="1" numFmtId="0" xfId="0" applyAlignment="1" applyBorder="1" applyFont="1">
      <alignment horizontal="center" shrinkToFit="0" wrapText="1"/>
    </xf>
    <xf borderId="12" fillId="0" fontId="1" numFmtId="4" xfId="0" applyAlignment="1" applyBorder="1" applyFont="1" applyNumberFormat="1">
      <alignment shrinkToFit="0" wrapText="1"/>
    </xf>
    <xf borderId="40" fillId="0" fontId="1" numFmtId="4" xfId="0" applyAlignment="1" applyBorder="1" applyFont="1" applyNumberFormat="1">
      <alignment shrinkToFit="0" wrapText="1"/>
    </xf>
    <xf borderId="0" fillId="0" fontId="3" numFmtId="4" xfId="0" applyFont="1" applyNumberFormat="1"/>
    <xf borderId="86" fillId="17" fontId="3" numFmtId="0" xfId="0" applyBorder="1" applyFill="1" applyFont="1"/>
    <xf borderId="8" fillId="15" fontId="3" numFmtId="0" xfId="0" applyAlignment="1" applyBorder="1" applyFont="1">
      <alignment horizontal="center" shrinkToFit="0" wrapText="1"/>
    </xf>
    <xf borderId="55" fillId="0" fontId="3" numFmtId="4" xfId="0" applyAlignment="1" applyBorder="1" applyFont="1" applyNumberFormat="1">
      <alignment shrinkToFit="0" wrapText="1"/>
    </xf>
    <xf borderId="8" fillId="17" fontId="10" numFmtId="0" xfId="0" applyAlignment="1" applyBorder="1" applyFont="1">
      <alignment horizontal="center" shrinkToFit="0" wrapText="1"/>
    </xf>
    <xf borderId="9" fillId="0" fontId="1" numFmtId="0" xfId="0" applyAlignment="1" applyBorder="1" applyFont="1">
      <alignment horizontal="center" shrinkToFit="0" wrapText="1"/>
    </xf>
    <xf borderId="9" fillId="0" fontId="1" numFmtId="4" xfId="0" applyAlignment="1" applyBorder="1" applyFont="1" applyNumberFormat="1">
      <alignment shrinkToFit="0" wrapText="1"/>
    </xf>
    <xf borderId="55" fillId="0" fontId="1" numFmtId="4" xfId="0" applyAlignment="1" applyBorder="1" applyFont="1" applyNumberFormat="1">
      <alignment shrinkToFit="0" wrapText="1"/>
    </xf>
    <xf borderId="8" fillId="9" fontId="3" numFmtId="0" xfId="0" applyAlignment="1" applyBorder="1" applyFont="1">
      <alignment horizontal="center" shrinkToFit="0" wrapText="1"/>
    </xf>
    <xf borderId="49" fillId="9" fontId="3" numFmtId="0" xfId="0" applyAlignment="1" applyBorder="1" applyFont="1">
      <alignment shrinkToFit="0" wrapText="1"/>
    </xf>
    <xf borderId="8" fillId="9" fontId="3" numFmtId="4" xfId="0" applyAlignment="1" applyBorder="1" applyFont="1" applyNumberFormat="1">
      <alignment shrinkToFit="0" wrapText="1"/>
    </xf>
    <xf borderId="47" fillId="9" fontId="3" numFmtId="4" xfId="0" applyAlignment="1" applyBorder="1" applyFont="1" applyNumberFormat="1">
      <alignment shrinkToFit="0" wrapText="1"/>
    </xf>
    <xf borderId="8" fillId="6" fontId="3" numFmtId="0" xfId="0" applyAlignment="1" applyBorder="1" applyFont="1">
      <alignment horizontal="center" shrinkToFit="0" wrapText="1"/>
    </xf>
    <xf borderId="8" fillId="17" fontId="3" numFmtId="4" xfId="0" applyAlignment="1" applyBorder="1" applyFont="1" applyNumberFormat="1">
      <alignment shrinkToFit="0" wrapText="1"/>
    </xf>
    <xf borderId="42" fillId="15" fontId="3" numFmtId="0" xfId="0" applyAlignment="1" applyBorder="1" applyFont="1">
      <alignment shrinkToFit="0" wrapText="1"/>
    </xf>
    <xf borderId="8" fillId="15" fontId="3" numFmtId="4" xfId="0" applyAlignment="1" applyBorder="1" applyFont="1" applyNumberFormat="1">
      <alignment shrinkToFit="0" wrapText="1"/>
    </xf>
    <xf borderId="41" fillId="15" fontId="3" numFmtId="4" xfId="0" applyAlignment="1" applyBorder="1" applyFont="1" applyNumberFormat="1">
      <alignment shrinkToFit="0" wrapText="1"/>
    </xf>
    <xf borderId="8" fillId="17" fontId="3" numFmtId="0" xfId="0" applyAlignment="1" applyBorder="1" applyFont="1">
      <alignment horizontal="center" shrinkToFit="0" wrapText="1"/>
    </xf>
    <xf borderId="50" fillId="17" fontId="3" numFmtId="4" xfId="0" applyAlignment="1" applyBorder="1" applyFont="1" applyNumberFormat="1">
      <alignment shrinkToFit="0" wrapText="1"/>
    </xf>
    <xf borderId="50" fillId="6" fontId="3" numFmtId="0" xfId="0" applyAlignment="1" applyBorder="1" applyFont="1">
      <alignment horizontal="center" shrinkToFit="0" wrapText="1"/>
    </xf>
    <xf borderId="42" fillId="16" fontId="3" numFmtId="0" xfId="0" applyAlignment="1" applyBorder="1" applyFont="1">
      <alignment shrinkToFit="0" wrapText="1"/>
    </xf>
    <xf borderId="8" fillId="16" fontId="3" numFmtId="0" xfId="0" applyAlignment="1" applyBorder="1" applyFont="1">
      <alignment horizontal="center" shrinkToFit="0" wrapText="1"/>
    </xf>
    <xf borderId="8" fillId="16" fontId="10" numFmtId="0" xfId="0" applyAlignment="1" applyBorder="1" applyFont="1">
      <alignment horizontal="center" shrinkToFit="0" wrapText="1"/>
    </xf>
    <xf borderId="41" fillId="16" fontId="3" numFmtId="4" xfId="0" applyAlignment="1" applyBorder="1" applyFont="1" applyNumberFormat="1">
      <alignment shrinkToFit="0" wrapText="1"/>
    </xf>
    <xf borderId="50" fillId="16" fontId="3" numFmtId="0" xfId="0" applyAlignment="1" applyBorder="1" applyFont="1">
      <alignment horizontal="center" shrinkToFit="0" wrapText="1"/>
    </xf>
    <xf borderId="50" fillId="16" fontId="10" numFmtId="0" xfId="0" applyAlignment="1" applyBorder="1" applyFont="1">
      <alignment horizontal="center" shrinkToFit="0" wrapText="1"/>
    </xf>
    <xf borderId="47" fillId="16" fontId="3" numFmtId="4" xfId="0" applyAlignment="1" applyBorder="1" applyFont="1" applyNumberFormat="1">
      <alignment shrinkToFit="0" wrapText="1"/>
    </xf>
    <xf borderId="84" fillId="0" fontId="1" numFmtId="0" xfId="0" applyAlignment="1" applyBorder="1" applyFont="1">
      <alignment horizontal="right" shrinkToFit="0" wrapText="1"/>
    </xf>
    <xf borderId="32" fillId="0" fontId="1" numFmtId="0" xfId="0" applyAlignment="1" applyBorder="1" applyFont="1">
      <alignment horizontal="center" shrinkToFit="0" wrapText="1"/>
    </xf>
    <xf borderId="32" fillId="0" fontId="1" numFmtId="4" xfId="0" applyAlignment="1" applyBorder="1" applyFont="1" applyNumberFormat="1">
      <alignment shrinkToFit="0" wrapText="1"/>
    </xf>
    <xf borderId="85" fillId="0" fontId="1" numFmtId="4" xfId="0" applyAlignment="1" applyBorder="1" applyFont="1" applyNumberFormat="1">
      <alignment shrinkToFit="0" wrapText="1"/>
    </xf>
    <xf borderId="7" fillId="17" fontId="17" numFmtId="0" xfId="0" applyBorder="1" applyFont="1"/>
    <xf borderId="41" fillId="17" fontId="17" numFmtId="0" xfId="0" applyAlignment="1" applyBorder="1" applyFont="1">
      <alignment horizontal="center"/>
    </xf>
    <xf borderId="91" fillId="0" fontId="1" numFmtId="0" xfId="0" applyAlignment="1" applyBorder="1" applyFont="1">
      <alignment horizontal="right" shrinkToFit="0" wrapText="1"/>
    </xf>
    <xf borderId="92" fillId="0" fontId="3" numFmtId="0" xfId="0" applyAlignment="1" applyBorder="1" applyFont="1">
      <alignment horizontal="center" shrinkToFit="0" wrapText="1"/>
    </xf>
    <xf borderId="92" fillId="0" fontId="3" numFmtId="4" xfId="0" applyAlignment="1" applyBorder="1" applyFont="1" applyNumberFormat="1">
      <alignment shrinkToFit="0" wrapText="1"/>
    </xf>
    <xf borderId="93" fillId="0" fontId="1" numFmtId="4" xfId="0" applyAlignment="1" applyBorder="1" applyFont="1" applyNumberFormat="1">
      <alignment shrinkToFit="0" wrapText="1"/>
    </xf>
    <xf borderId="93" fillId="0" fontId="3" numFmtId="4" xfId="0" applyAlignment="1" applyBorder="1" applyFont="1" applyNumberFormat="1">
      <alignment shrinkToFit="0" wrapText="1"/>
    </xf>
    <xf borderId="86" fillId="17" fontId="3" numFmtId="0" xfId="0" applyAlignment="1" applyBorder="1" applyFont="1">
      <alignment horizontal="center"/>
    </xf>
    <xf borderId="0" fillId="0" fontId="3" numFmtId="0" xfId="0" applyAlignment="1" applyFont="1">
      <alignment horizontal="center" shrinkToFit="0" wrapText="1"/>
    </xf>
    <xf borderId="0" fillId="0" fontId="3" numFmtId="4" xfId="0" applyAlignment="1" applyFont="1" applyNumberFormat="1">
      <alignment shrinkToFit="0" wrapText="1"/>
    </xf>
    <xf borderId="0" fillId="0" fontId="19" numFmtId="0" xfId="0" applyFont="1"/>
    <xf borderId="14" fillId="18" fontId="20" numFmtId="0" xfId="0" applyAlignment="1" applyBorder="1" applyFill="1" applyFont="1">
      <alignment horizontal="center" shrinkToFit="0" vertical="center" wrapText="1"/>
    </xf>
    <xf borderId="94" fillId="11" fontId="19" numFmtId="0" xfId="0" applyBorder="1" applyFont="1"/>
    <xf borderId="88" fillId="11" fontId="19" numFmtId="0" xfId="0" applyBorder="1" applyFont="1"/>
    <xf borderId="95" fillId="11" fontId="19" numFmtId="0" xfId="0" applyBorder="1" applyFont="1"/>
    <xf borderId="96" fillId="11" fontId="19" numFmtId="0" xfId="0" applyBorder="1" applyFont="1"/>
    <xf borderId="97" fillId="11" fontId="21" numFmtId="0" xfId="0" applyAlignment="1" applyBorder="1" applyFont="1">
      <alignment horizontal="center"/>
    </xf>
    <xf borderId="71" fillId="0" fontId="2" numFmtId="0" xfId="0" applyBorder="1" applyFont="1"/>
    <xf borderId="98" fillId="11" fontId="19" numFmtId="0" xfId="0" applyBorder="1" applyFont="1"/>
    <xf borderId="0" fillId="0" fontId="19" numFmtId="0" xfId="0" applyAlignment="1" applyFont="1">
      <alignment shrinkToFit="0" wrapText="1"/>
    </xf>
    <xf borderId="96" fillId="11" fontId="19" numFmtId="0" xfId="0" applyAlignment="1" applyBorder="1" applyFont="1">
      <alignment shrinkToFit="0" wrapText="1"/>
    </xf>
    <xf borderId="99" fillId="11" fontId="21" numFmtId="0" xfId="0" applyAlignment="1" applyBorder="1" applyFont="1">
      <alignment shrinkToFit="0" wrapText="1"/>
    </xf>
    <xf borderId="50" fillId="11" fontId="22" numFmtId="3" xfId="0" applyAlignment="1" applyBorder="1" applyFont="1" applyNumberFormat="1">
      <alignment horizontal="center" shrinkToFit="0" vertical="center" wrapText="1"/>
    </xf>
    <xf borderId="47" fillId="11" fontId="22" numFmtId="3" xfId="0" applyAlignment="1" applyBorder="1" applyFont="1" applyNumberFormat="1">
      <alignment horizontal="center" shrinkToFit="0" vertical="center" wrapText="1"/>
    </xf>
    <xf borderId="98" fillId="11" fontId="19" numFmtId="0" xfId="0" applyAlignment="1" applyBorder="1" applyFont="1">
      <alignment shrinkToFit="0" wrapText="1"/>
    </xf>
    <xf borderId="4" fillId="11" fontId="23" numFmtId="4" xfId="0" applyAlignment="1" applyBorder="1" applyFont="1" applyNumberFormat="1">
      <alignment horizontal="left" shrinkToFit="0" wrapText="1"/>
    </xf>
    <xf borderId="5" fillId="11" fontId="23" numFmtId="173" xfId="0" applyAlignment="1" applyBorder="1" applyFont="1" applyNumberFormat="1">
      <alignment horizontal="center" shrinkToFit="0" vertical="center" wrapText="1"/>
    </xf>
    <xf borderId="6" fillId="11" fontId="23" numFmtId="4" xfId="0" applyAlignment="1" applyBorder="1" applyFont="1" applyNumberFormat="1">
      <alignment horizontal="center" shrinkToFit="0" vertical="center" wrapText="1"/>
    </xf>
    <xf borderId="7" fillId="11" fontId="23" numFmtId="4" xfId="0" applyAlignment="1" applyBorder="1" applyFont="1" applyNumberFormat="1">
      <alignment horizontal="left" shrinkToFit="0" wrapText="1"/>
    </xf>
    <xf borderId="8" fillId="11" fontId="23" numFmtId="173" xfId="0" applyAlignment="1" applyBorder="1" applyFont="1" applyNumberFormat="1">
      <alignment horizontal="center" shrinkToFit="0" vertical="center" wrapText="1"/>
    </xf>
    <xf borderId="41" fillId="11" fontId="23" numFmtId="4" xfId="0" applyAlignment="1" applyBorder="1" applyFont="1" applyNumberFormat="1">
      <alignment horizontal="center" shrinkToFit="0" vertical="center" wrapText="1"/>
    </xf>
    <xf borderId="99" fillId="11" fontId="23" numFmtId="4" xfId="0" applyAlignment="1" applyBorder="1" applyFont="1" applyNumberFormat="1">
      <alignment horizontal="left" shrinkToFit="0" wrapText="1"/>
    </xf>
    <xf borderId="47" fillId="11" fontId="23" numFmtId="4" xfId="0" applyAlignment="1" applyBorder="1" applyFont="1" applyNumberFormat="1">
      <alignment horizontal="center" shrinkToFit="0" vertical="center" wrapText="1"/>
    </xf>
    <xf borderId="99" fillId="19" fontId="23" numFmtId="4" xfId="0" applyAlignment="1" applyBorder="1" applyFill="1" applyFont="1" applyNumberFormat="1">
      <alignment horizontal="left" shrinkToFit="0" wrapText="1"/>
    </xf>
    <xf borderId="8" fillId="19" fontId="23" numFmtId="173" xfId="0" applyAlignment="1" applyBorder="1" applyFont="1" applyNumberFormat="1">
      <alignment horizontal="center" shrinkToFit="0" vertical="center" wrapText="1"/>
    </xf>
    <xf borderId="47" fillId="19" fontId="23" numFmtId="4" xfId="0" applyAlignment="1" applyBorder="1" applyFont="1" applyNumberFormat="1">
      <alignment horizontal="center" shrinkToFit="0" vertical="center" wrapText="1"/>
    </xf>
    <xf borderId="99" fillId="20" fontId="23" numFmtId="4" xfId="0" applyAlignment="1" applyBorder="1" applyFill="1" applyFont="1" applyNumberFormat="1">
      <alignment horizontal="left" shrinkToFit="0" wrapText="1"/>
    </xf>
    <xf borderId="8" fillId="20" fontId="23" numFmtId="173" xfId="0" applyAlignment="1" applyBorder="1" applyFont="1" applyNumberFormat="1">
      <alignment horizontal="center" shrinkToFit="0" vertical="center" wrapText="1"/>
    </xf>
    <xf borderId="47" fillId="20" fontId="23" numFmtId="4" xfId="0" applyAlignment="1" applyBorder="1" applyFont="1" applyNumberFormat="1">
      <alignment horizontal="center" shrinkToFit="0" vertical="center" wrapText="1"/>
    </xf>
    <xf borderId="11" fillId="11" fontId="23" numFmtId="4" xfId="0" applyAlignment="1" applyBorder="1" applyFont="1" applyNumberFormat="1">
      <alignment horizontal="left" shrinkToFit="0" wrapText="1"/>
    </xf>
    <xf borderId="12" fillId="11" fontId="23" numFmtId="173" xfId="0" applyAlignment="1" applyBorder="1" applyFont="1" applyNumberFormat="1">
      <alignment horizontal="center" shrinkToFit="0" vertical="center" wrapText="1"/>
    </xf>
    <xf borderId="40" fillId="11" fontId="23" numFmtId="4" xfId="0" applyAlignment="1" applyBorder="1" applyFont="1" applyNumberFormat="1">
      <alignment horizontal="center" shrinkToFit="0" vertical="center" wrapText="1"/>
    </xf>
    <xf borderId="100" fillId="11" fontId="23" numFmtId="0" xfId="0" applyBorder="1" applyFont="1"/>
    <xf borderId="101" fillId="11" fontId="23" numFmtId="9" xfId="0" applyAlignment="1" applyBorder="1" applyFont="1" applyNumberFormat="1">
      <alignment horizontal="center" shrinkToFit="0" vertical="center" wrapText="1"/>
    </xf>
    <xf borderId="102" fillId="11" fontId="23" numFmtId="3" xfId="0" applyAlignment="1" applyBorder="1" applyFont="1" applyNumberFormat="1">
      <alignment horizontal="center" shrinkToFit="0" vertical="center" wrapText="1"/>
    </xf>
    <xf borderId="86" fillId="11" fontId="19" numFmtId="0" xfId="0" applyBorder="1" applyFont="1"/>
    <xf borderId="103" fillId="11" fontId="19" numFmtId="0" xfId="0" applyBorder="1" applyFont="1"/>
    <xf borderId="89" fillId="11" fontId="19" numFmtId="0" xfId="0" applyBorder="1" applyFont="1"/>
    <xf borderId="104" fillId="11" fontId="19" numFmtId="0" xfId="0" applyBorder="1" applyFont="1"/>
    <xf borderId="73" fillId="0" fontId="3" numFmtId="0" xfId="0" applyAlignment="1" applyBorder="1" applyFont="1">
      <alignment horizontal="left" shrinkToFit="0" vertical="center" wrapText="1"/>
    </xf>
    <xf borderId="37" fillId="0" fontId="3" numFmtId="0" xfId="0" applyAlignment="1" applyBorder="1" applyFont="1">
      <alignment horizontal="left" shrinkToFit="0" vertical="center" wrapText="1"/>
    </xf>
    <xf borderId="41" fillId="0" fontId="1" numFmtId="0" xfId="0" applyAlignment="1" applyBorder="1" applyFont="1">
      <alignment horizontal="center" shrinkToFit="0" vertical="center" wrapText="1"/>
    </xf>
    <xf borderId="13" fillId="0" fontId="3" numFmtId="0" xfId="0" applyAlignment="1" applyBorder="1" applyFont="1">
      <alignment horizontal="left" shrinkToFit="0" vertical="center" wrapText="1"/>
    </xf>
    <xf borderId="72" fillId="0" fontId="2" numFmtId="0" xfId="0" applyBorder="1" applyFont="1"/>
    <xf borderId="14" fillId="0" fontId="3" numFmtId="0" xfId="0" applyAlignment="1" applyBorder="1" applyFont="1">
      <alignment shrinkToFit="0" vertical="center" wrapText="1"/>
    </xf>
    <xf borderId="13" fillId="0" fontId="1" numFmtId="0" xfId="0" applyAlignment="1" applyBorder="1" applyFont="1">
      <alignment horizontal="center" shrinkToFit="0" vertical="center" wrapText="1"/>
    </xf>
    <xf borderId="105" fillId="0" fontId="3" numFmtId="0" xfId="0" applyAlignment="1" applyBorder="1" applyFont="1">
      <alignment horizontal="right" shrinkToFit="0" vertical="center" wrapText="1"/>
    </xf>
    <xf borderId="106" fillId="0" fontId="2" numFmtId="0" xfId="0" applyBorder="1" applyFont="1"/>
    <xf borderId="44" fillId="0" fontId="2" numFmtId="0" xfId="0" applyBorder="1" applyFont="1"/>
    <xf borderId="105" fillId="0" fontId="1" numFmtId="0" xfId="0" applyAlignment="1" applyBorder="1" applyFont="1">
      <alignment horizontal="center" shrinkToFit="0" vertical="center" wrapText="1"/>
    </xf>
    <xf borderId="37" fillId="0" fontId="3" numFmtId="0" xfId="0" applyAlignment="1" applyBorder="1" applyFont="1">
      <alignment horizontal="right" shrinkToFit="0" vertical="center" wrapText="1"/>
    </xf>
    <xf borderId="37" fillId="0" fontId="1" numFmtId="0" xfId="0" applyAlignment="1" applyBorder="1" applyFont="1">
      <alignment horizontal="center" shrinkToFit="0" vertical="center" wrapText="1"/>
    </xf>
    <xf borderId="107" fillId="0" fontId="3" numFmtId="0" xfId="0" applyAlignment="1" applyBorder="1" applyFont="1">
      <alignment horizontal="right" shrinkToFit="0" vertical="center" wrapText="1"/>
    </xf>
    <xf borderId="74" fillId="0" fontId="2" numFmtId="0" xfId="0" applyBorder="1" applyFont="1"/>
    <xf borderId="33" fillId="0" fontId="2" numFmtId="0" xfId="0" applyBorder="1" applyFont="1"/>
    <xf borderId="72" fillId="0" fontId="1" numFmtId="0" xfId="0" applyAlignment="1" applyBorder="1" applyFont="1">
      <alignment horizontal="center" shrinkToFit="0" vertical="center" wrapText="1"/>
    </xf>
    <xf borderId="66" fillId="3" fontId="6" numFmtId="49" xfId="0" applyAlignment="1" applyBorder="1" applyFont="1" applyNumberFormat="1">
      <alignment horizontal="left" shrinkToFit="0" vertical="center" wrapText="1"/>
    </xf>
    <xf borderId="108" fillId="0" fontId="2" numFmtId="0" xfId="0" applyBorder="1" applyFont="1"/>
    <xf borderId="97" fillId="0" fontId="3" numFmtId="0" xfId="0" applyAlignment="1" applyBorder="1" applyFont="1">
      <alignment horizontal="center" shrinkToFit="0" wrapText="1"/>
    </xf>
    <xf borderId="4" fillId="0" fontId="7" numFmtId="49" xfId="0" applyAlignment="1" applyBorder="1" applyFont="1" applyNumberFormat="1">
      <alignment horizontal="left" shrinkToFit="0" vertical="center" wrapText="1"/>
    </xf>
    <xf borderId="5" fillId="0" fontId="3" numFmtId="0" xfId="0" applyAlignment="1" applyBorder="1" applyFont="1">
      <alignment horizontal="center" shrinkToFit="0" wrapText="1"/>
    </xf>
    <xf borderId="6" fillId="0" fontId="3" numFmtId="167" xfId="0" applyAlignment="1" applyBorder="1" applyFont="1" applyNumberFormat="1">
      <alignment horizontal="center" vertical="center"/>
    </xf>
    <xf borderId="69" fillId="0" fontId="3" numFmtId="0" xfId="0" applyAlignment="1" applyBorder="1" applyFont="1">
      <alignment horizontal="center" vertical="center"/>
    </xf>
    <xf borderId="109" fillId="0" fontId="14" numFmtId="0" xfId="0" applyAlignment="1" applyBorder="1" applyFont="1">
      <alignment horizontal="center" shrinkToFit="0" wrapText="1"/>
    </xf>
    <xf borderId="110" fillId="0" fontId="2" numFmtId="0" xfId="0" applyBorder="1" applyFont="1"/>
    <xf borderId="111" fillId="0" fontId="2" numFmtId="0" xfId="0" applyBorder="1" applyFont="1"/>
    <xf borderId="0" fillId="0" fontId="24" numFmtId="0" xfId="0" applyFont="1"/>
    <xf borderId="112" fillId="0" fontId="14" numFmtId="0" xfId="0" applyAlignment="1" applyBorder="1" applyFont="1">
      <alignment horizontal="center"/>
    </xf>
    <xf borderId="113" fillId="0" fontId="2" numFmtId="0" xfId="0" applyBorder="1" applyFont="1"/>
    <xf borderId="114" fillId="0" fontId="14" numFmtId="0" xfId="0" applyAlignment="1" applyBorder="1" applyFont="1">
      <alignment horizontal="center" shrinkToFit="0" wrapText="1"/>
    </xf>
    <xf borderId="115" fillId="0" fontId="2" numFmtId="0" xfId="0" applyBorder="1" applyFont="1"/>
    <xf borderId="116" fillId="0" fontId="2" numFmtId="0" xfId="0" applyBorder="1" applyFont="1"/>
    <xf borderId="0" fillId="0" fontId="14" numFmtId="0" xfId="0" applyAlignment="1" applyFont="1">
      <alignment horizontal="center"/>
    </xf>
    <xf borderId="90" fillId="0" fontId="14" numFmtId="0" xfId="0" applyAlignment="1" applyBorder="1" applyFont="1">
      <alignment horizontal="center" shrinkToFit="0" vertical="center" wrapText="1"/>
    </xf>
    <xf borderId="34" fillId="0" fontId="14" numFmtId="0" xfId="0" applyAlignment="1" applyBorder="1" applyFont="1">
      <alignment horizontal="center" shrinkToFit="0" vertical="center" wrapText="1"/>
    </xf>
    <xf borderId="34" fillId="0" fontId="14" numFmtId="4" xfId="0" applyAlignment="1" applyBorder="1" applyFont="1" applyNumberFormat="1">
      <alignment horizontal="center" shrinkToFit="0" vertical="center" wrapText="1"/>
    </xf>
    <xf borderId="117" fillId="0" fontId="14" numFmtId="4" xfId="0" applyAlignment="1" applyBorder="1" applyFont="1" applyNumberFormat="1">
      <alignment horizontal="center" shrinkToFit="0" vertical="center" wrapText="1"/>
    </xf>
    <xf borderId="0" fillId="0" fontId="24" numFmtId="0" xfId="0" applyAlignment="1" applyFont="1">
      <alignment shrinkToFit="0" wrapText="1"/>
    </xf>
    <xf borderId="97" fillId="5" fontId="12" numFmtId="49" xfId="0" applyAlignment="1" applyBorder="1" applyFont="1" applyNumberFormat="1">
      <alignment horizontal="center" shrinkToFit="0" vertical="center" wrapText="1"/>
    </xf>
    <xf borderId="0" fillId="0" fontId="24" numFmtId="0" xfId="0" applyAlignment="1" applyFont="1">
      <alignment horizontal="center"/>
    </xf>
    <xf borderId="7" fillId="0" fontId="14" numFmtId="0" xfId="0" applyAlignment="1" applyBorder="1" applyFont="1">
      <alignment horizontal="center"/>
    </xf>
    <xf borderId="8" fillId="0" fontId="25" numFmtId="49" xfId="0" applyAlignment="1" applyBorder="1" applyFont="1" applyNumberFormat="1">
      <alignment horizontal="left" shrinkToFit="0" vertical="center" wrapText="1"/>
    </xf>
    <xf borderId="8" fillId="0" fontId="24" numFmtId="0" xfId="0" applyAlignment="1" applyBorder="1" applyFont="1">
      <alignment horizontal="center" shrinkToFit="0" wrapText="1"/>
    </xf>
    <xf borderId="8" fillId="0" fontId="24" numFmtId="4" xfId="0" applyAlignment="1" applyBorder="1" applyFont="1" applyNumberFormat="1">
      <alignment shrinkToFit="0" wrapText="1"/>
    </xf>
    <xf borderId="41" fillId="0" fontId="24" numFmtId="4" xfId="0" applyAlignment="1" applyBorder="1" applyFont="1" applyNumberFormat="1">
      <alignment shrinkToFit="0" wrapText="1"/>
    </xf>
    <xf borderId="8" fillId="0" fontId="24" numFmtId="0" xfId="0" applyAlignment="1" applyBorder="1" applyFont="1">
      <alignment shrinkToFit="0" wrapText="1"/>
    </xf>
    <xf borderId="11" fillId="0" fontId="14" numFmtId="0" xfId="0" applyAlignment="1" applyBorder="1" applyFont="1">
      <alignment horizontal="center"/>
    </xf>
    <xf borderId="12" fillId="0" fontId="14" numFmtId="0" xfId="0" applyAlignment="1" applyBorder="1" applyFont="1">
      <alignment horizontal="right" shrinkToFit="0" wrapText="1"/>
    </xf>
    <xf borderId="12" fillId="0" fontId="14" numFmtId="0" xfId="0" applyAlignment="1" applyBorder="1" applyFont="1">
      <alignment horizontal="center" shrinkToFit="0" wrapText="1"/>
    </xf>
    <xf borderId="12" fillId="0" fontId="14" numFmtId="4" xfId="0" applyAlignment="1" applyBorder="1" applyFont="1" applyNumberFormat="1">
      <alignment shrinkToFit="0" wrapText="1"/>
    </xf>
    <xf borderId="40" fillId="0" fontId="14" numFmtId="4" xfId="0" applyAlignment="1" applyBorder="1" applyFont="1" applyNumberFormat="1">
      <alignment shrinkToFit="0" wrapText="1"/>
    </xf>
    <xf borderId="17" fillId="0" fontId="14" numFmtId="0" xfId="0" applyAlignment="1" applyBorder="1" applyFont="1">
      <alignment horizontal="center"/>
    </xf>
    <xf borderId="18" fillId="0" fontId="25" numFmtId="49" xfId="0" applyAlignment="1" applyBorder="1" applyFont="1" applyNumberFormat="1">
      <alignment horizontal="left" shrinkToFit="0" vertical="center" wrapText="1"/>
    </xf>
    <xf borderId="18" fillId="0" fontId="24" numFmtId="0" xfId="0" applyAlignment="1" applyBorder="1" applyFont="1">
      <alignment horizontal="center" shrinkToFit="0" wrapText="1"/>
    </xf>
    <xf borderId="18" fillId="0" fontId="24" numFmtId="4" xfId="0" applyAlignment="1" applyBorder="1" applyFont="1" applyNumberFormat="1">
      <alignment shrinkToFit="0" wrapText="1"/>
    </xf>
    <xf borderId="45" fillId="0" fontId="24" numFmtId="4" xfId="0" applyAlignment="1" applyBorder="1" applyFont="1" applyNumberFormat="1">
      <alignment shrinkToFit="0" wrapText="1"/>
    </xf>
    <xf borderId="86" fillId="17" fontId="24" numFmtId="0" xfId="0" applyBorder="1" applyFont="1"/>
    <xf borderId="8" fillId="0" fontId="26" numFmtId="49" xfId="0" applyAlignment="1" applyBorder="1" applyFont="1" applyNumberFormat="1">
      <alignment horizontal="left" shrinkToFit="0" vertical="center" wrapText="1"/>
    </xf>
    <xf borderId="17" fillId="0" fontId="14" numFmtId="2" xfId="0" applyAlignment="1" applyBorder="1" applyFont="1" applyNumberFormat="1">
      <alignment horizontal="center"/>
    </xf>
    <xf borderId="8" fillId="0" fontId="24" numFmtId="0" xfId="0" applyAlignment="1" applyBorder="1" applyFont="1">
      <alignment horizontal="left"/>
    </xf>
    <xf borderId="8" fillId="0" fontId="24" numFmtId="0" xfId="0" applyAlignment="1" applyBorder="1" applyFont="1">
      <alignment horizontal="center"/>
    </xf>
    <xf borderId="8" fillId="0" fontId="14" numFmtId="0" xfId="0" applyAlignment="1" applyBorder="1" applyFont="1">
      <alignment horizontal="center" shrinkToFit="0" wrapText="1"/>
    </xf>
    <xf borderId="8" fillId="0" fontId="14" numFmtId="4" xfId="0" applyAlignment="1" applyBorder="1" applyFont="1" applyNumberFormat="1">
      <alignment shrinkToFit="0" wrapText="1"/>
    </xf>
    <xf borderId="41" fillId="0" fontId="14" numFmtId="4" xfId="0" applyAlignment="1" applyBorder="1" applyFont="1" applyNumberFormat="1">
      <alignment shrinkToFit="0" wrapText="1"/>
    </xf>
    <xf borderId="8" fillId="0" fontId="24" numFmtId="0" xfId="0" applyAlignment="1" applyBorder="1" applyFont="1">
      <alignment horizontal="left" shrinkToFit="0" wrapText="1"/>
    </xf>
    <xf borderId="17" fillId="0" fontId="14" numFmtId="0" xfId="0" applyAlignment="1" applyBorder="1" applyFont="1">
      <alignment vertical="top"/>
    </xf>
    <xf borderId="7" fillId="0" fontId="14" numFmtId="0" xfId="0" applyAlignment="1" applyBorder="1" applyFont="1">
      <alignment vertical="top"/>
    </xf>
    <xf borderId="11" fillId="0" fontId="14" numFmtId="0" xfId="0" applyAlignment="1" applyBorder="1" applyFont="1">
      <alignment vertical="top"/>
    </xf>
    <xf borderId="17" fillId="0" fontId="14" numFmtId="0" xfId="0" applyAlignment="1" applyBorder="1" applyFont="1">
      <alignment horizontal="center" vertical="top"/>
    </xf>
    <xf borderId="18" fillId="0" fontId="14" numFmtId="0" xfId="0" applyAlignment="1" applyBorder="1" applyFont="1">
      <alignment horizontal="center" shrinkToFit="0" wrapText="1"/>
    </xf>
    <xf borderId="18" fillId="0" fontId="14" numFmtId="4" xfId="0" applyAlignment="1" applyBorder="1" applyFont="1" applyNumberFormat="1">
      <alignment shrinkToFit="0" wrapText="1"/>
    </xf>
    <xf borderId="45" fillId="0" fontId="14" numFmtId="4" xfId="0" applyAlignment="1" applyBorder="1" applyFont="1" applyNumberFormat="1">
      <alignment shrinkToFit="0" wrapText="1"/>
    </xf>
    <xf borderId="7" fillId="0" fontId="14" numFmtId="0" xfId="0" applyAlignment="1" applyBorder="1" applyFont="1">
      <alignment horizontal="center" vertical="top"/>
    </xf>
    <xf borderId="11" fillId="0" fontId="14" numFmtId="0" xfId="0" applyAlignment="1" applyBorder="1" applyFont="1">
      <alignment horizontal="center" vertical="top"/>
    </xf>
    <xf borderId="17" fillId="0" fontId="24" numFmtId="0" xfId="0" applyAlignment="1" applyBorder="1" applyFont="1">
      <alignment horizontal="center" shrinkToFit="0" wrapText="1"/>
    </xf>
    <xf borderId="7" fillId="0" fontId="24" numFmtId="0" xfId="0" applyAlignment="1" applyBorder="1" applyFont="1">
      <alignment horizontal="center" shrinkToFit="0" wrapText="1"/>
    </xf>
    <xf borderId="11" fillId="0" fontId="24" numFmtId="0" xfId="0" applyAlignment="1" applyBorder="1" applyFont="1">
      <alignment horizontal="center" shrinkToFit="0" wrapText="1"/>
    </xf>
    <xf borderId="0" fillId="0" fontId="24" numFmtId="0" xfId="0" applyAlignment="1" applyFont="1">
      <alignment horizontal="center" shrinkToFit="0" wrapText="1"/>
    </xf>
    <xf borderId="0" fillId="0" fontId="24" numFmtId="4" xfId="0" applyAlignment="1" applyFont="1" applyNumberFormat="1">
      <alignment shrinkToFit="0" wrapText="1"/>
    </xf>
    <xf borderId="18" fillId="0" fontId="14" numFmtId="49" xfId="0" applyAlignment="1" applyBorder="1" applyFont="1" applyNumberFormat="1">
      <alignment horizontal="center" shrinkToFit="0" wrapText="1"/>
    </xf>
    <xf borderId="8" fillId="0" fontId="14" numFmtId="49" xfId="0" applyAlignment="1" applyBorder="1" applyFont="1" applyNumberFormat="1">
      <alignment horizontal="left" shrinkToFit="0" wrapText="1"/>
    </xf>
    <xf borderId="7" fillId="0" fontId="14" numFmtId="2" xfId="0" applyAlignment="1" applyBorder="1" applyFont="1" applyNumberFormat="1">
      <alignment horizontal="center"/>
    </xf>
    <xf borderId="118" fillId="0" fontId="14" numFmtId="0" xfId="0" applyAlignment="1" applyBorder="1" applyFont="1">
      <alignment horizontal="center"/>
    </xf>
    <xf borderId="9" fillId="0" fontId="14" numFmtId="49" xfId="0" applyAlignment="1" applyBorder="1" applyFont="1" applyNumberFormat="1">
      <alignment horizontal="left" shrinkToFit="0" wrapText="1"/>
    </xf>
    <xf borderId="9" fillId="0" fontId="24" numFmtId="0" xfId="0" applyAlignment="1" applyBorder="1" applyFont="1">
      <alignment horizontal="center" shrinkToFit="0" wrapText="1"/>
    </xf>
    <xf borderId="9" fillId="0" fontId="24" numFmtId="4" xfId="0" applyAlignment="1" applyBorder="1" applyFont="1" applyNumberFormat="1">
      <alignment shrinkToFit="0" wrapText="1"/>
    </xf>
    <xf borderId="55" fillId="0" fontId="24" numFmtId="4" xfId="0" applyAlignment="1" applyBorder="1" applyFont="1" applyNumberFormat="1">
      <alignment shrinkToFit="0" wrapText="1"/>
    </xf>
    <xf borderId="4" fillId="0" fontId="14" numFmtId="0" xfId="0" applyAlignment="1" applyBorder="1" applyFont="1">
      <alignment horizontal="center"/>
    </xf>
    <xf borderId="5" fillId="0" fontId="24" numFmtId="0" xfId="0" applyAlignment="1" applyBorder="1" applyFont="1">
      <alignment horizontal="right" shrinkToFit="0" wrapText="1"/>
    </xf>
    <xf borderId="5" fillId="0" fontId="24" numFmtId="0" xfId="0" applyAlignment="1" applyBorder="1" applyFont="1">
      <alignment horizontal="center" shrinkToFit="0" wrapText="1"/>
    </xf>
    <xf borderId="5" fillId="0" fontId="24" numFmtId="4" xfId="0" applyAlignment="1" applyBorder="1" applyFont="1" applyNumberFormat="1">
      <alignment shrinkToFit="0" wrapText="1"/>
    </xf>
    <xf borderId="6" fillId="0" fontId="24" numFmtId="4" xfId="0" applyAlignment="1" applyBorder="1" applyFont="1" applyNumberFormat="1">
      <alignment shrinkToFit="0" wrapText="1"/>
    </xf>
    <xf borderId="8" fillId="0" fontId="24" numFmtId="0" xfId="0" applyAlignment="1" applyBorder="1" applyFont="1">
      <alignment horizontal="right" shrinkToFit="0" wrapText="1"/>
    </xf>
    <xf borderId="12" fillId="0" fontId="24" numFmtId="0" xfId="0" applyAlignment="1" applyBorder="1" applyFont="1">
      <alignment horizontal="right" shrinkToFit="0" wrapText="1"/>
    </xf>
    <xf borderId="12" fillId="0" fontId="24" numFmtId="0" xfId="0" applyAlignment="1" applyBorder="1" applyFont="1">
      <alignment horizontal="center" shrinkToFit="0" wrapText="1"/>
    </xf>
    <xf borderId="12" fillId="0" fontId="24" numFmtId="4" xfId="0" applyAlignment="1" applyBorder="1" applyFont="1" applyNumberFormat="1">
      <alignment shrinkToFit="0" wrapText="1"/>
    </xf>
    <xf borderId="40" fillId="0" fontId="24" numFmtId="4" xfId="0" applyAlignment="1" applyBorder="1" applyFont="1" applyNumberFormat="1">
      <alignment shrinkToFit="0" wrapText="1"/>
    </xf>
    <xf borderId="18" fillId="0" fontId="27" numFmtId="49" xfId="0" applyAlignment="1" applyBorder="1" applyFont="1" applyNumberFormat="1">
      <alignment horizontal="left" shrinkToFit="0" vertical="center" wrapText="1"/>
    </xf>
    <xf borderId="1" fillId="0" fontId="28" numFmtId="0" xfId="0" applyAlignment="1" applyBorder="1" applyFont="1">
      <alignment horizontal="center" shrinkToFit="0" wrapText="1"/>
    </xf>
    <xf borderId="76" fillId="0" fontId="2" numFmtId="0" xfId="0" applyBorder="1" applyFont="1"/>
    <xf borderId="77" fillId="0" fontId="2" numFmtId="0" xfId="0" applyBorder="1" applyFont="1"/>
    <xf borderId="80" fillId="0" fontId="2" numFmtId="0" xfId="0" applyBorder="1" applyFont="1"/>
    <xf borderId="81" fillId="0" fontId="2" numFmtId="0" xfId="0" applyBorder="1" applyFont="1"/>
    <xf borderId="0" fillId="0" fontId="19" numFmtId="0" xfId="0" applyAlignment="1" applyFont="1">
      <alignment horizontal="left"/>
    </xf>
    <xf borderId="0" fillId="0" fontId="19" numFmtId="0" xfId="0" applyAlignment="1" applyFont="1">
      <alignment horizontal="center"/>
    </xf>
    <xf borderId="0" fillId="0" fontId="14" numFmtId="0" xfId="0" applyAlignment="1" applyFont="1">
      <alignment horizontal="left"/>
    </xf>
    <xf borderId="78" fillId="9" fontId="19" numFmtId="0" xfId="0" applyAlignment="1" applyBorder="1" applyFont="1">
      <alignment horizontal="center"/>
    </xf>
    <xf borderId="36" fillId="11" fontId="19" numFmtId="0" xfId="0" applyAlignment="1" applyBorder="1" applyFont="1">
      <alignment horizontal="center"/>
    </xf>
    <xf borderId="36" fillId="6" fontId="19" numFmtId="0" xfId="0" applyAlignment="1" applyBorder="1" applyFont="1">
      <alignment horizontal="center"/>
    </xf>
    <xf borderId="35" fillId="0" fontId="2" numFmtId="0" xfId="0" applyBorder="1" applyFont="1"/>
    <xf borderId="97" fillId="0" fontId="29" numFmtId="0" xfId="0" applyAlignment="1" applyBorder="1" applyFont="1">
      <alignment horizontal="left" vertical="center"/>
    </xf>
    <xf borderId="5" fillId="0" fontId="29" numFmtId="0" xfId="0" applyAlignment="1" applyBorder="1" applyFont="1">
      <alignment horizontal="center" vertical="center"/>
    </xf>
    <xf borderId="18" fillId="0" fontId="29" numFmtId="0" xfId="0" applyAlignment="1" applyBorder="1" applyFont="1">
      <alignment horizontal="center" vertical="center"/>
    </xf>
    <xf borderId="45" fillId="0" fontId="29" numFmtId="0" xfId="0" applyAlignment="1" applyBorder="1" applyFont="1">
      <alignment horizontal="center" shrinkToFit="0" vertical="center" wrapText="1"/>
    </xf>
    <xf borderId="119" fillId="0" fontId="30" numFmtId="0" xfId="0" applyAlignment="1" applyBorder="1" applyFont="1">
      <alignment horizontal="left" vertical="center"/>
    </xf>
    <xf borderId="120" fillId="0" fontId="30" numFmtId="0" xfId="0" applyAlignment="1" applyBorder="1" applyFont="1">
      <alignment horizontal="left" shrinkToFit="0" vertical="center" wrapText="1"/>
    </xf>
    <xf borderId="119" fillId="0" fontId="19" numFmtId="0" xfId="0" applyAlignment="1" applyBorder="1" applyFont="1">
      <alignment horizontal="center" vertical="center"/>
    </xf>
    <xf borderId="119" fillId="0" fontId="19" numFmtId="3" xfId="0" applyAlignment="1" applyBorder="1" applyFont="1" applyNumberFormat="1">
      <alignment horizontal="center" vertical="center"/>
    </xf>
    <xf borderId="121" fillId="0" fontId="19" numFmtId="3" xfId="0" applyAlignment="1" applyBorder="1" applyFont="1" applyNumberFormat="1">
      <alignment horizontal="center" vertical="center"/>
    </xf>
    <xf borderId="122" fillId="0" fontId="19" numFmtId="0" xfId="0" applyAlignment="1" applyBorder="1" applyFont="1">
      <alignment horizontal="center" vertical="center"/>
    </xf>
    <xf borderId="119" fillId="0" fontId="19" numFmtId="0" xfId="0" applyAlignment="1" applyBorder="1" applyFont="1">
      <alignment horizontal="left" vertical="center"/>
    </xf>
    <xf borderId="120" fillId="0" fontId="19" numFmtId="0" xfId="0" applyAlignment="1" applyBorder="1" applyFont="1">
      <alignment horizontal="left" shrinkToFit="0" vertical="center" wrapText="1"/>
    </xf>
    <xf borderId="119" fillId="10" fontId="19" numFmtId="3" xfId="0" applyAlignment="1" applyBorder="1" applyFont="1" applyNumberFormat="1">
      <alignment horizontal="center" vertical="center"/>
    </xf>
    <xf borderId="123" fillId="10" fontId="19" numFmtId="3" xfId="0" applyAlignment="1" applyBorder="1" applyFont="1" applyNumberFormat="1">
      <alignment horizontal="center" vertical="center"/>
    </xf>
    <xf borderId="124" fillId="10" fontId="19" numFmtId="0" xfId="0" applyAlignment="1" applyBorder="1" applyFont="1">
      <alignment horizontal="center" vertical="center"/>
    </xf>
    <xf borderId="119" fillId="0" fontId="19" numFmtId="0" xfId="0" applyAlignment="1" applyBorder="1" applyFont="1">
      <alignment horizontal="left" shrinkToFit="0" vertical="center" wrapText="1"/>
    </xf>
    <xf borderId="120" fillId="0" fontId="19" numFmtId="0" xfId="0" applyAlignment="1" applyBorder="1" applyFont="1">
      <alignment horizontal="right" shrinkToFit="0" vertical="center" wrapText="1"/>
    </xf>
    <xf borderId="120" fillId="0" fontId="21" numFmtId="0" xfId="0" applyAlignment="1" applyBorder="1" applyFont="1">
      <alignment horizontal="left" shrinkToFit="0" vertical="center" wrapText="1"/>
    </xf>
    <xf borderId="119" fillId="6" fontId="19" numFmtId="3" xfId="0" applyAlignment="1" applyBorder="1" applyFont="1" applyNumberFormat="1">
      <alignment horizontal="center" vertical="center"/>
    </xf>
    <xf borderId="123" fillId="6" fontId="19" numFmtId="3" xfId="0" applyAlignment="1" applyBorder="1" applyFont="1" applyNumberFormat="1">
      <alignment horizontal="center" vertical="center"/>
    </xf>
    <xf borderId="124" fillId="6" fontId="19" numFmtId="0" xfId="0" applyAlignment="1" applyBorder="1" applyFont="1">
      <alignment horizontal="center" vertical="center"/>
    </xf>
    <xf borderId="119" fillId="11" fontId="19" numFmtId="3" xfId="0" applyAlignment="1" applyBorder="1" applyFont="1" applyNumberFormat="1">
      <alignment horizontal="center" vertical="center"/>
    </xf>
    <xf borderId="123" fillId="11" fontId="19" numFmtId="3" xfId="0" applyAlignment="1" applyBorder="1" applyFont="1" applyNumberFormat="1">
      <alignment horizontal="center" vertical="center"/>
    </xf>
    <xf borderId="124" fillId="11" fontId="19" numFmtId="0" xfId="0" applyAlignment="1" applyBorder="1" applyFont="1">
      <alignment horizontal="center" vertical="center"/>
    </xf>
    <xf borderId="124" fillId="6" fontId="19" numFmtId="3" xfId="0" applyAlignment="1" applyBorder="1" applyFont="1" applyNumberFormat="1">
      <alignment horizontal="center" vertical="center"/>
    </xf>
    <xf borderId="124" fillId="11" fontId="19" numFmtId="3" xfId="0" applyAlignment="1" applyBorder="1" applyFont="1" applyNumberFormat="1">
      <alignment horizontal="center" vertical="center"/>
    </xf>
    <xf borderId="121" fillId="0" fontId="19" numFmtId="0" xfId="0" applyAlignment="1" applyBorder="1" applyFont="1">
      <alignment horizontal="center" vertical="center"/>
    </xf>
    <xf borderId="121" fillId="0" fontId="19" numFmtId="0" xfId="0" applyAlignment="1" applyBorder="1" applyFont="1">
      <alignment vertical="center"/>
    </xf>
    <xf borderId="125" fillId="0" fontId="19" numFmtId="0" xfId="0" applyAlignment="1" applyBorder="1" applyFont="1">
      <alignment horizontal="center" vertical="center"/>
    </xf>
    <xf borderId="125" fillId="0" fontId="19" numFmtId="0" xfId="0" applyAlignment="1" applyBorder="1" applyFont="1">
      <alignment shrinkToFit="0" vertical="center" wrapText="1"/>
    </xf>
    <xf borderId="125" fillId="0" fontId="19" numFmtId="0" xfId="0" applyAlignment="1" applyBorder="1" applyFont="1">
      <alignment vertical="center"/>
    </xf>
    <xf borderId="73" fillId="0" fontId="29" numFmtId="0" xfId="0" applyAlignment="1" applyBorder="1" applyFont="1">
      <alignment horizontal="center" vertical="center"/>
    </xf>
    <xf borderId="71" fillId="0" fontId="29" numFmtId="0" xfId="0" applyAlignment="1" applyBorder="1" applyFont="1">
      <alignment horizontal="center" vertical="center"/>
    </xf>
    <xf borderId="71" fillId="0" fontId="29" numFmtId="0" xfId="0" applyAlignment="1" applyBorder="1" applyFont="1">
      <alignment horizontal="center"/>
    </xf>
    <xf borderId="5" fillId="10" fontId="19" numFmtId="0" xfId="0" applyBorder="1" applyFont="1"/>
    <xf borderId="5" fillId="11" fontId="19" numFmtId="0" xfId="0" applyBorder="1" applyFont="1"/>
    <xf borderId="5" fillId="6" fontId="19" numFmtId="0" xfId="0" applyBorder="1" applyFont="1"/>
    <xf borderId="5" fillId="0" fontId="14" numFmtId="49" xfId="0" applyAlignment="1" applyBorder="1" applyFont="1" applyNumberFormat="1">
      <alignment horizontal="center" shrinkToFit="0" vertical="center" wrapText="1"/>
    </xf>
    <xf borderId="18" fillId="0" fontId="14" numFmtId="49" xfId="0" applyAlignment="1" applyBorder="1" applyFont="1" applyNumberFormat="1">
      <alignment horizontal="center" shrinkToFit="0" vertical="center" wrapText="1"/>
    </xf>
    <xf borderId="78" fillId="0" fontId="25" numFmtId="0" xfId="0" applyAlignment="1" applyBorder="1" applyFont="1">
      <alignment horizontal="center"/>
    </xf>
  </cellXfs>
  <cellStyles count="1">
    <cellStyle xfId="0" name="Normal" builtinId="0"/>
  </cellStyles>
  <dxfs count="3">
    <dxf>
      <font/>
      <fill>
        <patternFill patternType="solid">
          <fgColor rgb="FFEAF1DD"/>
          <bgColor rgb="FFEAF1DD"/>
        </patternFill>
      </fill>
      <border/>
    </dxf>
    <dxf>
      <font/>
      <fill>
        <patternFill patternType="solid">
          <fgColor rgb="FFFFC000"/>
          <bgColor rgb="FFFFC000"/>
        </patternFill>
      </fill>
      <border/>
    </dxf>
    <dxf>
      <font>
        <color rgb="FFFF0000"/>
      </font>
      <fill>
        <patternFill patternType="none"/>
      </fill>
      <border/>
    </dxf>
  </dxfs>
</styleSheet>
</file>

<file path=xl/_rels/workbook.xml.rels><?xml version="1.0" encoding="UTF-8" standalone="yes"?><Relationships xmlns="http://schemas.openxmlformats.org/package/2006/relationships"><Relationship Id="rId11" Type="http://schemas.openxmlformats.org/officeDocument/2006/relationships/worksheet" Target="worksheets/sheet7.xml"/><Relationship Id="rId10" Type="http://schemas.openxmlformats.org/officeDocument/2006/relationships/worksheet" Target="worksheets/sheet6.xml"/><Relationship Id="rId13" Type="http://schemas.openxmlformats.org/officeDocument/2006/relationships/externalLink" Target="externalLinks/externalLink1.xml"/><Relationship Id="rId12" Type="http://schemas.openxmlformats.org/officeDocument/2006/relationships/worksheet" Target="worksheets/sheet8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9" Type="http://schemas.openxmlformats.org/officeDocument/2006/relationships/worksheet" Target="worksheets/sheet5.xml"/><Relationship Id="rId15" Type="http://schemas.openxmlformats.org/officeDocument/2006/relationships/externalLink" Target="externalLinks/externalLink3.xml"/><Relationship Id="rId14" Type="http://schemas.openxmlformats.org/officeDocument/2006/relationships/externalLink" Target="externalLinks/externalLink2.xml"/><Relationship Id="rId17" Type="http://schemas.openxmlformats.org/officeDocument/2006/relationships/externalLink" Target="externalLinks/externalLink5.xml"/><Relationship Id="rId16" Type="http://schemas.openxmlformats.org/officeDocument/2006/relationships/externalLink" Target="externalLinks/externalLink4.xml"/><Relationship Id="rId5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18" Type="http://customschemas.google.com/relationships/workbookmetadata" Target="metadata"/><Relationship Id="rId7" Type="http://schemas.openxmlformats.org/officeDocument/2006/relationships/worksheet" Target="worksheets/sheet3.xml"/><Relationship Id="rId8" Type="http://schemas.openxmlformats.org/officeDocument/2006/relationships/worksheet" Target="worksheets/sheet4.xml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1" i="0" sz="1600">
                <a:solidFill>
                  <a:schemeClr val="lt1"/>
                </a:solidFill>
                <a:latin typeface="Calibri"/>
              </a:defRPr>
            </a:pPr>
            <a:r>
              <a:rPr b="1" i="0" sz="1600">
                <a:solidFill>
                  <a:schemeClr val="lt1"/>
                </a:solidFill>
                <a:latin typeface="Calibri"/>
              </a:rPr>
              <a:t>Puissances électriques par Sous-lots (période Eté en kW)</a:t>
            </a:r>
          </a:p>
        </c:rich>
      </c:tx>
      <c:overlay val="0"/>
    </c:title>
    <c:view3D>
      <c:rotX val="50"/>
      <c:perspective val="0"/>
    </c:view3D>
    <c:plotArea>
      <c:layout/>
      <c:pie3DChart>
        <c:varyColors val="1"/>
        <c:ser>
          <c:idx val="0"/>
          <c:order val="0"/>
          <c:dPt>
            <c:idx val="0"/>
            <c:spPr>
              <a:solidFill>
                <a:schemeClr val="accent1"/>
              </a:solidFill>
            </c:spPr>
          </c:dPt>
          <c:dPt>
            <c:idx val="1"/>
            <c:spPr>
              <a:solidFill>
                <a:schemeClr val="accent2"/>
              </a:solidFill>
            </c:spPr>
          </c:dPt>
          <c:dPt>
            <c:idx val="2"/>
            <c:spPr>
              <a:solidFill>
                <a:schemeClr val="accent3"/>
              </a:solidFill>
            </c:spPr>
          </c:dPt>
          <c:dPt>
            <c:idx val="3"/>
            <c:spPr>
              <a:solidFill>
                <a:schemeClr val="accent4"/>
              </a:solidFill>
            </c:spPr>
          </c:dPt>
          <c:dPt>
            <c:idx val="4"/>
            <c:spPr>
              <a:solidFill>
                <a:schemeClr val="accent5"/>
              </a:solidFill>
            </c:spPr>
          </c:dPt>
          <c:dPt>
            <c:idx val="5"/>
            <c:spPr>
              <a:solidFill>
                <a:schemeClr val="accent6"/>
              </a:solidFill>
            </c:spPr>
          </c:dPt>
          <c:dPt>
            <c:idx val="6"/>
            <c:spPr>
              <a:solidFill>
                <a:schemeClr val="accent1"/>
              </a:solidFill>
            </c:spPr>
          </c:dPt>
          <c:dPt>
            <c:idx val="7"/>
            <c:spPr>
              <a:solidFill>
                <a:schemeClr val="accent2"/>
              </a:solidFill>
            </c:spPr>
          </c:dPt>
          <c:dPt>
            <c:idx val="8"/>
            <c:spPr>
              <a:solidFill>
                <a:schemeClr val="accent3"/>
              </a:solidFill>
            </c:spPr>
          </c:dPt>
          <c:dPt>
            <c:idx val="9"/>
            <c:spPr>
              <a:solidFill>
                <a:schemeClr val="accent4"/>
              </a:solidFill>
            </c:spPr>
          </c:dPt>
          <c:dPt>
            <c:idx val="10"/>
            <c:spPr>
              <a:solidFill>
                <a:schemeClr val="accent5"/>
              </a:solidFill>
            </c:spPr>
          </c:dPt>
          <c:dPt>
            <c:idx val="11"/>
            <c:spPr>
              <a:solidFill>
                <a:schemeClr val="accent6"/>
              </a:solidFill>
            </c:spPr>
          </c:dPt>
          <c:dPt>
            <c:idx val="12"/>
            <c:spPr>
              <a:solidFill>
                <a:schemeClr val="accent1"/>
              </a:solidFill>
            </c:spPr>
          </c:dPt>
          <c:dPt>
            <c:idx val="13"/>
            <c:spPr>
              <a:solidFill>
                <a:schemeClr val="accent2"/>
              </a:solidFill>
            </c:spPr>
          </c:dPt>
          <c:dPt>
            <c:idx val="14"/>
            <c:spPr>
              <a:solidFill>
                <a:schemeClr val="accent3"/>
              </a:solidFill>
            </c:spPr>
          </c:dPt>
          <c:dPt>
            <c:idx val="15"/>
            <c:spPr>
              <a:solidFill>
                <a:schemeClr val="accent4"/>
              </a:solidFill>
            </c:spPr>
          </c:dPt>
          <c:dPt>
            <c:idx val="16"/>
            <c:spPr>
              <a:solidFill>
                <a:schemeClr val="accent5"/>
              </a:solidFill>
            </c:spPr>
          </c:dPt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strRef>
              <c:f>'Graph Estimation'!$C$5:$C$21</c:f>
            </c:strRef>
          </c:cat>
          <c:val>
            <c:numRef>
              <c:f>'Graph Estimation'!$D$5:$D$21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</c:pie3DChart>
    </c:plotArea>
    <c:plotVisOnly val="1"/>
  </c:chart>
  <c:spPr>
    <a:solidFill>
      <a:schemeClr val="dk1"/>
    </a:solidFill>
  </c:spPr>
</c:chartSpace>
</file>

<file path=xl/drawings/_rels/drawing4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2</xdr:col>
      <xdr:colOff>0</xdr:colOff>
      <xdr:row>22</xdr:row>
      <xdr:rowOff>142875</xdr:rowOff>
    </xdr:from>
    <xdr:ext cx="6448425" cy="4781550"/>
    <xdr:graphicFrame>
      <xdr:nvGraphicFramePr>
        <xdr:cNvPr id="1454865514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externalLinks/_rels/externalLink1.xml.rels><?xml version="1.0" encoding="UTF-8" standalone="yes"?><Relationships xmlns="http://schemas.openxmlformats.org/package/2006/relationships"><Relationship Id="rId1" Type="http://schemas.openxmlformats.org/officeDocument/2006/relationships/externalLinkPath" Target="file:///D:\ACIT\0_R&#233;f&#233;rent\00_Mission%20r&#233;f&#233;rent\0_Doc%20g&#233;n&#233;aux%20ACIT\_0_Mod&#232;les%20de%20documents\0_Phases\00_Commun%20aux%20phases\Mod&#232;le_Bilan%20de%20puissance_liste_conso_EMA_V4_Non%20diffus&#233;.xlsm" TargetMode="External"/></Relationships>
</file>

<file path=xl/externalLinks/_rels/externalLink2.xml.rels><?xml version="1.0" encoding="UTF-8" standalone="yes"?><Relationships xmlns="http://schemas.openxmlformats.org/package/2006/relationships"><Relationship Id="rId1" Type="http://schemas.openxmlformats.org/officeDocument/2006/relationships/externalLinkPath" Target="file:///\\Pst-001\doc_francis\PUBLIC\THIERRY\LYTHIA2.XLW" TargetMode="External"/></Relationships>
</file>

<file path=xl/externalLinks/_rels/externalLink3.xml.rels><?xml version="1.0" encoding="UTF-8" standalone="yes"?><Relationships xmlns="http://schemas.openxmlformats.org/package/2006/relationships"><Relationship Id="rId1" Type="http://schemas.openxmlformats.org/officeDocument/2006/relationships/externalLinkPath" Target="file:///O:\2007136_Paris_10_Gymnase_Alban_Satragne\07_PRO_DCE\1_Secretariat\4_Descriptifs\RENDU%20DCE%2010-05-10\2007136%20-%20DCE%20-%20ESTIMATION%20TCE%20ENTREPRISE%20GENERALE.xls" TargetMode="External"/></Relationships>
</file>

<file path=xl/externalLinks/_rels/externalLink4.xml.rels><?xml version="1.0" encoding="UTF-8" standalone="yes"?><Relationships xmlns="http://schemas.openxmlformats.org/package/2006/relationships"><Relationship Id="rId1" Type="http://schemas.openxmlformats.org/officeDocument/2006/relationships/externalLinkPath" Target="file:///\\78A8375B\GO%20-%20Sec" TargetMode="External"/></Relationships>
</file>

<file path=xl/externalLinks/_rels/externalLink5.xml.rels><?xml version="1.0" encoding="UTF-8" standalone="yes"?><Relationships xmlns="http://schemas.openxmlformats.org/package/2006/relationships"><Relationship Id="rId1" Type="http://schemas.openxmlformats.org/officeDocument/2006/relationships/externalLinkPath" Target="file:///\\srv-Gec\affaires\Documents%20and%20Settings\bidouxn\Local%20Settings\Temporary%20Internet%20Files\OLKAC\Fracasso_g\DOSSIER%20TRAVAIL\2007%20136%20-%20Gymnase%20Alban%20SATRAGNE\APS\ECONOMISTE\ESTIM\ESTIM-APS.xls" TargetMode="External"/></Relationships>
</file>

<file path=xl/externalLinks/externalLink1.xml><?xml version="1.0" encoding="utf-8"?>
<externalLin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externalBook r:id="rId1">
    <sheetNames>
      <sheetName val="1_Sommaire"/>
      <sheetName val="2_PDG"/>
      <sheetName val="3_Méthode"/>
      <sheetName val="4_Version"/>
      <sheetName val="5_Locaux"/>
      <sheetName val="Prov6_Armoires"/>
      <sheetName val="6_Armoires"/>
      <sheetName val="7_Equipements"/>
      <sheetName val="8_Arm. CVC"/>
      <sheetName val="9_Equip. CVC"/>
      <sheetName val="10_Bilan_Sources"/>
      <sheetName val="11_Bilan_Voies"/>
      <sheetName val="12_Bilan_Lots"/>
      <sheetName val="13_Bilan P"/>
      <sheetName val="14_Listes"/>
      <sheetName val="15_CVC Vn"/>
      <sheetName val="16_CVC Vn-1"/>
      <sheetName val="17_Procédés"/>
      <sheetName val="18_MML"/>
      <sheetName val="19_IRP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.xml><?xml version="1.0" encoding="utf-8"?>
<externalLin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externalBook r:id="rId1">
    <sheetNames>
      <sheetName val="MINUTE DE METRE"/>
      <sheetName val="PAGE DE GARDE"/>
    </sheetNames>
    <sheetDataSet>
      <sheetData sheetId="0"/>
      <sheetData sheetId="1"/>
    </sheetDataSet>
  </externalBook>
</externalLink>
</file>

<file path=xl/externalLinks/externalLink3.xml><?xml version="1.0" encoding="utf-8"?>
<externalLin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externalBook r:id="rId1">
    <sheetNames>
      <sheetName val="Données APD"/>
      <sheetName val="SHOBSHON"/>
      <sheetName val="Estim APS"/>
      <sheetName val="BB prix"/>
      <sheetName val="Estim APD"/>
      <sheetName val="RECAP"/>
      <sheetName val="Estim APD (2)"/>
      <sheetName val="ESTIMATION APD TCE"/>
      <sheetName val="Estim APD V2"/>
      <sheetName val="VRD"/>
      <sheetName val="ELEC"/>
      <sheetName val="PBS"/>
      <sheetName val="CVC"/>
      <sheetName val="ESTIMATION APD TCE V2"/>
    </sheetNames>
    <sheetDataSet>
      <sheetData sheetId="0" refreshError="1"/>
      <sheetData sheetId="1"/>
      <sheetData sheetId="2" refreshError="1"/>
      <sheetData sheetId="3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/>
    </sheetDataSet>
  </externalBook>
</externalLink>
</file>

<file path=xl/externalLinks/externalLink4.xml><?xml version="1.0" encoding="utf-8"?>
<externalLin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externalBook r:id="rId1">
    <sheetNames>
      <sheetName val="Données ESQUISSE"/>
      <sheetName val="Données APS"/>
      <sheetName val="SHOB-SHON"/>
      <sheetName val="Estim"/>
      <sheetName val="RECAP"/>
      <sheetName val="REV SOL"/>
      <sheetName val="DICO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5.xml><?xml version="1.0" encoding="utf-8"?>
<externalLin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externalBook r:id="rId1">
    <sheetNames>
      <sheetName val="Données ESQUISSE"/>
      <sheetName val="Données APS"/>
      <sheetName val="SHOB-SHON"/>
      <sheetName val="Estim"/>
      <sheetName val="RECAP"/>
      <sheetName val="REV SOL"/>
      <sheetName val="DICO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Open Sans"/>
        <a:ea typeface="Open Sans"/>
        <a:cs typeface="Open Sans"/>
      </a:majorFont>
      <a:minorFont>
        <a:latin typeface="Open Sans"/>
        <a:ea typeface="Open Sans"/>
        <a:cs typeface="Open Sans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6.86"/>
    <col customWidth="1" min="2" max="2" width="40.14"/>
    <col customWidth="1" min="3" max="3" width="7.86"/>
    <col customWidth="1" min="4" max="6" width="10.86"/>
    <col customWidth="1" min="7" max="7" width="11.86"/>
    <col customWidth="1" min="8" max="8" width="10.43"/>
    <col customWidth="1" min="9" max="9" width="12.29"/>
    <col customWidth="1" min="10" max="25" width="11.43"/>
  </cols>
  <sheetData>
    <row r="1" ht="28.5" customHeight="1">
      <c r="A1" s="1" t="s">
        <v>0</v>
      </c>
      <c r="B1" s="2"/>
      <c r="C1" s="2"/>
      <c r="D1" s="2"/>
      <c r="E1" s="2"/>
      <c r="F1" s="2"/>
      <c r="G1" s="3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</row>
    <row r="2" ht="12.75" customHeight="1">
      <c r="A2" s="5" t="s">
        <v>1</v>
      </c>
      <c r="B2" s="6" t="s">
        <v>2</v>
      </c>
      <c r="C2" s="7"/>
      <c r="D2" s="7"/>
      <c r="E2" s="7"/>
      <c r="F2" s="7"/>
      <c r="G2" s="8"/>
      <c r="H2" s="9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</row>
    <row r="3" ht="12.75" customHeight="1">
      <c r="A3" s="5" t="s">
        <v>3</v>
      </c>
      <c r="B3" s="7" t="s">
        <v>4</v>
      </c>
      <c r="C3" s="7"/>
      <c r="D3" s="7"/>
      <c r="E3" s="7"/>
      <c r="F3" s="7"/>
      <c r="G3" s="8"/>
      <c r="H3" s="9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</row>
    <row r="4" ht="12.75" customHeight="1">
      <c r="A4" s="10" t="s">
        <v>5</v>
      </c>
      <c r="B4" s="11">
        <v>45933.0</v>
      </c>
      <c r="C4" s="12"/>
      <c r="D4" s="12"/>
      <c r="E4" s="12"/>
      <c r="F4" s="13"/>
      <c r="G4" s="14"/>
      <c r="H4" s="15" t="s">
        <v>6</v>
      </c>
      <c r="I4" s="15" t="s">
        <v>7</v>
      </c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</row>
    <row r="5" ht="12.75" customHeight="1">
      <c r="A5" s="16"/>
      <c r="B5" s="17" t="s">
        <v>8</v>
      </c>
      <c r="C5" s="17"/>
      <c r="D5" s="18"/>
      <c r="E5" s="18"/>
      <c r="F5" s="19">
        <v>1.0</v>
      </c>
      <c r="G5" s="20"/>
      <c r="H5" s="21"/>
      <c r="I5" s="21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</row>
    <row r="6" ht="12.75" customHeight="1">
      <c r="A6" s="22"/>
      <c r="B6" s="23" t="s">
        <v>9</v>
      </c>
      <c r="C6" s="23"/>
      <c r="D6" s="23"/>
      <c r="E6" s="23"/>
      <c r="F6" s="23"/>
      <c r="G6" s="24">
        <f>SUM(G15:G961)/3</f>
        <v>4342432.208</v>
      </c>
      <c r="H6" s="25">
        <f>SUM(H15:H961)</f>
        <v>4342432.208</v>
      </c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</row>
    <row r="7" ht="12.75" customHeight="1">
      <c r="A7" s="10"/>
      <c r="B7" s="12" t="s">
        <v>10</v>
      </c>
      <c r="C7" s="12"/>
      <c r="D7" s="12"/>
      <c r="E7" s="12"/>
      <c r="F7" s="26">
        <v>0.0</v>
      </c>
      <c r="G7" s="27">
        <f t="shared" ref="G7:G9" si="1">$G$6*F7</f>
        <v>0</v>
      </c>
      <c r="H7" s="28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</row>
    <row r="8" ht="12.75" customHeight="1">
      <c r="A8" s="10"/>
      <c r="B8" s="12" t="s">
        <v>11</v>
      </c>
      <c r="C8" s="12"/>
      <c r="D8" s="12"/>
      <c r="E8" s="12"/>
      <c r="F8" s="26">
        <v>0.0</v>
      </c>
      <c r="G8" s="27">
        <f t="shared" si="1"/>
        <v>0</v>
      </c>
      <c r="H8" s="29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</row>
    <row r="9" ht="12.75" customHeight="1">
      <c r="A9" s="10"/>
      <c r="B9" s="13" t="s">
        <v>12</v>
      </c>
      <c r="C9" s="13"/>
      <c r="D9" s="13"/>
      <c r="E9" s="13"/>
      <c r="F9" s="30">
        <v>0.0</v>
      </c>
      <c r="G9" s="31">
        <f t="shared" si="1"/>
        <v>0</v>
      </c>
      <c r="H9" s="29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</row>
    <row r="10" ht="12.75" customHeight="1">
      <c r="A10" s="32"/>
      <c r="B10" s="33" t="s">
        <v>13</v>
      </c>
      <c r="C10" s="34"/>
      <c r="D10" s="34"/>
      <c r="E10" s="34"/>
      <c r="F10" s="34"/>
      <c r="G10" s="35">
        <f>SUM(G6:G9)</f>
        <v>4342432.208</v>
      </c>
      <c r="H10" s="36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</row>
    <row r="11" ht="19.5" customHeight="1">
      <c r="A11" s="37"/>
      <c r="B11" s="38"/>
      <c r="C11" s="39" t="s">
        <v>14</v>
      </c>
      <c r="D11" s="40"/>
      <c r="E11" s="41"/>
      <c r="F11" s="42"/>
      <c r="G11" s="43">
        <f>G10/F5</f>
        <v>4342432.208</v>
      </c>
      <c r="H11" s="4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</row>
    <row r="12" ht="5.25" customHeight="1">
      <c r="A12" s="45"/>
      <c r="B12" s="46"/>
      <c r="C12" s="46"/>
      <c r="D12" s="46"/>
      <c r="E12" s="46"/>
      <c r="F12" s="46"/>
      <c r="G12" s="46"/>
      <c r="H12" s="4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</row>
    <row r="13" ht="9.75" customHeight="1">
      <c r="A13" s="9" t="s">
        <v>15</v>
      </c>
      <c r="B13" s="47" t="s">
        <v>16</v>
      </c>
      <c r="C13" s="48" t="s">
        <v>17</v>
      </c>
      <c r="D13" s="49" t="s">
        <v>18</v>
      </c>
      <c r="E13" s="49" t="s">
        <v>19</v>
      </c>
      <c r="F13" s="50" t="s">
        <v>20</v>
      </c>
      <c r="G13" s="51" t="s">
        <v>21</v>
      </c>
      <c r="H13" s="44"/>
      <c r="I13" s="52" t="s">
        <v>7</v>
      </c>
      <c r="J13" s="53" t="s">
        <v>1</v>
      </c>
      <c r="K13" s="54" t="s">
        <v>3</v>
      </c>
      <c r="L13" s="54" t="s">
        <v>22</v>
      </c>
      <c r="M13" s="54" t="s">
        <v>23</v>
      </c>
      <c r="N13" s="54" t="str">
        <f>B7</f>
        <v>Coefficient de complexité</v>
      </c>
      <c r="O13" s="54" t="str">
        <f>B8</f>
        <v>Coefficient de risque (financier ou technique)</v>
      </c>
      <c r="P13" s="54" t="str">
        <f>B9</f>
        <v>coefficient d'incertitude (lié à la phase)</v>
      </c>
      <c r="Q13" s="55"/>
      <c r="R13" s="4"/>
      <c r="S13" s="4"/>
      <c r="T13" s="4"/>
      <c r="U13" s="4"/>
      <c r="V13" s="4"/>
      <c r="W13" s="4"/>
      <c r="X13" s="4"/>
      <c r="Y13" s="4"/>
    </row>
    <row r="14" ht="12.75" customHeight="1">
      <c r="A14" s="56" t="s">
        <v>24</v>
      </c>
      <c r="B14" s="57"/>
      <c r="C14" s="57"/>
      <c r="D14" s="57"/>
      <c r="E14" s="57"/>
      <c r="F14" s="57"/>
      <c r="G14" s="58"/>
      <c r="H14" s="4"/>
      <c r="I14" s="59">
        <f t="shared" ref="I14:I74" si="2">IFERROR(H14/$H$6,0)</f>
        <v>0</v>
      </c>
      <c r="J14" s="60" t="str">
        <f>B2</f>
        <v>Estimation de base</v>
      </c>
      <c r="K14" s="61" t="str">
        <f>B3</f>
        <v>APD</v>
      </c>
      <c r="L14" s="62">
        <f>B4</f>
        <v>45933</v>
      </c>
      <c r="M14" s="61">
        <f>F5</f>
        <v>1</v>
      </c>
      <c r="N14" s="63">
        <f>G7</f>
        <v>0</v>
      </c>
      <c r="O14" s="63">
        <f>G8</f>
        <v>0</v>
      </c>
      <c r="P14" s="63">
        <f>G9</f>
        <v>0</v>
      </c>
      <c r="Q14" s="64"/>
      <c r="R14" s="4"/>
      <c r="S14" s="4"/>
      <c r="T14" s="4"/>
      <c r="U14" s="4"/>
      <c r="V14" s="4"/>
      <c r="W14" s="4"/>
      <c r="X14" s="4"/>
      <c r="Y14" s="4"/>
    </row>
    <row r="15" ht="9.75" customHeight="1">
      <c r="A15" s="65"/>
      <c r="B15" s="66" t="s">
        <v>25</v>
      </c>
      <c r="C15" s="67"/>
      <c r="D15" s="14"/>
      <c r="E15" s="14"/>
      <c r="F15" s="14"/>
      <c r="G15" s="68"/>
      <c r="H15" s="4">
        <f t="shared" ref="H15:H74" si="3">IFERROR(IF(FIND("Sous-",B15,1)&lt;&gt;0,G15,1),0)</f>
        <v>0</v>
      </c>
      <c r="I15" s="59">
        <f t="shared" si="2"/>
        <v>0</v>
      </c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</row>
    <row r="16" ht="9.75" customHeight="1">
      <c r="A16" s="65"/>
      <c r="B16" s="69" t="s">
        <v>26</v>
      </c>
      <c r="C16" s="70" t="s">
        <v>27</v>
      </c>
      <c r="D16" s="71"/>
      <c r="E16" s="72">
        <v>1.0</v>
      </c>
      <c r="F16" s="71">
        <v>1.0</v>
      </c>
      <c r="G16" s="73">
        <f>E16*F16</f>
        <v>1</v>
      </c>
      <c r="H16" s="4">
        <f t="shared" si="3"/>
        <v>0</v>
      </c>
      <c r="I16" s="59">
        <f t="shared" si="2"/>
        <v>0</v>
      </c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</row>
    <row r="17" ht="12.75" customHeight="1">
      <c r="A17" s="65" t="s">
        <v>28</v>
      </c>
      <c r="B17" s="74" t="str">
        <f>CONCATENATE("Sous-Total : ",A15," - ",B15)</f>
        <v>Sous-Total :  - Etudes, Plans, DOE</v>
      </c>
      <c r="C17" s="75"/>
      <c r="D17" s="76"/>
      <c r="E17" s="76"/>
      <c r="F17" s="76"/>
      <c r="G17" s="77">
        <f>SUM(G16)</f>
        <v>1</v>
      </c>
      <c r="H17" s="4">
        <f t="shared" si="3"/>
        <v>1</v>
      </c>
      <c r="I17" s="59">
        <f t="shared" si="2"/>
        <v>0.0000002302856906</v>
      </c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</row>
    <row r="18" ht="9.75" customHeight="1">
      <c r="A18" s="65"/>
      <c r="B18" s="66" t="s">
        <v>29</v>
      </c>
      <c r="C18" s="67"/>
      <c r="D18" s="78"/>
      <c r="E18" s="78"/>
      <c r="F18" s="78"/>
      <c r="G18" s="78">
        <f t="shared" ref="G18:G24" si="4">E18*F18</f>
        <v>0</v>
      </c>
      <c r="H18" s="4">
        <f t="shared" si="3"/>
        <v>0</v>
      </c>
      <c r="I18" s="59">
        <f t="shared" si="2"/>
        <v>0</v>
      </c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</row>
    <row r="19" ht="9.75" customHeight="1">
      <c r="A19" s="65"/>
      <c r="B19" s="69" t="s">
        <v>30</v>
      </c>
      <c r="C19" s="70" t="s">
        <v>27</v>
      </c>
      <c r="D19" s="71"/>
      <c r="E19" s="72">
        <v>1.0</v>
      </c>
      <c r="F19" s="71">
        <v>1.0</v>
      </c>
      <c r="G19" s="73">
        <f t="shared" si="4"/>
        <v>1</v>
      </c>
      <c r="H19" s="4">
        <f t="shared" si="3"/>
        <v>0</v>
      </c>
      <c r="I19" s="59">
        <f t="shared" si="2"/>
        <v>0</v>
      </c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</row>
    <row r="20" ht="9.75" customHeight="1">
      <c r="A20" s="65"/>
      <c r="B20" s="66"/>
      <c r="C20" s="67"/>
      <c r="D20" s="78"/>
      <c r="E20" s="78"/>
      <c r="F20" s="78"/>
      <c r="G20" s="73">
        <f t="shared" si="4"/>
        <v>0</v>
      </c>
      <c r="H20" s="4">
        <f t="shared" si="3"/>
        <v>0</v>
      </c>
      <c r="I20" s="59">
        <f t="shared" si="2"/>
        <v>0</v>
      </c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</row>
    <row r="21" ht="9.75" customHeight="1">
      <c r="A21" s="65"/>
      <c r="B21" s="79" t="s">
        <v>31</v>
      </c>
      <c r="C21" s="80" t="s">
        <v>32</v>
      </c>
      <c r="D21" s="81"/>
      <c r="E21" s="81">
        <v>1.0</v>
      </c>
      <c r="F21" s="78"/>
      <c r="G21" s="73">
        <f t="shared" si="4"/>
        <v>0</v>
      </c>
      <c r="H21" s="4">
        <f t="shared" si="3"/>
        <v>0</v>
      </c>
      <c r="I21" s="59">
        <f t="shared" si="2"/>
        <v>0</v>
      </c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</row>
    <row r="22" ht="9.75" customHeight="1">
      <c r="A22" s="65"/>
      <c r="B22" s="79" t="s">
        <v>33</v>
      </c>
      <c r="C22" s="80" t="s">
        <v>34</v>
      </c>
      <c r="D22" s="81"/>
      <c r="E22" s="81">
        <v>1.0</v>
      </c>
      <c r="F22" s="78">
        <v>180.0</v>
      </c>
      <c r="G22" s="73">
        <f t="shared" si="4"/>
        <v>180</v>
      </c>
      <c r="H22" s="4">
        <f t="shared" si="3"/>
        <v>0</v>
      </c>
      <c r="I22" s="59">
        <f t="shared" si="2"/>
        <v>0</v>
      </c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</row>
    <row r="23" ht="9.75" customHeight="1">
      <c r="A23" s="65"/>
      <c r="B23" s="79" t="s">
        <v>35</v>
      </c>
      <c r="C23" s="80" t="s">
        <v>34</v>
      </c>
      <c r="D23" s="81"/>
      <c r="E23" s="81">
        <v>1.0</v>
      </c>
      <c r="F23" s="78">
        <v>500.0</v>
      </c>
      <c r="G23" s="73">
        <f t="shared" si="4"/>
        <v>500</v>
      </c>
      <c r="H23" s="4">
        <f t="shared" si="3"/>
        <v>0</v>
      </c>
      <c r="I23" s="59">
        <f t="shared" si="2"/>
        <v>0</v>
      </c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</row>
    <row r="24" ht="9.75" customHeight="1">
      <c r="A24" s="65"/>
      <c r="B24" s="79" t="s">
        <v>36</v>
      </c>
      <c r="C24" s="80" t="s">
        <v>32</v>
      </c>
      <c r="D24" s="81"/>
      <c r="E24" s="81">
        <v>1.0</v>
      </c>
      <c r="F24" s="78">
        <v>1250.0</v>
      </c>
      <c r="G24" s="73">
        <f t="shared" si="4"/>
        <v>1250</v>
      </c>
      <c r="H24" s="4">
        <f t="shared" si="3"/>
        <v>0</v>
      </c>
      <c r="I24" s="59">
        <f t="shared" si="2"/>
        <v>0</v>
      </c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</row>
    <row r="25" ht="12.75" customHeight="1">
      <c r="A25" s="65" t="s">
        <v>37</v>
      </c>
      <c r="B25" s="82" t="str">
        <f>CONCATENATE("Sous-Total : ",A18," - ",B18)</f>
        <v>Sous-Total :  - Essais, mise en service</v>
      </c>
      <c r="C25" s="83"/>
      <c r="D25" s="84"/>
      <c r="E25" s="84"/>
      <c r="F25" s="84"/>
      <c r="G25" s="85">
        <f>SUM(G18:G24)</f>
        <v>1931</v>
      </c>
      <c r="H25" s="4">
        <f t="shared" si="3"/>
        <v>1931</v>
      </c>
      <c r="I25" s="59">
        <f t="shared" si="2"/>
        <v>0.0004446816686</v>
      </c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</row>
    <row r="26" ht="9.75" customHeight="1">
      <c r="A26" s="65"/>
      <c r="B26" s="86" t="s">
        <v>38</v>
      </c>
      <c r="C26" s="87"/>
      <c r="D26" s="88"/>
      <c r="E26" s="88"/>
      <c r="F26" s="88"/>
      <c r="G26" s="89">
        <f t="shared" ref="G26:G31" si="5">E26*F26</f>
        <v>0</v>
      </c>
      <c r="H26" s="4">
        <f t="shared" si="3"/>
        <v>0</v>
      </c>
      <c r="I26" s="59">
        <f t="shared" si="2"/>
        <v>0</v>
      </c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</row>
    <row r="27" ht="9.75" customHeight="1">
      <c r="A27" s="65"/>
      <c r="B27" s="69" t="s">
        <v>39</v>
      </c>
      <c r="C27" s="70" t="s">
        <v>27</v>
      </c>
      <c r="D27" s="71"/>
      <c r="E27" s="72">
        <v>1.0</v>
      </c>
      <c r="F27" s="71">
        <v>0.5</v>
      </c>
      <c r="G27" s="90">
        <f t="shared" si="5"/>
        <v>0.5</v>
      </c>
      <c r="H27" s="4">
        <f t="shared" si="3"/>
        <v>0</v>
      </c>
      <c r="I27" s="59">
        <f t="shared" si="2"/>
        <v>0</v>
      </c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</row>
    <row r="28" ht="9.75" customHeight="1">
      <c r="A28" s="65"/>
      <c r="B28" s="91"/>
      <c r="C28" s="92"/>
      <c r="D28" s="93"/>
      <c r="E28" s="93"/>
      <c r="F28" s="93"/>
      <c r="G28" s="94">
        <f t="shared" si="5"/>
        <v>0</v>
      </c>
      <c r="H28" s="4">
        <f t="shared" si="3"/>
        <v>0</v>
      </c>
      <c r="I28" s="59">
        <f t="shared" si="2"/>
        <v>0</v>
      </c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</row>
    <row r="29" ht="9.75" customHeight="1">
      <c r="A29" s="65"/>
      <c r="B29" s="95" t="s">
        <v>40</v>
      </c>
      <c r="C29" s="96" t="s">
        <v>34</v>
      </c>
      <c r="D29" s="97"/>
      <c r="E29" s="81">
        <v>1.0</v>
      </c>
      <c r="F29" s="98"/>
      <c r="G29" s="99">
        <f t="shared" si="5"/>
        <v>0</v>
      </c>
      <c r="H29" s="4">
        <f t="shared" si="3"/>
        <v>0</v>
      </c>
      <c r="I29" s="59">
        <f t="shared" si="2"/>
        <v>0</v>
      </c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</row>
    <row r="30" ht="9.75" customHeight="1">
      <c r="A30" s="65"/>
      <c r="B30" s="79" t="s">
        <v>41</v>
      </c>
      <c r="C30" s="80" t="s">
        <v>34</v>
      </c>
      <c r="D30" s="100"/>
      <c r="E30" s="81">
        <v>1.0</v>
      </c>
      <c r="F30" s="78"/>
      <c r="G30" s="90">
        <f t="shared" si="5"/>
        <v>0</v>
      </c>
      <c r="H30" s="4">
        <f t="shared" si="3"/>
        <v>0</v>
      </c>
      <c r="I30" s="59">
        <f t="shared" si="2"/>
        <v>0</v>
      </c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</row>
    <row r="31" ht="9.75" customHeight="1">
      <c r="A31" s="65"/>
      <c r="B31" s="79" t="s">
        <v>42</v>
      </c>
      <c r="C31" s="80" t="s">
        <v>32</v>
      </c>
      <c r="D31" s="100"/>
      <c r="E31" s="81">
        <v>1.0</v>
      </c>
      <c r="F31" s="78"/>
      <c r="G31" s="90">
        <f t="shared" si="5"/>
        <v>0</v>
      </c>
      <c r="H31" s="4">
        <f t="shared" si="3"/>
        <v>0</v>
      </c>
      <c r="I31" s="59">
        <f t="shared" si="2"/>
        <v>0</v>
      </c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</row>
    <row r="32" ht="12.75" customHeight="1">
      <c r="A32" s="65" t="s">
        <v>43</v>
      </c>
      <c r="B32" s="101" t="str">
        <f>CONCATENATE("Sous-Total : ",A26," - ",B26)</f>
        <v>Sous-Total :  - Installation de chantier</v>
      </c>
      <c r="C32" s="102"/>
      <c r="D32" s="103"/>
      <c r="E32" s="103"/>
      <c r="F32" s="103"/>
      <c r="G32" s="104">
        <f>SUM(G26:G31)</f>
        <v>0.5</v>
      </c>
      <c r="H32" s="4">
        <f t="shared" si="3"/>
        <v>0.5</v>
      </c>
      <c r="I32" s="59">
        <f t="shared" si="2"/>
        <v>0.0000001151428453</v>
      </c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</row>
    <row r="33" ht="9.75" customHeight="1">
      <c r="A33" s="65"/>
      <c r="B33" s="105" t="s">
        <v>44</v>
      </c>
      <c r="C33" s="106"/>
      <c r="D33" s="98"/>
      <c r="E33" s="98"/>
      <c r="F33" s="98"/>
      <c r="G33" s="107">
        <f t="shared" ref="G33:G37" si="6">E33*F33</f>
        <v>0</v>
      </c>
      <c r="H33" s="4">
        <f t="shared" si="3"/>
        <v>0</v>
      </c>
      <c r="I33" s="59">
        <f t="shared" si="2"/>
        <v>0</v>
      </c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</row>
    <row r="34" ht="9.75" customHeight="1">
      <c r="A34" s="65"/>
      <c r="B34" s="69" t="s">
        <v>39</v>
      </c>
      <c r="C34" s="70" t="s">
        <v>27</v>
      </c>
      <c r="D34" s="71"/>
      <c r="E34" s="72">
        <v>1.0</v>
      </c>
      <c r="F34" s="71"/>
      <c r="G34" s="90">
        <f t="shared" si="6"/>
        <v>0</v>
      </c>
      <c r="H34" s="4">
        <f t="shared" si="3"/>
        <v>0</v>
      </c>
      <c r="I34" s="59">
        <f t="shared" si="2"/>
        <v>0</v>
      </c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</row>
    <row r="35" ht="9.75" customHeight="1">
      <c r="A35" s="65"/>
      <c r="B35" s="91"/>
      <c r="C35" s="92"/>
      <c r="D35" s="93"/>
      <c r="E35" s="93"/>
      <c r="F35" s="93"/>
      <c r="G35" s="94">
        <f t="shared" si="6"/>
        <v>0</v>
      </c>
      <c r="H35" s="4">
        <f t="shared" si="3"/>
        <v>0</v>
      </c>
      <c r="I35" s="59">
        <f t="shared" si="2"/>
        <v>0</v>
      </c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</row>
    <row r="36" ht="9.75" customHeight="1">
      <c r="A36" s="65"/>
      <c r="B36" s="95" t="s">
        <v>45</v>
      </c>
      <c r="C36" s="96" t="s">
        <v>32</v>
      </c>
      <c r="D36" s="97"/>
      <c r="E36" s="108">
        <v>1.0</v>
      </c>
      <c r="F36" s="98"/>
      <c r="G36" s="99">
        <f t="shared" si="6"/>
        <v>0</v>
      </c>
      <c r="H36" s="4">
        <f t="shared" si="3"/>
        <v>0</v>
      </c>
      <c r="I36" s="59">
        <f t="shared" si="2"/>
        <v>0</v>
      </c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</row>
    <row r="37" ht="9.75" customHeight="1">
      <c r="A37" s="65"/>
      <c r="B37" s="79" t="s">
        <v>46</v>
      </c>
      <c r="C37" s="80" t="s">
        <v>47</v>
      </c>
      <c r="D37" s="100"/>
      <c r="E37" s="81">
        <v>1.0</v>
      </c>
      <c r="F37" s="78">
        <f>120*2*7</f>
        <v>1680</v>
      </c>
      <c r="G37" s="90">
        <f t="shared" si="6"/>
        <v>1680</v>
      </c>
      <c r="H37" s="4">
        <f t="shared" si="3"/>
        <v>0</v>
      </c>
      <c r="I37" s="59">
        <f t="shared" si="2"/>
        <v>0</v>
      </c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</row>
    <row r="38" ht="12.75" customHeight="1">
      <c r="A38" s="65" t="s">
        <v>48</v>
      </c>
      <c r="B38" s="101" t="str">
        <f>CONCATENATE("Sous-Total : ",A33," - ",B33)</f>
        <v>Sous-Total :  - Installation existantes</v>
      </c>
      <c r="C38" s="102"/>
      <c r="D38" s="103"/>
      <c r="E38" s="103"/>
      <c r="F38" s="103"/>
      <c r="G38" s="104">
        <f>SUM(G33:G37)</f>
        <v>1680</v>
      </c>
      <c r="H38" s="4">
        <f t="shared" si="3"/>
        <v>1680</v>
      </c>
      <c r="I38" s="59">
        <f t="shared" si="2"/>
        <v>0.0003868799602</v>
      </c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</row>
    <row r="39" ht="9.75" customHeight="1">
      <c r="A39" s="65"/>
      <c r="B39" s="105" t="s">
        <v>49</v>
      </c>
      <c r="C39" s="106"/>
      <c r="D39" s="98"/>
      <c r="E39" s="98"/>
      <c r="F39" s="98"/>
      <c r="G39" s="107">
        <f t="shared" ref="G39:G45" si="7">E39*F39</f>
        <v>0</v>
      </c>
      <c r="H39" s="4">
        <f t="shared" si="3"/>
        <v>0</v>
      </c>
      <c r="I39" s="59">
        <f t="shared" si="2"/>
        <v>0</v>
      </c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</row>
    <row r="40" ht="9.75" customHeight="1">
      <c r="A40" s="65"/>
      <c r="B40" s="69" t="s">
        <v>39</v>
      </c>
      <c r="C40" s="70" t="s">
        <v>27</v>
      </c>
      <c r="D40" s="71"/>
      <c r="E40" s="72">
        <v>1.0</v>
      </c>
      <c r="F40" s="71">
        <v>1.0</v>
      </c>
      <c r="G40" s="90">
        <f t="shared" si="7"/>
        <v>1</v>
      </c>
      <c r="H40" s="4">
        <f t="shared" si="3"/>
        <v>0</v>
      </c>
      <c r="I40" s="59">
        <f t="shared" si="2"/>
        <v>0</v>
      </c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</row>
    <row r="41" ht="9.75" customHeight="1">
      <c r="A41" s="65"/>
      <c r="B41" s="91"/>
      <c r="C41" s="92"/>
      <c r="D41" s="93"/>
      <c r="E41" s="93"/>
      <c r="F41" s="93"/>
      <c r="G41" s="94">
        <f t="shared" si="7"/>
        <v>0</v>
      </c>
      <c r="H41" s="4">
        <f t="shared" si="3"/>
        <v>0</v>
      </c>
      <c r="I41" s="59">
        <f t="shared" si="2"/>
        <v>0</v>
      </c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</row>
    <row r="42" ht="9.75" customHeight="1">
      <c r="A42" s="65"/>
      <c r="B42" s="95" t="s">
        <v>50</v>
      </c>
      <c r="C42" s="96" t="s">
        <v>51</v>
      </c>
      <c r="D42" s="97"/>
      <c r="E42" s="108">
        <v>1.0</v>
      </c>
      <c r="F42" s="98"/>
      <c r="G42" s="99">
        <f t="shared" si="7"/>
        <v>0</v>
      </c>
      <c r="H42" s="4">
        <f t="shared" si="3"/>
        <v>0</v>
      </c>
      <c r="I42" s="59">
        <f t="shared" si="2"/>
        <v>0</v>
      </c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</row>
    <row r="43" ht="9.75" customHeight="1">
      <c r="A43" s="65"/>
      <c r="B43" s="79" t="s">
        <v>52</v>
      </c>
      <c r="C43" s="80" t="s">
        <v>34</v>
      </c>
      <c r="D43" s="100"/>
      <c r="E43" s="81">
        <v>1.0</v>
      </c>
      <c r="F43" s="78"/>
      <c r="G43" s="90">
        <f t="shared" si="7"/>
        <v>0</v>
      </c>
      <c r="H43" s="4">
        <f t="shared" si="3"/>
        <v>0</v>
      </c>
      <c r="I43" s="59">
        <f t="shared" si="2"/>
        <v>0</v>
      </c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</row>
    <row r="44" ht="9.75" customHeight="1">
      <c r="A44" s="65"/>
      <c r="B44" s="79" t="s">
        <v>53</v>
      </c>
      <c r="C44" s="80" t="s">
        <v>32</v>
      </c>
      <c r="D44" s="100"/>
      <c r="E44" s="81">
        <v>1.0</v>
      </c>
      <c r="F44" s="78"/>
      <c r="G44" s="90">
        <f t="shared" si="7"/>
        <v>0</v>
      </c>
      <c r="H44" s="4">
        <f t="shared" si="3"/>
        <v>0</v>
      </c>
      <c r="I44" s="59">
        <f t="shared" si="2"/>
        <v>0</v>
      </c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</row>
    <row r="45" ht="9.75" customHeight="1">
      <c r="A45" s="65"/>
      <c r="B45" s="79" t="s">
        <v>54</v>
      </c>
      <c r="C45" s="80" t="s">
        <v>32</v>
      </c>
      <c r="D45" s="100"/>
      <c r="E45" s="81">
        <v>1.0</v>
      </c>
      <c r="F45" s="78"/>
      <c r="G45" s="90">
        <f t="shared" si="7"/>
        <v>0</v>
      </c>
      <c r="H45" s="4">
        <f t="shared" si="3"/>
        <v>0</v>
      </c>
      <c r="I45" s="59">
        <f t="shared" si="2"/>
        <v>0</v>
      </c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</row>
    <row r="46" ht="12.75" customHeight="1">
      <c r="A46" s="65" t="s">
        <v>55</v>
      </c>
      <c r="B46" s="101" t="str">
        <f>CONCATENATE("Sous-Total : ",A39," - ",B39)</f>
        <v>Sous-Total :  - Réseau de terre</v>
      </c>
      <c r="C46" s="102"/>
      <c r="D46" s="103"/>
      <c r="E46" s="103"/>
      <c r="F46" s="103"/>
      <c r="G46" s="104">
        <f>SUM(G39:G45)</f>
        <v>1</v>
      </c>
      <c r="H46" s="4">
        <f t="shared" si="3"/>
        <v>1</v>
      </c>
      <c r="I46" s="59">
        <f t="shared" si="2"/>
        <v>0.0000002302856906</v>
      </c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</row>
    <row r="47" ht="9.75" customHeight="1">
      <c r="A47" s="65"/>
      <c r="B47" s="105" t="s">
        <v>56</v>
      </c>
      <c r="C47" s="106"/>
      <c r="D47" s="98"/>
      <c r="E47" s="98"/>
      <c r="F47" s="98"/>
      <c r="G47" s="107">
        <f t="shared" ref="G47:G52" si="8">E47*F47</f>
        <v>0</v>
      </c>
      <c r="H47" s="4">
        <f t="shared" si="3"/>
        <v>0</v>
      </c>
      <c r="I47" s="59">
        <f t="shared" si="2"/>
        <v>0</v>
      </c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</row>
    <row r="48" ht="9.75" customHeight="1">
      <c r="A48" s="65"/>
      <c r="B48" s="79" t="s">
        <v>57</v>
      </c>
      <c r="C48" s="80" t="s">
        <v>27</v>
      </c>
      <c r="D48" s="100"/>
      <c r="E48" s="81">
        <v>1.0</v>
      </c>
      <c r="F48" s="78">
        <v>60.0</v>
      </c>
      <c r="G48" s="90">
        <f t="shared" si="8"/>
        <v>60</v>
      </c>
      <c r="H48" s="4">
        <f t="shared" si="3"/>
        <v>0</v>
      </c>
      <c r="I48" s="59">
        <f t="shared" si="2"/>
        <v>0</v>
      </c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</row>
    <row r="49" ht="9.75" customHeight="1">
      <c r="A49" s="65"/>
      <c r="B49" s="79" t="s">
        <v>58</v>
      </c>
      <c r="C49" s="80" t="s">
        <v>27</v>
      </c>
      <c r="D49" s="100"/>
      <c r="E49" s="81">
        <v>1.0</v>
      </c>
      <c r="F49" s="78">
        <v>20.0</v>
      </c>
      <c r="G49" s="90">
        <f t="shared" si="8"/>
        <v>20</v>
      </c>
      <c r="H49" s="4">
        <f t="shared" si="3"/>
        <v>0</v>
      </c>
      <c r="I49" s="59">
        <f t="shared" si="2"/>
        <v>0</v>
      </c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</row>
    <row r="50" ht="9.75" customHeight="1">
      <c r="A50" s="65"/>
      <c r="B50" s="79" t="s">
        <v>59</v>
      </c>
      <c r="C50" s="80" t="s">
        <v>51</v>
      </c>
      <c r="D50" s="100"/>
      <c r="E50" s="81">
        <v>1.0</v>
      </c>
      <c r="F50" s="78">
        <v>110.0</v>
      </c>
      <c r="G50" s="90">
        <f t="shared" si="8"/>
        <v>110</v>
      </c>
      <c r="H50" s="4">
        <f t="shared" si="3"/>
        <v>0</v>
      </c>
      <c r="I50" s="59">
        <f t="shared" si="2"/>
        <v>0</v>
      </c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</row>
    <row r="51" ht="9.75" customHeight="1">
      <c r="A51" s="65"/>
      <c r="B51" s="79" t="s">
        <v>60</v>
      </c>
      <c r="C51" s="80" t="s">
        <v>51</v>
      </c>
      <c r="D51" s="100"/>
      <c r="E51" s="81">
        <v>1.0</v>
      </c>
      <c r="F51" s="78">
        <v>15.0</v>
      </c>
      <c r="G51" s="90">
        <f t="shared" si="8"/>
        <v>15</v>
      </c>
      <c r="H51" s="4">
        <f t="shared" si="3"/>
        <v>0</v>
      </c>
      <c r="I51" s="59">
        <f t="shared" si="2"/>
        <v>0</v>
      </c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</row>
    <row r="52" ht="9.75" customHeight="1">
      <c r="A52" s="65"/>
      <c r="B52" s="79" t="s">
        <v>61</v>
      </c>
      <c r="C52" s="80" t="s">
        <v>34</v>
      </c>
      <c r="D52" s="100"/>
      <c r="E52" s="81">
        <v>1.0</v>
      </c>
      <c r="F52" s="78">
        <v>1.0</v>
      </c>
      <c r="G52" s="90">
        <f t="shared" si="8"/>
        <v>1</v>
      </c>
      <c r="H52" s="4">
        <f t="shared" si="3"/>
        <v>0</v>
      </c>
      <c r="I52" s="59">
        <f t="shared" si="2"/>
        <v>0</v>
      </c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</row>
    <row r="53" ht="12.75" customHeight="1">
      <c r="A53" s="65" t="s">
        <v>62</v>
      </c>
      <c r="B53" s="82" t="str">
        <f>CONCATENATE("Sous-Total : ",A47," - ",B47)</f>
        <v>Sous-Total :  - VRD</v>
      </c>
      <c r="C53" s="83"/>
      <c r="D53" s="84"/>
      <c r="E53" s="84"/>
      <c r="F53" s="84"/>
      <c r="G53" s="109">
        <f>SUM(G47:G52)</f>
        <v>206</v>
      </c>
      <c r="H53" s="4">
        <f t="shared" si="3"/>
        <v>206</v>
      </c>
      <c r="I53" s="59">
        <f t="shared" si="2"/>
        <v>0.00004743885227</v>
      </c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</row>
    <row r="54" ht="9.75" customHeight="1">
      <c r="A54" s="65"/>
      <c r="B54" s="86" t="s">
        <v>63</v>
      </c>
      <c r="C54" s="87"/>
      <c r="D54" s="88"/>
      <c r="E54" s="88"/>
      <c r="F54" s="88"/>
      <c r="G54" s="89">
        <f>E54*F54</f>
        <v>0</v>
      </c>
      <c r="H54" s="4">
        <f t="shared" si="3"/>
        <v>0</v>
      </c>
      <c r="I54" s="59">
        <f t="shared" si="2"/>
        <v>0</v>
      </c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</row>
    <row r="55" ht="9.75" customHeight="1">
      <c r="A55" s="65"/>
      <c r="B55" s="110" t="s">
        <v>64</v>
      </c>
      <c r="C55" s="111"/>
      <c r="D55" s="112"/>
      <c r="E55" s="112"/>
      <c r="F55" s="113"/>
      <c r="G55" s="114"/>
      <c r="H55" s="4">
        <f t="shared" si="3"/>
        <v>0</v>
      </c>
      <c r="I55" s="59">
        <f t="shared" si="2"/>
        <v>0</v>
      </c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</row>
    <row r="56" ht="9.75" customHeight="1">
      <c r="A56" s="65"/>
      <c r="B56" s="115" t="s">
        <v>65</v>
      </c>
      <c r="C56" s="67" t="s">
        <v>34</v>
      </c>
      <c r="D56" s="116"/>
      <c r="E56" s="117">
        <v>1.0</v>
      </c>
      <c r="F56" s="118">
        <v>65300.0</v>
      </c>
      <c r="G56" s="90">
        <f t="shared" ref="G56:G62" si="9">E56*F56</f>
        <v>65300</v>
      </c>
      <c r="H56" s="4">
        <f t="shared" si="3"/>
        <v>0</v>
      </c>
      <c r="I56" s="59">
        <f t="shared" si="2"/>
        <v>0</v>
      </c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</row>
    <row r="57" ht="9.75" customHeight="1">
      <c r="A57" s="65"/>
      <c r="B57" s="115" t="s">
        <v>66</v>
      </c>
      <c r="C57" s="67" t="s">
        <v>34</v>
      </c>
      <c r="D57" s="116"/>
      <c r="E57" s="117">
        <v>1.0</v>
      </c>
      <c r="F57" s="118">
        <v>80100.0</v>
      </c>
      <c r="G57" s="90">
        <f t="shared" si="9"/>
        <v>80100</v>
      </c>
      <c r="H57" s="4">
        <f t="shared" si="3"/>
        <v>0</v>
      </c>
      <c r="I57" s="59">
        <f t="shared" si="2"/>
        <v>0</v>
      </c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</row>
    <row r="58" ht="9.75" customHeight="1">
      <c r="A58" s="65"/>
      <c r="B58" s="115" t="s">
        <v>67</v>
      </c>
      <c r="C58" s="67" t="s">
        <v>34</v>
      </c>
      <c r="D58" s="116"/>
      <c r="E58" s="117">
        <v>1.0</v>
      </c>
      <c r="F58" s="118">
        <v>94300.0</v>
      </c>
      <c r="G58" s="90">
        <f t="shared" si="9"/>
        <v>94300</v>
      </c>
      <c r="H58" s="4">
        <f t="shared" si="3"/>
        <v>0</v>
      </c>
      <c r="I58" s="59">
        <f t="shared" si="2"/>
        <v>0</v>
      </c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</row>
    <row r="59" ht="9.75" customHeight="1">
      <c r="A59" s="65"/>
      <c r="B59" s="115" t="s">
        <v>68</v>
      </c>
      <c r="C59" s="67" t="s">
        <v>34</v>
      </c>
      <c r="D59" s="116"/>
      <c r="E59" s="117">
        <v>1.0</v>
      </c>
      <c r="F59" s="118">
        <v>121000.0</v>
      </c>
      <c r="G59" s="90">
        <f t="shared" si="9"/>
        <v>121000</v>
      </c>
      <c r="H59" s="4">
        <f t="shared" si="3"/>
        <v>0</v>
      </c>
      <c r="I59" s="59">
        <f t="shared" si="2"/>
        <v>0</v>
      </c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</row>
    <row r="60" ht="9.75" customHeight="1">
      <c r="A60" s="65"/>
      <c r="B60" s="115" t="s">
        <v>69</v>
      </c>
      <c r="C60" s="67" t="s">
        <v>34</v>
      </c>
      <c r="D60" s="116"/>
      <c r="E60" s="117">
        <v>1.0</v>
      </c>
      <c r="F60" s="118">
        <v>124500.0</v>
      </c>
      <c r="G60" s="90">
        <f t="shared" si="9"/>
        <v>124500</v>
      </c>
      <c r="H60" s="4">
        <f t="shared" si="3"/>
        <v>0</v>
      </c>
      <c r="I60" s="59">
        <f t="shared" si="2"/>
        <v>0</v>
      </c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</row>
    <row r="61" ht="9.75" customHeight="1">
      <c r="A61" s="65"/>
      <c r="B61" s="115" t="s">
        <v>70</v>
      </c>
      <c r="C61" s="67" t="s">
        <v>34</v>
      </c>
      <c r="D61" s="116"/>
      <c r="E61" s="117">
        <v>1.0</v>
      </c>
      <c r="F61" s="118">
        <v>169400.0</v>
      </c>
      <c r="G61" s="90">
        <f t="shared" si="9"/>
        <v>169400</v>
      </c>
      <c r="H61" s="4">
        <f t="shared" si="3"/>
        <v>0</v>
      </c>
      <c r="I61" s="59">
        <f t="shared" si="2"/>
        <v>0</v>
      </c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</row>
    <row r="62" ht="9.75" customHeight="1">
      <c r="A62" s="65"/>
      <c r="B62" s="115"/>
      <c r="C62" s="67"/>
      <c r="D62" s="116"/>
      <c r="E62" s="116"/>
      <c r="F62" s="118"/>
      <c r="G62" s="90">
        <f t="shared" si="9"/>
        <v>0</v>
      </c>
      <c r="H62" s="4">
        <f t="shared" si="3"/>
        <v>0</v>
      </c>
      <c r="I62" s="59">
        <f t="shared" si="2"/>
        <v>0</v>
      </c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</row>
    <row r="63" ht="9.75" customHeight="1">
      <c r="A63" s="65"/>
      <c r="B63" s="110" t="s">
        <v>71</v>
      </c>
      <c r="C63" s="111"/>
      <c r="D63" s="112"/>
      <c r="E63" s="112"/>
      <c r="F63" s="113"/>
      <c r="G63" s="90"/>
      <c r="H63" s="4">
        <f t="shared" si="3"/>
        <v>0</v>
      </c>
      <c r="I63" s="59">
        <f t="shared" si="2"/>
        <v>0</v>
      </c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</row>
    <row r="64" ht="9.75" customHeight="1">
      <c r="A64" s="65"/>
      <c r="B64" s="115" t="s">
        <v>72</v>
      </c>
      <c r="C64" s="67" t="s">
        <v>34</v>
      </c>
      <c r="D64" s="116"/>
      <c r="E64" s="117">
        <v>1.0</v>
      </c>
      <c r="F64" s="118">
        <v>46000.0</v>
      </c>
      <c r="G64" s="90">
        <f t="shared" ref="G64:G70" si="10">E64*F64</f>
        <v>46000</v>
      </c>
      <c r="H64" s="4">
        <f t="shared" si="3"/>
        <v>0</v>
      </c>
      <c r="I64" s="59">
        <f t="shared" si="2"/>
        <v>0</v>
      </c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</row>
    <row r="65" ht="9.75" customHeight="1">
      <c r="A65" s="65"/>
      <c r="B65" s="115" t="s">
        <v>73</v>
      </c>
      <c r="C65" s="67" t="s">
        <v>34</v>
      </c>
      <c r="D65" s="116"/>
      <c r="E65" s="117">
        <v>1.0</v>
      </c>
      <c r="F65" s="118">
        <v>25000.0</v>
      </c>
      <c r="G65" s="90">
        <f t="shared" si="10"/>
        <v>25000</v>
      </c>
      <c r="H65" s="4">
        <f t="shared" si="3"/>
        <v>0</v>
      </c>
      <c r="I65" s="59">
        <f t="shared" si="2"/>
        <v>0</v>
      </c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</row>
    <row r="66" ht="9.75" customHeight="1">
      <c r="A66" s="65"/>
      <c r="B66" s="115" t="s">
        <v>74</v>
      </c>
      <c r="C66" s="67" t="s">
        <v>34</v>
      </c>
      <c r="D66" s="116"/>
      <c r="E66" s="117">
        <v>1.0</v>
      </c>
      <c r="F66" s="118">
        <v>60000.0</v>
      </c>
      <c r="G66" s="90">
        <f t="shared" si="10"/>
        <v>60000</v>
      </c>
      <c r="H66" s="4">
        <f t="shared" si="3"/>
        <v>0</v>
      </c>
      <c r="I66" s="59">
        <f t="shared" si="2"/>
        <v>0</v>
      </c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</row>
    <row r="67" ht="9.75" customHeight="1">
      <c r="A67" s="65"/>
      <c r="B67" s="115" t="s">
        <v>75</v>
      </c>
      <c r="C67" s="67" t="s">
        <v>34</v>
      </c>
      <c r="D67" s="116"/>
      <c r="E67" s="117">
        <v>1.0</v>
      </c>
      <c r="F67" s="118">
        <v>40500.0</v>
      </c>
      <c r="G67" s="90">
        <f t="shared" si="10"/>
        <v>40500</v>
      </c>
      <c r="H67" s="4">
        <f t="shared" si="3"/>
        <v>0</v>
      </c>
      <c r="I67" s="59">
        <f t="shared" si="2"/>
        <v>0</v>
      </c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</row>
    <row r="68" ht="9.75" customHeight="1">
      <c r="A68" s="65"/>
      <c r="B68" s="115" t="s">
        <v>76</v>
      </c>
      <c r="C68" s="67" t="s">
        <v>32</v>
      </c>
      <c r="D68" s="116"/>
      <c r="E68" s="117">
        <v>1.0</v>
      </c>
      <c r="F68" s="118">
        <v>60000.0</v>
      </c>
      <c r="G68" s="90">
        <f t="shared" si="10"/>
        <v>60000</v>
      </c>
      <c r="H68" s="4">
        <f t="shared" si="3"/>
        <v>0</v>
      </c>
      <c r="I68" s="59">
        <f t="shared" si="2"/>
        <v>0</v>
      </c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</row>
    <row r="69" ht="9.75" customHeight="1">
      <c r="A69" s="65"/>
      <c r="B69" s="115" t="s">
        <v>77</v>
      </c>
      <c r="C69" s="67" t="s">
        <v>32</v>
      </c>
      <c r="D69" s="116"/>
      <c r="E69" s="117">
        <v>1.0</v>
      </c>
      <c r="F69" s="118">
        <v>46000.0</v>
      </c>
      <c r="G69" s="90">
        <f t="shared" si="10"/>
        <v>46000</v>
      </c>
      <c r="H69" s="4">
        <f t="shared" si="3"/>
        <v>0</v>
      </c>
      <c r="I69" s="59">
        <f t="shared" si="2"/>
        <v>0</v>
      </c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</row>
    <row r="70" ht="9.75" customHeight="1">
      <c r="A70" s="65"/>
      <c r="B70" s="115" t="s">
        <v>78</v>
      </c>
      <c r="C70" s="67" t="s">
        <v>34</v>
      </c>
      <c r="D70" s="116"/>
      <c r="E70" s="117">
        <v>1.0</v>
      </c>
      <c r="F70" s="118">
        <v>33000.0</v>
      </c>
      <c r="G70" s="90">
        <f t="shared" si="10"/>
        <v>33000</v>
      </c>
      <c r="H70" s="4">
        <f t="shared" si="3"/>
        <v>0</v>
      </c>
      <c r="I70" s="59">
        <f t="shared" si="2"/>
        <v>0</v>
      </c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</row>
    <row r="71" ht="9.75" customHeight="1">
      <c r="A71" s="65"/>
      <c r="B71" s="115"/>
      <c r="C71" s="67"/>
      <c r="D71" s="116"/>
      <c r="E71" s="117">
        <v>1.0</v>
      </c>
      <c r="F71" s="118"/>
      <c r="G71" s="90"/>
      <c r="H71" s="4">
        <f t="shared" si="3"/>
        <v>0</v>
      </c>
      <c r="I71" s="59">
        <f t="shared" si="2"/>
        <v>0</v>
      </c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</row>
    <row r="72" ht="9.75" customHeight="1">
      <c r="A72" s="65"/>
      <c r="B72" s="110" t="s">
        <v>79</v>
      </c>
      <c r="C72" s="111"/>
      <c r="D72" s="112"/>
      <c r="E72" s="112"/>
      <c r="F72" s="113"/>
      <c r="G72" s="90">
        <f t="shared" ref="G72:G74" si="11">E72*F72</f>
        <v>0</v>
      </c>
      <c r="H72" s="4">
        <f t="shared" si="3"/>
        <v>0</v>
      </c>
      <c r="I72" s="59">
        <f t="shared" si="2"/>
        <v>0</v>
      </c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</row>
    <row r="73" ht="9.75" customHeight="1">
      <c r="A73" s="65"/>
      <c r="B73" s="115" t="s">
        <v>80</v>
      </c>
      <c r="C73" s="67" t="s">
        <v>34</v>
      </c>
      <c r="D73" s="116"/>
      <c r="E73" s="117">
        <v>1.0</v>
      </c>
      <c r="F73" s="118">
        <v>15100.0</v>
      </c>
      <c r="G73" s="90">
        <f t="shared" si="11"/>
        <v>15100</v>
      </c>
      <c r="H73" s="4">
        <f t="shared" si="3"/>
        <v>0</v>
      </c>
      <c r="I73" s="59">
        <f t="shared" si="2"/>
        <v>0</v>
      </c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</row>
    <row r="74" ht="9.75" customHeight="1">
      <c r="A74" s="65"/>
      <c r="B74" s="115" t="s">
        <v>81</v>
      </c>
      <c r="C74" s="67" t="s">
        <v>34</v>
      </c>
      <c r="D74" s="116"/>
      <c r="E74" s="117">
        <v>1.0</v>
      </c>
      <c r="F74" s="118">
        <v>14000.0</v>
      </c>
      <c r="G74" s="90">
        <f t="shared" si="11"/>
        <v>14000</v>
      </c>
      <c r="H74" s="4">
        <f t="shared" si="3"/>
        <v>0</v>
      </c>
      <c r="I74" s="59">
        <f t="shared" si="2"/>
        <v>0</v>
      </c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</row>
    <row r="75" ht="9.75" customHeight="1">
      <c r="A75" s="65"/>
      <c r="B75" s="119" t="s">
        <v>82</v>
      </c>
      <c r="C75" s="67" t="s">
        <v>34</v>
      </c>
      <c r="D75" s="116"/>
      <c r="E75" s="117">
        <v>1.0</v>
      </c>
      <c r="F75" s="118">
        <v>25000.0</v>
      </c>
      <c r="G75" s="90"/>
      <c r="H75" s="4"/>
      <c r="I75" s="59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</row>
    <row r="76" ht="9.75" customHeight="1">
      <c r="A76" s="65"/>
      <c r="B76" s="115" t="s">
        <v>83</v>
      </c>
      <c r="C76" s="67" t="s">
        <v>34</v>
      </c>
      <c r="D76" s="116"/>
      <c r="E76" s="117">
        <v>1.0</v>
      </c>
      <c r="F76" s="118">
        <v>17300.0</v>
      </c>
      <c r="G76" s="90">
        <f t="shared" ref="G76:G80" si="12">E76*F76</f>
        <v>17300</v>
      </c>
      <c r="H76" s="4">
        <f t="shared" ref="H76:H80" si="13">IFERROR(IF(FIND("Sous-",B76,1)&lt;&gt;0,G76,1),0)</f>
        <v>0</v>
      </c>
      <c r="I76" s="59">
        <f t="shared" ref="I76:I80" si="14">IFERROR(H76/$H$6,0)</f>
        <v>0</v>
      </c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</row>
    <row r="77" ht="9.75" customHeight="1">
      <c r="A77" s="65"/>
      <c r="B77" s="115" t="s">
        <v>84</v>
      </c>
      <c r="C77" s="67" t="s">
        <v>34</v>
      </c>
      <c r="D77" s="116"/>
      <c r="E77" s="117">
        <v>1.0</v>
      </c>
      <c r="F77" s="118">
        <v>18400.0</v>
      </c>
      <c r="G77" s="90">
        <f t="shared" si="12"/>
        <v>18400</v>
      </c>
      <c r="H77" s="4">
        <f t="shared" si="13"/>
        <v>0</v>
      </c>
      <c r="I77" s="59">
        <f t="shared" si="14"/>
        <v>0</v>
      </c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</row>
    <row r="78" ht="9.75" customHeight="1">
      <c r="A78" s="65"/>
      <c r="B78" s="115" t="s">
        <v>85</v>
      </c>
      <c r="C78" s="67" t="s">
        <v>34</v>
      </c>
      <c r="D78" s="116"/>
      <c r="E78" s="117">
        <v>1.0</v>
      </c>
      <c r="F78" s="118">
        <v>25000.0</v>
      </c>
      <c r="G78" s="90">
        <f t="shared" si="12"/>
        <v>25000</v>
      </c>
      <c r="H78" s="4">
        <f t="shared" si="13"/>
        <v>0</v>
      </c>
      <c r="I78" s="59">
        <f t="shared" si="14"/>
        <v>0</v>
      </c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</row>
    <row r="79" ht="9.75" customHeight="1">
      <c r="A79" s="65"/>
      <c r="B79" s="115" t="s">
        <v>86</v>
      </c>
      <c r="C79" s="67" t="s">
        <v>34</v>
      </c>
      <c r="D79" s="116"/>
      <c r="E79" s="117">
        <v>1.0</v>
      </c>
      <c r="F79" s="118">
        <v>27000.0</v>
      </c>
      <c r="G79" s="90">
        <f t="shared" si="12"/>
        <v>27000</v>
      </c>
      <c r="H79" s="4">
        <f t="shared" si="13"/>
        <v>0</v>
      </c>
      <c r="I79" s="59">
        <f t="shared" si="14"/>
        <v>0</v>
      </c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</row>
    <row r="80" ht="9.75" customHeight="1">
      <c r="A80" s="65"/>
      <c r="B80" s="115" t="s">
        <v>87</v>
      </c>
      <c r="C80" s="67" t="s">
        <v>34</v>
      </c>
      <c r="D80" s="116"/>
      <c r="E80" s="117">
        <v>1.0</v>
      </c>
      <c r="F80" s="118">
        <v>40000.0</v>
      </c>
      <c r="G80" s="90">
        <f t="shared" si="12"/>
        <v>40000</v>
      </c>
      <c r="H80" s="4">
        <f t="shared" si="13"/>
        <v>0</v>
      </c>
      <c r="I80" s="59">
        <f t="shared" si="14"/>
        <v>0</v>
      </c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</row>
    <row r="81" ht="9.75" customHeight="1">
      <c r="A81" s="65"/>
      <c r="B81" s="115"/>
      <c r="C81" s="67"/>
      <c r="D81" s="116"/>
      <c r="E81" s="116"/>
      <c r="F81" s="118"/>
      <c r="G81" s="90"/>
      <c r="H81" s="4"/>
      <c r="I81" s="59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</row>
    <row r="82" ht="9.75" customHeight="1">
      <c r="A82" s="65"/>
      <c r="B82" s="115" t="s">
        <v>88</v>
      </c>
      <c r="C82" s="67" t="s">
        <v>34</v>
      </c>
      <c r="D82" s="116"/>
      <c r="E82" s="117">
        <v>1.0</v>
      </c>
      <c r="F82" s="118">
        <v>2500.0</v>
      </c>
      <c r="G82" s="90">
        <f t="shared" ref="G82:G100" si="15">E82*F82</f>
        <v>2500</v>
      </c>
      <c r="H82" s="4">
        <f t="shared" ref="H82:H100" si="16">IFERROR(IF(FIND("Sous-",B82,1)&lt;&gt;0,G82,1),0)</f>
        <v>0</v>
      </c>
      <c r="I82" s="59">
        <f t="shared" ref="I82:I100" si="17">IFERROR(H82/$H$6,0)</f>
        <v>0</v>
      </c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</row>
    <row r="83" ht="9.75" customHeight="1">
      <c r="A83" s="65"/>
      <c r="B83" s="110" t="s">
        <v>89</v>
      </c>
      <c r="C83" s="111"/>
      <c r="D83" s="112"/>
      <c r="E83" s="112"/>
      <c r="F83" s="113"/>
      <c r="G83" s="90">
        <f t="shared" si="15"/>
        <v>0</v>
      </c>
      <c r="H83" s="4">
        <f t="shared" si="16"/>
        <v>0</v>
      </c>
      <c r="I83" s="59">
        <f t="shared" si="17"/>
        <v>0</v>
      </c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</row>
    <row r="84" ht="9.75" customHeight="1">
      <c r="A84" s="65"/>
      <c r="B84" s="115" t="s">
        <v>90</v>
      </c>
      <c r="C84" s="67" t="s">
        <v>34</v>
      </c>
      <c r="D84" s="116"/>
      <c r="E84" s="117">
        <v>1.0</v>
      </c>
      <c r="F84" s="118">
        <v>11000.0</v>
      </c>
      <c r="G84" s="90">
        <f t="shared" si="15"/>
        <v>11000</v>
      </c>
      <c r="H84" s="4">
        <f t="shared" si="16"/>
        <v>0</v>
      </c>
      <c r="I84" s="59">
        <f t="shared" si="17"/>
        <v>0</v>
      </c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</row>
    <row r="85" ht="9.75" customHeight="1">
      <c r="A85" s="65"/>
      <c r="B85" s="115" t="s">
        <v>91</v>
      </c>
      <c r="C85" s="67" t="s">
        <v>34</v>
      </c>
      <c r="D85" s="116"/>
      <c r="E85" s="117">
        <v>1.0</v>
      </c>
      <c r="F85" s="118">
        <v>10000.0</v>
      </c>
      <c r="G85" s="90">
        <f t="shared" si="15"/>
        <v>10000</v>
      </c>
      <c r="H85" s="4">
        <f t="shared" si="16"/>
        <v>0</v>
      </c>
      <c r="I85" s="59">
        <f t="shared" si="17"/>
        <v>0</v>
      </c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</row>
    <row r="86" ht="9.75" customHeight="1">
      <c r="A86" s="65"/>
      <c r="B86" s="115" t="s">
        <v>92</v>
      </c>
      <c r="C86" s="67" t="s">
        <v>34</v>
      </c>
      <c r="D86" s="116"/>
      <c r="E86" s="117">
        <v>1.0</v>
      </c>
      <c r="F86" s="118">
        <v>35000.0</v>
      </c>
      <c r="G86" s="90">
        <f t="shared" si="15"/>
        <v>35000</v>
      </c>
      <c r="H86" s="4">
        <f t="shared" si="16"/>
        <v>0</v>
      </c>
      <c r="I86" s="59">
        <f t="shared" si="17"/>
        <v>0</v>
      </c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</row>
    <row r="87" ht="9.75" customHeight="1">
      <c r="A87" s="65"/>
      <c r="B87" s="115" t="s">
        <v>93</v>
      </c>
      <c r="C87" s="67" t="s">
        <v>34</v>
      </c>
      <c r="D87" s="116"/>
      <c r="E87" s="117">
        <v>1.0</v>
      </c>
      <c r="F87" s="118">
        <v>26000.0</v>
      </c>
      <c r="G87" s="90">
        <f t="shared" si="15"/>
        <v>26000</v>
      </c>
      <c r="H87" s="4">
        <f t="shared" si="16"/>
        <v>0</v>
      </c>
      <c r="I87" s="59">
        <f t="shared" si="17"/>
        <v>0</v>
      </c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</row>
    <row r="88" ht="9.75" customHeight="1">
      <c r="A88" s="65"/>
      <c r="B88" s="115" t="s">
        <v>94</v>
      </c>
      <c r="C88" s="67" t="s">
        <v>34</v>
      </c>
      <c r="D88" s="116"/>
      <c r="E88" s="117">
        <v>1.0</v>
      </c>
      <c r="F88" s="118">
        <v>8000.0</v>
      </c>
      <c r="G88" s="90">
        <f t="shared" si="15"/>
        <v>8000</v>
      </c>
      <c r="H88" s="4">
        <f t="shared" si="16"/>
        <v>0</v>
      </c>
      <c r="I88" s="59">
        <f t="shared" si="17"/>
        <v>0</v>
      </c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</row>
    <row r="89" ht="9.75" customHeight="1">
      <c r="A89" s="65"/>
      <c r="B89" s="115" t="s">
        <v>95</v>
      </c>
      <c r="C89" s="67" t="s">
        <v>34</v>
      </c>
      <c r="D89" s="116"/>
      <c r="E89" s="117">
        <v>1.0</v>
      </c>
      <c r="F89" s="118">
        <v>11000.0</v>
      </c>
      <c r="G89" s="90">
        <f t="shared" si="15"/>
        <v>11000</v>
      </c>
      <c r="H89" s="4">
        <f t="shared" si="16"/>
        <v>0</v>
      </c>
      <c r="I89" s="59">
        <f t="shared" si="17"/>
        <v>0</v>
      </c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</row>
    <row r="90" ht="9.75" customHeight="1">
      <c r="A90" s="65"/>
      <c r="B90" s="115" t="s">
        <v>96</v>
      </c>
      <c r="C90" s="67" t="s">
        <v>34</v>
      </c>
      <c r="D90" s="116"/>
      <c r="E90" s="117">
        <v>1.0</v>
      </c>
      <c r="F90" s="118">
        <v>25000.0</v>
      </c>
      <c r="G90" s="90">
        <f t="shared" si="15"/>
        <v>25000</v>
      </c>
      <c r="H90" s="4">
        <f t="shared" si="16"/>
        <v>0</v>
      </c>
      <c r="I90" s="59">
        <f t="shared" si="17"/>
        <v>0</v>
      </c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</row>
    <row r="91" ht="9.75" customHeight="1">
      <c r="A91" s="65"/>
      <c r="B91" s="115"/>
      <c r="C91" s="67"/>
      <c r="D91" s="116"/>
      <c r="E91" s="117"/>
      <c r="F91" s="118"/>
      <c r="G91" s="90">
        <f t="shared" si="15"/>
        <v>0</v>
      </c>
      <c r="H91" s="4">
        <f t="shared" si="16"/>
        <v>0</v>
      </c>
      <c r="I91" s="59">
        <f t="shared" si="17"/>
        <v>0</v>
      </c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</row>
    <row r="92" ht="9.75" customHeight="1">
      <c r="A92" s="65"/>
      <c r="B92" s="110" t="s">
        <v>97</v>
      </c>
      <c r="C92" s="111"/>
      <c r="D92" s="112"/>
      <c r="E92" s="112"/>
      <c r="F92" s="113"/>
      <c r="G92" s="90">
        <f t="shared" si="15"/>
        <v>0</v>
      </c>
      <c r="H92" s="4">
        <f t="shared" si="16"/>
        <v>0</v>
      </c>
      <c r="I92" s="59">
        <f t="shared" si="17"/>
        <v>0</v>
      </c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</row>
    <row r="93" ht="9.75" customHeight="1">
      <c r="A93" s="65"/>
      <c r="B93" s="115" t="s">
        <v>98</v>
      </c>
      <c r="C93" s="67" t="s">
        <v>34</v>
      </c>
      <c r="D93" s="116"/>
      <c r="E93" s="117">
        <v>1.0</v>
      </c>
      <c r="F93" s="118">
        <v>2500.0</v>
      </c>
      <c r="G93" s="90">
        <f t="shared" si="15"/>
        <v>2500</v>
      </c>
      <c r="H93" s="4">
        <f t="shared" si="16"/>
        <v>0</v>
      </c>
      <c r="I93" s="59">
        <f t="shared" si="17"/>
        <v>0</v>
      </c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</row>
    <row r="94" ht="9.75" customHeight="1">
      <c r="A94" s="65"/>
      <c r="B94" s="115" t="s">
        <v>99</v>
      </c>
      <c r="C94" s="67" t="s">
        <v>34</v>
      </c>
      <c r="D94" s="116"/>
      <c r="E94" s="117">
        <v>1.0</v>
      </c>
      <c r="F94" s="118">
        <v>700.0</v>
      </c>
      <c r="G94" s="90">
        <f t="shared" si="15"/>
        <v>700</v>
      </c>
      <c r="H94" s="4">
        <f t="shared" si="16"/>
        <v>0</v>
      </c>
      <c r="I94" s="59">
        <f t="shared" si="17"/>
        <v>0</v>
      </c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</row>
    <row r="95" ht="9.75" customHeight="1">
      <c r="A95" s="65"/>
      <c r="B95" s="115" t="s">
        <v>100</v>
      </c>
      <c r="C95" s="67" t="s">
        <v>51</v>
      </c>
      <c r="D95" s="116"/>
      <c r="E95" s="117">
        <v>1.0</v>
      </c>
      <c r="F95" s="118">
        <v>150.0</v>
      </c>
      <c r="G95" s="90">
        <f t="shared" si="15"/>
        <v>150</v>
      </c>
      <c r="H95" s="4">
        <f t="shared" si="16"/>
        <v>0</v>
      </c>
      <c r="I95" s="59">
        <f t="shared" si="17"/>
        <v>0</v>
      </c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</row>
    <row r="96" ht="9.75" customHeight="1">
      <c r="A96" s="65"/>
      <c r="B96" s="115" t="s">
        <v>101</v>
      </c>
      <c r="C96" s="67" t="s">
        <v>32</v>
      </c>
      <c r="D96" s="116"/>
      <c r="E96" s="117">
        <v>1.0</v>
      </c>
      <c r="F96" s="118">
        <v>2484.0</v>
      </c>
      <c r="G96" s="90">
        <f t="shared" si="15"/>
        <v>2484</v>
      </c>
      <c r="H96" s="4">
        <f t="shared" si="16"/>
        <v>0</v>
      </c>
      <c r="I96" s="59">
        <f t="shared" si="17"/>
        <v>0</v>
      </c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</row>
    <row r="97" ht="9.75" customHeight="1">
      <c r="A97" s="65"/>
      <c r="B97" s="115" t="s">
        <v>102</v>
      </c>
      <c r="C97" s="67" t="s">
        <v>32</v>
      </c>
      <c r="D97" s="116"/>
      <c r="E97" s="117">
        <v>1.0</v>
      </c>
      <c r="F97" s="118">
        <v>2700.0</v>
      </c>
      <c r="G97" s="90">
        <f t="shared" si="15"/>
        <v>2700</v>
      </c>
      <c r="H97" s="4">
        <f t="shared" si="16"/>
        <v>0</v>
      </c>
      <c r="I97" s="59">
        <f t="shared" si="17"/>
        <v>0</v>
      </c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</row>
    <row r="98" ht="9.75" customHeight="1">
      <c r="A98" s="65"/>
      <c r="B98" s="115" t="s">
        <v>103</v>
      </c>
      <c r="C98" s="67" t="s">
        <v>32</v>
      </c>
      <c r="D98" s="116"/>
      <c r="E98" s="117">
        <v>1.0</v>
      </c>
      <c r="F98" s="118">
        <v>500.0</v>
      </c>
      <c r="G98" s="90">
        <f t="shared" si="15"/>
        <v>500</v>
      </c>
      <c r="H98" s="4">
        <f t="shared" si="16"/>
        <v>0</v>
      </c>
      <c r="I98" s="59">
        <f t="shared" si="17"/>
        <v>0</v>
      </c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</row>
    <row r="99" ht="9.75" customHeight="1">
      <c r="A99" s="65"/>
      <c r="B99" s="115" t="s">
        <v>104</v>
      </c>
      <c r="C99" s="67" t="s">
        <v>51</v>
      </c>
      <c r="D99" s="116"/>
      <c r="E99" s="117">
        <v>1.0</v>
      </c>
      <c r="F99" s="118">
        <v>40.0</v>
      </c>
      <c r="G99" s="90">
        <f t="shared" si="15"/>
        <v>40</v>
      </c>
      <c r="H99" s="4">
        <f t="shared" si="16"/>
        <v>0</v>
      </c>
      <c r="I99" s="59">
        <f t="shared" si="17"/>
        <v>0</v>
      </c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</row>
    <row r="100" ht="9.75" customHeight="1">
      <c r="A100" s="65"/>
      <c r="B100" s="115" t="s">
        <v>105</v>
      </c>
      <c r="C100" s="67" t="s">
        <v>32</v>
      </c>
      <c r="D100" s="116"/>
      <c r="E100" s="117">
        <v>1.0</v>
      </c>
      <c r="F100" s="118">
        <v>900.0</v>
      </c>
      <c r="G100" s="90">
        <f t="shared" si="15"/>
        <v>900</v>
      </c>
      <c r="H100" s="4">
        <f t="shared" si="16"/>
        <v>0</v>
      </c>
      <c r="I100" s="59">
        <f t="shared" si="17"/>
        <v>0</v>
      </c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</row>
    <row r="101" ht="9.75" customHeight="1">
      <c r="A101" s="65"/>
      <c r="B101" s="120"/>
      <c r="C101" s="92"/>
      <c r="D101" s="121"/>
      <c r="E101" s="121"/>
      <c r="F101" s="122"/>
      <c r="G101" s="94"/>
      <c r="H101" s="4"/>
      <c r="I101" s="59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</row>
    <row r="102" ht="9.75" customHeight="1">
      <c r="A102" s="65"/>
      <c r="B102" s="110" t="s">
        <v>106</v>
      </c>
      <c r="C102" s="111"/>
      <c r="D102" s="112"/>
      <c r="E102" s="112"/>
      <c r="F102" s="113"/>
      <c r="G102" s="90">
        <f t="shared" ref="G102:G104" si="18">E102*F102</f>
        <v>0</v>
      </c>
      <c r="H102" s="4">
        <f>IFERROR(IF(FIND("Sous-",B102,1)&lt;&gt;0,G102,1),0)</f>
        <v>0</v>
      </c>
      <c r="I102" s="59">
        <f>IFERROR(H102/$H$6,0)</f>
        <v>0</v>
      </c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</row>
    <row r="103" ht="9.75" customHeight="1">
      <c r="A103" s="65"/>
      <c r="B103" s="120" t="s">
        <v>107</v>
      </c>
      <c r="C103" s="92" t="s">
        <v>51</v>
      </c>
      <c r="D103" s="121"/>
      <c r="E103" s="123">
        <v>1.0</v>
      </c>
      <c r="F103" s="122">
        <v>30.0</v>
      </c>
      <c r="G103" s="90">
        <f t="shared" si="18"/>
        <v>30</v>
      </c>
      <c r="H103" s="4"/>
      <c r="I103" s="59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</row>
    <row r="104" ht="9.75" customHeight="1">
      <c r="A104" s="65"/>
      <c r="B104" s="110" t="s">
        <v>108</v>
      </c>
      <c r="C104" s="111"/>
      <c r="D104" s="112"/>
      <c r="E104" s="112"/>
      <c r="F104" s="113"/>
      <c r="G104" s="90">
        <f t="shared" si="18"/>
        <v>0</v>
      </c>
      <c r="H104" s="4">
        <f>IFERROR(IF(FIND("Sous-",B104,1)&lt;&gt;0,G104,1),0)</f>
        <v>0</v>
      </c>
      <c r="I104" s="59">
        <f>IFERROR(H104/$H$6,0)</f>
        <v>0</v>
      </c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</row>
    <row r="105" ht="9.75" customHeight="1">
      <c r="A105" s="65"/>
      <c r="B105" s="120" t="s">
        <v>109</v>
      </c>
      <c r="C105" s="92" t="s">
        <v>51</v>
      </c>
      <c r="D105" s="121"/>
      <c r="E105" s="123">
        <v>1.0</v>
      </c>
      <c r="F105" s="122">
        <v>300.0</v>
      </c>
      <c r="G105" s="94"/>
      <c r="H105" s="4"/>
      <c r="I105" s="59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</row>
    <row r="106" ht="9.75" customHeight="1">
      <c r="A106" s="65"/>
      <c r="B106" s="91"/>
      <c r="C106" s="92"/>
      <c r="D106" s="93"/>
      <c r="E106" s="93"/>
      <c r="F106" s="93"/>
      <c r="G106" s="94">
        <f t="shared" ref="G106:G116" si="19">E106*F106</f>
        <v>0</v>
      </c>
      <c r="H106" s="4">
        <f t="shared" ref="H106:H132" si="20">IFERROR(IF(FIND("Sous-",B106,1)&lt;&gt;0,G106,1),0)</f>
        <v>0</v>
      </c>
      <c r="I106" s="59">
        <f t="shared" ref="I106:I132" si="21">IFERROR(H106/$H$6,0)</f>
        <v>0</v>
      </c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</row>
    <row r="107" ht="9.75" customHeight="1">
      <c r="A107" s="65"/>
      <c r="B107" s="95" t="s">
        <v>110</v>
      </c>
      <c r="C107" s="96" t="s">
        <v>32</v>
      </c>
      <c r="D107" s="97"/>
      <c r="E107" s="117">
        <v>1.0</v>
      </c>
      <c r="F107" s="98"/>
      <c r="G107" s="99">
        <f t="shared" si="19"/>
        <v>0</v>
      </c>
      <c r="H107" s="4">
        <f t="shared" si="20"/>
        <v>0</v>
      </c>
      <c r="I107" s="59">
        <f t="shared" si="21"/>
        <v>0</v>
      </c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</row>
    <row r="108" ht="9.75" customHeight="1">
      <c r="A108" s="65"/>
      <c r="B108" s="79" t="s">
        <v>111</v>
      </c>
      <c r="C108" s="80" t="s">
        <v>34</v>
      </c>
      <c r="D108" s="100"/>
      <c r="E108" s="117">
        <v>1.0</v>
      </c>
      <c r="F108" s="78"/>
      <c r="G108" s="90">
        <f t="shared" si="19"/>
        <v>0</v>
      </c>
      <c r="H108" s="4">
        <f t="shared" si="20"/>
        <v>0</v>
      </c>
      <c r="I108" s="59">
        <f t="shared" si="21"/>
        <v>0</v>
      </c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</row>
    <row r="109" ht="9.75" customHeight="1">
      <c r="A109" s="65"/>
      <c r="B109" s="79" t="s">
        <v>112</v>
      </c>
      <c r="C109" s="80" t="s">
        <v>34</v>
      </c>
      <c r="D109" s="100"/>
      <c r="E109" s="117">
        <v>1.0</v>
      </c>
      <c r="F109" s="78"/>
      <c r="G109" s="90">
        <f t="shared" si="19"/>
        <v>0</v>
      </c>
      <c r="H109" s="4">
        <f t="shared" si="20"/>
        <v>0</v>
      </c>
      <c r="I109" s="59">
        <f t="shared" si="21"/>
        <v>0</v>
      </c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</row>
    <row r="110" ht="9.75" customHeight="1">
      <c r="A110" s="65"/>
      <c r="B110" s="79" t="s">
        <v>113</v>
      </c>
      <c r="C110" s="80" t="s">
        <v>34</v>
      </c>
      <c r="D110" s="100"/>
      <c r="E110" s="117">
        <v>1.0</v>
      </c>
      <c r="F110" s="78"/>
      <c r="G110" s="90">
        <f t="shared" si="19"/>
        <v>0</v>
      </c>
      <c r="H110" s="4">
        <f t="shared" si="20"/>
        <v>0</v>
      </c>
      <c r="I110" s="59">
        <f t="shared" si="21"/>
        <v>0</v>
      </c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</row>
    <row r="111" ht="9.75" customHeight="1">
      <c r="A111" s="65"/>
      <c r="B111" s="79" t="s">
        <v>114</v>
      </c>
      <c r="C111" s="80" t="s">
        <v>34</v>
      </c>
      <c r="D111" s="100"/>
      <c r="E111" s="117">
        <v>1.0</v>
      </c>
      <c r="F111" s="78"/>
      <c r="G111" s="90">
        <f t="shared" si="19"/>
        <v>0</v>
      </c>
      <c r="H111" s="4">
        <f t="shared" si="20"/>
        <v>0</v>
      </c>
      <c r="I111" s="59">
        <f t="shared" si="21"/>
        <v>0</v>
      </c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</row>
    <row r="112" ht="9.75" customHeight="1">
      <c r="A112" s="65"/>
      <c r="B112" s="79" t="s">
        <v>115</v>
      </c>
      <c r="C112" s="80" t="s">
        <v>51</v>
      </c>
      <c r="D112" s="100"/>
      <c r="E112" s="117">
        <v>1.0</v>
      </c>
      <c r="F112" s="78"/>
      <c r="G112" s="90">
        <f t="shared" si="19"/>
        <v>0</v>
      </c>
      <c r="H112" s="4">
        <f t="shared" si="20"/>
        <v>0</v>
      </c>
      <c r="I112" s="59">
        <f t="shared" si="21"/>
        <v>0</v>
      </c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</row>
    <row r="113" ht="9.75" customHeight="1">
      <c r="A113" s="65"/>
      <c r="B113" s="79" t="s">
        <v>116</v>
      </c>
      <c r="C113" s="80" t="s">
        <v>51</v>
      </c>
      <c r="D113" s="100"/>
      <c r="E113" s="117">
        <v>1.0</v>
      </c>
      <c r="F113" s="78"/>
      <c r="G113" s="90">
        <f t="shared" si="19"/>
        <v>0</v>
      </c>
      <c r="H113" s="4">
        <f t="shared" si="20"/>
        <v>0</v>
      </c>
      <c r="I113" s="59">
        <f t="shared" si="21"/>
        <v>0</v>
      </c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</row>
    <row r="114" ht="9.75" customHeight="1">
      <c r="A114" s="65"/>
      <c r="B114" s="79" t="s">
        <v>117</v>
      </c>
      <c r="C114" s="80" t="s">
        <v>32</v>
      </c>
      <c r="D114" s="100"/>
      <c r="E114" s="117">
        <v>1.0</v>
      </c>
      <c r="F114" s="78"/>
      <c r="G114" s="90">
        <f t="shared" si="19"/>
        <v>0</v>
      </c>
      <c r="H114" s="4">
        <f t="shared" si="20"/>
        <v>0</v>
      </c>
      <c r="I114" s="59">
        <f t="shared" si="21"/>
        <v>0</v>
      </c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</row>
    <row r="115" ht="9.75" customHeight="1">
      <c r="A115" s="65"/>
      <c r="B115" s="79" t="s">
        <v>118</v>
      </c>
      <c r="C115" s="80" t="s">
        <v>32</v>
      </c>
      <c r="D115" s="100"/>
      <c r="E115" s="81">
        <v>1.0</v>
      </c>
      <c r="F115" s="78"/>
      <c r="G115" s="90">
        <f t="shared" si="19"/>
        <v>0</v>
      </c>
      <c r="H115" s="4">
        <f t="shared" si="20"/>
        <v>0</v>
      </c>
      <c r="I115" s="59">
        <f t="shared" si="21"/>
        <v>0</v>
      </c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</row>
    <row r="116" ht="9.75" customHeight="1">
      <c r="A116" s="65"/>
      <c r="B116" s="124" t="s">
        <v>119</v>
      </c>
      <c r="C116" s="125" t="s">
        <v>32</v>
      </c>
      <c r="D116" s="126"/>
      <c r="E116" s="126">
        <v>1.0</v>
      </c>
      <c r="F116" s="127">
        <v>1.0</v>
      </c>
      <c r="G116" s="128">
        <f t="shared" si="19"/>
        <v>1</v>
      </c>
      <c r="H116" s="4">
        <f t="shared" si="20"/>
        <v>0</v>
      </c>
      <c r="I116" s="59">
        <f t="shared" si="21"/>
        <v>0</v>
      </c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</row>
    <row r="117" ht="12.75" customHeight="1">
      <c r="A117" s="65" t="s">
        <v>120</v>
      </c>
      <c r="B117" s="129" t="str">
        <f>CONCATENATE("Sous-Total : ",A54," - ",B54)</f>
        <v>Sous-Total :  - Poste de transformation</v>
      </c>
      <c r="C117" s="130"/>
      <c r="D117" s="131"/>
      <c r="E117" s="131"/>
      <c r="F117" s="131"/>
      <c r="G117" s="132">
        <f>SUM(G54:G116)</f>
        <v>1260405</v>
      </c>
      <c r="H117" s="4">
        <f t="shared" si="20"/>
        <v>1260405</v>
      </c>
      <c r="I117" s="59">
        <f t="shared" si="21"/>
        <v>0.2902532359</v>
      </c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</row>
    <row r="118" ht="9.75" customHeight="1">
      <c r="A118" s="65"/>
      <c r="B118" s="105" t="s">
        <v>121</v>
      </c>
      <c r="C118" s="133"/>
      <c r="D118" s="98"/>
      <c r="E118" s="98"/>
      <c r="F118" s="98"/>
      <c r="G118" s="107">
        <f t="shared" ref="G118:G124" si="22">E118*F118</f>
        <v>0</v>
      </c>
      <c r="H118" s="4">
        <f t="shared" si="20"/>
        <v>0</v>
      </c>
      <c r="I118" s="59">
        <f t="shared" si="21"/>
        <v>0</v>
      </c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</row>
    <row r="119" ht="9.75" customHeight="1">
      <c r="A119" s="65"/>
      <c r="B119" s="79" t="s">
        <v>122</v>
      </c>
      <c r="C119" s="80" t="s">
        <v>34</v>
      </c>
      <c r="D119" s="100"/>
      <c r="E119" s="81">
        <v>1.0</v>
      </c>
      <c r="F119" s="78">
        <v>8200.0</v>
      </c>
      <c r="G119" s="90">
        <f t="shared" si="22"/>
        <v>8200</v>
      </c>
      <c r="H119" s="4">
        <f t="shared" si="20"/>
        <v>0</v>
      </c>
      <c r="I119" s="59">
        <f t="shared" si="21"/>
        <v>0</v>
      </c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</row>
    <row r="120" ht="9.75" customHeight="1">
      <c r="A120" s="65"/>
      <c r="B120" s="79" t="s">
        <v>123</v>
      </c>
      <c r="C120" s="80" t="s">
        <v>34</v>
      </c>
      <c r="D120" s="100"/>
      <c r="E120" s="100">
        <v>8.0</v>
      </c>
      <c r="F120" s="78">
        <v>1400.0</v>
      </c>
      <c r="G120" s="90">
        <f t="shared" si="22"/>
        <v>11200</v>
      </c>
      <c r="H120" s="4">
        <f t="shared" si="20"/>
        <v>0</v>
      </c>
      <c r="I120" s="59">
        <f t="shared" si="21"/>
        <v>0</v>
      </c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</row>
    <row r="121" ht="9.75" customHeight="1">
      <c r="A121" s="65"/>
      <c r="B121" s="79" t="s">
        <v>124</v>
      </c>
      <c r="C121" s="80" t="s">
        <v>34</v>
      </c>
      <c r="D121" s="100"/>
      <c r="E121" s="100">
        <v>1.0</v>
      </c>
      <c r="F121" s="78">
        <v>18000.0</v>
      </c>
      <c r="G121" s="90">
        <f t="shared" si="22"/>
        <v>18000</v>
      </c>
      <c r="H121" s="4">
        <f t="shared" si="20"/>
        <v>0</v>
      </c>
      <c r="I121" s="59">
        <f t="shared" si="21"/>
        <v>0</v>
      </c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</row>
    <row r="122" ht="9.75" customHeight="1">
      <c r="A122" s="65"/>
      <c r="B122" s="79" t="s">
        <v>125</v>
      </c>
      <c r="C122" s="80" t="s">
        <v>34</v>
      </c>
      <c r="D122" s="100"/>
      <c r="E122" s="100">
        <v>1.0</v>
      </c>
      <c r="F122" s="78">
        <v>6500.0</v>
      </c>
      <c r="G122" s="90">
        <f t="shared" si="22"/>
        <v>6500</v>
      </c>
      <c r="H122" s="4">
        <f t="shared" si="20"/>
        <v>0</v>
      </c>
      <c r="I122" s="59">
        <f t="shared" si="21"/>
        <v>0</v>
      </c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</row>
    <row r="123" ht="9.75" customHeight="1">
      <c r="A123" s="65"/>
      <c r="B123" s="79" t="s">
        <v>126</v>
      </c>
      <c r="C123" s="80" t="s">
        <v>34</v>
      </c>
      <c r="D123" s="100"/>
      <c r="E123" s="100">
        <v>8.0</v>
      </c>
      <c r="F123" s="78">
        <v>5500.0</v>
      </c>
      <c r="G123" s="90">
        <f t="shared" si="22"/>
        <v>44000</v>
      </c>
      <c r="H123" s="4">
        <f t="shared" si="20"/>
        <v>0</v>
      </c>
      <c r="I123" s="59">
        <f t="shared" si="21"/>
        <v>0</v>
      </c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</row>
    <row r="124" ht="9.75" customHeight="1">
      <c r="A124" s="65"/>
      <c r="B124" s="79" t="s">
        <v>127</v>
      </c>
      <c r="C124" s="80" t="s">
        <v>34</v>
      </c>
      <c r="D124" s="100"/>
      <c r="E124" s="100">
        <v>1.0</v>
      </c>
      <c r="F124" s="78">
        <v>15000.0</v>
      </c>
      <c r="G124" s="90">
        <f t="shared" si="22"/>
        <v>15000</v>
      </c>
      <c r="H124" s="4">
        <f t="shared" si="20"/>
        <v>0</v>
      </c>
      <c r="I124" s="59">
        <f t="shared" si="21"/>
        <v>0</v>
      </c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</row>
    <row r="125" ht="12.75" customHeight="1">
      <c r="A125" s="65" t="s">
        <v>128</v>
      </c>
      <c r="B125" s="82" t="str">
        <f>CONCATENATE("Sous-Total : ",A118," - ",B118)</f>
        <v>Sous-Total :  - Reconfiguration de boucle</v>
      </c>
      <c r="C125" s="83"/>
      <c r="D125" s="84"/>
      <c r="E125" s="84"/>
      <c r="F125" s="84"/>
      <c r="G125" s="109">
        <f>SUM(G118:G124)</f>
        <v>102900</v>
      </c>
      <c r="H125" s="4">
        <f t="shared" si="20"/>
        <v>102900</v>
      </c>
      <c r="I125" s="59">
        <f t="shared" si="21"/>
        <v>0.02369639757</v>
      </c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</row>
    <row r="126" ht="9.75" customHeight="1">
      <c r="A126" s="65"/>
      <c r="B126" s="86" t="s">
        <v>129</v>
      </c>
      <c r="C126" s="87"/>
      <c r="D126" s="88"/>
      <c r="E126" s="88"/>
      <c r="F126" s="88"/>
      <c r="G126" s="89">
        <f t="shared" ref="G126:G132" si="23">E126*F126</f>
        <v>0</v>
      </c>
      <c r="H126" s="4">
        <f t="shared" si="20"/>
        <v>0</v>
      </c>
      <c r="I126" s="59">
        <f t="shared" si="21"/>
        <v>0</v>
      </c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</row>
    <row r="127" ht="9.75" customHeight="1">
      <c r="A127" s="65"/>
      <c r="B127" s="110" t="s">
        <v>130</v>
      </c>
      <c r="C127" s="111"/>
      <c r="D127" s="112"/>
      <c r="E127" s="112"/>
      <c r="F127" s="113"/>
      <c r="G127" s="90">
        <f t="shared" si="23"/>
        <v>0</v>
      </c>
      <c r="H127" s="4">
        <f t="shared" si="20"/>
        <v>0</v>
      </c>
      <c r="I127" s="59">
        <f t="shared" si="21"/>
        <v>0</v>
      </c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</row>
    <row r="128" ht="9.75" customHeight="1">
      <c r="A128" s="65"/>
      <c r="B128" s="115" t="s">
        <v>131</v>
      </c>
      <c r="C128" s="67" t="s">
        <v>34</v>
      </c>
      <c r="D128" s="116"/>
      <c r="E128" s="117">
        <v>1.0</v>
      </c>
      <c r="F128" s="118">
        <v>7050.0</v>
      </c>
      <c r="G128" s="90">
        <f t="shared" si="23"/>
        <v>7050</v>
      </c>
      <c r="H128" s="4">
        <f t="shared" si="20"/>
        <v>0</v>
      </c>
      <c r="I128" s="59">
        <f t="shared" si="21"/>
        <v>0</v>
      </c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</row>
    <row r="129" ht="9.75" customHeight="1">
      <c r="A129" s="65"/>
      <c r="B129" s="115" t="s">
        <v>132</v>
      </c>
      <c r="C129" s="67" t="s">
        <v>34</v>
      </c>
      <c r="D129" s="116"/>
      <c r="E129" s="117">
        <v>1.0</v>
      </c>
      <c r="F129" s="118">
        <v>6000.0</v>
      </c>
      <c r="G129" s="90">
        <f t="shared" si="23"/>
        <v>6000</v>
      </c>
      <c r="H129" s="4">
        <f t="shared" si="20"/>
        <v>0</v>
      </c>
      <c r="I129" s="59">
        <f t="shared" si="21"/>
        <v>0</v>
      </c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</row>
    <row r="130" ht="9.75" customHeight="1">
      <c r="A130" s="65"/>
      <c r="B130" s="115" t="s">
        <v>133</v>
      </c>
      <c r="C130" s="67" t="s">
        <v>34</v>
      </c>
      <c r="D130" s="116"/>
      <c r="E130" s="117">
        <v>1.0</v>
      </c>
      <c r="F130" s="118">
        <v>4000.0</v>
      </c>
      <c r="G130" s="90">
        <f t="shared" si="23"/>
        <v>4000</v>
      </c>
      <c r="H130" s="4">
        <f t="shared" si="20"/>
        <v>0</v>
      </c>
      <c r="I130" s="59">
        <f t="shared" si="21"/>
        <v>0</v>
      </c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</row>
    <row r="131" ht="9.75" customHeight="1">
      <c r="A131" s="65"/>
      <c r="B131" s="110" t="s">
        <v>134</v>
      </c>
      <c r="C131" s="111"/>
      <c r="D131" s="112"/>
      <c r="E131" s="112"/>
      <c r="F131" s="113"/>
      <c r="G131" s="90">
        <f t="shared" si="23"/>
        <v>0</v>
      </c>
      <c r="H131" s="4">
        <f t="shared" si="20"/>
        <v>0</v>
      </c>
      <c r="I131" s="59">
        <f t="shared" si="21"/>
        <v>0</v>
      </c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</row>
    <row r="132" ht="9.75" customHeight="1">
      <c r="A132" s="65"/>
      <c r="B132" s="134" t="s">
        <v>135</v>
      </c>
      <c r="C132" s="67" t="s">
        <v>34</v>
      </c>
      <c r="D132" s="116"/>
      <c r="E132" s="117">
        <v>1.0</v>
      </c>
      <c r="F132" s="118">
        <v>1900.0</v>
      </c>
      <c r="G132" s="90">
        <f t="shared" si="23"/>
        <v>1900</v>
      </c>
      <c r="H132" s="4">
        <f t="shared" si="20"/>
        <v>0</v>
      </c>
      <c r="I132" s="59">
        <f t="shared" si="21"/>
        <v>0</v>
      </c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</row>
    <row r="133" ht="9.75" customHeight="1">
      <c r="A133" s="65"/>
      <c r="B133" s="135"/>
      <c r="C133" s="92"/>
      <c r="D133" s="121"/>
      <c r="E133" s="121"/>
      <c r="F133" s="122"/>
      <c r="G133" s="94"/>
      <c r="H133" s="4"/>
      <c r="I133" s="59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</row>
    <row r="134" ht="9.75" customHeight="1">
      <c r="A134" s="65"/>
      <c r="B134" s="110" t="s">
        <v>108</v>
      </c>
      <c r="C134" s="111"/>
      <c r="D134" s="112"/>
      <c r="E134" s="112"/>
      <c r="F134" s="113"/>
      <c r="G134" s="90">
        <f>E134*F134</f>
        <v>0</v>
      </c>
      <c r="H134" s="4">
        <f>IFERROR(IF(FIND("Sous-",B134,1)&lt;&gt;0,G134,1),0)</f>
        <v>0</v>
      </c>
      <c r="I134" s="59">
        <f>IFERROR(H134/$H$6,0)</f>
        <v>0</v>
      </c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</row>
    <row r="135" ht="9.75" customHeight="1">
      <c r="A135" s="65"/>
      <c r="B135" s="120" t="s">
        <v>109</v>
      </c>
      <c r="C135" s="92" t="s">
        <v>51</v>
      </c>
      <c r="D135" s="121"/>
      <c r="E135" s="123">
        <v>1.0</v>
      </c>
      <c r="F135" s="122">
        <v>200.0</v>
      </c>
      <c r="G135" s="94"/>
      <c r="H135" s="4"/>
      <c r="I135" s="59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</row>
    <row r="136" ht="9.75" customHeight="1">
      <c r="A136" s="65"/>
      <c r="B136" s="135"/>
      <c r="C136" s="92"/>
      <c r="D136" s="121"/>
      <c r="E136" s="121"/>
      <c r="F136" s="122"/>
      <c r="G136" s="94"/>
      <c r="H136" s="4"/>
      <c r="I136" s="59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</row>
    <row r="137" ht="9.75" customHeight="1">
      <c r="A137" s="65"/>
      <c r="B137" s="91"/>
      <c r="C137" s="92"/>
      <c r="D137" s="93"/>
      <c r="E137" s="93"/>
      <c r="F137" s="93"/>
      <c r="G137" s="94">
        <f t="shared" ref="G137:G143" si="24">E137*F137</f>
        <v>0</v>
      </c>
      <c r="H137" s="4">
        <f t="shared" ref="H137:H229" si="25">IFERROR(IF(FIND("Sous-",B137,1)&lt;&gt;0,G137,1),0)</f>
        <v>0</v>
      </c>
      <c r="I137" s="59">
        <f t="shared" ref="I137:I229" si="26">IFERROR(H137/$H$6,0)</f>
        <v>0</v>
      </c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</row>
    <row r="138" ht="9.75" customHeight="1">
      <c r="A138" s="65"/>
      <c r="B138" s="95" t="s">
        <v>136</v>
      </c>
      <c r="C138" s="96" t="s">
        <v>34</v>
      </c>
      <c r="D138" s="97"/>
      <c r="E138" s="108">
        <v>1.0</v>
      </c>
      <c r="F138" s="98"/>
      <c r="G138" s="99">
        <f t="shared" si="24"/>
        <v>0</v>
      </c>
      <c r="H138" s="4">
        <f t="shared" si="25"/>
        <v>0</v>
      </c>
      <c r="I138" s="59">
        <f t="shared" si="26"/>
        <v>0</v>
      </c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</row>
    <row r="139" ht="9.75" customHeight="1">
      <c r="A139" s="65"/>
      <c r="B139" s="79" t="s">
        <v>137</v>
      </c>
      <c r="C139" s="80" t="s">
        <v>34</v>
      </c>
      <c r="D139" s="100"/>
      <c r="E139" s="81">
        <v>1.0</v>
      </c>
      <c r="F139" s="78"/>
      <c r="G139" s="90">
        <f t="shared" si="24"/>
        <v>0</v>
      </c>
      <c r="H139" s="4">
        <f t="shared" si="25"/>
        <v>0</v>
      </c>
      <c r="I139" s="59">
        <f t="shared" si="26"/>
        <v>0</v>
      </c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</row>
    <row r="140" ht="9.75" customHeight="1">
      <c r="A140" s="65"/>
      <c r="B140" s="79" t="s">
        <v>138</v>
      </c>
      <c r="C140" s="80" t="s">
        <v>32</v>
      </c>
      <c r="D140" s="100"/>
      <c r="E140" s="81">
        <v>1.0</v>
      </c>
      <c r="F140" s="78"/>
      <c r="G140" s="90">
        <f t="shared" si="24"/>
        <v>0</v>
      </c>
      <c r="H140" s="4">
        <f t="shared" si="25"/>
        <v>0</v>
      </c>
      <c r="I140" s="59">
        <f t="shared" si="26"/>
        <v>0</v>
      </c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</row>
    <row r="141" ht="9.75" customHeight="1">
      <c r="A141" s="65"/>
      <c r="B141" s="79" t="s">
        <v>139</v>
      </c>
      <c r="C141" s="80" t="s">
        <v>32</v>
      </c>
      <c r="D141" s="100"/>
      <c r="E141" s="81">
        <v>1.0</v>
      </c>
      <c r="F141" s="78"/>
      <c r="G141" s="90">
        <f t="shared" si="24"/>
        <v>0</v>
      </c>
      <c r="H141" s="4">
        <f t="shared" si="25"/>
        <v>0</v>
      </c>
      <c r="I141" s="59">
        <f t="shared" si="26"/>
        <v>0</v>
      </c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</row>
    <row r="142" ht="9.75" customHeight="1">
      <c r="A142" s="65"/>
      <c r="B142" s="79" t="s">
        <v>140</v>
      </c>
      <c r="C142" s="80" t="s">
        <v>34</v>
      </c>
      <c r="D142" s="100"/>
      <c r="E142" s="81">
        <v>1.0</v>
      </c>
      <c r="F142" s="78"/>
      <c r="G142" s="90">
        <f t="shared" si="24"/>
        <v>0</v>
      </c>
      <c r="H142" s="4">
        <f t="shared" si="25"/>
        <v>0</v>
      </c>
      <c r="I142" s="59">
        <f t="shared" si="26"/>
        <v>0</v>
      </c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</row>
    <row r="143" ht="9.75" customHeight="1">
      <c r="A143" s="65"/>
      <c r="B143" s="124" t="s">
        <v>141</v>
      </c>
      <c r="C143" s="125" t="s">
        <v>32</v>
      </c>
      <c r="D143" s="126"/>
      <c r="E143" s="136">
        <v>1.0</v>
      </c>
      <c r="F143" s="127">
        <v>1.0</v>
      </c>
      <c r="G143" s="128">
        <f t="shared" si="24"/>
        <v>1</v>
      </c>
      <c r="H143" s="4">
        <f t="shared" si="25"/>
        <v>0</v>
      </c>
      <c r="I143" s="59">
        <f t="shared" si="26"/>
        <v>0</v>
      </c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</row>
    <row r="144" ht="29.25" customHeight="1">
      <c r="A144" s="65" t="s">
        <v>142</v>
      </c>
      <c r="B144" s="129" t="str">
        <f>CONCATENATE("Sous-Total : ",A126," - ",B126)</f>
        <v>Sous-Total :  - Branchements - Comptage concessionnaire</v>
      </c>
      <c r="C144" s="130"/>
      <c r="D144" s="131"/>
      <c r="E144" s="131"/>
      <c r="F144" s="131"/>
      <c r="G144" s="132">
        <f>SUM(G126:G143)</f>
        <v>18951</v>
      </c>
      <c r="H144" s="4">
        <f t="shared" si="25"/>
        <v>18951</v>
      </c>
      <c r="I144" s="59">
        <f t="shared" si="26"/>
        <v>0.004364144123</v>
      </c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</row>
    <row r="145" ht="9.75" customHeight="1">
      <c r="A145" s="65"/>
      <c r="B145" s="105" t="s">
        <v>143</v>
      </c>
      <c r="C145" s="106"/>
      <c r="D145" s="98"/>
      <c r="E145" s="98"/>
      <c r="F145" s="98"/>
      <c r="G145" s="107">
        <f t="shared" ref="G145:G159" si="27">E145*F145</f>
        <v>0</v>
      </c>
      <c r="H145" s="4">
        <f t="shared" si="25"/>
        <v>0</v>
      </c>
      <c r="I145" s="59">
        <f t="shared" si="26"/>
        <v>0</v>
      </c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</row>
    <row r="146" ht="9.75" customHeight="1">
      <c r="A146" s="65"/>
      <c r="B146" s="110" t="s">
        <v>144</v>
      </c>
      <c r="C146" s="111"/>
      <c r="D146" s="112"/>
      <c r="E146" s="112"/>
      <c r="F146" s="113"/>
      <c r="G146" s="90">
        <f t="shared" si="27"/>
        <v>0</v>
      </c>
      <c r="H146" s="4">
        <f t="shared" si="25"/>
        <v>0</v>
      </c>
      <c r="I146" s="59">
        <f t="shared" si="26"/>
        <v>0</v>
      </c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</row>
    <row r="147" ht="9.75" customHeight="1">
      <c r="A147" s="65"/>
      <c r="B147" s="137" t="s">
        <v>145</v>
      </c>
      <c r="C147" s="67"/>
      <c r="D147" s="116"/>
      <c r="E147" s="117">
        <v>1.0</v>
      </c>
      <c r="F147" s="118"/>
      <c r="G147" s="90">
        <f t="shared" si="27"/>
        <v>0</v>
      </c>
      <c r="H147" s="4">
        <f t="shared" si="25"/>
        <v>0</v>
      </c>
      <c r="I147" s="59">
        <f t="shared" si="26"/>
        <v>0</v>
      </c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</row>
    <row r="148" ht="9.75" customHeight="1">
      <c r="A148" s="65"/>
      <c r="B148" s="115" t="s">
        <v>146</v>
      </c>
      <c r="C148" s="67" t="s">
        <v>27</v>
      </c>
      <c r="D148" s="116"/>
      <c r="E148" s="117">
        <v>1.0</v>
      </c>
      <c r="F148" s="118">
        <v>171.59</v>
      </c>
      <c r="G148" s="90">
        <f t="shared" si="27"/>
        <v>171.59</v>
      </c>
      <c r="H148" s="4">
        <f t="shared" si="25"/>
        <v>0</v>
      </c>
      <c r="I148" s="59">
        <f t="shared" si="26"/>
        <v>0</v>
      </c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</row>
    <row r="149" ht="9.75" customHeight="1">
      <c r="A149" s="65"/>
      <c r="B149" s="115" t="s">
        <v>147</v>
      </c>
      <c r="C149" s="67" t="s">
        <v>34</v>
      </c>
      <c r="D149" s="116"/>
      <c r="E149" s="117">
        <v>1.0</v>
      </c>
      <c r="F149" s="118">
        <v>571.98</v>
      </c>
      <c r="G149" s="90">
        <f t="shared" si="27"/>
        <v>571.98</v>
      </c>
      <c r="H149" s="4">
        <f t="shared" si="25"/>
        <v>0</v>
      </c>
      <c r="I149" s="59">
        <f t="shared" si="26"/>
        <v>0</v>
      </c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</row>
    <row r="150" ht="9.75" customHeight="1">
      <c r="A150" s="65"/>
      <c r="B150" s="137" t="s">
        <v>56</v>
      </c>
      <c r="C150" s="67"/>
      <c r="D150" s="116"/>
      <c r="E150" s="117"/>
      <c r="F150" s="118">
        <v>0.0</v>
      </c>
      <c r="G150" s="90">
        <f t="shared" si="27"/>
        <v>0</v>
      </c>
      <c r="H150" s="4">
        <f t="shared" si="25"/>
        <v>0</v>
      </c>
      <c r="I150" s="59">
        <f t="shared" si="26"/>
        <v>0</v>
      </c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</row>
    <row r="151" ht="9.75" customHeight="1">
      <c r="A151" s="65"/>
      <c r="B151" s="115" t="s">
        <v>148</v>
      </c>
      <c r="C151" s="67" t="s">
        <v>51</v>
      </c>
      <c r="D151" s="116"/>
      <c r="E151" s="117">
        <v>1.0</v>
      </c>
      <c r="F151" s="118">
        <v>24.02</v>
      </c>
      <c r="G151" s="90">
        <f t="shared" si="27"/>
        <v>24.02</v>
      </c>
      <c r="H151" s="4">
        <f t="shared" si="25"/>
        <v>0</v>
      </c>
      <c r="I151" s="59">
        <f t="shared" si="26"/>
        <v>0</v>
      </c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</row>
    <row r="152" ht="9.75" customHeight="1">
      <c r="A152" s="65"/>
      <c r="B152" s="115" t="s">
        <v>149</v>
      </c>
      <c r="C152" s="67" t="s">
        <v>51</v>
      </c>
      <c r="D152" s="116"/>
      <c r="E152" s="117">
        <v>1.0</v>
      </c>
      <c r="F152" s="118">
        <v>11.44</v>
      </c>
      <c r="G152" s="90">
        <f t="shared" si="27"/>
        <v>11.44</v>
      </c>
      <c r="H152" s="4">
        <f t="shared" si="25"/>
        <v>0</v>
      </c>
      <c r="I152" s="59">
        <f t="shared" si="26"/>
        <v>0</v>
      </c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</row>
    <row r="153" ht="9.75" customHeight="1">
      <c r="A153" s="65"/>
      <c r="B153" s="115" t="s">
        <v>150</v>
      </c>
      <c r="C153" s="67" t="s">
        <v>34</v>
      </c>
      <c r="D153" s="116"/>
      <c r="E153" s="117">
        <v>1.0</v>
      </c>
      <c r="F153" s="118">
        <v>571.98</v>
      </c>
      <c r="G153" s="90">
        <f t="shared" si="27"/>
        <v>571.98</v>
      </c>
      <c r="H153" s="4">
        <f t="shared" si="25"/>
        <v>0</v>
      </c>
      <c r="I153" s="59">
        <f t="shared" si="26"/>
        <v>0</v>
      </c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</row>
    <row r="154" ht="9.75" customHeight="1">
      <c r="A154" s="65"/>
      <c r="B154" s="137" t="s">
        <v>151</v>
      </c>
      <c r="C154" s="67"/>
      <c r="D154" s="116"/>
      <c r="E154" s="117"/>
      <c r="F154" s="118">
        <v>0.0</v>
      </c>
      <c r="G154" s="90">
        <f t="shared" si="27"/>
        <v>0</v>
      </c>
      <c r="H154" s="4">
        <f t="shared" si="25"/>
        <v>0</v>
      </c>
      <c r="I154" s="59">
        <f t="shared" si="26"/>
        <v>0</v>
      </c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</row>
    <row r="155" ht="9.75" customHeight="1">
      <c r="A155" s="65"/>
      <c r="B155" s="115" t="s">
        <v>152</v>
      </c>
      <c r="C155" s="67" t="s">
        <v>34</v>
      </c>
      <c r="D155" s="116"/>
      <c r="E155" s="117">
        <v>1.0</v>
      </c>
      <c r="F155" s="118">
        <v>200000.0</v>
      </c>
      <c r="G155" s="90">
        <f t="shared" si="27"/>
        <v>200000</v>
      </c>
      <c r="H155" s="4">
        <f t="shared" si="25"/>
        <v>0</v>
      </c>
      <c r="I155" s="59">
        <f t="shared" si="26"/>
        <v>0</v>
      </c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</row>
    <row r="156" ht="9.75" customHeight="1">
      <c r="A156" s="65"/>
      <c r="B156" s="115" t="s">
        <v>153</v>
      </c>
      <c r="C156" s="67" t="s">
        <v>51</v>
      </c>
      <c r="D156" s="116"/>
      <c r="E156" s="117">
        <v>1.0</v>
      </c>
      <c r="F156" s="118">
        <v>16.24</v>
      </c>
      <c r="G156" s="90">
        <f t="shared" si="27"/>
        <v>16.24</v>
      </c>
      <c r="H156" s="4">
        <f t="shared" si="25"/>
        <v>0</v>
      </c>
      <c r="I156" s="59">
        <f t="shared" si="26"/>
        <v>0</v>
      </c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</row>
    <row r="157" ht="9.75" customHeight="1">
      <c r="A157" s="65"/>
      <c r="B157" s="115" t="s">
        <v>154</v>
      </c>
      <c r="C157" s="67" t="s">
        <v>155</v>
      </c>
      <c r="D157" s="116"/>
      <c r="E157" s="117">
        <v>1.0</v>
      </c>
      <c r="F157" s="118">
        <v>48.05</v>
      </c>
      <c r="G157" s="90">
        <f t="shared" si="27"/>
        <v>48.05</v>
      </c>
      <c r="H157" s="4">
        <f t="shared" si="25"/>
        <v>0</v>
      </c>
      <c r="I157" s="59">
        <f t="shared" si="26"/>
        <v>0</v>
      </c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</row>
    <row r="158" ht="9.75" customHeight="1">
      <c r="A158" s="65"/>
      <c r="B158" s="115" t="s">
        <v>156</v>
      </c>
      <c r="C158" s="67" t="s">
        <v>32</v>
      </c>
      <c r="D158" s="116"/>
      <c r="E158" s="117">
        <v>1.0</v>
      </c>
      <c r="F158" s="118">
        <v>11302.33</v>
      </c>
      <c r="G158" s="90">
        <f t="shared" si="27"/>
        <v>11302.33</v>
      </c>
      <c r="H158" s="4">
        <f t="shared" si="25"/>
        <v>0</v>
      </c>
      <c r="I158" s="59">
        <f t="shared" si="26"/>
        <v>0</v>
      </c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</row>
    <row r="159" ht="9.75" customHeight="1">
      <c r="A159" s="65"/>
      <c r="B159" s="115" t="s">
        <v>157</v>
      </c>
      <c r="C159" s="67" t="s">
        <v>158</v>
      </c>
      <c r="D159" s="116"/>
      <c r="E159" s="117">
        <v>1.0</v>
      </c>
      <c r="F159" s="118">
        <v>3795.0</v>
      </c>
      <c r="G159" s="90">
        <f t="shared" si="27"/>
        <v>3795</v>
      </c>
      <c r="H159" s="4">
        <f t="shared" si="25"/>
        <v>0</v>
      </c>
      <c r="I159" s="59">
        <f t="shared" si="26"/>
        <v>0</v>
      </c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</row>
    <row r="160" ht="9.75" customHeight="1">
      <c r="A160" s="65"/>
      <c r="B160" s="66"/>
      <c r="C160" s="67"/>
      <c r="D160" s="78"/>
      <c r="E160" s="78"/>
      <c r="F160" s="78"/>
      <c r="G160" s="114"/>
      <c r="H160" s="4">
        <f t="shared" si="25"/>
        <v>0</v>
      </c>
      <c r="I160" s="59">
        <f t="shared" si="26"/>
        <v>0</v>
      </c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</row>
    <row r="161" ht="9.75" customHeight="1">
      <c r="A161" s="65"/>
      <c r="B161" s="110" t="s">
        <v>159</v>
      </c>
      <c r="C161" s="111"/>
      <c r="D161" s="112"/>
      <c r="E161" s="112"/>
      <c r="F161" s="113"/>
      <c r="G161" s="90">
        <f t="shared" ref="G161:G179" si="28">E161*F161</f>
        <v>0</v>
      </c>
      <c r="H161" s="4">
        <f t="shared" si="25"/>
        <v>0</v>
      </c>
      <c r="I161" s="59">
        <f t="shared" si="26"/>
        <v>0</v>
      </c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</row>
    <row r="162" ht="9.75" customHeight="1">
      <c r="A162" s="65"/>
      <c r="B162" s="138" t="s">
        <v>160</v>
      </c>
      <c r="C162" s="67"/>
      <c r="D162" s="116"/>
      <c r="E162" s="116"/>
      <c r="F162" s="118"/>
      <c r="G162" s="90">
        <f t="shared" si="28"/>
        <v>0</v>
      </c>
      <c r="H162" s="4">
        <f t="shared" si="25"/>
        <v>0</v>
      </c>
      <c r="I162" s="59">
        <f t="shared" si="26"/>
        <v>0</v>
      </c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</row>
    <row r="163" ht="9.75" customHeight="1">
      <c r="A163" s="65"/>
      <c r="B163" s="115" t="s">
        <v>161</v>
      </c>
      <c r="C163" s="67" t="s">
        <v>34</v>
      </c>
      <c r="D163" s="116"/>
      <c r="E163" s="116">
        <v>1.0</v>
      </c>
      <c r="F163" s="118">
        <v>168000.0</v>
      </c>
      <c r="G163" s="90">
        <f t="shared" si="28"/>
        <v>168000</v>
      </c>
      <c r="H163" s="4">
        <f t="shared" si="25"/>
        <v>0</v>
      </c>
      <c r="I163" s="59">
        <f t="shared" si="26"/>
        <v>0</v>
      </c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</row>
    <row r="164" ht="9.75" customHeight="1">
      <c r="A164" s="65"/>
      <c r="B164" s="115" t="s">
        <v>162</v>
      </c>
      <c r="C164" s="67" t="s">
        <v>32</v>
      </c>
      <c r="D164" s="116"/>
      <c r="E164" s="116">
        <v>1.0</v>
      </c>
      <c r="F164" s="118">
        <v>46000.0</v>
      </c>
      <c r="G164" s="90">
        <f t="shared" si="28"/>
        <v>46000</v>
      </c>
      <c r="H164" s="4">
        <f t="shared" si="25"/>
        <v>0</v>
      </c>
      <c r="I164" s="59">
        <f t="shared" si="26"/>
        <v>0</v>
      </c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</row>
    <row r="165" ht="9.75" customHeight="1">
      <c r="A165" s="65"/>
      <c r="B165" s="115" t="s">
        <v>163</v>
      </c>
      <c r="C165" s="67"/>
      <c r="D165" s="116"/>
      <c r="E165" s="116">
        <v>1.0</v>
      </c>
      <c r="F165" s="118">
        <v>85000.0</v>
      </c>
      <c r="G165" s="90">
        <f t="shared" si="28"/>
        <v>85000</v>
      </c>
      <c r="H165" s="4">
        <f t="shared" si="25"/>
        <v>0</v>
      </c>
      <c r="I165" s="59">
        <f t="shared" si="26"/>
        <v>0</v>
      </c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</row>
    <row r="166" ht="9.75" customHeight="1">
      <c r="A166" s="65"/>
      <c r="B166" s="115" t="s">
        <v>164</v>
      </c>
      <c r="C166" s="67"/>
      <c r="D166" s="116"/>
      <c r="E166" s="116">
        <v>1.0</v>
      </c>
      <c r="F166" s="118">
        <v>162000.0</v>
      </c>
      <c r="G166" s="90">
        <f t="shared" si="28"/>
        <v>162000</v>
      </c>
      <c r="H166" s="4">
        <f t="shared" si="25"/>
        <v>0</v>
      </c>
      <c r="I166" s="59">
        <f t="shared" si="26"/>
        <v>0</v>
      </c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</row>
    <row r="167" ht="9.75" customHeight="1">
      <c r="A167" s="65"/>
      <c r="B167" s="115" t="s">
        <v>165</v>
      </c>
      <c r="C167" s="67"/>
      <c r="D167" s="116"/>
      <c r="E167" s="116">
        <v>1.0</v>
      </c>
      <c r="F167" s="118">
        <v>25000.0</v>
      </c>
      <c r="G167" s="90">
        <f t="shared" si="28"/>
        <v>25000</v>
      </c>
      <c r="H167" s="4">
        <f t="shared" si="25"/>
        <v>0</v>
      </c>
      <c r="I167" s="59">
        <f t="shared" si="26"/>
        <v>0</v>
      </c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</row>
    <row r="168" ht="9.75" customHeight="1">
      <c r="A168" s="65"/>
      <c r="B168" s="115" t="s">
        <v>166</v>
      </c>
      <c r="C168" s="67"/>
      <c r="D168" s="116"/>
      <c r="E168" s="116">
        <v>1.0</v>
      </c>
      <c r="F168" s="118">
        <v>4500.0</v>
      </c>
      <c r="G168" s="90">
        <f t="shared" si="28"/>
        <v>4500</v>
      </c>
      <c r="H168" s="4">
        <f t="shared" si="25"/>
        <v>0</v>
      </c>
      <c r="I168" s="59">
        <f t="shared" si="26"/>
        <v>0</v>
      </c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</row>
    <row r="169" ht="9.75" customHeight="1">
      <c r="A169" s="65"/>
      <c r="B169" s="138" t="s">
        <v>167</v>
      </c>
      <c r="C169" s="67"/>
      <c r="D169" s="116"/>
      <c r="E169" s="116"/>
      <c r="F169" s="118"/>
      <c r="G169" s="90">
        <f t="shared" si="28"/>
        <v>0</v>
      </c>
      <c r="H169" s="4">
        <f t="shared" si="25"/>
        <v>0</v>
      </c>
      <c r="I169" s="59">
        <f t="shared" si="26"/>
        <v>0</v>
      </c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</row>
    <row r="170" ht="9.75" customHeight="1">
      <c r="A170" s="65"/>
      <c r="B170" s="115" t="s">
        <v>168</v>
      </c>
      <c r="C170" s="67" t="s">
        <v>34</v>
      </c>
      <c r="D170" s="116"/>
      <c r="E170" s="117">
        <v>1.0</v>
      </c>
      <c r="F170" s="118">
        <v>282000.0</v>
      </c>
      <c r="G170" s="90">
        <f t="shared" si="28"/>
        <v>282000</v>
      </c>
      <c r="H170" s="4">
        <f t="shared" si="25"/>
        <v>0</v>
      </c>
      <c r="I170" s="59">
        <f t="shared" si="26"/>
        <v>0</v>
      </c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</row>
    <row r="171" ht="9.75" customHeight="1">
      <c r="A171" s="65"/>
      <c r="B171" s="115" t="s">
        <v>162</v>
      </c>
      <c r="C171" s="67" t="s">
        <v>32</v>
      </c>
      <c r="D171" s="116"/>
      <c r="E171" s="117">
        <v>1.0</v>
      </c>
      <c r="F171" s="118">
        <v>46000.0</v>
      </c>
      <c r="G171" s="90">
        <f t="shared" si="28"/>
        <v>46000</v>
      </c>
      <c r="H171" s="4">
        <f t="shared" si="25"/>
        <v>0</v>
      </c>
      <c r="I171" s="59">
        <f t="shared" si="26"/>
        <v>0</v>
      </c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</row>
    <row r="172" ht="9.75" customHeight="1">
      <c r="A172" s="65"/>
      <c r="B172" s="115" t="s">
        <v>169</v>
      </c>
      <c r="C172" s="139" t="s">
        <v>34</v>
      </c>
      <c r="D172" s="116"/>
      <c r="E172" s="117">
        <v>1.0</v>
      </c>
      <c r="F172" s="118">
        <v>95000.0</v>
      </c>
      <c r="G172" s="90">
        <f t="shared" si="28"/>
        <v>95000</v>
      </c>
      <c r="H172" s="4">
        <f t="shared" si="25"/>
        <v>0</v>
      </c>
      <c r="I172" s="59">
        <f t="shared" si="26"/>
        <v>0</v>
      </c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</row>
    <row r="173" ht="9.75" customHeight="1">
      <c r="A173" s="65"/>
      <c r="B173" s="115" t="s">
        <v>164</v>
      </c>
      <c r="C173" s="139" t="s">
        <v>32</v>
      </c>
      <c r="D173" s="116"/>
      <c r="E173" s="117">
        <v>1.0</v>
      </c>
      <c r="F173" s="118">
        <v>181000.0</v>
      </c>
      <c r="G173" s="90">
        <f t="shared" si="28"/>
        <v>181000</v>
      </c>
      <c r="H173" s="4">
        <f t="shared" si="25"/>
        <v>0</v>
      </c>
      <c r="I173" s="59">
        <f t="shared" si="26"/>
        <v>0</v>
      </c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4"/>
      <c r="Y173" s="4"/>
    </row>
    <row r="174" ht="9.75" customHeight="1">
      <c r="A174" s="65"/>
      <c r="B174" s="115" t="s">
        <v>165</v>
      </c>
      <c r="C174" s="139" t="s">
        <v>32</v>
      </c>
      <c r="D174" s="116"/>
      <c r="E174" s="117">
        <v>1.0</v>
      </c>
      <c r="F174" s="118">
        <v>25000.0</v>
      </c>
      <c r="G174" s="90">
        <f t="shared" si="28"/>
        <v>25000</v>
      </c>
      <c r="H174" s="4">
        <f t="shared" si="25"/>
        <v>0</v>
      </c>
      <c r="I174" s="59">
        <f t="shared" si="26"/>
        <v>0</v>
      </c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</row>
    <row r="175" ht="9.75" customHeight="1">
      <c r="A175" s="65"/>
      <c r="B175" s="115" t="s">
        <v>166</v>
      </c>
      <c r="C175" s="139" t="s">
        <v>32</v>
      </c>
      <c r="D175" s="116"/>
      <c r="E175" s="117">
        <v>1.0</v>
      </c>
      <c r="F175" s="118">
        <v>4500.0</v>
      </c>
      <c r="G175" s="90">
        <f t="shared" si="28"/>
        <v>4500</v>
      </c>
      <c r="H175" s="4">
        <f t="shared" si="25"/>
        <v>0</v>
      </c>
      <c r="I175" s="59">
        <f t="shared" si="26"/>
        <v>0</v>
      </c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</row>
    <row r="176" ht="9.75" customHeight="1">
      <c r="A176" s="65"/>
      <c r="B176" s="138" t="s">
        <v>170</v>
      </c>
      <c r="C176" s="67"/>
      <c r="D176" s="116"/>
      <c r="E176" s="116"/>
      <c r="F176" s="118"/>
      <c r="G176" s="90">
        <f t="shared" si="28"/>
        <v>0</v>
      </c>
      <c r="H176" s="4">
        <f t="shared" si="25"/>
        <v>0</v>
      </c>
      <c r="I176" s="59">
        <f t="shared" si="26"/>
        <v>0</v>
      </c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</row>
    <row r="177" ht="9.75" customHeight="1">
      <c r="A177" s="65"/>
      <c r="B177" s="115" t="s">
        <v>171</v>
      </c>
      <c r="C177" s="67" t="s">
        <v>32</v>
      </c>
      <c r="D177" s="116"/>
      <c r="E177" s="117">
        <v>1.0</v>
      </c>
      <c r="F177" s="118">
        <v>21800.0</v>
      </c>
      <c r="G177" s="90">
        <f t="shared" si="28"/>
        <v>21800</v>
      </c>
      <c r="H177" s="4">
        <f t="shared" si="25"/>
        <v>0</v>
      </c>
      <c r="I177" s="59">
        <f t="shared" si="26"/>
        <v>0</v>
      </c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</row>
    <row r="178" ht="9.75" customHeight="1">
      <c r="A178" s="65"/>
      <c r="B178" s="115" t="s">
        <v>172</v>
      </c>
      <c r="C178" s="67" t="s">
        <v>32</v>
      </c>
      <c r="D178" s="116"/>
      <c r="E178" s="117">
        <v>1.0</v>
      </c>
      <c r="F178" s="118">
        <v>75300.0</v>
      </c>
      <c r="G178" s="90">
        <f t="shared" si="28"/>
        <v>75300</v>
      </c>
      <c r="H178" s="4">
        <f t="shared" si="25"/>
        <v>0</v>
      </c>
      <c r="I178" s="59">
        <f t="shared" si="26"/>
        <v>0</v>
      </c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</row>
    <row r="179" ht="9.75" customHeight="1">
      <c r="A179" s="65"/>
      <c r="B179" s="115" t="s">
        <v>173</v>
      </c>
      <c r="C179" s="67" t="s">
        <v>32</v>
      </c>
      <c r="D179" s="116"/>
      <c r="E179" s="117">
        <v>1.0</v>
      </c>
      <c r="F179" s="118">
        <v>122500.0</v>
      </c>
      <c r="G179" s="90">
        <f t="shared" si="28"/>
        <v>122500</v>
      </c>
      <c r="H179" s="4">
        <f t="shared" si="25"/>
        <v>0</v>
      </c>
      <c r="I179" s="59">
        <f t="shared" si="26"/>
        <v>0</v>
      </c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4"/>
      <c r="Y179" s="4"/>
    </row>
    <row r="180" ht="9.75" customHeight="1">
      <c r="A180" s="65"/>
      <c r="B180" s="66"/>
      <c r="C180" s="67"/>
      <c r="D180" s="78"/>
      <c r="E180" s="78"/>
      <c r="F180" s="78"/>
      <c r="G180" s="114"/>
      <c r="H180" s="4">
        <f t="shared" si="25"/>
        <v>0</v>
      </c>
      <c r="I180" s="59">
        <f t="shared" si="26"/>
        <v>0</v>
      </c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</row>
    <row r="181" ht="9.75" customHeight="1">
      <c r="A181" s="65"/>
      <c r="B181" s="110" t="s">
        <v>174</v>
      </c>
      <c r="C181" s="111"/>
      <c r="D181" s="112"/>
      <c r="E181" s="112"/>
      <c r="F181" s="113"/>
      <c r="G181" s="90">
        <f t="shared" ref="G181:G188" si="29">E181*F181</f>
        <v>0</v>
      </c>
      <c r="H181" s="4">
        <f t="shared" si="25"/>
        <v>0</v>
      </c>
      <c r="I181" s="59">
        <f t="shared" si="26"/>
        <v>0</v>
      </c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</row>
    <row r="182" ht="9.75" customHeight="1">
      <c r="A182" s="65"/>
      <c r="B182" s="115" t="s">
        <v>175</v>
      </c>
      <c r="C182" s="67"/>
      <c r="D182" s="116"/>
      <c r="E182" s="117">
        <v>1.0</v>
      </c>
      <c r="F182" s="118">
        <v>60000.0</v>
      </c>
      <c r="G182" s="90">
        <f t="shared" si="29"/>
        <v>60000</v>
      </c>
      <c r="H182" s="4">
        <f t="shared" si="25"/>
        <v>0</v>
      </c>
      <c r="I182" s="59">
        <f t="shared" si="26"/>
        <v>0</v>
      </c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</row>
    <row r="183" ht="9.75" customHeight="1">
      <c r="A183" s="65"/>
      <c r="B183" s="115" t="s">
        <v>176</v>
      </c>
      <c r="C183" s="67"/>
      <c r="D183" s="116"/>
      <c r="E183" s="117">
        <v>1.0</v>
      </c>
      <c r="F183" s="118">
        <v>12000.0</v>
      </c>
      <c r="G183" s="90">
        <f t="shared" si="29"/>
        <v>12000</v>
      </c>
      <c r="H183" s="4">
        <f t="shared" si="25"/>
        <v>0</v>
      </c>
      <c r="I183" s="59">
        <f t="shared" si="26"/>
        <v>0</v>
      </c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</row>
    <row r="184" ht="9.75" customHeight="1">
      <c r="A184" s="65"/>
      <c r="B184" s="115" t="s">
        <v>177</v>
      </c>
      <c r="C184" s="67"/>
      <c r="D184" s="116"/>
      <c r="E184" s="117">
        <v>1.0</v>
      </c>
      <c r="F184" s="118">
        <v>5500.0</v>
      </c>
      <c r="G184" s="90">
        <f t="shared" si="29"/>
        <v>5500</v>
      </c>
      <c r="H184" s="4">
        <f t="shared" si="25"/>
        <v>0</v>
      </c>
      <c r="I184" s="59">
        <f t="shared" si="26"/>
        <v>0</v>
      </c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</row>
    <row r="185" ht="9.75" customHeight="1">
      <c r="A185" s="65"/>
      <c r="B185" s="115" t="s">
        <v>178</v>
      </c>
      <c r="C185" s="67"/>
      <c r="D185" s="116"/>
      <c r="E185" s="117">
        <v>1.0</v>
      </c>
      <c r="F185" s="118">
        <v>4000.0</v>
      </c>
      <c r="G185" s="90">
        <f t="shared" si="29"/>
        <v>4000</v>
      </c>
      <c r="H185" s="4">
        <f t="shared" si="25"/>
        <v>0</v>
      </c>
      <c r="I185" s="59">
        <f t="shared" si="26"/>
        <v>0</v>
      </c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4"/>
      <c r="Y185" s="4"/>
    </row>
    <row r="186" ht="9.75" customHeight="1">
      <c r="A186" s="65"/>
      <c r="B186" s="115" t="s">
        <v>179</v>
      </c>
      <c r="C186" s="67"/>
      <c r="D186" s="116"/>
      <c r="E186" s="117">
        <v>1.0</v>
      </c>
      <c r="F186" s="118">
        <v>4000.0</v>
      </c>
      <c r="G186" s="90">
        <f t="shared" si="29"/>
        <v>4000</v>
      </c>
      <c r="H186" s="4">
        <f t="shared" si="25"/>
        <v>0</v>
      </c>
      <c r="I186" s="59">
        <f t="shared" si="26"/>
        <v>0</v>
      </c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</row>
    <row r="187" ht="9.75" customHeight="1">
      <c r="A187" s="65"/>
      <c r="B187" s="115" t="s">
        <v>180</v>
      </c>
      <c r="C187" s="67"/>
      <c r="D187" s="116"/>
      <c r="E187" s="117">
        <v>1.0</v>
      </c>
      <c r="F187" s="118">
        <v>14000.0</v>
      </c>
      <c r="G187" s="90">
        <f t="shared" si="29"/>
        <v>14000</v>
      </c>
      <c r="H187" s="4">
        <f t="shared" si="25"/>
        <v>0</v>
      </c>
      <c r="I187" s="59">
        <f t="shared" si="26"/>
        <v>0</v>
      </c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</row>
    <row r="188" ht="9.75" customHeight="1">
      <c r="A188" s="65"/>
      <c r="B188" s="115" t="s">
        <v>181</v>
      </c>
      <c r="C188" s="67"/>
      <c r="D188" s="116"/>
      <c r="E188" s="117">
        <v>1.0</v>
      </c>
      <c r="F188" s="118">
        <v>3500.0</v>
      </c>
      <c r="G188" s="90">
        <f t="shared" si="29"/>
        <v>3500</v>
      </c>
      <c r="H188" s="4">
        <f t="shared" si="25"/>
        <v>0</v>
      </c>
      <c r="I188" s="59">
        <f t="shared" si="26"/>
        <v>0</v>
      </c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</row>
    <row r="189" ht="9.75" customHeight="1">
      <c r="A189" s="65"/>
      <c r="B189" s="66"/>
      <c r="C189" s="67"/>
      <c r="D189" s="78"/>
      <c r="E189" s="78"/>
      <c r="F189" s="78"/>
      <c r="G189" s="114"/>
      <c r="H189" s="4">
        <f t="shared" si="25"/>
        <v>0</v>
      </c>
      <c r="I189" s="59">
        <f t="shared" si="26"/>
        <v>0</v>
      </c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</row>
    <row r="190" ht="9.75" customHeight="1">
      <c r="A190" s="65"/>
      <c r="B190" s="110" t="s">
        <v>182</v>
      </c>
      <c r="C190" s="111"/>
      <c r="D190" s="112"/>
      <c r="E190" s="112"/>
      <c r="F190" s="113"/>
      <c r="G190" s="90">
        <f t="shared" ref="G190:G200" si="30">E190*F190</f>
        <v>0</v>
      </c>
      <c r="H190" s="4">
        <f t="shared" si="25"/>
        <v>0</v>
      </c>
      <c r="I190" s="59">
        <f t="shared" si="26"/>
        <v>0</v>
      </c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</row>
    <row r="191" ht="9.75" customHeight="1">
      <c r="A191" s="65"/>
      <c r="B191" s="115" t="s">
        <v>183</v>
      </c>
      <c r="C191" s="67"/>
      <c r="D191" s="116"/>
      <c r="E191" s="117">
        <v>1.0</v>
      </c>
      <c r="F191" s="118">
        <v>58000.0</v>
      </c>
      <c r="G191" s="90">
        <f t="shared" si="30"/>
        <v>58000</v>
      </c>
      <c r="H191" s="4">
        <f t="shared" si="25"/>
        <v>0</v>
      </c>
      <c r="I191" s="59">
        <f t="shared" si="26"/>
        <v>0</v>
      </c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4"/>
      <c r="Y191" s="4"/>
    </row>
    <row r="192" ht="9.75" customHeight="1">
      <c r="A192" s="65"/>
      <c r="B192" s="115" t="s">
        <v>84</v>
      </c>
      <c r="C192" s="67"/>
      <c r="D192" s="116"/>
      <c r="E192" s="117">
        <v>1.0</v>
      </c>
      <c r="F192" s="118">
        <v>18400.0</v>
      </c>
      <c r="G192" s="90">
        <f t="shared" si="30"/>
        <v>18400</v>
      </c>
      <c r="H192" s="4">
        <f t="shared" si="25"/>
        <v>0</v>
      </c>
      <c r="I192" s="59">
        <f t="shared" si="26"/>
        <v>0</v>
      </c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</row>
    <row r="193" ht="9.75" customHeight="1">
      <c r="A193" s="65"/>
      <c r="B193" s="115" t="s">
        <v>184</v>
      </c>
      <c r="C193" s="67"/>
      <c r="D193" s="116"/>
      <c r="E193" s="117">
        <v>1.0</v>
      </c>
      <c r="F193" s="118">
        <v>2000.0</v>
      </c>
      <c r="G193" s="90">
        <f t="shared" si="30"/>
        <v>2000</v>
      </c>
      <c r="H193" s="4">
        <f t="shared" si="25"/>
        <v>0</v>
      </c>
      <c r="I193" s="59">
        <f t="shared" si="26"/>
        <v>0</v>
      </c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</row>
    <row r="194" ht="9.75" customHeight="1">
      <c r="A194" s="65"/>
      <c r="B194" s="115" t="s">
        <v>103</v>
      </c>
      <c r="C194" s="67"/>
      <c r="D194" s="116"/>
      <c r="E194" s="117">
        <v>1.0</v>
      </c>
      <c r="F194" s="118">
        <v>30.0</v>
      </c>
      <c r="G194" s="90">
        <f t="shared" si="30"/>
        <v>30</v>
      </c>
      <c r="H194" s="4">
        <f t="shared" si="25"/>
        <v>0</v>
      </c>
      <c r="I194" s="59">
        <f t="shared" si="26"/>
        <v>0</v>
      </c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</row>
    <row r="195" ht="9.75" customHeight="1">
      <c r="A195" s="65"/>
      <c r="B195" s="115" t="s">
        <v>185</v>
      </c>
      <c r="C195" s="67"/>
      <c r="D195" s="116"/>
      <c r="E195" s="117">
        <v>1.0</v>
      </c>
      <c r="F195" s="118">
        <v>11000.0</v>
      </c>
      <c r="G195" s="90">
        <f t="shared" si="30"/>
        <v>11000</v>
      </c>
      <c r="H195" s="4">
        <f t="shared" si="25"/>
        <v>0</v>
      </c>
      <c r="I195" s="59">
        <f t="shared" si="26"/>
        <v>0</v>
      </c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</row>
    <row r="196" ht="9.75" customHeight="1">
      <c r="A196" s="65"/>
      <c r="B196" s="115" t="s">
        <v>186</v>
      </c>
      <c r="C196" s="67"/>
      <c r="D196" s="116"/>
      <c r="E196" s="117">
        <v>1.0</v>
      </c>
      <c r="F196" s="118">
        <v>11000.0</v>
      </c>
      <c r="G196" s="90">
        <f t="shared" si="30"/>
        <v>11000</v>
      </c>
      <c r="H196" s="4">
        <f t="shared" si="25"/>
        <v>0</v>
      </c>
      <c r="I196" s="59">
        <f t="shared" si="26"/>
        <v>0</v>
      </c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</row>
    <row r="197" ht="9.75" customHeight="1">
      <c r="A197" s="65"/>
      <c r="B197" s="115" t="s">
        <v>187</v>
      </c>
      <c r="C197" s="67"/>
      <c r="D197" s="116"/>
      <c r="E197" s="117">
        <v>1.0</v>
      </c>
      <c r="F197" s="118">
        <v>12000.0</v>
      </c>
      <c r="G197" s="90">
        <f t="shared" si="30"/>
        <v>12000</v>
      </c>
      <c r="H197" s="4">
        <f t="shared" si="25"/>
        <v>0</v>
      </c>
      <c r="I197" s="59">
        <f t="shared" si="26"/>
        <v>0</v>
      </c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</row>
    <row r="198" ht="9.75" customHeight="1">
      <c r="A198" s="65"/>
      <c r="B198" s="115" t="s">
        <v>188</v>
      </c>
      <c r="C198" s="67"/>
      <c r="D198" s="116"/>
      <c r="E198" s="117">
        <v>1.0</v>
      </c>
      <c r="F198" s="118">
        <v>11000.0</v>
      </c>
      <c r="G198" s="90">
        <f t="shared" si="30"/>
        <v>11000</v>
      </c>
      <c r="H198" s="4">
        <f t="shared" si="25"/>
        <v>0</v>
      </c>
      <c r="I198" s="59">
        <f t="shared" si="26"/>
        <v>0</v>
      </c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</row>
    <row r="199" ht="9.75" customHeight="1">
      <c r="A199" s="65"/>
      <c r="B199" s="115" t="s">
        <v>189</v>
      </c>
      <c r="C199" s="67"/>
      <c r="D199" s="116"/>
      <c r="E199" s="117">
        <v>1.0</v>
      </c>
      <c r="F199" s="118">
        <v>11000.0</v>
      </c>
      <c r="G199" s="90">
        <f t="shared" si="30"/>
        <v>11000</v>
      </c>
      <c r="H199" s="4">
        <f t="shared" si="25"/>
        <v>0</v>
      </c>
      <c r="I199" s="59">
        <f t="shared" si="26"/>
        <v>0</v>
      </c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</row>
    <row r="200" ht="9.75" customHeight="1">
      <c r="A200" s="65"/>
      <c r="B200" s="115" t="s">
        <v>96</v>
      </c>
      <c r="C200" s="67"/>
      <c r="D200" s="116"/>
      <c r="E200" s="117">
        <v>1.0</v>
      </c>
      <c r="F200" s="118">
        <v>2500.0</v>
      </c>
      <c r="G200" s="90">
        <f t="shared" si="30"/>
        <v>2500</v>
      </c>
      <c r="H200" s="4">
        <f t="shared" si="25"/>
        <v>0</v>
      </c>
      <c r="I200" s="59">
        <f t="shared" si="26"/>
        <v>0</v>
      </c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</row>
    <row r="201" ht="9.75" customHeight="1">
      <c r="A201" s="65"/>
      <c r="B201" s="91"/>
      <c r="C201" s="92"/>
      <c r="D201" s="93"/>
      <c r="E201" s="93"/>
      <c r="F201" s="93"/>
      <c r="G201" s="140"/>
      <c r="H201" s="4">
        <f t="shared" si="25"/>
        <v>0</v>
      </c>
      <c r="I201" s="59">
        <f t="shared" si="26"/>
        <v>0</v>
      </c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</row>
    <row r="202" ht="9.75" customHeight="1">
      <c r="A202" s="65"/>
      <c r="B202" s="95" t="s">
        <v>175</v>
      </c>
      <c r="C202" s="96"/>
      <c r="D202" s="97"/>
      <c r="E202" s="117">
        <v>1.0</v>
      </c>
      <c r="F202" s="98"/>
      <c r="G202" s="99">
        <f t="shared" ref="G202:G208" si="31">E202*F202</f>
        <v>0</v>
      </c>
      <c r="H202" s="4">
        <f t="shared" si="25"/>
        <v>0</v>
      </c>
      <c r="I202" s="59">
        <f t="shared" si="26"/>
        <v>0</v>
      </c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4"/>
      <c r="Y202" s="4"/>
    </row>
    <row r="203" ht="9.75" customHeight="1">
      <c r="A203" s="65"/>
      <c r="B203" s="79" t="s">
        <v>176</v>
      </c>
      <c r="C203" s="80"/>
      <c r="D203" s="100"/>
      <c r="E203" s="117">
        <v>1.0</v>
      </c>
      <c r="F203" s="78"/>
      <c r="G203" s="90">
        <f t="shared" si="31"/>
        <v>0</v>
      </c>
      <c r="H203" s="4">
        <f t="shared" si="25"/>
        <v>0</v>
      </c>
      <c r="I203" s="59">
        <f t="shared" si="26"/>
        <v>0</v>
      </c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</row>
    <row r="204" ht="9.75" customHeight="1">
      <c r="A204" s="65"/>
      <c r="B204" s="79" t="s">
        <v>177</v>
      </c>
      <c r="C204" s="80"/>
      <c r="D204" s="100"/>
      <c r="E204" s="117">
        <v>1.0</v>
      </c>
      <c r="F204" s="78"/>
      <c r="G204" s="90">
        <f t="shared" si="31"/>
        <v>0</v>
      </c>
      <c r="H204" s="4">
        <f t="shared" si="25"/>
        <v>0</v>
      </c>
      <c r="I204" s="59">
        <f t="shared" si="26"/>
        <v>0</v>
      </c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</row>
    <row r="205" ht="9.75" customHeight="1">
      <c r="A205" s="65"/>
      <c r="B205" s="79" t="s">
        <v>178</v>
      </c>
      <c r="C205" s="80"/>
      <c r="D205" s="100"/>
      <c r="E205" s="117">
        <v>1.0</v>
      </c>
      <c r="F205" s="78"/>
      <c r="G205" s="90">
        <f t="shared" si="31"/>
        <v>0</v>
      </c>
      <c r="H205" s="4">
        <f t="shared" si="25"/>
        <v>0</v>
      </c>
      <c r="I205" s="59">
        <f t="shared" si="26"/>
        <v>0</v>
      </c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</row>
    <row r="206" ht="9.75" customHeight="1">
      <c r="A206" s="65"/>
      <c r="B206" s="79" t="s">
        <v>179</v>
      </c>
      <c r="C206" s="80"/>
      <c r="D206" s="100"/>
      <c r="E206" s="117">
        <v>1.0</v>
      </c>
      <c r="F206" s="78"/>
      <c r="G206" s="90">
        <f t="shared" si="31"/>
        <v>0</v>
      </c>
      <c r="H206" s="4">
        <f t="shared" si="25"/>
        <v>0</v>
      </c>
      <c r="I206" s="59">
        <f t="shared" si="26"/>
        <v>0</v>
      </c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</row>
    <row r="207" ht="9.75" customHeight="1">
      <c r="A207" s="65"/>
      <c r="B207" s="79" t="s">
        <v>180</v>
      </c>
      <c r="C207" s="80"/>
      <c r="D207" s="100"/>
      <c r="E207" s="117">
        <v>1.0</v>
      </c>
      <c r="F207" s="78"/>
      <c r="G207" s="90">
        <f t="shared" si="31"/>
        <v>0</v>
      </c>
      <c r="H207" s="4">
        <f t="shared" si="25"/>
        <v>0</v>
      </c>
      <c r="I207" s="59">
        <f t="shared" si="26"/>
        <v>0</v>
      </c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</row>
    <row r="208" ht="9.75" customHeight="1">
      <c r="A208" s="65"/>
      <c r="B208" s="124" t="s">
        <v>181</v>
      </c>
      <c r="C208" s="125"/>
      <c r="D208" s="126"/>
      <c r="E208" s="117">
        <v>1.0</v>
      </c>
      <c r="F208" s="127">
        <v>1.0</v>
      </c>
      <c r="G208" s="128">
        <f t="shared" si="31"/>
        <v>1</v>
      </c>
      <c r="H208" s="4">
        <f t="shared" si="25"/>
        <v>0</v>
      </c>
      <c r="I208" s="59">
        <f t="shared" si="26"/>
        <v>0</v>
      </c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</row>
    <row r="209" ht="12.75" customHeight="1">
      <c r="A209" s="65" t="s">
        <v>190</v>
      </c>
      <c r="B209" s="129" t="str">
        <f>CONCATENATE("Sous-Total : ",A145," - ",B145)</f>
        <v>Sous-Total :  - Groupe électrogène</v>
      </c>
      <c r="C209" s="130"/>
      <c r="D209" s="131"/>
      <c r="E209" s="131"/>
      <c r="F209" s="131"/>
      <c r="G209" s="132">
        <f>SUM(G145:G208)</f>
        <v>1800043.63</v>
      </c>
      <c r="H209" s="4">
        <f t="shared" si="25"/>
        <v>1800043.63</v>
      </c>
      <c r="I209" s="59">
        <f t="shared" si="26"/>
        <v>0.4145242905</v>
      </c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</row>
    <row r="210" ht="21.0" customHeight="1">
      <c r="A210" s="65"/>
      <c r="B210" s="105" t="s">
        <v>191</v>
      </c>
      <c r="C210" s="106"/>
      <c r="D210" s="98"/>
      <c r="E210" s="117">
        <v>1.0</v>
      </c>
      <c r="F210" s="98"/>
      <c r="G210" s="107">
        <f t="shared" ref="G210:G223" si="32">E210*F210</f>
        <v>0</v>
      </c>
      <c r="H210" s="4">
        <f t="shared" si="25"/>
        <v>0</v>
      </c>
      <c r="I210" s="59">
        <f t="shared" si="26"/>
        <v>0</v>
      </c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</row>
    <row r="211" ht="9.75" customHeight="1">
      <c r="A211" s="65"/>
      <c r="B211" s="115" t="s">
        <v>192</v>
      </c>
      <c r="C211" s="67" t="s">
        <v>34</v>
      </c>
      <c r="D211" s="116"/>
      <c r="E211" s="117">
        <v>1.0</v>
      </c>
      <c r="F211" s="118">
        <v>3500.0</v>
      </c>
      <c r="G211" s="90">
        <f t="shared" si="32"/>
        <v>3500</v>
      </c>
      <c r="H211" s="4">
        <f t="shared" si="25"/>
        <v>0</v>
      </c>
      <c r="I211" s="59">
        <f t="shared" si="26"/>
        <v>0</v>
      </c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</row>
    <row r="212" ht="9.75" customHeight="1">
      <c r="A212" s="65"/>
      <c r="B212" s="115" t="s">
        <v>193</v>
      </c>
      <c r="C212" s="67" t="s">
        <v>34</v>
      </c>
      <c r="D212" s="116"/>
      <c r="E212" s="117">
        <v>1.0</v>
      </c>
      <c r="F212" s="118">
        <v>4960.0</v>
      </c>
      <c r="G212" s="90">
        <f t="shared" si="32"/>
        <v>4960</v>
      </c>
      <c r="H212" s="4">
        <f t="shared" si="25"/>
        <v>0</v>
      </c>
      <c r="I212" s="59">
        <f t="shared" si="26"/>
        <v>0</v>
      </c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</row>
    <row r="213" ht="9.75" customHeight="1">
      <c r="A213" s="65"/>
      <c r="B213" s="115" t="s">
        <v>194</v>
      </c>
      <c r="C213" s="67" t="s">
        <v>34</v>
      </c>
      <c r="D213" s="116"/>
      <c r="E213" s="117">
        <v>1.0</v>
      </c>
      <c r="F213" s="118">
        <v>8680.0</v>
      </c>
      <c r="G213" s="90">
        <f t="shared" si="32"/>
        <v>8680</v>
      </c>
      <c r="H213" s="4">
        <f t="shared" si="25"/>
        <v>0</v>
      </c>
      <c r="I213" s="59">
        <f t="shared" si="26"/>
        <v>0</v>
      </c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</row>
    <row r="214" ht="9.75" customHeight="1">
      <c r="A214" s="65"/>
      <c r="B214" s="115" t="s">
        <v>195</v>
      </c>
      <c r="C214" s="67" t="s">
        <v>34</v>
      </c>
      <c r="D214" s="116"/>
      <c r="E214" s="117">
        <v>1.0</v>
      </c>
      <c r="F214" s="118">
        <v>12960.0</v>
      </c>
      <c r="G214" s="90">
        <f t="shared" si="32"/>
        <v>12960</v>
      </c>
      <c r="H214" s="4">
        <f t="shared" si="25"/>
        <v>0</v>
      </c>
      <c r="I214" s="59">
        <f t="shared" si="26"/>
        <v>0</v>
      </c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4"/>
      <c r="Y214" s="4"/>
    </row>
    <row r="215" ht="9.75" customHeight="1">
      <c r="A215" s="65"/>
      <c r="B215" s="115" t="s">
        <v>196</v>
      </c>
      <c r="C215" s="67" t="s">
        <v>34</v>
      </c>
      <c r="D215" s="116"/>
      <c r="E215" s="117">
        <v>1.0</v>
      </c>
      <c r="F215" s="118">
        <v>43200.0</v>
      </c>
      <c r="G215" s="90">
        <f t="shared" si="32"/>
        <v>43200</v>
      </c>
      <c r="H215" s="4">
        <f t="shared" si="25"/>
        <v>0</v>
      </c>
      <c r="I215" s="59">
        <f t="shared" si="26"/>
        <v>0</v>
      </c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</row>
    <row r="216" ht="9.75" customHeight="1">
      <c r="A216" s="65"/>
      <c r="B216" s="115" t="s">
        <v>197</v>
      </c>
      <c r="C216" s="67" t="s">
        <v>34</v>
      </c>
      <c r="D216" s="116"/>
      <c r="E216" s="117">
        <v>1.0</v>
      </c>
      <c r="F216" s="118">
        <v>21500.0</v>
      </c>
      <c r="G216" s="90">
        <f t="shared" si="32"/>
        <v>21500</v>
      </c>
      <c r="H216" s="4">
        <f t="shared" si="25"/>
        <v>0</v>
      </c>
      <c r="I216" s="59">
        <f t="shared" si="26"/>
        <v>0</v>
      </c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</row>
    <row r="217" ht="9.75" customHeight="1">
      <c r="A217" s="65"/>
      <c r="B217" s="115" t="s">
        <v>198</v>
      </c>
      <c r="C217" s="67" t="s">
        <v>34</v>
      </c>
      <c r="D217" s="116"/>
      <c r="E217" s="117">
        <v>1.0</v>
      </c>
      <c r="F217" s="118">
        <v>67000.0</v>
      </c>
      <c r="G217" s="90">
        <f t="shared" si="32"/>
        <v>67000</v>
      </c>
      <c r="H217" s="4">
        <f t="shared" si="25"/>
        <v>0</v>
      </c>
      <c r="I217" s="59">
        <f t="shared" si="26"/>
        <v>0</v>
      </c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</row>
    <row r="218" ht="9.75" customHeight="1">
      <c r="A218" s="65"/>
      <c r="B218" s="115"/>
      <c r="C218" s="67"/>
      <c r="D218" s="116"/>
      <c r="E218" s="117">
        <v>1.0</v>
      </c>
      <c r="F218" s="118">
        <v>0.0</v>
      </c>
      <c r="G218" s="90">
        <f t="shared" si="32"/>
        <v>0</v>
      </c>
      <c r="H218" s="4">
        <f t="shared" si="25"/>
        <v>0</v>
      </c>
      <c r="I218" s="59">
        <f t="shared" si="26"/>
        <v>0</v>
      </c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</row>
    <row r="219" ht="9.75" customHeight="1">
      <c r="A219" s="65"/>
      <c r="B219" s="115" t="s">
        <v>199</v>
      </c>
      <c r="C219" s="67" t="s">
        <v>32</v>
      </c>
      <c r="D219" s="116"/>
      <c r="E219" s="117">
        <v>1.0</v>
      </c>
      <c r="F219" s="118">
        <v>384.0</v>
      </c>
      <c r="G219" s="90">
        <f t="shared" si="32"/>
        <v>384</v>
      </c>
      <c r="H219" s="4">
        <f t="shared" si="25"/>
        <v>0</v>
      </c>
      <c r="I219" s="59">
        <f t="shared" si="26"/>
        <v>0</v>
      </c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</row>
    <row r="220" ht="9.75" customHeight="1">
      <c r="A220" s="65"/>
      <c r="B220" s="115"/>
      <c r="C220" s="67"/>
      <c r="D220" s="116"/>
      <c r="E220" s="117"/>
      <c r="F220" s="118"/>
      <c r="G220" s="90">
        <f t="shared" si="32"/>
        <v>0</v>
      </c>
      <c r="H220" s="4">
        <f t="shared" si="25"/>
        <v>0</v>
      </c>
      <c r="I220" s="59">
        <f t="shared" si="26"/>
        <v>0</v>
      </c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4"/>
      <c r="Y220" s="4"/>
    </row>
    <row r="221" ht="9.75" customHeight="1">
      <c r="A221" s="65"/>
      <c r="B221" s="115" t="s">
        <v>200</v>
      </c>
      <c r="C221" s="67" t="s">
        <v>32</v>
      </c>
      <c r="D221" s="116"/>
      <c r="E221" s="117">
        <v>1.0</v>
      </c>
      <c r="F221" s="118">
        <v>2680.0</v>
      </c>
      <c r="G221" s="90">
        <f t="shared" si="32"/>
        <v>2680</v>
      </c>
      <c r="H221" s="4">
        <f t="shared" si="25"/>
        <v>0</v>
      </c>
      <c r="I221" s="59">
        <f t="shared" si="26"/>
        <v>0</v>
      </c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</row>
    <row r="222" ht="9.75" customHeight="1">
      <c r="A222" s="65"/>
      <c r="B222" s="91"/>
      <c r="C222" s="92"/>
      <c r="D222" s="93"/>
      <c r="E222" s="93"/>
      <c r="F222" s="93"/>
      <c r="G222" s="94">
        <f t="shared" si="32"/>
        <v>0</v>
      </c>
      <c r="H222" s="4">
        <f t="shared" si="25"/>
        <v>0</v>
      </c>
      <c r="I222" s="59">
        <f t="shared" si="26"/>
        <v>0</v>
      </c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</row>
    <row r="223" ht="9.75" customHeight="1">
      <c r="A223" s="65"/>
      <c r="B223" s="141" t="s">
        <v>201</v>
      </c>
      <c r="C223" s="142" t="s">
        <v>34</v>
      </c>
      <c r="D223" s="143"/>
      <c r="E223" s="143">
        <v>1.0</v>
      </c>
      <c r="F223" s="144">
        <v>1.0</v>
      </c>
      <c r="G223" s="145">
        <f t="shared" si="32"/>
        <v>1</v>
      </c>
      <c r="H223" s="4">
        <f t="shared" si="25"/>
        <v>0</v>
      </c>
      <c r="I223" s="59">
        <f t="shared" si="26"/>
        <v>0</v>
      </c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</row>
    <row r="224" ht="12.75" customHeight="1">
      <c r="A224" s="65" t="s">
        <v>202</v>
      </c>
      <c r="B224" s="129" t="str">
        <f>CONCATENATE("Sous-Total : ",A210," - ",B210)</f>
        <v>Sous-Total :  - Alimentation sans interruption</v>
      </c>
      <c r="C224" s="130"/>
      <c r="D224" s="131"/>
      <c r="E224" s="131"/>
      <c r="F224" s="131"/>
      <c r="G224" s="132">
        <f>SUM(G210:G223)</f>
        <v>164865</v>
      </c>
      <c r="H224" s="4">
        <f t="shared" si="25"/>
        <v>164865</v>
      </c>
      <c r="I224" s="59">
        <f t="shared" si="26"/>
        <v>0.03796605038</v>
      </c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</row>
    <row r="225" ht="21.0" customHeight="1">
      <c r="A225" s="65"/>
      <c r="B225" s="105" t="s">
        <v>203</v>
      </c>
      <c r="C225" s="106"/>
      <c r="D225" s="98"/>
      <c r="E225" s="98"/>
      <c r="F225" s="98"/>
      <c r="G225" s="107">
        <f t="shared" ref="G225:G226" si="33">E225*F225</f>
        <v>0</v>
      </c>
      <c r="H225" s="4">
        <f t="shared" si="25"/>
        <v>0</v>
      </c>
      <c r="I225" s="59">
        <f t="shared" si="26"/>
        <v>0</v>
      </c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</row>
    <row r="226" ht="13.5" customHeight="1">
      <c r="A226" s="65"/>
      <c r="B226" s="115" t="s">
        <v>204</v>
      </c>
      <c r="C226" s="67" t="s">
        <v>32</v>
      </c>
      <c r="D226" s="116"/>
      <c r="E226" s="116">
        <v>1.0</v>
      </c>
      <c r="F226" s="118">
        <v>14000.0</v>
      </c>
      <c r="G226" s="90">
        <f t="shared" si="33"/>
        <v>14000</v>
      </c>
      <c r="H226" s="4">
        <f t="shared" si="25"/>
        <v>0</v>
      </c>
      <c r="I226" s="59">
        <f t="shared" si="26"/>
        <v>0</v>
      </c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4"/>
      <c r="Y226" s="4"/>
    </row>
    <row r="227" ht="29.25" customHeight="1">
      <c r="A227" s="65" t="s">
        <v>205</v>
      </c>
      <c r="B227" s="82" t="str">
        <f>CONCATENATE("Sous-Total : ",A225," - ",B225)</f>
        <v>Sous-Total :  - Transformateur Basse Tension</v>
      </c>
      <c r="C227" s="83"/>
      <c r="D227" s="84"/>
      <c r="E227" s="84"/>
      <c r="F227" s="84"/>
      <c r="G227" s="109">
        <f>SUM(G225:G226)</f>
        <v>14000</v>
      </c>
      <c r="H227" s="4">
        <f t="shared" si="25"/>
        <v>14000</v>
      </c>
      <c r="I227" s="59">
        <f t="shared" si="26"/>
        <v>0.003223999669</v>
      </c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</row>
    <row r="228" ht="21.0" customHeight="1">
      <c r="A228" s="65"/>
      <c r="B228" s="86" t="s">
        <v>206</v>
      </c>
      <c r="C228" s="87"/>
      <c r="D228" s="88"/>
      <c r="E228" s="88"/>
      <c r="F228" s="88"/>
      <c r="G228" s="89">
        <f t="shared" ref="G228:G230" si="34">E228*F228</f>
        <v>0</v>
      </c>
      <c r="H228" s="4">
        <f t="shared" si="25"/>
        <v>0</v>
      </c>
      <c r="I228" s="59">
        <f t="shared" si="26"/>
        <v>0</v>
      </c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</row>
    <row r="229" ht="9.75" customHeight="1">
      <c r="A229" s="65"/>
      <c r="B229" s="79" t="s">
        <v>207</v>
      </c>
      <c r="C229" s="80" t="s">
        <v>34</v>
      </c>
      <c r="D229" s="116"/>
      <c r="E229" s="117">
        <v>1.0</v>
      </c>
      <c r="F229" s="118">
        <v>17500.0</v>
      </c>
      <c r="G229" s="90">
        <f t="shared" si="34"/>
        <v>17500</v>
      </c>
      <c r="H229" s="4">
        <f t="shared" si="25"/>
        <v>0</v>
      </c>
      <c r="I229" s="59">
        <f t="shared" si="26"/>
        <v>0</v>
      </c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</row>
    <row r="230" ht="9.75" customHeight="1">
      <c r="A230" s="65"/>
      <c r="B230" s="79" t="s">
        <v>208</v>
      </c>
      <c r="C230" s="80" t="s">
        <v>34</v>
      </c>
      <c r="D230" s="116"/>
      <c r="E230" s="116">
        <v>1.0</v>
      </c>
      <c r="F230" s="118">
        <v>35000.0</v>
      </c>
      <c r="G230" s="90">
        <f t="shared" si="34"/>
        <v>35000</v>
      </c>
      <c r="H230" s="4"/>
      <c r="I230" s="59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</row>
    <row r="231" ht="29.25" customHeight="1">
      <c r="A231" s="65" t="s">
        <v>209</v>
      </c>
      <c r="B231" s="82" t="str">
        <f>CONCATENATE("Sous-Total : ",A228," - ",B228)</f>
        <v>Sous-Total :  - Alimentation Electrique de sécurité (A.E.S.)</v>
      </c>
      <c r="C231" s="83"/>
      <c r="D231" s="84"/>
      <c r="E231" s="84"/>
      <c r="F231" s="84"/>
      <c r="G231" s="109">
        <f>SUM(G228:G230)</f>
        <v>52500</v>
      </c>
      <c r="H231" s="4">
        <f t="shared" ref="H231:H275" si="35">IFERROR(IF(FIND("Sous-",B231,1)&lt;&gt;0,G231,1),0)</f>
        <v>52500</v>
      </c>
      <c r="I231" s="59">
        <f t="shared" ref="I231:I275" si="36">IFERROR(H231/$H$6,0)</f>
        <v>0.01208999876</v>
      </c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</row>
    <row r="232" ht="21.0" customHeight="1">
      <c r="A232" s="65"/>
      <c r="B232" s="86" t="s">
        <v>210</v>
      </c>
      <c r="C232" s="87"/>
      <c r="D232" s="88"/>
      <c r="E232" s="88"/>
      <c r="F232" s="88"/>
      <c r="G232" s="89">
        <f t="shared" ref="G232:G236" si="37">E232*F232</f>
        <v>0</v>
      </c>
      <c r="H232" s="4">
        <f t="shared" si="35"/>
        <v>0</v>
      </c>
      <c r="I232" s="59">
        <f t="shared" si="36"/>
        <v>0</v>
      </c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/>
      <c r="X232" s="4"/>
      <c r="Y232" s="4"/>
    </row>
    <row r="233" ht="9.75" customHeight="1">
      <c r="A233" s="65"/>
      <c r="B233" s="79" t="s">
        <v>211</v>
      </c>
      <c r="C233" s="80" t="s">
        <v>34</v>
      </c>
      <c r="D233" s="100"/>
      <c r="E233" s="117">
        <v>1.0</v>
      </c>
      <c r="F233" s="78">
        <v>2200.0</v>
      </c>
      <c r="G233" s="114">
        <f t="shared" si="37"/>
        <v>2200</v>
      </c>
      <c r="H233" s="4">
        <f t="shared" si="35"/>
        <v>0</v>
      </c>
      <c r="I233" s="59">
        <f t="shared" si="36"/>
        <v>0</v>
      </c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</row>
    <row r="234" ht="9.75" customHeight="1">
      <c r="A234" s="65"/>
      <c r="B234" s="79" t="s">
        <v>212</v>
      </c>
      <c r="C234" s="80" t="s">
        <v>34</v>
      </c>
      <c r="D234" s="100"/>
      <c r="E234" s="117">
        <v>1.0</v>
      </c>
      <c r="F234" s="78">
        <v>2800.0</v>
      </c>
      <c r="G234" s="114">
        <f t="shared" si="37"/>
        <v>2800</v>
      </c>
      <c r="H234" s="4">
        <f t="shared" si="35"/>
        <v>0</v>
      </c>
      <c r="I234" s="59">
        <f t="shared" si="36"/>
        <v>0</v>
      </c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</row>
    <row r="235" ht="9.75" customHeight="1">
      <c r="A235" s="65"/>
      <c r="B235" s="79" t="s">
        <v>213</v>
      </c>
      <c r="C235" s="80" t="s">
        <v>34</v>
      </c>
      <c r="D235" s="100"/>
      <c r="E235" s="117">
        <v>1.0</v>
      </c>
      <c r="F235" s="78"/>
      <c r="G235" s="114">
        <f t="shared" si="37"/>
        <v>0</v>
      </c>
      <c r="H235" s="4">
        <f t="shared" si="35"/>
        <v>0</v>
      </c>
      <c r="I235" s="59">
        <f t="shared" si="36"/>
        <v>0</v>
      </c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</row>
    <row r="236" ht="9.75" customHeight="1">
      <c r="A236" s="65"/>
      <c r="B236" s="79" t="s">
        <v>214</v>
      </c>
      <c r="C236" s="80" t="s">
        <v>51</v>
      </c>
      <c r="D236" s="100"/>
      <c r="E236" s="100">
        <v>1.0</v>
      </c>
      <c r="F236" s="78">
        <v>1.0</v>
      </c>
      <c r="G236" s="114">
        <f t="shared" si="37"/>
        <v>1</v>
      </c>
      <c r="H236" s="4">
        <f t="shared" si="35"/>
        <v>0</v>
      </c>
      <c r="I236" s="59">
        <f t="shared" si="36"/>
        <v>0</v>
      </c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</row>
    <row r="237" ht="30.0" customHeight="1">
      <c r="A237" s="65" t="s">
        <v>215</v>
      </c>
      <c r="B237" s="82" t="str">
        <f>CONCATENATE("Sous-Total : ",A232," - ",B232)</f>
        <v>Sous-Total :  - Protection contre les effets directs de la foudre</v>
      </c>
      <c r="C237" s="83"/>
      <c r="D237" s="84"/>
      <c r="E237" s="84"/>
      <c r="F237" s="84"/>
      <c r="G237" s="109">
        <f>SUM(G232:G236)</f>
        <v>5001</v>
      </c>
      <c r="H237" s="4">
        <f t="shared" si="35"/>
        <v>5001</v>
      </c>
      <c r="I237" s="59">
        <f t="shared" si="36"/>
        <v>0.001151658739</v>
      </c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</row>
    <row r="238" ht="21.0" customHeight="1">
      <c r="A238" s="65"/>
      <c r="B238" s="86" t="s">
        <v>216</v>
      </c>
      <c r="C238" s="87"/>
      <c r="D238" s="88"/>
      <c r="E238" s="88"/>
      <c r="F238" s="88"/>
      <c r="G238" s="89">
        <f t="shared" ref="G238:G239" si="38">E238*F238</f>
        <v>0</v>
      </c>
      <c r="H238" s="4">
        <f t="shared" si="35"/>
        <v>0</v>
      </c>
      <c r="I238" s="59">
        <f t="shared" si="36"/>
        <v>0</v>
      </c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4"/>
      <c r="X238" s="4"/>
      <c r="Y238" s="4"/>
    </row>
    <row r="239" ht="9.75" customHeight="1">
      <c r="A239" s="65"/>
      <c r="B239" s="79" t="s">
        <v>217</v>
      </c>
      <c r="C239" s="80" t="s">
        <v>34</v>
      </c>
      <c r="D239" s="100"/>
      <c r="E239" s="100">
        <v>1.0</v>
      </c>
      <c r="F239" s="78">
        <v>864.0</v>
      </c>
      <c r="G239" s="90">
        <f t="shared" si="38"/>
        <v>864</v>
      </c>
      <c r="H239" s="4">
        <f t="shared" si="35"/>
        <v>0</v>
      </c>
      <c r="I239" s="59">
        <f t="shared" si="36"/>
        <v>0</v>
      </c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4"/>
      <c r="Y239" s="4"/>
    </row>
    <row r="240" ht="36.0" customHeight="1">
      <c r="A240" s="65" t="s">
        <v>218</v>
      </c>
      <c r="B240" s="82" t="str">
        <f>CONCATENATE("Sous-Total : ",A238," - ",B238)</f>
        <v>Sous-Total :  - Protection contre les effets indirects de la foudre</v>
      </c>
      <c r="C240" s="83"/>
      <c r="D240" s="84"/>
      <c r="E240" s="84"/>
      <c r="F240" s="84"/>
      <c r="G240" s="109">
        <f>SUM(G238:G239)</f>
        <v>864</v>
      </c>
      <c r="H240" s="4">
        <f t="shared" si="35"/>
        <v>864</v>
      </c>
      <c r="I240" s="59">
        <f t="shared" si="36"/>
        <v>0.0001989668367</v>
      </c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4"/>
      <c r="Y240" s="4"/>
    </row>
    <row r="241" ht="9.75" customHeight="1">
      <c r="A241" s="65"/>
      <c r="B241" s="86" t="s">
        <v>219</v>
      </c>
      <c r="C241" s="87"/>
      <c r="D241" s="88"/>
      <c r="E241" s="88"/>
      <c r="F241" s="88"/>
      <c r="G241" s="89">
        <f t="shared" ref="G241:G254" si="39">E241*F241</f>
        <v>0</v>
      </c>
      <c r="H241" s="4">
        <f t="shared" si="35"/>
        <v>0</v>
      </c>
      <c r="I241" s="59">
        <f t="shared" si="36"/>
        <v>0</v>
      </c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4"/>
      <c r="Y241" s="4"/>
    </row>
    <row r="242" ht="9.75" customHeight="1">
      <c r="A242" s="65"/>
      <c r="B242" s="110" t="s">
        <v>220</v>
      </c>
      <c r="C242" s="111"/>
      <c r="D242" s="112"/>
      <c r="E242" s="112"/>
      <c r="F242" s="113"/>
      <c r="G242" s="90">
        <f t="shared" si="39"/>
        <v>0</v>
      </c>
      <c r="H242" s="4">
        <f t="shared" si="35"/>
        <v>0</v>
      </c>
      <c r="I242" s="59">
        <f t="shared" si="36"/>
        <v>0</v>
      </c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</row>
    <row r="243" ht="9.75" customHeight="1">
      <c r="A243" s="65"/>
      <c r="B243" s="146" t="s">
        <v>221</v>
      </c>
      <c r="C243" s="147" t="s">
        <v>27</v>
      </c>
      <c r="D243" s="148"/>
      <c r="E243" s="149">
        <v>1.0</v>
      </c>
      <c r="F243" s="73">
        <v>3.4</v>
      </c>
      <c r="G243" s="90">
        <f t="shared" si="39"/>
        <v>3.4</v>
      </c>
      <c r="H243" s="4">
        <f t="shared" si="35"/>
        <v>0</v>
      </c>
      <c r="I243" s="59">
        <f t="shared" si="36"/>
        <v>0</v>
      </c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</row>
    <row r="244" ht="9.75" customHeight="1">
      <c r="A244" s="65"/>
      <c r="B244" s="115" t="s">
        <v>222</v>
      </c>
      <c r="C244" s="67" t="s">
        <v>34</v>
      </c>
      <c r="D244" s="116"/>
      <c r="E244" s="117">
        <v>1.0</v>
      </c>
      <c r="F244" s="118">
        <v>67500.0</v>
      </c>
      <c r="G244" s="90">
        <f t="shared" si="39"/>
        <v>67500</v>
      </c>
      <c r="H244" s="4">
        <f t="shared" si="35"/>
        <v>0</v>
      </c>
      <c r="I244" s="59">
        <f t="shared" si="36"/>
        <v>0</v>
      </c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4"/>
      <c r="V244" s="4"/>
      <c r="W244" s="4"/>
      <c r="X244" s="4"/>
      <c r="Y244" s="4"/>
    </row>
    <row r="245" ht="9.75" customHeight="1">
      <c r="A245" s="65"/>
      <c r="B245" s="115" t="s">
        <v>223</v>
      </c>
      <c r="C245" s="67" t="s">
        <v>34</v>
      </c>
      <c r="D245" s="116"/>
      <c r="E245" s="117">
        <v>1.0</v>
      </c>
      <c r="F245" s="118">
        <v>270000.0</v>
      </c>
      <c r="G245" s="90">
        <f t="shared" si="39"/>
        <v>270000</v>
      </c>
      <c r="H245" s="4">
        <f t="shared" si="35"/>
        <v>0</v>
      </c>
      <c r="I245" s="59">
        <f t="shared" si="36"/>
        <v>0</v>
      </c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4"/>
    </row>
    <row r="246" ht="9.75" customHeight="1">
      <c r="A246" s="65"/>
      <c r="B246" s="115" t="s">
        <v>224</v>
      </c>
      <c r="C246" s="67" t="s">
        <v>34</v>
      </c>
      <c r="D246" s="116"/>
      <c r="E246" s="117">
        <v>1.0</v>
      </c>
      <c r="F246" s="118">
        <v>60000.0</v>
      </c>
      <c r="G246" s="90">
        <f t="shared" si="39"/>
        <v>60000</v>
      </c>
      <c r="H246" s="4">
        <f t="shared" si="35"/>
        <v>0</v>
      </c>
      <c r="I246" s="59">
        <f t="shared" si="36"/>
        <v>0</v>
      </c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</row>
    <row r="247" ht="9.75" customHeight="1">
      <c r="A247" s="65"/>
      <c r="B247" s="115" t="s">
        <v>225</v>
      </c>
      <c r="C247" s="67" t="s">
        <v>34</v>
      </c>
      <c r="D247" s="116"/>
      <c r="E247" s="117">
        <v>1.0</v>
      </c>
      <c r="F247" s="118">
        <v>42120.0</v>
      </c>
      <c r="G247" s="90">
        <f t="shared" si="39"/>
        <v>42120</v>
      </c>
      <c r="H247" s="4">
        <f t="shared" si="35"/>
        <v>0</v>
      </c>
      <c r="I247" s="59">
        <f t="shared" si="36"/>
        <v>0</v>
      </c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</row>
    <row r="248" ht="9.75" customHeight="1">
      <c r="A248" s="65"/>
      <c r="B248" s="115" t="s">
        <v>226</v>
      </c>
      <c r="C248" s="67" t="s">
        <v>34</v>
      </c>
      <c r="D248" s="116"/>
      <c r="E248" s="117">
        <v>1.0</v>
      </c>
      <c r="F248" s="118">
        <v>10044.0</v>
      </c>
      <c r="G248" s="90">
        <f t="shared" si="39"/>
        <v>10044</v>
      </c>
      <c r="H248" s="4">
        <f t="shared" si="35"/>
        <v>0</v>
      </c>
      <c r="I248" s="59">
        <f t="shared" si="36"/>
        <v>0</v>
      </c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</row>
    <row r="249" ht="9.75" customHeight="1">
      <c r="A249" s="65"/>
      <c r="B249" s="115" t="s">
        <v>227</v>
      </c>
      <c r="C249" s="67" t="s">
        <v>34</v>
      </c>
      <c r="D249" s="116"/>
      <c r="E249" s="117">
        <v>1.0</v>
      </c>
      <c r="F249" s="118">
        <v>4608.0</v>
      </c>
      <c r="G249" s="90">
        <f t="shared" si="39"/>
        <v>4608</v>
      </c>
      <c r="H249" s="4">
        <f t="shared" si="35"/>
        <v>0</v>
      </c>
      <c r="I249" s="59">
        <f t="shared" si="36"/>
        <v>0</v>
      </c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</row>
    <row r="250" ht="9.75" customHeight="1">
      <c r="A250" s="65"/>
      <c r="B250" s="115" t="s">
        <v>228</v>
      </c>
      <c r="C250" s="67" t="s">
        <v>34</v>
      </c>
      <c r="D250" s="116"/>
      <c r="E250" s="117">
        <v>1.0</v>
      </c>
      <c r="F250" s="118">
        <v>3968.0</v>
      </c>
      <c r="G250" s="90">
        <f t="shared" si="39"/>
        <v>3968</v>
      </c>
      <c r="H250" s="4">
        <f t="shared" si="35"/>
        <v>0</v>
      </c>
      <c r="I250" s="59">
        <f t="shared" si="36"/>
        <v>0</v>
      </c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4"/>
      <c r="U250" s="4"/>
      <c r="V250" s="4"/>
      <c r="W250" s="4"/>
      <c r="X250" s="4"/>
      <c r="Y250" s="4"/>
    </row>
    <row r="251" ht="9.75" customHeight="1">
      <c r="A251" s="65"/>
      <c r="B251" s="115" t="s">
        <v>229</v>
      </c>
      <c r="C251" s="67" t="s">
        <v>34</v>
      </c>
      <c r="D251" s="116"/>
      <c r="E251" s="117">
        <v>1.0</v>
      </c>
      <c r="F251" s="118">
        <v>3200.0</v>
      </c>
      <c r="G251" s="90">
        <f t="shared" si="39"/>
        <v>3200</v>
      </c>
      <c r="H251" s="4">
        <f t="shared" si="35"/>
        <v>0</v>
      </c>
      <c r="I251" s="59">
        <f t="shared" si="36"/>
        <v>0</v>
      </c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4"/>
      <c r="Y251" s="4"/>
    </row>
    <row r="252" ht="9.75" customHeight="1">
      <c r="A252" s="65"/>
      <c r="B252" s="115" t="s">
        <v>230</v>
      </c>
      <c r="C252" s="67" t="s">
        <v>34</v>
      </c>
      <c r="D252" s="116"/>
      <c r="E252" s="117">
        <v>1.0</v>
      </c>
      <c r="F252" s="118">
        <v>40000.0</v>
      </c>
      <c r="G252" s="90">
        <f t="shared" si="39"/>
        <v>40000</v>
      </c>
      <c r="H252" s="4">
        <f t="shared" si="35"/>
        <v>0</v>
      </c>
      <c r="I252" s="59">
        <f t="shared" si="36"/>
        <v>0</v>
      </c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4"/>
      <c r="Y252" s="4"/>
    </row>
    <row r="253" ht="9.75" customHeight="1">
      <c r="A253" s="65"/>
      <c r="B253" s="110" t="s">
        <v>231</v>
      </c>
      <c r="C253" s="111"/>
      <c r="D253" s="112"/>
      <c r="E253" s="112"/>
      <c r="F253" s="113"/>
      <c r="G253" s="90">
        <f t="shared" si="39"/>
        <v>0</v>
      </c>
      <c r="H253" s="4">
        <f t="shared" si="35"/>
        <v>0</v>
      </c>
      <c r="I253" s="59">
        <f t="shared" si="36"/>
        <v>0</v>
      </c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4"/>
      <c r="Y253" s="4"/>
    </row>
    <row r="254" ht="9.75" customHeight="1">
      <c r="A254" s="65"/>
      <c r="B254" s="146" t="s">
        <v>232</v>
      </c>
      <c r="C254" s="147" t="s">
        <v>27</v>
      </c>
      <c r="D254" s="148"/>
      <c r="E254" s="149">
        <v>1.0</v>
      </c>
      <c r="F254" s="73">
        <v>1.4</v>
      </c>
      <c r="G254" s="90">
        <f t="shared" si="39"/>
        <v>1.4</v>
      </c>
      <c r="H254" s="4">
        <f t="shared" si="35"/>
        <v>0</v>
      </c>
      <c r="I254" s="59">
        <f t="shared" si="36"/>
        <v>0</v>
      </c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</row>
    <row r="255" ht="33.75" customHeight="1">
      <c r="A255" s="65" t="s">
        <v>233</v>
      </c>
      <c r="B255" s="82" t="str">
        <f>CONCATENATE("Sous-Total : ",A241," - ",B241)</f>
        <v>Sous-Total :  - Tableau général basse Tension (TGBT)</v>
      </c>
      <c r="C255" s="83"/>
      <c r="D255" s="84"/>
      <c r="E255" s="84"/>
      <c r="F255" s="84"/>
      <c r="G255" s="109">
        <f>SUM(G241:G254)</f>
        <v>501444.8</v>
      </c>
      <c r="H255" s="4">
        <f t="shared" si="35"/>
        <v>501444.8</v>
      </c>
      <c r="I255" s="59">
        <f t="shared" si="36"/>
        <v>0.1154755621</v>
      </c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4"/>
      <c r="Y255" s="4"/>
    </row>
    <row r="256" ht="21.0" customHeight="1">
      <c r="A256" s="65"/>
      <c r="B256" s="86" t="s">
        <v>234</v>
      </c>
      <c r="C256" s="87"/>
      <c r="D256" s="88"/>
      <c r="E256" s="88"/>
      <c r="F256" s="88"/>
      <c r="G256" s="89">
        <f t="shared" ref="G256:G261" si="40">E256*F256</f>
        <v>0</v>
      </c>
      <c r="H256" s="4">
        <f t="shared" si="35"/>
        <v>0</v>
      </c>
      <c r="I256" s="59">
        <f t="shared" si="36"/>
        <v>0</v>
      </c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4"/>
      <c r="U256" s="4"/>
      <c r="V256" s="4"/>
      <c r="W256" s="4"/>
      <c r="X256" s="4"/>
      <c r="Y256" s="4"/>
    </row>
    <row r="257" ht="9.75" customHeight="1">
      <c r="A257" s="65"/>
      <c r="B257" s="115" t="s">
        <v>235</v>
      </c>
      <c r="C257" s="67" t="s">
        <v>34</v>
      </c>
      <c r="D257" s="116"/>
      <c r="E257" s="117">
        <v>1.0</v>
      </c>
      <c r="F257" s="118">
        <v>2200.0</v>
      </c>
      <c r="G257" s="90">
        <f t="shared" si="40"/>
        <v>2200</v>
      </c>
      <c r="H257" s="4">
        <f t="shared" si="35"/>
        <v>0</v>
      </c>
      <c r="I257" s="59">
        <f t="shared" si="36"/>
        <v>0</v>
      </c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4"/>
      <c r="Y257" s="4"/>
    </row>
    <row r="258" ht="9.75" customHeight="1">
      <c r="A258" s="65"/>
      <c r="B258" s="115" t="s">
        <v>236</v>
      </c>
      <c r="C258" s="67" t="s">
        <v>34</v>
      </c>
      <c r="D258" s="116"/>
      <c r="E258" s="117">
        <v>1.0</v>
      </c>
      <c r="F258" s="118">
        <v>4800.0</v>
      </c>
      <c r="G258" s="90">
        <f t="shared" si="40"/>
        <v>4800</v>
      </c>
      <c r="H258" s="4">
        <f t="shared" si="35"/>
        <v>0</v>
      </c>
      <c r="I258" s="59">
        <f t="shared" si="36"/>
        <v>0</v>
      </c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</row>
    <row r="259" ht="9.75" customHeight="1">
      <c r="A259" s="65"/>
      <c r="B259" s="115" t="s">
        <v>237</v>
      </c>
      <c r="C259" s="67" t="s">
        <v>34</v>
      </c>
      <c r="D259" s="116"/>
      <c r="E259" s="117">
        <v>1.0</v>
      </c>
      <c r="F259" s="118">
        <v>5400.0</v>
      </c>
      <c r="G259" s="90">
        <f t="shared" si="40"/>
        <v>5400</v>
      </c>
      <c r="H259" s="4">
        <f t="shared" si="35"/>
        <v>0</v>
      </c>
      <c r="I259" s="59">
        <f t="shared" si="36"/>
        <v>0</v>
      </c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4"/>
      <c r="Y259" s="4"/>
    </row>
    <row r="260" ht="9.75" customHeight="1">
      <c r="A260" s="65"/>
      <c r="B260" s="66"/>
      <c r="C260" s="67"/>
      <c r="D260" s="78"/>
      <c r="E260" s="78"/>
      <c r="F260" s="78"/>
      <c r="G260" s="90">
        <f t="shared" si="40"/>
        <v>0</v>
      </c>
      <c r="H260" s="4">
        <f t="shared" si="35"/>
        <v>0</v>
      </c>
      <c r="I260" s="59">
        <f t="shared" si="36"/>
        <v>0</v>
      </c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4"/>
      <c r="Y260" s="4"/>
    </row>
    <row r="261" ht="9.75" customHeight="1">
      <c r="A261" s="65"/>
      <c r="B261" s="79" t="s">
        <v>238</v>
      </c>
      <c r="C261" s="80" t="s">
        <v>34</v>
      </c>
      <c r="D261" s="100"/>
      <c r="E261" s="100">
        <v>1.0</v>
      </c>
      <c r="F261" s="78">
        <v>1.0</v>
      </c>
      <c r="G261" s="90">
        <f t="shared" si="40"/>
        <v>1</v>
      </c>
      <c r="H261" s="4">
        <f t="shared" si="35"/>
        <v>0</v>
      </c>
      <c r="I261" s="59">
        <f t="shared" si="36"/>
        <v>0</v>
      </c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4"/>
      <c r="Y261" s="4"/>
    </row>
    <row r="262" ht="12.75" customHeight="1">
      <c r="A262" s="65" t="s">
        <v>239</v>
      </c>
      <c r="B262" s="101" t="str">
        <f>CONCATENATE("Sous-Total : ",A256," - ",B256)</f>
        <v>Sous-Total :  - Batterie de condensateur</v>
      </c>
      <c r="C262" s="102"/>
      <c r="D262" s="103"/>
      <c r="E262" s="103"/>
      <c r="F262" s="103"/>
      <c r="G262" s="104">
        <f>SUM(G256:G261)</f>
        <v>12401</v>
      </c>
      <c r="H262" s="4">
        <f t="shared" si="35"/>
        <v>12401</v>
      </c>
      <c r="I262" s="59">
        <f t="shared" si="36"/>
        <v>0.002855772849</v>
      </c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4"/>
      <c r="Y262" s="4"/>
    </row>
    <row r="263" ht="9.75" customHeight="1">
      <c r="A263" s="65"/>
      <c r="B263" s="105" t="s">
        <v>240</v>
      </c>
      <c r="C263" s="106"/>
      <c r="D263" s="98"/>
      <c r="E263" s="98"/>
      <c r="F263" s="98"/>
      <c r="G263" s="107">
        <f t="shared" ref="G263:G278" si="41">E263*F263</f>
        <v>0</v>
      </c>
      <c r="H263" s="4">
        <f t="shared" si="35"/>
        <v>0</v>
      </c>
      <c r="I263" s="59">
        <f t="shared" si="36"/>
        <v>0</v>
      </c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4"/>
      <c r="Y263" s="4"/>
    </row>
    <row r="264" ht="9.75" customHeight="1">
      <c r="A264" s="65"/>
      <c r="B264" s="110" t="s">
        <v>241</v>
      </c>
      <c r="C264" s="111"/>
      <c r="D264" s="112"/>
      <c r="E264" s="112"/>
      <c r="F264" s="113"/>
      <c r="G264" s="90">
        <f t="shared" si="41"/>
        <v>0</v>
      </c>
      <c r="H264" s="4">
        <f t="shared" si="35"/>
        <v>0</v>
      </c>
      <c r="I264" s="59">
        <f t="shared" si="36"/>
        <v>0</v>
      </c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4"/>
      <c r="Y264" s="4"/>
    </row>
    <row r="265" ht="9.75" customHeight="1">
      <c r="A265" s="65"/>
      <c r="B265" s="115" t="s">
        <v>242</v>
      </c>
      <c r="C265" s="67" t="s">
        <v>34</v>
      </c>
      <c r="D265" s="116"/>
      <c r="E265" s="117">
        <v>1.0</v>
      </c>
      <c r="F265" s="118">
        <v>15000.0</v>
      </c>
      <c r="G265" s="90">
        <f t="shared" si="41"/>
        <v>15000</v>
      </c>
      <c r="H265" s="4">
        <f t="shared" si="35"/>
        <v>0</v>
      </c>
      <c r="I265" s="59">
        <f t="shared" si="36"/>
        <v>0</v>
      </c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4"/>
      <c r="Y265" s="4"/>
    </row>
    <row r="266" ht="9.75" customHeight="1">
      <c r="A266" s="65"/>
      <c r="B266" s="110" t="s">
        <v>243</v>
      </c>
      <c r="C266" s="111"/>
      <c r="D266" s="112"/>
      <c r="E266" s="112"/>
      <c r="F266" s="113"/>
      <c r="G266" s="90">
        <f t="shared" si="41"/>
        <v>0</v>
      </c>
      <c r="H266" s="4">
        <f t="shared" si="35"/>
        <v>0</v>
      </c>
      <c r="I266" s="59">
        <f t="shared" si="36"/>
        <v>0</v>
      </c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  <c r="V266" s="4"/>
      <c r="W266" s="4"/>
      <c r="X266" s="4"/>
      <c r="Y266" s="4"/>
    </row>
    <row r="267" ht="9.75" customHeight="1">
      <c r="A267" s="65"/>
      <c r="B267" s="146" t="s">
        <v>244</v>
      </c>
      <c r="C267" s="147" t="s">
        <v>27</v>
      </c>
      <c r="D267" s="148"/>
      <c r="E267" s="148">
        <f>$F$5</f>
        <v>1</v>
      </c>
      <c r="F267" s="73">
        <v>10.8</v>
      </c>
      <c r="G267" s="90">
        <f t="shared" si="41"/>
        <v>10.8</v>
      </c>
      <c r="H267" s="4">
        <f t="shared" si="35"/>
        <v>0</v>
      </c>
      <c r="I267" s="59">
        <f t="shared" si="36"/>
        <v>0</v>
      </c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4"/>
      <c r="U267" s="4"/>
      <c r="V267" s="4"/>
      <c r="W267" s="4"/>
      <c r="X267" s="4"/>
      <c r="Y267" s="4"/>
    </row>
    <row r="268" ht="9.75" customHeight="1">
      <c r="A268" s="65"/>
      <c r="B268" s="146" t="s">
        <v>245</v>
      </c>
      <c r="C268" s="147" t="s">
        <v>27</v>
      </c>
      <c r="D268" s="148"/>
      <c r="E268" s="117">
        <v>1.0</v>
      </c>
      <c r="F268" s="73">
        <v>2.5</v>
      </c>
      <c r="G268" s="90">
        <f t="shared" si="41"/>
        <v>2.5</v>
      </c>
      <c r="H268" s="4">
        <f t="shared" si="35"/>
        <v>0</v>
      </c>
      <c r="I268" s="59">
        <f t="shared" si="36"/>
        <v>0</v>
      </c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4"/>
      <c r="U268" s="4"/>
      <c r="V268" s="4"/>
      <c r="W268" s="4"/>
      <c r="X268" s="4"/>
      <c r="Y268" s="4"/>
    </row>
    <row r="269" ht="9.75" customHeight="1">
      <c r="A269" s="65"/>
      <c r="B269" s="115"/>
      <c r="C269" s="67"/>
      <c r="D269" s="116"/>
      <c r="E269" s="116"/>
      <c r="F269" s="118"/>
      <c r="G269" s="90">
        <f t="shared" si="41"/>
        <v>0</v>
      </c>
      <c r="H269" s="4">
        <f t="shared" si="35"/>
        <v>0</v>
      </c>
      <c r="I269" s="59">
        <f t="shared" si="36"/>
        <v>0</v>
      </c>
      <c r="J269" s="4"/>
      <c r="K269" s="4"/>
      <c r="L269" s="4"/>
      <c r="M269" s="4"/>
      <c r="N269" s="4"/>
      <c r="O269" s="4"/>
      <c r="P269" s="4"/>
      <c r="Q269" s="4"/>
      <c r="R269" s="4"/>
      <c r="S269" s="4"/>
      <c r="T269" s="4"/>
      <c r="U269" s="4"/>
      <c r="V269" s="4"/>
      <c r="W269" s="4"/>
      <c r="X269" s="4"/>
      <c r="Y269" s="4"/>
    </row>
    <row r="270" ht="9.75" customHeight="1">
      <c r="A270" s="65"/>
      <c r="B270" s="146" t="s">
        <v>246</v>
      </c>
      <c r="C270" s="147"/>
      <c r="D270" s="148"/>
      <c r="E270" s="148"/>
      <c r="F270" s="73"/>
      <c r="G270" s="90">
        <f t="shared" si="41"/>
        <v>0</v>
      </c>
      <c r="H270" s="4">
        <f t="shared" si="35"/>
        <v>0</v>
      </c>
      <c r="I270" s="59">
        <f t="shared" si="36"/>
        <v>0</v>
      </c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  <c r="Y270" s="4"/>
    </row>
    <row r="271" ht="9.75" customHeight="1">
      <c r="A271" s="65"/>
      <c r="B271" s="115" t="s">
        <v>247</v>
      </c>
      <c r="C271" s="67" t="s">
        <v>34</v>
      </c>
      <c r="D271" s="116"/>
      <c r="E271" s="117">
        <v>1.0</v>
      </c>
      <c r="F271" s="118">
        <v>5500.0</v>
      </c>
      <c r="G271" s="90">
        <f t="shared" si="41"/>
        <v>5500</v>
      </c>
      <c r="H271" s="4">
        <f t="shared" si="35"/>
        <v>0</v>
      </c>
      <c r="I271" s="59">
        <f t="shared" si="36"/>
        <v>0</v>
      </c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4"/>
      <c r="Y271" s="4"/>
    </row>
    <row r="272" ht="9.75" customHeight="1">
      <c r="A272" s="65"/>
      <c r="B272" s="115" t="s">
        <v>248</v>
      </c>
      <c r="C272" s="67" t="s">
        <v>34</v>
      </c>
      <c r="D272" s="116"/>
      <c r="E272" s="117">
        <v>1.0</v>
      </c>
      <c r="F272" s="118">
        <v>4500.0</v>
      </c>
      <c r="G272" s="90">
        <f t="shared" si="41"/>
        <v>4500</v>
      </c>
      <c r="H272" s="4">
        <f t="shared" si="35"/>
        <v>0</v>
      </c>
      <c r="I272" s="59">
        <f t="shared" si="36"/>
        <v>0</v>
      </c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4"/>
      <c r="Y272" s="4"/>
    </row>
    <row r="273" ht="9.75" customHeight="1">
      <c r="A273" s="65"/>
      <c r="B273" s="115" t="s">
        <v>249</v>
      </c>
      <c r="C273" s="67" t="s">
        <v>34</v>
      </c>
      <c r="D273" s="116"/>
      <c r="E273" s="117">
        <v>1.0</v>
      </c>
      <c r="F273" s="118">
        <v>1300.0</v>
      </c>
      <c r="G273" s="90">
        <f t="shared" si="41"/>
        <v>1300</v>
      </c>
      <c r="H273" s="4">
        <f t="shared" si="35"/>
        <v>0</v>
      </c>
      <c r="I273" s="59">
        <f t="shared" si="36"/>
        <v>0</v>
      </c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4"/>
      <c r="Y273" s="4"/>
    </row>
    <row r="274" ht="9.75" customHeight="1">
      <c r="A274" s="65"/>
      <c r="B274" s="115" t="s">
        <v>250</v>
      </c>
      <c r="C274" s="67" t="s">
        <v>34</v>
      </c>
      <c r="D274" s="116"/>
      <c r="E274" s="117">
        <v>1.0</v>
      </c>
      <c r="F274" s="118">
        <v>3024.0000000000005</v>
      </c>
      <c r="G274" s="90">
        <f t="shared" si="41"/>
        <v>3024</v>
      </c>
      <c r="H274" s="4">
        <f t="shared" si="35"/>
        <v>0</v>
      </c>
      <c r="I274" s="59">
        <f t="shared" si="36"/>
        <v>0</v>
      </c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4"/>
      <c r="Y274" s="4"/>
    </row>
    <row r="275" ht="9.75" customHeight="1">
      <c r="A275" s="65"/>
      <c r="B275" s="115" t="s">
        <v>251</v>
      </c>
      <c r="C275" s="67" t="s">
        <v>34</v>
      </c>
      <c r="D275" s="116"/>
      <c r="E275" s="117">
        <v>1.0</v>
      </c>
      <c r="F275" s="118">
        <v>5500.0</v>
      </c>
      <c r="G275" s="90">
        <f t="shared" si="41"/>
        <v>5500</v>
      </c>
      <c r="H275" s="4">
        <f t="shared" si="35"/>
        <v>0</v>
      </c>
      <c r="I275" s="59">
        <f t="shared" si="36"/>
        <v>0</v>
      </c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4"/>
      <c r="Y275" s="4"/>
    </row>
    <row r="276" ht="9.75" customHeight="1">
      <c r="A276" s="65"/>
      <c r="B276" s="115" t="s">
        <v>252</v>
      </c>
      <c r="C276" s="67" t="s">
        <v>34</v>
      </c>
      <c r="D276" s="116"/>
      <c r="E276" s="117">
        <v>1.0</v>
      </c>
      <c r="F276" s="118">
        <v>300.0</v>
      </c>
      <c r="G276" s="90">
        <f t="shared" si="41"/>
        <v>300</v>
      </c>
      <c r="H276" s="4"/>
      <c r="I276" s="59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4"/>
      <c r="Y276" s="4"/>
    </row>
    <row r="277" ht="9.75" customHeight="1">
      <c r="A277" s="65"/>
      <c r="B277" s="110" t="s">
        <v>253</v>
      </c>
      <c r="C277" s="111"/>
      <c r="D277" s="112"/>
      <c r="E277" s="112"/>
      <c r="F277" s="113"/>
      <c r="G277" s="90">
        <f t="shared" si="41"/>
        <v>0</v>
      </c>
      <c r="H277" s="4">
        <f t="shared" ref="H277:H278" si="42">IFERROR(IF(FIND("Sous-",B277,1)&lt;&gt;0,G277,1),0)</f>
        <v>0</v>
      </c>
      <c r="I277" s="59">
        <f t="shared" ref="I277:I278" si="43">IFERROR(H277/$H$6,0)</f>
        <v>0</v>
      </c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4"/>
      <c r="U277" s="4"/>
      <c r="V277" s="4"/>
      <c r="W277" s="4"/>
      <c r="X277" s="4"/>
      <c r="Y277" s="4"/>
    </row>
    <row r="278" ht="9.75" customHeight="1">
      <c r="A278" s="65"/>
      <c r="B278" s="146" t="s">
        <v>254</v>
      </c>
      <c r="C278" s="147" t="s">
        <v>27</v>
      </c>
      <c r="D278" s="148"/>
      <c r="E278" s="148">
        <f>$F$5</f>
        <v>1</v>
      </c>
      <c r="F278" s="73">
        <v>3.6</v>
      </c>
      <c r="G278" s="90">
        <f t="shared" si="41"/>
        <v>3.6</v>
      </c>
      <c r="H278" s="4">
        <f t="shared" si="42"/>
        <v>0</v>
      </c>
      <c r="I278" s="59">
        <f t="shared" si="43"/>
        <v>0</v>
      </c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4"/>
      <c r="Y278" s="4"/>
    </row>
    <row r="279" ht="9.75" customHeight="1">
      <c r="A279" s="65"/>
      <c r="B279" s="115"/>
      <c r="C279" s="67"/>
      <c r="D279" s="116"/>
      <c r="E279" s="116"/>
      <c r="F279" s="118"/>
      <c r="G279" s="90"/>
      <c r="H279" s="4"/>
      <c r="I279" s="59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4"/>
      <c r="X279" s="4"/>
      <c r="Y279" s="4"/>
    </row>
    <row r="280" ht="9.75" customHeight="1">
      <c r="A280" s="65"/>
      <c r="B280" s="115"/>
      <c r="C280" s="67"/>
      <c r="D280" s="116"/>
      <c r="E280" s="116"/>
      <c r="F280" s="118"/>
      <c r="G280" s="90"/>
      <c r="H280" s="4"/>
      <c r="I280" s="59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4"/>
      <c r="Y280" s="4"/>
    </row>
    <row r="281" ht="9.75" customHeight="1">
      <c r="A281" s="65"/>
      <c r="B281" s="150"/>
      <c r="C281" s="151"/>
      <c r="D281" s="127"/>
      <c r="E281" s="127"/>
      <c r="F281" s="127"/>
      <c r="G281" s="128">
        <f t="shared" ref="G281:G287" si="44">E281*F281</f>
        <v>0</v>
      </c>
      <c r="H281" s="4">
        <f t="shared" ref="H281:H290" si="45">IFERROR(IF(FIND("Sous-",B281,1)&lt;&gt;0,G281,1),0)</f>
        <v>0</v>
      </c>
      <c r="I281" s="59">
        <f t="shared" ref="I281:I290" si="46">IFERROR(H281/$H$6,0)</f>
        <v>0</v>
      </c>
      <c r="J281" s="4"/>
      <c r="K281" s="4"/>
      <c r="L281" s="4"/>
      <c r="M281" s="4"/>
      <c r="N281" s="4"/>
      <c r="O281" s="4"/>
      <c r="P281" s="4"/>
      <c r="Q281" s="4"/>
      <c r="R281" s="4"/>
      <c r="S281" s="4"/>
      <c r="T281" s="4"/>
      <c r="U281" s="4"/>
      <c r="V281" s="4"/>
      <c r="W281" s="4"/>
      <c r="X281" s="4"/>
      <c r="Y281" s="4"/>
    </row>
    <row r="282" ht="9.75" customHeight="1">
      <c r="A282" s="65"/>
      <c r="B282" s="152" t="s">
        <v>255</v>
      </c>
      <c r="C282" s="153" t="s">
        <v>34</v>
      </c>
      <c r="D282" s="154"/>
      <c r="E282" s="154"/>
      <c r="F282" s="88"/>
      <c r="G282" s="155">
        <f t="shared" si="44"/>
        <v>0</v>
      </c>
      <c r="H282" s="4">
        <f t="shared" si="45"/>
        <v>0</v>
      </c>
      <c r="I282" s="59">
        <f t="shared" si="46"/>
        <v>0</v>
      </c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4"/>
      <c r="U282" s="4"/>
      <c r="V282" s="4"/>
      <c r="W282" s="4"/>
      <c r="X282" s="4"/>
      <c r="Y282" s="4"/>
    </row>
    <row r="283" ht="9.75" customHeight="1">
      <c r="A283" s="65"/>
      <c r="B283" s="79"/>
      <c r="C283" s="80"/>
      <c r="D283" s="100"/>
      <c r="E283" s="100"/>
      <c r="F283" s="78"/>
      <c r="G283" s="90">
        <f t="shared" si="44"/>
        <v>0</v>
      </c>
      <c r="H283" s="4">
        <f t="shared" si="45"/>
        <v>0</v>
      </c>
      <c r="I283" s="59">
        <f t="shared" si="46"/>
        <v>0</v>
      </c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4"/>
      <c r="U283" s="4"/>
      <c r="V283" s="4"/>
      <c r="W283" s="4"/>
      <c r="X283" s="4"/>
      <c r="Y283" s="4"/>
    </row>
    <row r="284" ht="9.75" customHeight="1">
      <c r="A284" s="65"/>
      <c r="B284" s="79"/>
      <c r="C284" s="80"/>
      <c r="D284" s="100"/>
      <c r="E284" s="100"/>
      <c r="F284" s="78"/>
      <c r="G284" s="90">
        <f t="shared" si="44"/>
        <v>0</v>
      </c>
      <c r="H284" s="4">
        <f t="shared" si="45"/>
        <v>0</v>
      </c>
      <c r="I284" s="59">
        <f t="shared" si="46"/>
        <v>0</v>
      </c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4"/>
      <c r="Y284" s="4"/>
    </row>
    <row r="285" ht="9.75" customHeight="1">
      <c r="A285" s="65"/>
      <c r="B285" s="79"/>
      <c r="C285" s="80"/>
      <c r="D285" s="100"/>
      <c r="E285" s="100"/>
      <c r="F285" s="78"/>
      <c r="G285" s="90">
        <f t="shared" si="44"/>
        <v>0</v>
      </c>
      <c r="H285" s="4">
        <f t="shared" si="45"/>
        <v>0</v>
      </c>
      <c r="I285" s="59">
        <f t="shared" si="46"/>
        <v>0</v>
      </c>
      <c r="J285" s="4"/>
      <c r="K285" s="4"/>
      <c r="L285" s="4"/>
      <c r="M285" s="4"/>
      <c r="N285" s="4"/>
      <c r="O285" s="4"/>
      <c r="P285" s="4"/>
      <c r="Q285" s="4"/>
      <c r="R285" s="4"/>
      <c r="S285" s="4"/>
      <c r="T285" s="4"/>
      <c r="U285" s="4"/>
      <c r="V285" s="4"/>
      <c r="W285" s="4"/>
      <c r="X285" s="4"/>
      <c r="Y285" s="4"/>
    </row>
    <row r="286" ht="9.75" customHeight="1">
      <c r="A286" s="65"/>
      <c r="B286" s="79"/>
      <c r="C286" s="80"/>
      <c r="D286" s="100"/>
      <c r="E286" s="100"/>
      <c r="F286" s="78"/>
      <c r="G286" s="90">
        <f t="shared" si="44"/>
        <v>0</v>
      </c>
      <c r="H286" s="4">
        <f t="shared" si="45"/>
        <v>0</v>
      </c>
      <c r="I286" s="59">
        <f t="shared" si="46"/>
        <v>0</v>
      </c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4"/>
      <c r="Y286" s="4"/>
    </row>
    <row r="287" ht="9.75" customHeight="1">
      <c r="A287" s="65"/>
      <c r="B287" s="79"/>
      <c r="C287" s="80"/>
      <c r="D287" s="100"/>
      <c r="E287" s="100">
        <v>1.0</v>
      </c>
      <c r="F287" s="78">
        <v>1.0</v>
      </c>
      <c r="G287" s="90">
        <f t="shared" si="44"/>
        <v>1</v>
      </c>
      <c r="H287" s="4">
        <f t="shared" si="45"/>
        <v>0</v>
      </c>
      <c r="I287" s="59">
        <f t="shared" si="46"/>
        <v>0</v>
      </c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4"/>
      <c r="U287" s="4"/>
      <c r="V287" s="4"/>
      <c r="W287" s="4"/>
      <c r="X287" s="4"/>
      <c r="Y287" s="4"/>
    </row>
    <row r="288" ht="24.75" customHeight="1">
      <c r="A288" s="65" t="s">
        <v>256</v>
      </c>
      <c r="B288" s="101" t="str">
        <f>CONCATENATE("Sous-Total : ",A263," - ",B263)</f>
        <v>Sous-Total :  - Tableau divisionnaire de distribution (TD)</v>
      </c>
      <c r="C288" s="102"/>
      <c r="D288" s="103"/>
      <c r="E288" s="103"/>
      <c r="F288" s="103"/>
      <c r="G288" s="104">
        <f>SUM(G263:G287)</f>
        <v>35141.9</v>
      </c>
      <c r="H288" s="4">
        <f t="shared" si="45"/>
        <v>35141.9</v>
      </c>
      <c r="I288" s="59">
        <f t="shared" si="46"/>
        <v>0.008092676711</v>
      </c>
      <c r="J288" s="4"/>
      <c r="K288" s="4"/>
      <c r="L288" s="4"/>
      <c r="M288" s="4"/>
      <c r="N288" s="4"/>
      <c r="O288" s="4"/>
      <c r="P288" s="4"/>
      <c r="Q288" s="4"/>
      <c r="R288" s="4"/>
      <c r="S288" s="4"/>
      <c r="T288" s="4"/>
      <c r="U288" s="4"/>
      <c r="V288" s="4"/>
      <c r="W288" s="4"/>
      <c r="X288" s="4"/>
      <c r="Y288" s="4"/>
    </row>
    <row r="289" ht="9.75" customHeight="1">
      <c r="A289" s="65"/>
      <c r="B289" s="105" t="s">
        <v>257</v>
      </c>
      <c r="C289" s="106"/>
      <c r="D289" s="98"/>
      <c r="E289" s="98"/>
      <c r="F289" s="98"/>
      <c r="G289" s="107">
        <f t="shared" ref="G289:G300" si="47">E289*F289</f>
        <v>0</v>
      </c>
      <c r="H289" s="4">
        <f t="shared" si="45"/>
        <v>0</v>
      </c>
      <c r="I289" s="59">
        <f t="shared" si="46"/>
        <v>0</v>
      </c>
      <c r="J289" s="4"/>
      <c r="K289" s="4"/>
      <c r="L289" s="4"/>
      <c r="M289" s="4"/>
      <c r="N289" s="4"/>
      <c r="O289" s="4"/>
      <c r="P289" s="4"/>
      <c r="Q289" s="4"/>
      <c r="R289" s="4"/>
      <c r="S289" s="4"/>
      <c r="T289" s="4"/>
      <c r="U289" s="4"/>
      <c r="V289" s="4"/>
      <c r="W289" s="4"/>
      <c r="X289" s="4"/>
      <c r="Y289" s="4"/>
    </row>
    <row r="290" ht="9.75" customHeight="1">
      <c r="A290" s="65"/>
      <c r="B290" s="146" t="s">
        <v>258</v>
      </c>
      <c r="C290" s="147" t="s">
        <v>27</v>
      </c>
      <c r="D290" s="148"/>
      <c r="E290" s="117">
        <v>1.0</v>
      </c>
      <c r="F290" s="73">
        <v>6.0</v>
      </c>
      <c r="G290" s="90">
        <f t="shared" si="47"/>
        <v>6</v>
      </c>
      <c r="H290" s="4">
        <f t="shared" si="45"/>
        <v>0</v>
      </c>
      <c r="I290" s="59">
        <f t="shared" si="46"/>
        <v>0</v>
      </c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  <c r="Y290" s="4"/>
    </row>
    <row r="291" ht="9.75" customHeight="1">
      <c r="A291" s="65"/>
      <c r="B291" s="146" t="s">
        <v>259</v>
      </c>
      <c r="C291" s="147" t="s">
        <v>27</v>
      </c>
      <c r="D291" s="148"/>
      <c r="E291" s="117">
        <v>1.0</v>
      </c>
      <c r="F291" s="73">
        <v>12.0</v>
      </c>
      <c r="G291" s="90">
        <f t="shared" si="47"/>
        <v>12</v>
      </c>
      <c r="H291" s="4"/>
      <c r="I291" s="59"/>
      <c r="J291" s="4"/>
      <c r="K291" s="4"/>
      <c r="L291" s="4"/>
      <c r="M291" s="4"/>
      <c r="N291" s="4"/>
      <c r="O291" s="4"/>
      <c r="P291" s="4"/>
      <c r="Q291" s="4"/>
      <c r="R291" s="4"/>
      <c r="S291" s="4"/>
      <c r="T291" s="4"/>
      <c r="U291" s="4"/>
      <c r="V291" s="4"/>
      <c r="W291" s="4"/>
      <c r="X291" s="4"/>
      <c r="Y291" s="4"/>
    </row>
    <row r="292" ht="9.75" customHeight="1">
      <c r="A292" s="65"/>
      <c r="B292" s="146" t="s">
        <v>260</v>
      </c>
      <c r="C292" s="147" t="s">
        <v>27</v>
      </c>
      <c r="D292" s="148"/>
      <c r="E292" s="117">
        <v>1.0</v>
      </c>
      <c r="F292" s="73">
        <v>10.0</v>
      </c>
      <c r="G292" s="90">
        <f t="shared" si="47"/>
        <v>10</v>
      </c>
      <c r="H292" s="4">
        <f t="shared" ref="H292:H300" si="48">IFERROR(IF(FIND("Sous-",B292,1)&lt;&gt;0,G292,1),0)</f>
        <v>0</v>
      </c>
      <c r="I292" s="59">
        <f t="shared" ref="I292:I300" si="49">IFERROR(H292/$H$6,0)</f>
        <v>0</v>
      </c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4"/>
      <c r="Y292" s="4"/>
    </row>
    <row r="293" ht="9.75" customHeight="1">
      <c r="A293" s="65"/>
      <c r="B293" s="146" t="s">
        <v>261</v>
      </c>
      <c r="C293" s="147" t="s">
        <v>27</v>
      </c>
      <c r="D293" s="148"/>
      <c r="E293" s="117">
        <v>1.0</v>
      </c>
      <c r="F293" s="73">
        <v>4.0</v>
      </c>
      <c r="G293" s="90">
        <f t="shared" si="47"/>
        <v>4</v>
      </c>
      <c r="H293" s="4">
        <f t="shared" si="48"/>
        <v>0</v>
      </c>
      <c r="I293" s="59">
        <f t="shared" si="49"/>
        <v>0</v>
      </c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4"/>
      <c r="U293" s="4"/>
      <c r="V293" s="4"/>
      <c r="W293" s="4"/>
      <c r="X293" s="4"/>
      <c r="Y293" s="4"/>
    </row>
    <row r="294" ht="9.75" customHeight="1">
      <c r="A294" s="65"/>
      <c r="B294" s="146" t="s">
        <v>262</v>
      </c>
      <c r="C294" s="147" t="s">
        <v>27</v>
      </c>
      <c r="D294" s="148"/>
      <c r="E294" s="117">
        <v>1.0</v>
      </c>
      <c r="F294" s="73">
        <v>3.8</v>
      </c>
      <c r="G294" s="90">
        <f t="shared" si="47"/>
        <v>3.8</v>
      </c>
      <c r="H294" s="4">
        <f t="shared" si="48"/>
        <v>0</v>
      </c>
      <c r="I294" s="59">
        <f t="shared" si="49"/>
        <v>0</v>
      </c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</row>
    <row r="295" ht="9.75" customHeight="1">
      <c r="A295" s="65"/>
      <c r="B295" s="152" t="s">
        <v>263</v>
      </c>
      <c r="C295" s="153" t="s">
        <v>51</v>
      </c>
      <c r="D295" s="154"/>
      <c r="E295" s="117">
        <v>1.0</v>
      </c>
      <c r="F295" s="73">
        <v>15.0</v>
      </c>
      <c r="G295" s="90">
        <f t="shared" si="47"/>
        <v>15</v>
      </c>
      <c r="H295" s="4">
        <f t="shared" si="48"/>
        <v>0</v>
      </c>
      <c r="I295" s="59">
        <f t="shared" si="49"/>
        <v>0</v>
      </c>
      <c r="J295" s="4"/>
      <c r="K295" s="4"/>
      <c r="L295" s="4"/>
      <c r="M295" s="4"/>
      <c r="N295" s="4"/>
      <c r="O295" s="4"/>
      <c r="P295" s="4"/>
      <c r="Q295" s="4"/>
      <c r="R295" s="4"/>
      <c r="S295" s="4"/>
      <c r="T295" s="4"/>
      <c r="U295" s="4"/>
      <c r="V295" s="4"/>
      <c r="W295" s="4"/>
      <c r="X295" s="4"/>
      <c r="Y295" s="4"/>
    </row>
    <row r="296" ht="9.75" customHeight="1">
      <c r="A296" s="65"/>
      <c r="B296" s="152" t="s">
        <v>264</v>
      </c>
      <c r="C296" s="153" t="s">
        <v>51</v>
      </c>
      <c r="D296" s="154"/>
      <c r="E296" s="117">
        <v>1.0</v>
      </c>
      <c r="F296" s="73">
        <v>25.0</v>
      </c>
      <c r="G296" s="90">
        <f t="shared" si="47"/>
        <v>25</v>
      </c>
      <c r="H296" s="4">
        <f t="shared" si="48"/>
        <v>0</v>
      </c>
      <c r="I296" s="59">
        <f t="shared" si="49"/>
        <v>0</v>
      </c>
      <c r="J296" s="4"/>
      <c r="K296" s="4"/>
      <c r="L296" s="4"/>
      <c r="M296" s="4"/>
      <c r="N296" s="4"/>
      <c r="O296" s="4"/>
      <c r="P296" s="4"/>
      <c r="Q296" s="4"/>
      <c r="R296" s="4"/>
      <c r="S296" s="4"/>
      <c r="T296" s="4"/>
      <c r="U296" s="4"/>
      <c r="V296" s="4"/>
      <c r="W296" s="4"/>
      <c r="X296" s="4"/>
      <c r="Y296" s="4"/>
    </row>
    <row r="297" ht="9.75" customHeight="1">
      <c r="A297" s="65"/>
      <c r="B297" s="152" t="s">
        <v>265</v>
      </c>
      <c r="C297" s="153" t="s">
        <v>51</v>
      </c>
      <c r="D297" s="154"/>
      <c r="E297" s="117">
        <v>1.0</v>
      </c>
      <c r="F297" s="73">
        <v>21.0</v>
      </c>
      <c r="G297" s="90">
        <f t="shared" si="47"/>
        <v>21</v>
      </c>
      <c r="H297" s="4">
        <f t="shared" si="48"/>
        <v>0</v>
      </c>
      <c r="I297" s="59">
        <f t="shared" si="49"/>
        <v>0</v>
      </c>
      <c r="J297" s="4"/>
      <c r="K297" s="4"/>
      <c r="L297" s="4"/>
      <c r="M297" s="4"/>
      <c r="N297" s="4"/>
      <c r="O297" s="4"/>
      <c r="P297" s="4"/>
      <c r="Q297" s="4"/>
      <c r="R297" s="4"/>
      <c r="S297" s="4"/>
      <c r="T297" s="4"/>
      <c r="U297" s="4"/>
      <c r="V297" s="4"/>
      <c r="W297" s="4"/>
      <c r="X297" s="4"/>
      <c r="Y297" s="4"/>
    </row>
    <row r="298" ht="9.75" customHeight="1">
      <c r="A298" s="65"/>
      <c r="B298" s="152" t="s">
        <v>266</v>
      </c>
      <c r="C298" s="153" t="s">
        <v>51</v>
      </c>
      <c r="D298" s="154"/>
      <c r="E298" s="117">
        <v>1.0</v>
      </c>
      <c r="F298" s="73">
        <v>19.0</v>
      </c>
      <c r="G298" s="90">
        <f t="shared" si="47"/>
        <v>19</v>
      </c>
      <c r="H298" s="4">
        <f t="shared" si="48"/>
        <v>0</v>
      </c>
      <c r="I298" s="59">
        <f t="shared" si="49"/>
        <v>0</v>
      </c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4"/>
      <c r="V298" s="4"/>
      <c r="W298" s="4"/>
      <c r="X298" s="4"/>
      <c r="Y298" s="4"/>
    </row>
    <row r="299" ht="9.75" customHeight="1">
      <c r="A299" s="65"/>
      <c r="B299" s="152" t="s">
        <v>267</v>
      </c>
      <c r="C299" s="153" t="s">
        <v>51</v>
      </c>
      <c r="D299" s="154"/>
      <c r="E299" s="117">
        <v>1.0</v>
      </c>
      <c r="F299" s="73">
        <v>15.0</v>
      </c>
      <c r="G299" s="90">
        <f t="shared" si="47"/>
        <v>15</v>
      </c>
      <c r="H299" s="4">
        <f t="shared" si="48"/>
        <v>0</v>
      </c>
      <c r="I299" s="59">
        <f t="shared" si="49"/>
        <v>0</v>
      </c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4"/>
      <c r="V299" s="4"/>
      <c r="W299" s="4"/>
      <c r="X299" s="4"/>
      <c r="Y299" s="4"/>
    </row>
    <row r="300" ht="9.75" customHeight="1">
      <c r="A300" s="65"/>
      <c r="B300" s="152" t="s">
        <v>268</v>
      </c>
      <c r="C300" s="153" t="s">
        <v>51</v>
      </c>
      <c r="D300" s="154"/>
      <c r="E300" s="117">
        <v>1.0</v>
      </c>
      <c r="F300" s="73">
        <v>13.0</v>
      </c>
      <c r="G300" s="90">
        <f t="shared" si="47"/>
        <v>13</v>
      </c>
      <c r="H300" s="4">
        <f t="shared" si="48"/>
        <v>0</v>
      </c>
      <c r="I300" s="59">
        <f t="shared" si="49"/>
        <v>0</v>
      </c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  <c r="V300" s="4"/>
      <c r="W300" s="4"/>
      <c r="X300" s="4"/>
      <c r="Y300" s="4"/>
    </row>
    <row r="301" ht="9.75" customHeight="1">
      <c r="A301" s="65"/>
      <c r="B301" s="152"/>
      <c r="C301" s="153"/>
      <c r="D301" s="154"/>
      <c r="E301" s="154"/>
      <c r="F301" s="73"/>
      <c r="G301" s="94"/>
      <c r="H301" s="4"/>
      <c r="I301" s="59"/>
      <c r="J301" s="4"/>
      <c r="K301" s="4"/>
      <c r="L301" s="4"/>
      <c r="M301" s="4"/>
      <c r="N301" s="4"/>
      <c r="O301" s="4"/>
      <c r="P301" s="4"/>
      <c r="Q301" s="4"/>
      <c r="R301" s="4"/>
      <c r="S301" s="4"/>
      <c r="T301" s="4"/>
      <c r="U301" s="4"/>
      <c r="V301" s="4"/>
      <c r="W301" s="4"/>
      <c r="X301" s="4"/>
      <c r="Y301" s="4"/>
    </row>
    <row r="302" ht="9.75" customHeight="1">
      <c r="A302" s="65"/>
      <c r="B302" s="152" t="s">
        <v>269</v>
      </c>
      <c r="C302" s="153" t="s">
        <v>51</v>
      </c>
      <c r="D302" s="154"/>
      <c r="E302" s="117">
        <v>1.0</v>
      </c>
      <c r="F302" s="73">
        <v>10.0</v>
      </c>
      <c r="G302" s="90">
        <f t="shared" ref="G302:G304" si="50">E302*F302</f>
        <v>10</v>
      </c>
      <c r="H302" s="4"/>
      <c r="I302" s="59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</row>
    <row r="303" ht="9.75" customHeight="1">
      <c r="A303" s="65"/>
      <c r="B303" s="152" t="s">
        <v>270</v>
      </c>
      <c r="C303" s="153" t="s">
        <v>17</v>
      </c>
      <c r="D303" s="154"/>
      <c r="E303" s="117">
        <v>1.0</v>
      </c>
      <c r="F303" s="73">
        <v>1500.0</v>
      </c>
      <c r="G303" s="94">
        <f t="shared" si="50"/>
        <v>1500</v>
      </c>
      <c r="H303" s="4"/>
      <c r="I303" s="59"/>
      <c r="J303" s="4"/>
      <c r="K303" s="4"/>
      <c r="L303" s="4"/>
      <c r="M303" s="4"/>
      <c r="N303" s="4"/>
      <c r="O303" s="4"/>
      <c r="P303" s="4"/>
      <c r="Q303" s="4"/>
      <c r="R303" s="4"/>
      <c r="S303" s="4"/>
      <c r="T303" s="4"/>
      <c r="U303" s="4"/>
      <c r="V303" s="4"/>
      <c r="W303" s="4"/>
      <c r="X303" s="4"/>
      <c r="Y303" s="4"/>
    </row>
    <row r="304" ht="9.75" customHeight="1">
      <c r="A304" s="65"/>
      <c r="B304" s="152" t="s">
        <v>271</v>
      </c>
      <c r="C304" s="153" t="s">
        <v>51</v>
      </c>
      <c r="D304" s="154"/>
      <c r="E304" s="117">
        <v>1.0</v>
      </c>
      <c r="F304" s="73">
        <v>5.0</v>
      </c>
      <c r="G304" s="94">
        <f t="shared" si="50"/>
        <v>5</v>
      </c>
      <c r="H304" s="4"/>
      <c r="I304" s="59"/>
      <c r="J304" s="4"/>
      <c r="K304" s="4"/>
      <c r="L304" s="4"/>
      <c r="M304" s="4"/>
      <c r="N304" s="4"/>
      <c r="O304" s="4"/>
      <c r="P304" s="4"/>
      <c r="Q304" s="4"/>
      <c r="R304" s="4"/>
      <c r="S304" s="4"/>
      <c r="T304" s="4"/>
      <c r="U304" s="4"/>
      <c r="V304" s="4"/>
      <c r="W304" s="4"/>
      <c r="X304" s="4"/>
      <c r="Y304" s="4"/>
    </row>
    <row r="305" ht="9.75" customHeight="1">
      <c r="A305" s="65"/>
      <c r="B305" s="152"/>
      <c r="C305" s="153"/>
      <c r="D305" s="154"/>
      <c r="E305" s="154"/>
      <c r="F305" s="73"/>
      <c r="G305" s="156"/>
      <c r="H305" s="4">
        <f t="shared" ref="H305:H320" si="51">IFERROR(IF(FIND("Sous-",B305,1)&lt;&gt;0,G305,1),0)</f>
        <v>0</v>
      </c>
      <c r="I305" s="59">
        <f t="shared" ref="I305:I320" si="52">IFERROR(H305/$H$6,0)</f>
        <v>0</v>
      </c>
      <c r="J305" s="4"/>
      <c r="K305" s="4"/>
      <c r="L305" s="4"/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4"/>
      <c r="X305" s="4"/>
      <c r="Y305" s="4"/>
    </row>
    <row r="306" ht="9.75" customHeight="1">
      <c r="A306" s="65"/>
      <c r="B306" s="79" t="s">
        <v>263</v>
      </c>
      <c r="C306" s="80" t="s">
        <v>51</v>
      </c>
      <c r="D306" s="100"/>
      <c r="E306" s="117">
        <v>1.0</v>
      </c>
      <c r="F306" s="78"/>
      <c r="G306" s="90">
        <f t="shared" ref="G306:G308" si="53">E306*F306</f>
        <v>0</v>
      </c>
      <c r="H306" s="4">
        <f t="shared" si="51"/>
        <v>0</v>
      </c>
      <c r="I306" s="59">
        <f t="shared" si="52"/>
        <v>0</v>
      </c>
      <c r="J306" s="4"/>
      <c r="K306" s="4"/>
      <c r="L306" s="4"/>
      <c r="M306" s="4"/>
      <c r="N306" s="4"/>
      <c r="O306" s="4"/>
      <c r="P306" s="4"/>
      <c r="Q306" s="4"/>
      <c r="R306" s="4"/>
      <c r="S306" s="4"/>
      <c r="T306" s="4"/>
      <c r="U306" s="4"/>
      <c r="V306" s="4"/>
      <c r="W306" s="4"/>
      <c r="X306" s="4"/>
      <c r="Y306" s="4"/>
    </row>
    <row r="307" ht="9.75" customHeight="1">
      <c r="A307" s="65"/>
      <c r="B307" s="79" t="s">
        <v>272</v>
      </c>
      <c r="C307" s="80" t="s">
        <v>51</v>
      </c>
      <c r="D307" s="100"/>
      <c r="E307" s="117">
        <v>1.0</v>
      </c>
      <c r="F307" s="78"/>
      <c r="G307" s="90">
        <f t="shared" si="53"/>
        <v>0</v>
      </c>
      <c r="H307" s="4">
        <f t="shared" si="51"/>
        <v>0</v>
      </c>
      <c r="I307" s="59">
        <f t="shared" si="52"/>
        <v>0</v>
      </c>
      <c r="J307" s="4"/>
      <c r="K307" s="4"/>
      <c r="L307" s="4"/>
      <c r="M307" s="4"/>
      <c r="N307" s="4"/>
      <c r="O307" s="4"/>
      <c r="P307" s="4"/>
      <c r="Q307" s="4"/>
      <c r="R307" s="4"/>
      <c r="S307" s="4"/>
      <c r="T307" s="4"/>
      <c r="U307" s="4"/>
      <c r="V307" s="4"/>
      <c r="W307" s="4"/>
      <c r="X307" s="4"/>
      <c r="Y307" s="4"/>
    </row>
    <row r="308" ht="9.75" customHeight="1">
      <c r="A308" s="65"/>
      <c r="B308" s="79" t="s">
        <v>273</v>
      </c>
      <c r="C308" s="80" t="s">
        <v>32</v>
      </c>
      <c r="D308" s="100"/>
      <c r="E308" s="117">
        <v>1.0</v>
      </c>
      <c r="F308" s="78">
        <v>1.0</v>
      </c>
      <c r="G308" s="90">
        <f t="shared" si="53"/>
        <v>1</v>
      </c>
      <c r="H308" s="4">
        <f t="shared" si="51"/>
        <v>0</v>
      </c>
      <c r="I308" s="59">
        <f t="shared" si="52"/>
        <v>0</v>
      </c>
      <c r="J308" s="4"/>
      <c r="K308" s="4"/>
      <c r="L308" s="4"/>
      <c r="M308" s="4"/>
      <c r="N308" s="4"/>
      <c r="O308" s="4"/>
      <c r="P308" s="4"/>
      <c r="Q308" s="4"/>
      <c r="R308" s="4"/>
      <c r="S308" s="4"/>
      <c r="T308" s="4"/>
      <c r="U308" s="4"/>
      <c r="V308" s="4"/>
      <c r="W308" s="4"/>
      <c r="X308" s="4"/>
      <c r="Y308" s="4"/>
    </row>
    <row r="309" ht="12.75" customHeight="1">
      <c r="A309" s="65" t="s">
        <v>274</v>
      </c>
      <c r="B309" s="101" t="str">
        <f>CONCATENATE("Sous-Total : ",A289," - ",B289)</f>
        <v>Sous-Total :  - Distribution - cheminements</v>
      </c>
      <c r="C309" s="102"/>
      <c r="D309" s="103"/>
      <c r="E309" s="103"/>
      <c r="F309" s="103"/>
      <c r="G309" s="104">
        <f>SUM(G289:G308)</f>
        <v>1659.8</v>
      </c>
      <c r="H309" s="4">
        <f t="shared" si="51"/>
        <v>1659.8</v>
      </c>
      <c r="I309" s="59">
        <f t="shared" si="52"/>
        <v>0.0003822281893</v>
      </c>
      <c r="J309" s="4"/>
      <c r="K309" s="4"/>
      <c r="L309" s="4"/>
      <c r="M309" s="4"/>
      <c r="N309" s="4"/>
      <c r="O309" s="4"/>
      <c r="P309" s="4"/>
      <c r="Q309" s="4"/>
      <c r="R309" s="4"/>
      <c r="S309" s="4"/>
      <c r="T309" s="4"/>
      <c r="U309" s="4"/>
      <c r="V309" s="4"/>
      <c r="W309" s="4"/>
      <c r="X309" s="4"/>
      <c r="Y309" s="4"/>
    </row>
    <row r="310" ht="9.75" customHeight="1">
      <c r="A310" s="65"/>
      <c r="B310" s="105" t="s">
        <v>275</v>
      </c>
      <c r="C310" s="106"/>
      <c r="D310" s="98"/>
      <c r="E310" s="98"/>
      <c r="F310" s="98"/>
      <c r="G310" s="107">
        <f t="shared" ref="G310:G320" si="54">E310*F310</f>
        <v>0</v>
      </c>
      <c r="H310" s="4">
        <f t="shared" si="51"/>
        <v>0</v>
      </c>
      <c r="I310" s="59">
        <f t="shared" si="52"/>
        <v>0</v>
      </c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4"/>
      <c r="X310" s="4"/>
      <c r="Y310" s="4"/>
    </row>
    <row r="311" ht="9.75" customHeight="1">
      <c r="A311" s="65"/>
      <c r="B311" s="146" t="s">
        <v>276</v>
      </c>
      <c r="C311" s="147" t="s">
        <v>27</v>
      </c>
      <c r="D311" s="148"/>
      <c r="E311" s="117">
        <v>1.0</v>
      </c>
      <c r="F311" s="73">
        <v>15.0</v>
      </c>
      <c r="G311" s="90">
        <f t="shared" si="54"/>
        <v>15</v>
      </c>
      <c r="H311" s="4">
        <f t="shared" si="51"/>
        <v>0</v>
      </c>
      <c r="I311" s="59">
        <f t="shared" si="52"/>
        <v>0</v>
      </c>
      <c r="J311" s="4"/>
      <c r="K311" s="4"/>
      <c r="L311" s="4"/>
      <c r="M311" s="4"/>
      <c r="N311" s="4"/>
      <c r="O311" s="4"/>
      <c r="P311" s="4"/>
      <c r="Q311" s="4"/>
      <c r="R311" s="4"/>
      <c r="S311" s="4"/>
      <c r="T311" s="4"/>
      <c r="U311" s="4"/>
      <c r="V311" s="4"/>
      <c r="W311" s="4"/>
      <c r="X311" s="4"/>
      <c r="Y311" s="4"/>
    </row>
    <row r="312" ht="9.75" customHeight="1">
      <c r="A312" s="65"/>
      <c r="B312" s="146" t="s">
        <v>277</v>
      </c>
      <c r="C312" s="147" t="s">
        <v>27</v>
      </c>
      <c r="D312" s="148"/>
      <c r="E312" s="117">
        <v>1.0</v>
      </c>
      <c r="F312" s="73">
        <v>6.24</v>
      </c>
      <c r="G312" s="90">
        <f t="shared" si="54"/>
        <v>6.24</v>
      </c>
      <c r="H312" s="4">
        <f t="shared" si="51"/>
        <v>0</v>
      </c>
      <c r="I312" s="59">
        <f t="shared" si="52"/>
        <v>0</v>
      </c>
      <c r="J312" s="4"/>
      <c r="K312" s="4"/>
      <c r="L312" s="4"/>
      <c r="M312" s="4"/>
      <c r="N312" s="4"/>
      <c r="O312" s="4"/>
      <c r="P312" s="4"/>
      <c r="Q312" s="4"/>
      <c r="R312" s="4"/>
      <c r="S312" s="4"/>
      <c r="T312" s="4"/>
      <c r="U312" s="4"/>
      <c r="V312" s="4"/>
      <c r="W312" s="4"/>
      <c r="X312" s="4"/>
      <c r="Y312" s="4"/>
    </row>
    <row r="313" ht="9.75" customHeight="1">
      <c r="A313" s="65"/>
      <c r="B313" s="146" t="s">
        <v>278</v>
      </c>
      <c r="C313" s="147" t="s">
        <v>27</v>
      </c>
      <c r="D313" s="148"/>
      <c r="E313" s="117">
        <v>1.0</v>
      </c>
      <c r="F313" s="73">
        <v>14.0</v>
      </c>
      <c r="G313" s="90">
        <f t="shared" si="54"/>
        <v>14</v>
      </c>
      <c r="H313" s="4">
        <f t="shared" si="51"/>
        <v>0</v>
      </c>
      <c r="I313" s="59">
        <f t="shared" si="52"/>
        <v>0</v>
      </c>
      <c r="J313" s="4"/>
      <c r="K313" s="4"/>
      <c r="L313" s="4"/>
      <c r="M313" s="4"/>
      <c r="N313" s="4"/>
      <c r="O313" s="4"/>
      <c r="P313" s="4"/>
      <c r="Q313" s="4"/>
      <c r="R313" s="4"/>
      <c r="S313" s="4"/>
      <c r="T313" s="4"/>
      <c r="U313" s="4"/>
      <c r="V313" s="4"/>
      <c r="W313" s="4"/>
      <c r="X313" s="4"/>
      <c r="Y313" s="4"/>
    </row>
    <row r="314" ht="9.75" customHeight="1">
      <c r="A314" s="65"/>
      <c r="B314" s="146" t="s">
        <v>279</v>
      </c>
      <c r="C314" s="147" t="s">
        <v>27</v>
      </c>
      <c r="D314" s="148"/>
      <c r="E314" s="117">
        <v>1.0</v>
      </c>
      <c r="F314" s="73">
        <v>2.04</v>
      </c>
      <c r="G314" s="90">
        <f t="shared" si="54"/>
        <v>2.04</v>
      </c>
      <c r="H314" s="4">
        <f t="shared" si="51"/>
        <v>0</v>
      </c>
      <c r="I314" s="59">
        <f t="shared" si="52"/>
        <v>0</v>
      </c>
      <c r="J314" s="4"/>
      <c r="K314" s="4"/>
      <c r="L314" s="4"/>
      <c r="M314" s="4"/>
      <c r="N314" s="4"/>
      <c r="O314" s="4"/>
      <c r="P314" s="4"/>
      <c r="Q314" s="4"/>
      <c r="R314" s="4"/>
      <c r="S314" s="4"/>
      <c r="T314" s="4"/>
      <c r="U314" s="4"/>
      <c r="V314" s="4"/>
      <c r="W314" s="4"/>
      <c r="X314" s="4"/>
      <c r="Y314" s="4"/>
    </row>
    <row r="315" ht="9.75" customHeight="1">
      <c r="A315" s="65"/>
      <c r="B315" s="146" t="s">
        <v>280</v>
      </c>
      <c r="C315" s="147" t="s">
        <v>27</v>
      </c>
      <c r="D315" s="148"/>
      <c r="E315" s="117">
        <v>1.0</v>
      </c>
      <c r="F315" s="73">
        <v>6.0</v>
      </c>
      <c r="G315" s="90">
        <f t="shared" si="54"/>
        <v>6</v>
      </c>
      <c r="H315" s="4">
        <f t="shared" si="51"/>
        <v>0</v>
      </c>
      <c r="I315" s="59">
        <f t="shared" si="52"/>
        <v>0</v>
      </c>
      <c r="J315" s="4"/>
      <c r="K315" s="4"/>
      <c r="L315" s="4"/>
      <c r="M315" s="4"/>
      <c r="N315" s="4"/>
      <c r="O315" s="4"/>
      <c r="P315" s="4"/>
      <c r="Q315" s="4"/>
      <c r="R315" s="4"/>
      <c r="S315" s="4"/>
      <c r="T315" s="4"/>
      <c r="U315" s="4"/>
      <c r="V315" s="4"/>
      <c r="W315" s="4"/>
      <c r="X315" s="4"/>
      <c r="Y315" s="4"/>
    </row>
    <row r="316" ht="9.75" customHeight="1">
      <c r="A316" s="65"/>
      <c r="B316" s="146" t="s">
        <v>281</v>
      </c>
      <c r="C316" s="147" t="s">
        <v>27</v>
      </c>
      <c r="D316" s="148"/>
      <c r="E316" s="117">
        <v>1.0</v>
      </c>
      <c r="F316" s="73">
        <v>2.88</v>
      </c>
      <c r="G316" s="90">
        <f t="shared" si="54"/>
        <v>2.88</v>
      </c>
      <c r="H316" s="4">
        <f t="shared" si="51"/>
        <v>0</v>
      </c>
      <c r="I316" s="59">
        <f t="shared" si="52"/>
        <v>0</v>
      </c>
      <c r="J316" s="4"/>
      <c r="K316" s="4"/>
      <c r="L316" s="4"/>
      <c r="M316" s="4"/>
      <c r="N316" s="4"/>
      <c r="O316" s="4"/>
      <c r="P316" s="4"/>
      <c r="Q316" s="4"/>
      <c r="R316" s="4"/>
      <c r="S316" s="4"/>
      <c r="T316" s="4"/>
      <c r="U316" s="4"/>
      <c r="V316" s="4"/>
      <c r="W316" s="4"/>
      <c r="X316" s="4"/>
      <c r="Y316" s="4"/>
    </row>
    <row r="317" ht="9.75" customHeight="1">
      <c r="A317" s="65"/>
      <c r="B317" s="146" t="s">
        <v>282</v>
      </c>
      <c r="C317" s="147" t="s">
        <v>27</v>
      </c>
      <c r="D317" s="148"/>
      <c r="E317" s="117">
        <v>1.0</v>
      </c>
      <c r="F317" s="73">
        <v>21.599999999999998</v>
      </c>
      <c r="G317" s="90">
        <f t="shared" si="54"/>
        <v>21.6</v>
      </c>
      <c r="H317" s="4">
        <f t="shared" si="51"/>
        <v>0</v>
      </c>
      <c r="I317" s="59">
        <f t="shared" si="52"/>
        <v>0</v>
      </c>
      <c r="J317" s="4"/>
      <c r="K317" s="4"/>
      <c r="L317" s="4"/>
      <c r="M317" s="4"/>
      <c r="N317" s="4"/>
      <c r="O317" s="4"/>
      <c r="P317" s="4"/>
      <c r="Q317" s="4"/>
      <c r="R317" s="4"/>
      <c r="S317" s="4"/>
      <c r="T317" s="4"/>
      <c r="U317" s="4"/>
      <c r="V317" s="4"/>
      <c r="W317" s="4"/>
      <c r="X317" s="4"/>
      <c r="Y317" s="4"/>
    </row>
    <row r="318" ht="9.75" customHeight="1">
      <c r="A318" s="65"/>
      <c r="B318" s="146" t="s">
        <v>283</v>
      </c>
      <c r="C318" s="147" t="s">
        <v>27</v>
      </c>
      <c r="D318" s="148"/>
      <c r="E318" s="117">
        <v>1.0</v>
      </c>
      <c r="F318" s="73">
        <v>8.5</v>
      </c>
      <c r="G318" s="90">
        <f t="shared" si="54"/>
        <v>8.5</v>
      </c>
      <c r="H318" s="4">
        <f t="shared" si="51"/>
        <v>0</v>
      </c>
      <c r="I318" s="59">
        <f t="shared" si="52"/>
        <v>0</v>
      </c>
      <c r="J318" s="4"/>
      <c r="K318" s="4"/>
      <c r="L318" s="4"/>
      <c r="M318" s="4"/>
      <c r="N318" s="4"/>
      <c r="O318" s="4"/>
      <c r="P318" s="4"/>
      <c r="Q318" s="4"/>
      <c r="R318" s="4"/>
      <c r="S318" s="4"/>
      <c r="T318" s="4"/>
      <c r="U318" s="4"/>
      <c r="V318" s="4"/>
      <c r="W318" s="4"/>
      <c r="X318" s="4"/>
      <c r="Y318" s="4"/>
    </row>
    <row r="319" ht="9.75" customHeight="1">
      <c r="A319" s="65"/>
      <c r="B319" s="146" t="s">
        <v>284</v>
      </c>
      <c r="C319" s="147" t="s">
        <v>27</v>
      </c>
      <c r="D319" s="148"/>
      <c r="E319" s="117">
        <v>1.0</v>
      </c>
      <c r="F319" s="73">
        <v>5.0</v>
      </c>
      <c r="G319" s="90">
        <f t="shared" si="54"/>
        <v>5</v>
      </c>
      <c r="H319" s="4">
        <f t="shared" si="51"/>
        <v>0</v>
      </c>
      <c r="I319" s="59">
        <f t="shared" si="52"/>
        <v>0</v>
      </c>
      <c r="J319" s="4"/>
      <c r="K319" s="4"/>
      <c r="L319" s="4"/>
      <c r="M319" s="4"/>
      <c r="N319" s="4"/>
      <c r="O319" s="4"/>
      <c r="P319" s="4"/>
      <c r="Q319" s="4"/>
      <c r="R319" s="4"/>
      <c r="S319" s="4"/>
      <c r="T319" s="4"/>
      <c r="U319" s="4"/>
      <c r="V319" s="4"/>
      <c r="W319" s="4"/>
      <c r="X319" s="4"/>
      <c r="Y319" s="4"/>
    </row>
    <row r="320" ht="9.75" customHeight="1">
      <c r="A320" s="65"/>
      <c r="B320" s="146" t="s">
        <v>285</v>
      </c>
      <c r="C320" s="147" t="s">
        <v>27</v>
      </c>
      <c r="D320" s="148"/>
      <c r="E320" s="117">
        <v>1.0</v>
      </c>
      <c r="F320" s="73">
        <v>6.9</v>
      </c>
      <c r="G320" s="90">
        <f t="shared" si="54"/>
        <v>6.9</v>
      </c>
      <c r="H320" s="4">
        <f t="shared" si="51"/>
        <v>0</v>
      </c>
      <c r="I320" s="59">
        <f t="shared" si="52"/>
        <v>0</v>
      </c>
      <c r="J320" s="4"/>
      <c r="K320" s="4"/>
      <c r="L320" s="4"/>
      <c r="M320" s="4"/>
      <c r="N320" s="4"/>
      <c r="O320" s="4"/>
      <c r="P320" s="4"/>
      <c r="Q320" s="4"/>
      <c r="R320" s="4"/>
      <c r="S320" s="4"/>
      <c r="T320" s="4"/>
      <c r="U320" s="4"/>
      <c r="V320" s="4"/>
      <c r="W320" s="4"/>
      <c r="X320" s="4"/>
      <c r="Y320" s="4"/>
    </row>
    <row r="321" ht="9.75" customHeight="1">
      <c r="A321" s="65"/>
      <c r="B321" s="146"/>
      <c r="C321" s="147"/>
      <c r="D321" s="148"/>
      <c r="E321" s="148"/>
      <c r="F321" s="73"/>
      <c r="G321" s="90"/>
      <c r="H321" s="4"/>
      <c r="I321" s="59"/>
      <c r="J321" s="4"/>
      <c r="K321" s="4"/>
      <c r="L321" s="4"/>
      <c r="M321" s="4"/>
      <c r="N321" s="4"/>
      <c r="O321" s="4"/>
      <c r="P321" s="4"/>
      <c r="Q321" s="4"/>
      <c r="R321" s="4"/>
      <c r="S321" s="4"/>
      <c r="T321" s="4"/>
      <c r="U321" s="4"/>
      <c r="V321" s="4"/>
      <c r="W321" s="4"/>
      <c r="X321" s="4"/>
      <c r="Y321" s="4"/>
    </row>
    <row r="322" ht="9.75" customHeight="1">
      <c r="A322" s="65"/>
      <c r="B322" s="115"/>
      <c r="C322" s="67"/>
      <c r="D322" s="157"/>
      <c r="E322" s="157"/>
      <c r="F322" s="118"/>
      <c r="G322" s="90">
        <f t="shared" ref="G322:G323" si="55">E322*F322</f>
        <v>0</v>
      </c>
      <c r="H322" s="4">
        <f t="shared" ref="H322:H351" si="56">IFERROR(IF(FIND("Sous-",B322,1)&lt;&gt;0,G322,1),0)</f>
        <v>0</v>
      </c>
      <c r="I322" s="59">
        <f t="shared" ref="I322:I351" si="57">IFERROR(H322/$H$6,0)</f>
        <v>0</v>
      </c>
      <c r="J322" s="4"/>
      <c r="K322" s="4"/>
      <c r="L322" s="4"/>
      <c r="M322" s="4"/>
      <c r="N322" s="4"/>
      <c r="O322" s="4"/>
      <c r="P322" s="4"/>
      <c r="Q322" s="4"/>
      <c r="R322" s="4"/>
      <c r="S322" s="4"/>
      <c r="T322" s="4"/>
      <c r="U322" s="4"/>
      <c r="V322" s="4"/>
      <c r="W322" s="4"/>
      <c r="X322" s="4"/>
      <c r="Y322" s="4"/>
    </row>
    <row r="323" ht="9.75" customHeight="1">
      <c r="A323" s="65"/>
      <c r="B323" s="146" t="s">
        <v>286</v>
      </c>
      <c r="C323" s="147" t="s">
        <v>27</v>
      </c>
      <c r="D323" s="148"/>
      <c r="E323" s="148">
        <f>$F$5</f>
        <v>1</v>
      </c>
      <c r="F323" s="73">
        <v>9.0</v>
      </c>
      <c r="G323" s="90">
        <f t="shared" si="55"/>
        <v>9</v>
      </c>
      <c r="H323" s="4">
        <f t="shared" si="56"/>
        <v>0</v>
      </c>
      <c r="I323" s="59">
        <f t="shared" si="57"/>
        <v>0</v>
      </c>
      <c r="J323" s="4"/>
      <c r="K323" s="4"/>
      <c r="L323" s="4"/>
      <c r="M323" s="4"/>
      <c r="N323" s="4"/>
      <c r="O323" s="4"/>
      <c r="P323" s="4"/>
      <c r="Q323" s="4"/>
      <c r="R323" s="4"/>
      <c r="S323" s="4"/>
      <c r="T323" s="4"/>
      <c r="U323" s="4"/>
      <c r="V323" s="4"/>
      <c r="W323" s="4"/>
      <c r="X323" s="4"/>
      <c r="Y323" s="4"/>
    </row>
    <row r="324" ht="9.75" customHeight="1">
      <c r="A324" s="65"/>
      <c r="B324" s="115"/>
      <c r="C324" s="67"/>
      <c r="D324" s="157"/>
      <c r="E324" s="157"/>
      <c r="F324" s="118"/>
      <c r="G324" s="90"/>
      <c r="H324" s="4">
        <f t="shared" si="56"/>
        <v>0</v>
      </c>
      <c r="I324" s="59">
        <f t="shared" si="57"/>
        <v>0</v>
      </c>
      <c r="J324" s="4"/>
      <c r="K324" s="4"/>
      <c r="L324" s="4"/>
      <c r="M324" s="4"/>
      <c r="N324" s="4"/>
      <c r="O324" s="4"/>
      <c r="P324" s="4"/>
      <c r="Q324" s="4"/>
      <c r="R324" s="4"/>
      <c r="S324" s="4"/>
      <c r="T324" s="4"/>
      <c r="U324" s="4"/>
      <c r="V324" s="4"/>
      <c r="W324" s="4"/>
      <c r="X324" s="4"/>
      <c r="Y324" s="4"/>
    </row>
    <row r="325" ht="9.75" customHeight="1">
      <c r="A325" s="65"/>
      <c r="B325" s="115" t="s">
        <v>287</v>
      </c>
      <c r="C325" s="67" t="s">
        <v>34</v>
      </c>
      <c r="D325" s="157"/>
      <c r="E325" s="117">
        <v>1.0</v>
      </c>
      <c r="F325" s="118">
        <f>(3*19)+(2*110)</f>
        <v>277</v>
      </c>
      <c r="G325" s="90">
        <f t="shared" ref="G325:G339" si="58">E325*F325</f>
        <v>277</v>
      </c>
      <c r="H325" s="4">
        <f t="shared" si="56"/>
        <v>0</v>
      </c>
      <c r="I325" s="59">
        <f t="shared" si="57"/>
        <v>0</v>
      </c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</row>
    <row r="326" ht="9.75" customHeight="1">
      <c r="A326" s="65"/>
      <c r="B326" s="115"/>
      <c r="C326" s="67"/>
      <c r="D326" s="157"/>
      <c r="E326" s="157"/>
      <c r="F326" s="118"/>
      <c r="G326" s="90">
        <f t="shared" si="58"/>
        <v>0</v>
      </c>
      <c r="H326" s="4">
        <f t="shared" si="56"/>
        <v>0</v>
      </c>
      <c r="I326" s="59">
        <f t="shared" si="57"/>
        <v>0</v>
      </c>
      <c r="J326" s="4"/>
      <c r="K326" s="4"/>
      <c r="L326" s="4"/>
      <c r="M326" s="4"/>
      <c r="N326" s="4"/>
      <c r="O326" s="4"/>
      <c r="P326" s="4"/>
      <c r="Q326" s="4"/>
      <c r="R326" s="4"/>
      <c r="S326" s="4"/>
      <c r="T326" s="4"/>
      <c r="U326" s="4"/>
      <c r="V326" s="4"/>
      <c r="W326" s="4"/>
      <c r="X326" s="4"/>
      <c r="Y326" s="4"/>
    </row>
    <row r="327" ht="9.75" customHeight="1">
      <c r="A327" s="65"/>
      <c r="B327" s="152" t="s">
        <v>288</v>
      </c>
      <c r="C327" s="153" t="s">
        <v>34</v>
      </c>
      <c r="D327" s="154"/>
      <c r="E327" s="117">
        <v>1.0</v>
      </c>
      <c r="F327" s="88"/>
      <c r="G327" s="90">
        <f t="shared" si="58"/>
        <v>0</v>
      </c>
      <c r="H327" s="4">
        <f t="shared" si="56"/>
        <v>0</v>
      </c>
      <c r="I327" s="59">
        <f t="shared" si="57"/>
        <v>0</v>
      </c>
      <c r="J327" s="4"/>
      <c r="K327" s="4"/>
      <c r="L327" s="4"/>
      <c r="M327" s="4"/>
      <c r="N327" s="4"/>
      <c r="O327" s="4"/>
      <c r="P327" s="4"/>
      <c r="Q327" s="4"/>
      <c r="R327" s="4"/>
      <c r="S327" s="4"/>
      <c r="T327" s="4"/>
      <c r="U327" s="4"/>
      <c r="V327" s="4"/>
      <c r="W327" s="4"/>
      <c r="X327" s="4"/>
      <c r="Y327" s="4"/>
    </row>
    <row r="328" ht="9.75" customHeight="1">
      <c r="A328" s="65"/>
      <c r="B328" s="79" t="s">
        <v>289</v>
      </c>
      <c r="C328" s="80" t="s">
        <v>34</v>
      </c>
      <c r="D328" s="100"/>
      <c r="E328" s="117">
        <v>1.0</v>
      </c>
      <c r="F328" s="78"/>
      <c r="G328" s="90">
        <f t="shared" si="58"/>
        <v>0</v>
      </c>
      <c r="H328" s="4">
        <f t="shared" si="56"/>
        <v>0</v>
      </c>
      <c r="I328" s="59">
        <f t="shared" si="57"/>
        <v>0</v>
      </c>
      <c r="J328" s="4"/>
      <c r="K328" s="4"/>
      <c r="L328" s="4"/>
      <c r="M328" s="4"/>
      <c r="N328" s="4"/>
      <c r="O328" s="4"/>
      <c r="P328" s="4"/>
      <c r="Q328" s="4"/>
      <c r="R328" s="4"/>
      <c r="S328" s="4"/>
      <c r="T328" s="4"/>
      <c r="U328" s="4"/>
      <c r="V328" s="4"/>
      <c r="W328" s="4"/>
      <c r="X328" s="4"/>
      <c r="Y328" s="4"/>
    </row>
    <row r="329" ht="9.75" customHeight="1">
      <c r="A329" s="65"/>
      <c r="B329" s="79" t="s">
        <v>290</v>
      </c>
      <c r="C329" s="80" t="s">
        <v>34</v>
      </c>
      <c r="D329" s="100"/>
      <c r="E329" s="117">
        <v>1.0</v>
      </c>
      <c r="F329" s="78"/>
      <c r="G329" s="90">
        <f t="shared" si="58"/>
        <v>0</v>
      </c>
      <c r="H329" s="4">
        <f t="shared" si="56"/>
        <v>0</v>
      </c>
      <c r="I329" s="59">
        <f t="shared" si="57"/>
        <v>0</v>
      </c>
      <c r="J329" s="4"/>
      <c r="K329" s="4"/>
      <c r="L329" s="4"/>
      <c r="M329" s="4"/>
      <c r="N329" s="4"/>
      <c r="O329" s="4"/>
      <c r="P329" s="4"/>
      <c r="Q329" s="4"/>
      <c r="R329" s="4"/>
      <c r="S329" s="4"/>
      <c r="T329" s="4"/>
      <c r="U329" s="4"/>
      <c r="V329" s="4"/>
      <c r="W329" s="4"/>
      <c r="X329" s="4"/>
      <c r="Y329" s="4"/>
    </row>
    <row r="330" ht="9.75" customHeight="1">
      <c r="A330" s="65"/>
      <c r="B330" s="79" t="s">
        <v>291</v>
      </c>
      <c r="C330" s="80" t="s">
        <v>34</v>
      </c>
      <c r="D330" s="100"/>
      <c r="E330" s="117">
        <v>1.0</v>
      </c>
      <c r="F330" s="78"/>
      <c r="G330" s="90">
        <f t="shared" si="58"/>
        <v>0</v>
      </c>
      <c r="H330" s="4">
        <f t="shared" si="56"/>
        <v>0</v>
      </c>
      <c r="I330" s="59">
        <f t="shared" si="57"/>
        <v>0</v>
      </c>
      <c r="J330" s="4"/>
      <c r="K330" s="4"/>
      <c r="L330" s="4"/>
      <c r="M330" s="4"/>
      <c r="N330" s="4"/>
      <c r="O330" s="4"/>
      <c r="P330" s="4"/>
      <c r="Q330" s="4"/>
      <c r="R330" s="4"/>
      <c r="S330" s="4"/>
      <c r="T330" s="4"/>
      <c r="U330" s="4"/>
      <c r="V330" s="4"/>
      <c r="W330" s="4"/>
      <c r="X330" s="4"/>
      <c r="Y330" s="4"/>
    </row>
    <row r="331" ht="9.75" customHeight="1">
      <c r="A331" s="65"/>
      <c r="B331" s="79" t="s">
        <v>292</v>
      </c>
      <c r="C331" s="80" t="s">
        <v>34</v>
      </c>
      <c r="D331" s="100"/>
      <c r="E331" s="117">
        <v>1.0</v>
      </c>
      <c r="F331" s="78"/>
      <c r="G331" s="90">
        <f t="shared" si="58"/>
        <v>0</v>
      </c>
      <c r="H331" s="4">
        <f t="shared" si="56"/>
        <v>0</v>
      </c>
      <c r="I331" s="59">
        <f t="shared" si="57"/>
        <v>0</v>
      </c>
      <c r="J331" s="4"/>
      <c r="K331" s="4"/>
      <c r="L331" s="4"/>
      <c r="M331" s="4"/>
      <c r="N331" s="4"/>
      <c r="O331" s="4"/>
      <c r="P331" s="4"/>
      <c r="Q331" s="4"/>
      <c r="R331" s="4"/>
      <c r="S331" s="4"/>
      <c r="T331" s="4"/>
      <c r="U331" s="4"/>
      <c r="V331" s="4"/>
      <c r="W331" s="4"/>
      <c r="X331" s="4"/>
      <c r="Y331" s="4"/>
    </row>
    <row r="332" ht="9.75" customHeight="1">
      <c r="A332" s="65"/>
      <c r="B332" s="79" t="s">
        <v>293</v>
      </c>
      <c r="C332" s="80" t="s">
        <v>34</v>
      </c>
      <c r="D332" s="100"/>
      <c r="E332" s="117">
        <v>1.0</v>
      </c>
      <c r="F332" s="78"/>
      <c r="G332" s="90">
        <f t="shared" si="58"/>
        <v>0</v>
      </c>
      <c r="H332" s="4">
        <f t="shared" si="56"/>
        <v>0</v>
      </c>
      <c r="I332" s="59">
        <f t="shared" si="57"/>
        <v>0</v>
      </c>
      <c r="J332" s="4"/>
      <c r="K332" s="4"/>
      <c r="L332" s="4"/>
      <c r="M332" s="4"/>
      <c r="N332" s="4"/>
      <c r="O332" s="4"/>
      <c r="P332" s="4"/>
      <c r="Q332" s="4"/>
      <c r="R332" s="4"/>
      <c r="S332" s="4"/>
      <c r="T332" s="4"/>
      <c r="U332" s="4"/>
      <c r="V332" s="4"/>
      <c r="W332" s="4"/>
      <c r="X332" s="4"/>
      <c r="Y332" s="4"/>
    </row>
    <row r="333" ht="9.75" customHeight="1">
      <c r="A333" s="65"/>
      <c r="B333" s="79" t="s">
        <v>294</v>
      </c>
      <c r="C333" s="80" t="s">
        <v>34</v>
      </c>
      <c r="D333" s="100"/>
      <c r="E333" s="117">
        <v>1.0</v>
      </c>
      <c r="F333" s="78"/>
      <c r="G333" s="90">
        <f t="shared" si="58"/>
        <v>0</v>
      </c>
      <c r="H333" s="4">
        <f t="shared" si="56"/>
        <v>0</v>
      </c>
      <c r="I333" s="59">
        <f t="shared" si="57"/>
        <v>0</v>
      </c>
      <c r="J333" s="4"/>
      <c r="K333" s="4"/>
      <c r="L333" s="4"/>
      <c r="M333" s="4"/>
      <c r="N333" s="4"/>
      <c r="O333" s="4"/>
      <c r="P333" s="4"/>
      <c r="Q333" s="4"/>
      <c r="R333" s="4"/>
      <c r="S333" s="4"/>
      <c r="T333" s="4"/>
      <c r="U333" s="4"/>
      <c r="V333" s="4"/>
      <c r="W333" s="4"/>
      <c r="X333" s="4"/>
      <c r="Y333" s="4"/>
    </row>
    <row r="334" ht="9.75" customHeight="1">
      <c r="A334" s="65"/>
      <c r="B334" s="79" t="s">
        <v>295</v>
      </c>
      <c r="C334" s="80" t="s">
        <v>34</v>
      </c>
      <c r="D334" s="100"/>
      <c r="E334" s="117">
        <v>1.0</v>
      </c>
      <c r="F334" s="78"/>
      <c r="G334" s="90">
        <f t="shared" si="58"/>
        <v>0</v>
      </c>
      <c r="H334" s="4">
        <f t="shared" si="56"/>
        <v>0</v>
      </c>
      <c r="I334" s="59">
        <f t="shared" si="57"/>
        <v>0</v>
      </c>
      <c r="J334" s="4"/>
      <c r="K334" s="4"/>
      <c r="L334" s="4"/>
      <c r="M334" s="4"/>
      <c r="N334" s="4"/>
      <c r="O334" s="4"/>
      <c r="P334" s="4"/>
      <c r="Q334" s="4"/>
      <c r="R334" s="4"/>
      <c r="S334" s="4"/>
      <c r="T334" s="4"/>
      <c r="U334" s="4"/>
      <c r="V334" s="4"/>
      <c r="W334" s="4"/>
      <c r="X334" s="4"/>
      <c r="Y334" s="4"/>
    </row>
    <row r="335" ht="9.75" customHeight="1">
      <c r="A335" s="65"/>
      <c r="B335" s="79" t="s">
        <v>296</v>
      </c>
      <c r="C335" s="80" t="s">
        <v>34</v>
      </c>
      <c r="D335" s="100"/>
      <c r="E335" s="117">
        <v>1.0</v>
      </c>
      <c r="F335" s="78"/>
      <c r="G335" s="90">
        <f t="shared" si="58"/>
        <v>0</v>
      </c>
      <c r="H335" s="4">
        <f t="shared" si="56"/>
        <v>0</v>
      </c>
      <c r="I335" s="59">
        <f t="shared" si="57"/>
        <v>0</v>
      </c>
      <c r="J335" s="4"/>
      <c r="K335" s="4"/>
      <c r="L335" s="4"/>
      <c r="M335" s="4"/>
      <c r="N335" s="4"/>
      <c r="O335" s="4"/>
      <c r="P335" s="4"/>
      <c r="Q335" s="4"/>
      <c r="R335" s="4"/>
      <c r="S335" s="4"/>
      <c r="T335" s="4"/>
      <c r="U335" s="4"/>
      <c r="V335" s="4"/>
      <c r="W335" s="4"/>
      <c r="X335" s="4"/>
      <c r="Y335" s="4"/>
    </row>
    <row r="336" ht="9.75" customHeight="1">
      <c r="A336" s="65"/>
      <c r="B336" s="79" t="s">
        <v>297</v>
      </c>
      <c r="C336" s="80" t="s">
        <v>34</v>
      </c>
      <c r="D336" s="100"/>
      <c r="E336" s="117">
        <v>1.0</v>
      </c>
      <c r="F336" s="78"/>
      <c r="G336" s="90">
        <f t="shared" si="58"/>
        <v>0</v>
      </c>
      <c r="H336" s="4">
        <f t="shared" si="56"/>
        <v>0</v>
      </c>
      <c r="I336" s="59">
        <f t="shared" si="57"/>
        <v>0</v>
      </c>
      <c r="J336" s="4"/>
      <c r="K336" s="4"/>
      <c r="L336" s="4"/>
      <c r="M336" s="4"/>
      <c r="N336" s="4"/>
      <c r="O336" s="4"/>
      <c r="P336" s="4"/>
      <c r="Q336" s="4"/>
      <c r="R336" s="4"/>
      <c r="S336" s="4"/>
      <c r="T336" s="4"/>
      <c r="U336" s="4"/>
      <c r="V336" s="4"/>
      <c r="W336" s="4"/>
      <c r="X336" s="4"/>
      <c r="Y336" s="4"/>
    </row>
    <row r="337" ht="9.75" customHeight="1">
      <c r="A337" s="65"/>
      <c r="B337" s="79" t="s">
        <v>298</v>
      </c>
      <c r="C337" s="80" t="s">
        <v>34</v>
      </c>
      <c r="D337" s="100"/>
      <c r="E337" s="117">
        <v>1.0</v>
      </c>
      <c r="F337" s="78"/>
      <c r="G337" s="90">
        <f t="shared" si="58"/>
        <v>0</v>
      </c>
      <c r="H337" s="4">
        <f t="shared" si="56"/>
        <v>0</v>
      </c>
      <c r="I337" s="59">
        <f t="shared" si="57"/>
        <v>0</v>
      </c>
      <c r="J337" s="4"/>
      <c r="K337" s="4"/>
      <c r="L337" s="4"/>
      <c r="M337" s="4"/>
      <c r="N337" s="4"/>
      <c r="O337" s="4"/>
      <c r="P337" s="4"/>
      <c r="Q337" s="4"/>
      <c r="R337" s="4"/>
      <c r="S337" s="4"/>
      <c r="T337" s="4"/>
      <c r="U337" s="4"/>
      <c r="V337" s="4"/>
      <c r="W337" s="4"/>
      <c r="X337" s="4"/>
      <c r="Y337" s="4"/>
    </row>
    <row r="338" ht="9.75" customHeight="1">
      <c r="A338" s="65"/>
      <c r="B338" s="79" t="s">
        <v>299</v>
      </c>
      <c r="C338" s="80" t="s">
        <v>34</v>
      </c>
      <c r="D338" s="100"/>
      <c r="E338" s="117">
        <v>1.0</v>
      </c>
      <c r="F338" s="78"/>
      <c r="G338" s="90">
        <f t="shared" si="58"/>
        <v>0</v>
      </c>
      <c r="H338" s="4">
        <f t="shared" si="56"/>
        <v>0</v>
      </c>
      <c r="I338" s="59">
        <f t="shared" si="57"/>
        <v>0</v>
      </c>
      <c r="J338" s="4"/>
      <c r="K338" s="4"/>
      <c r="L338" s="4"/>
      <c r="M338" s="4"/>
      <c r="N338" s="4"/>
      <c r="O338" s="4"/>
      <c r="P338" s="4"/>
      <c r="Q338" s="4"/>
      <c r="R338" s="4"/>
      <c r="S338" s="4"/>
      <c r="T338" s="4"/>
      <c r="U338" s="4"/>
      <c r="V338" s="4"/>
      <c r="W338" s="4"/>
      <c r="X338" s="4"/>
      <c r="Y338" s="4"/>
    </row>
    <row r="339" ht="9.75" customHeight="1">
      <c r="A339" s="65"/>
      <c r="B339" s="79" t="s">
        <v>300</v>
      </c>
      <c r="C339" s="80" t="s">
        <v>32</v>
      </c>
      <c r="D339" s="100"/>
      <c r="E339" s="117">
        <v>1.0</v>
      </c>
      <c r="F339" s="78"/>
      <c r="G339" s="90">
        <f t="shared" si="58"/>
        <v>0</v>
      </c>
      <c r="H339" s="4">
        <f t="shared" si="56"/>
        <v>0</v>
      </c>
      <c r="I339" s="59">
        <f t="shared" si="57"/>
        <v>0</v>
      </c>
      <c r="J339" s="4"/>
      <c r="K339" s="4"/>
      <c r="L339" s="4"/>
      <c r="M339" s="4"/>
      <c r="N339" s="4"/>
      <c r="O339" s="4"/>
      <c r="P339" s="4"/>
      <c r="Q339" s="4"/>
      <c r="R339" s="4"/>
      <c r="S339" s="4"/>
      <c r="T339" s="4"/>
      <c r="U339" s="4"/>
      <c r="V339" s="4"/>
      <c r="W339" s="4"/>
      <c r="X339" s="4"/>
      <c r="Y339" s="4"/>
    </row>
    <row r="340" ht="16.5" customHeight="1">
      <c r="A340" s="65" t="s">
        <v>301</v>
      </c>
      <c r="B340" s="101" t="str">
        <f>CONCATENATE("Sous-Total : ",A438," - ",B438)</f>
        <v>Sous-Total : aw - Sous-Total :  - Alimentations spécifiques</v>
      </c>
      <c r="C340" s="102"/>
      <c r="D340" s="103"/>
      <c r="E340" s="103"/>
      <c r="F340" s="103"/>
      <c r="G340" s="104">
        <f>SUM(G310:G339)</f>
        <v>374.16</v>
      </c>
      <c r="H340" s="4">
        <f t="shared" si="56"/>
        <v>374.16</v>
      </c>
      <c r="I340" s="59">
        <f t="shared" si="57"/>
        <v>0.000086163694</v>
      </c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</row>
    <row r="341" ht="9.75" customHeight="1">
      <c r="A341" s="65"/>
      <c r="B341" s="105" t="s">
        <v>302</v>
      </c>
      <c r="C341" s="106"/>
      <c r="D341" s="98"/>
      <c r="E341" s="98"/>
      <c r="F341" s="98"/>
      <c r="G341" s="107">
        <f t="shared" ref="G341:G347" si="59">E341*F341</f>
        <v>0</v>
      </c>
      <c r="H341" s="4">
        <f t="shared" si="56"/>
        <v>0</v>
      </c>
      <c r="I341" s="59">
        <f t="shared" si="57"/>
        <v>0</v>
      </c>
      <c r="J341" s="4"/>
      <c r="K341" s="4"/>
      <c r="L341" s="4"/>
      <c r="M341" s="4"/>
      <c r="N341" s="4"/>
      <c r="O341" s="4"/>
      <c r="P341" s="4"/>
      <c r="Q341" s="4"/>
      <c r="R341" s="4"/>
      <c r="S341" s="4"/>
      <c r="T341" s="4"/>
      <c r="U341" s="4"/>
      <c r="V341" s="4"/>
      <c r="W341" s="4"/>
      <c r="X341" s="4"/>
      <c r="Y341" s="4"/>
    </row>
    <row r="342" ht="9.75" customHeight="1">
      <c r="A342" s="65"/>
      <c r="B342" s="146" t="s">
        <v>303</v>
      </c>
      <c r="C342" s="147" t="s">
        <v>27</v>
      </c>
      <c r="D342" s="148"/>
      <c r="E342" s="117">
        <v>1.0</v>
      </c>
      <c r="F342" s="73">
        <v>30.0</v>
      </c>
      <c r="G342" s="90">
        <f t="shared" si="59"/>
        <v>30</v>
      </c>
      <c r="H342" s="4">
        <f t="shared" si="56"/>
        <v>0</v>
      </c>
      <c r="I342" s="59">
        <f t="shared" si="57"/>
        <v>0</v>
      </c>
      <c r="J342" s="4"/>
      <c r="K342" s="4"/>
      <c r="L342" s="4"/>
      <c r="M342" s="4"/>
      <c r="N342" s="4"/>
      <c r="O342" s="4"/>
      <c r="P342" s="4"/>
      <c r="Q342" s="4"/>
      <c r="R342" s="4"/>
      <c r="S342" s="4"/>
      <c r="T342" s="4"/>
      <c r="U342" s="4"/>
      <c r="V342" s="4"/>
      <c r="W342" s="4"/>
      <c r="X342" s="4"/>
      <c r="Y342" s="4"/>
    </row>
    <row r="343" ht="9.75" customHeight="1">
      <c r="A343" s="65"/>
      <c r="B343" s="146" t="s">
        <v>304</v>
      </c>
      <c r="C343" s="147" t="s">
        <v>27</v>
      </c>
      <c r="D343" s="148"/>
      <c r="E343" s="117">
        <v>1.0</v>
      </c>
      <c r="F343" s="73">
        <v>41.0</v>
      </c>
      <c r="G343" s="90">
        <f t="shared" si="59"/>
        <v>41</v>
      </c>
      <c r="H343" s="4">
        <f t="shared" si="56"/>
        <v>0</v>
      </c>
      <c r="I343" s="59">
        <f t="shared" si="57"/>
        <v>0</v>
      </c>
      <c r="J343" s="4"/>
      <c r="K343" s="4"/>
      <c r="L343" s="4"/>
      <c r="M343" s="4"/>
      <c r="N343" s="4"/>
      <c r="O343" s="4"/>
      <c r="P343" s="4"/>
      <c r="Q343" s="4"/>
      <c r="R343" s="4"/>
      <c r="S343" s="4"/>
      <c r="T343" s="4"/>
      <c r="U343" s="4"/>
      <c r="V343" s="4"/>
      <c r="W343" s="4"/>
      <c r="X343" s="4"/>
      <c r="Y343" s="4"/>
    </row>
    <row r="344" ht="9.75" customHeight="1">
      <c r="A344" s="65"/>
      <c r="B344" s="146" t="s">
        <v>305</v>
      </c>
      <c r="C344" s="147" t="s">
        <v>27</v>
      </c>
      <c r="D344" s="148"/>
      <c r="E344" s="117">
        <v>1.0</v>
      </c>
      <c r="F344" s="73">
        <v>35.0</v>
      </c>
      <c r="G344" s="90">
        <f t="shared" si="59"/>
        <v>35</v>
      </c>
      <c r="H344" s="4">
        <f t="shared" si="56"/>
        <v>0</v>
      </c>
      <c r="I344" s="59">
        <f t="shared" si="57"/>
        <v>0</v>
      </c>
      <c r="J344" s="4"/>
      <c r="K344" s="4"/>
      <c r="L344" s="4"/>
      <c r="M344" s="4"/>
      <c r="N344" s="4"/>
      <c r="O344" s="4"/>
      <c r="P344" s="4"/>
      <c r="Q344" s="4"/>
      <c r="R344" s="4"/>
      <c r="S344" s="4"/>
      <c r="T344" s="4"/>
      <c r="U344" s="4"/>
      <c r="V344" s="4"/>
      <c r="W344" s="4"/>
      <c r="X344" s="4"/>
      <c r="Y344" s="4"/>
    </row>
    <row r="345" ht="9.75" customHeight="1">
      <c r="A345" s="65"/>
      <c r="B345" s="146" t="s">
        <v>306</v>
      </c>
      <c r="C345" s="147" t="s">
        <v>27</v>
      </c>
      <c r="D345" s="148"/>
      <c r="E345" s="117">
        <v>1.0</v>
      </c>
      <c r="F345" s="73">
        <v>18.0</v>
      </c>
      <c r="G345" s="90">
        <f t="shared" si="59"/>
        <v>18</v>
      </c>
      <c r="H345" s="4">
        <f t="shared" si="56"/>
        <v>0</v>
      </c>
      <c r="I345" s="59">
        <f t="shared" si="57"/>
        <v>0</v>
      </c>
      <c r="J345" s="4"/>
      <c r="K345" s="4"/>
      <c r="L345" s="4"/>
      <c r="M345" s="4"/>
      <c r="N345" s="4"/>
      <c r="O345" s="4"/>
      <c r="P345" s="4"/>
      <c r="Q345" s="4"/>
      <c r="R345" s="4"/>
      <c r="S345" s="4"/>
      <c r="T345" s="4"/>
      <c r="U345" s="4"/>
      <c r="V345" s="4"/>
      <c r="W345" s="4"/>
      <c r="X345" s="4"/>
      <c r="Y345" s="4"/>
    </row>
    <row r="346" ht="9.75" customHeight="1">
      <c r="A346" s="65"/>
      <c r="B346" s="115"/>
      <c r="C346" s="67"/>
      <c r="D346" s="116"/>
      <c r="E346" s="117"/>
      <c r="F346" s="118"/>
      <c r="G346" s="90">
        <f t="shared" si="59"/>
        <v>0</v>
      </c>
      <c r="H346" s="4">
        <f t="shared" si="56"/>
        <v>0</v>
      </c>
      <c r="I346" s="59">
        <f t="shared" si="57"/>
        <v>0</v>
      </c>
      <c r="J346" s="4"/>
      <c r="K346" s="4"/>
      <c r="L346" s="4"/>
      <c r="M346" s="4"/>
      <c r="N346" s="4"/>
      <c r="O346" s="4"/>
      <c r="P346" s="4"/>
      <c r="Q346" s="4"/>
      <c r="R346" s="4"/>
      <c r="S346" s="4"/>
      <c r="T346" s="4"/>
      <c r="U346" s="4"/>
      <c r="V346" s="4"/>
      <c r="W346" s="4"/>
      <c r="X346" s="4"/>
      <c r="Y346" s="4"/>
    </row>
    <row r="347" ht="9.75" customHeight="1">
      <c r="A347" s="65"/>
      <c r="B347" s="115" t="s">
        <v>307</v>
      </c>
      <c r="C347" s="67" t="s">
        <v>34</v>
      </c>
      <c r="D347" s="116"/>
      <c r="E347" s="117">
        <v>1.0</v>
      </c>
      <c r="F347" s="118">
        <v>3000.0</v>
      </c>
      <c r="G347" s="90">
        <f t="shared" si="59"/>
        <v>3000</v>
      </c>
      <c r="H347" s="4">
        <f t="shared" si="56"/>
        <v>0</v>
      </c>
      <c r="I347" s="59">
        <f t="shared" si="57"/>
        <v>0</v>
      </c>
      <c r="J347" s="4"/>
      <c r="K347" s="4"/>
      <c r="L347" s="4"/>
      <c r="M347" s="4"/>
      <c r="N347" s="4"/>
      <c r="O347" s="4"/>
      <c r="P347" s="4"/>
      <c r="Q347" s="4"/>
      <c r="R347" s="4"/>
      <c r="S347" s="4"/>
      <c r="T347" s="4"/>
      <c r="U347" s="4"/>
      <c r="V347" s="4"/>
      <c r="W347" s="4"/>
      <c r="X347" s="4"/>
      <c r="Y347" s="4"/>
    </row>
    <row r="348" ht="9.75" customHeight="1">
      <c r="A348" s="65"/>
      <c r="B348" s="66"/>
      <c r="C348" s="67"/>
      <c r="D348" s="78"/>
      <c r="E348" s="78"/>
      <c r="F348" s="78"/>
      <c r="G348" s="114"/>
      <c r="H348" s="4">
        <f t="shared" si="56"/>
        <v>0</v>
      </c>
      <c r="I348" s="59">
        <f t="shared" si="57"/>
        <v>0</v>
      </c>
      <c r="J348" s="4"/>
      <c r="K348" s="4"/>
      <c r="L348" s="4"/>
      <c r="M348" s="4"/>
      <c r="N348" s="4"/>
      <c r="O348" s="4"/>
      <c r="P348" s="4"/>
      <c r="Q348" s="4"/>
      <c r="R348" s="4"/>
      <c r="S348" s="4"/>
      <c r="T348" s="4"/>
      <c r="U348" s="4"/>
      <c r="V348" s="4"/>
      <c r="W348" s="4"/>
      <c r="X348" s="4"/>
      <c r="Y348" s="4"/>
    </row>
    <row r="349" ht="9.75" customHeight="1">
      <c r="A349" s="65"/>
      <c r="B349" s="146" t="s">
        <v>308</v>
      </c>
      <c r="C349" s="147" t="s">
        <v>27</v>
      </c>
      <c r="D349" s="148"/>
      <c r="E349" s="148">
        <f>$F$5</f>
        <v>1</v>
      </c>
      <c r="F349" s="73">
        <v>12.0</v>
      </c>
      <c r="G349" s="90">
        <f t="shared" ref="G349:G369" si="60">E349*F349</f>
        <v>12</v>
      </c>
      <c r="H349" s="4">
        <f t="shared" si="56"/>
        <v>0</v>
      </c>
      <c r="I349" s="59">
        <f t="shared" si="57"/>
        <v>0</v>
      </c>
      <c r="J349" s="4"/>
      <c r="K349" s="4"/>
      <c r="L349" s="4"/>
      <c r="M349" s="4"/>
      <c r="N349" s="4"/>
      <c r="O349" s="4"/>
      <c r="P349" s="4"/>
      <c r="Q349" s="4"/>
      <c r="R349" s="4"/>
      <c r="S349" s="4"/>
      <c r="T349" s="4"/>
      <c r="U349" s="4"/>
      <c r="V349" s="4"/>
      <c r="W349" s="4"/>
      <c r="X349" s="4"/>
      <c r="Y349" s="4"/>
    </row>
    <row r="350" ht="9.75" customHeight="1">
      <c r="A350" s="65"/>
      <c r="B350" s="146" t="s">
        <v>309</v>
      </c>
      <c r="C350" s="147" t="s">
        <v>27</v>
      </c>
      <c r="D350" s="148"/>
      <c r="E350" s="117">
        <v>1.0</v>
      </c>
      <c r="F350" s="73">
        <v>3.5</v>
      </c>
      <c r="G350" s="90">
        <f t="shared" si="60"/>
        <v>3.5</v>
      </c>
      <c r="H350" s="4">
        <f t="shared" si="56"/>
        <v>0</v>
      </c>
      <c r="I350" s="59">
        <f t="shared" si="57"/>
        <v>0</v>
      </c>
      <c r="J350" s="4"/>
      <c r="K350" s="4"/>
      <c r="L350" s="4"/>
      <c r="M350" s="4"/>
      <c r="N350" s="4"/>
      <c r="O350" s="4"/>
      <c r="P350" s="4"/>
      <c r="Q350" s="4"/>
      <c r="R350" s="4"/>
      <c r="S350" s="4"/>
      <c r="T350" s="4"/>
      <c r="U350" s="4"/>
      <c r="V350" s="4"/>
      <c r="W350" s="4"/>
      <c r="X350" s="4"/>
      <c r="Y350" s="4"/>
    </row>
    <row r="351" ht="9.75" customHeight="1">
      <c r="A351" s="65"/>
      <c r="B351" s="150"/>
      <c r="C351" s="151"/>
      <c r="D351" s="127"/>
      <c r="E351" s="127"/>
      <c r="F351" s="127"/>
      <c r="G351" s="128">
        <f t="shared" si="60"/>
        <v>0</v>
      </c>
      <c r="H351" s="4">
        <f t="shared" si="56"/>
        <v>0</v>
      </c>
      <c r="I351" s="59">
        <f t="shared" si="57"/>
        <v>0</v>
      </c>
      <c r="J351" s="4"/>
      <c r="K351" s="4"/>
      <c r="L351" s="4"/>
      <c r="M351" s="4"/>
      <c r="N351" s="4"/>
      <c r="O351" s="4"/>
      <c r="P351" s="4"/>
      <c r="Q351" s="4"/>
      <c r="R351" s="4"/>
      <c r="S351" s="4"/>
      <c r="T351" s="4"/>
      <c r="U351" s="4"/>
      <c r="V351" s="4"/>
      <c r="W351" s="4"/>
      <c r="X351" s="4"/>
      <c r="Y351" s="4"/>
    </row>
    <row r="352" ht="9.75" customHeight="1">
      <c r="A352" s="65"/>
      <c r="B352" s="152" t="s">
        <v>310</v>
      </c>
      <c r="C352" s="153" t="s">
        <v>311</v>
      </c>
      <c r="D352" s="154"/>
      <c r="E352" s="154"/>
      <c r="F352" s="88">
        <v>800.0</v>
      </c>
      <c r="G352" s="155">
        <f t="shared" si="60"/>
        <v>0</v>
      </c>
      <c r="H352" s="4"/>
      <c r="I352" s="59"/>
      <c r="J352" s="4"/>
      <c r="K352" s="4"/>
      <c r="L352" s="4"/>
      <c r="M352" s="4"/>
      <c r="N352" s="4"/>
      <c r="O352" s="4"/>
      <c r="P352" s="4"/>
      <c r="Q352" s="4"/>
      <c r="R352" s="4"/>
      <c r="S352" s="4"/>
      <c r="T352" s="4"/>
      <c r="U352" s="4"/>
      <c r="V352" s="4"/>
      <c r="W352" s="4"/>
      <c r="X352" s="4"/>
      <c r="Y352" s="4"/>
    </row>
    <row r="353" ht="9.75" customHeight="1">
      <c r="A353" s="65"/>
      <c r="B353" s="152" t="s">
        <v>312</v>
      </c>
      <c r="C353" s="153" t="s">
        <v>34</v>
      </c>
      <c r="D353" s="154"/>
      <c r="E353" s="154"/>
      <c r="F353" s="88"/>
      <c r="G353" s="155">
        <f t="shared" si="60"/>
        <v>0</v>
      </c>
      <c r="H353" s="4">
        <f t="shared" ref="H353:H381" si="61">IFERROR(IF(FIND("Sous-",B353,1)&lt;&gt;0,G353,1),0)</f>
        <v>0</v>
      </c>
      <c r="I353" s="59">
        <f t="shared" ref="I353:I381" si="62">IFERROR(H353/$H$6,0)</f>
        <v>0</v>
      </c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</row>
    <row r="354" ht="9.75" customHeight="1">
      <c r="A354" s="65"/>
      <c r="B354" s="79" t="s">
        <v>313</v>
      </c>
      <c r="C354" s="80" t="s">
        <v>34</v>
      </c>
      <c r="D354" s="100"/>
      <c r="E354" s="100"/>
      <c r="F354" s="78"/>
      <c r="G354" s="90">
        <f t="shared" si="60"/>
        <v>0</v>
      </c>
      <c r="H354" s="4">
        <f t="shared" si="61"/>
        <v>0</v>
      </c>
      <c r="I354" s="59">
        <f t="shared" si="62"/>
        <v>0</v>
      </c>
      <c r="J354" s="4"/>
      <c r="K354" s="4"/>
      <c r="L354" s="4"/>
      <c r="M354" s="4"/>
      <c r="N354" s="4"/>
      <c r="O354" s="4"/>
      <c r="P354" s="4"/>
      <c r="Q354" s="4"/>
      <c r="R354" s="4"/>
      <c r="S354" s="4"/>
      <c r="T354" s="4"/>
      <c r="U354" s="4"/>
      <c r="V354" s="4"/>
      <c r="W354" s="4"/>
      <c r="X354" s="4"/>
      <c r="Y354" s="4"/>
    </row>
    <row r="355" ht="9.75" customHeight="1">
      <c r="A355" s="65"/>
      <c r="B355" s="79" t="s">
        <v>314</v>
      </c>
      <c r="C355" s="80" t="s">
        <v>34</v>
      </c>
      <c r="D355" s="100"/>
      <c r="E355" s="100"/>
      <c r="F355" s="78"/>
      <c r="G355" s="90">
        <f t="shared" si="60"/>
        <v>0</v>
      </c>
      <c r="H355" s="4">
        <f t="shared" si="61"/>
        <v>0</v>
      </c>
      <c r="I355" s="59">
        <f t="shared" si="62"/>
        <v>0</v>
      </c>
      <c r="J355" s="4"/>
      <c r="K355" s="4"/>
      <c r="L355" s="4"/>
      <c r="M355" s="4"/>
      <c r="N355" s="4"/>
      <c r="O355" s="4"/>
      <c r="P355" s="4"/>
      <c r="Q355" s="4"/>
      <c r="R355" s="4"/>
      <c r="S355" s="4"/>
      <c r="T355" s="4"/>
      <c r="U355" s="4"/>
      <c r="V355" s="4"/>
      <c r="W355" s="4"/>
      <c r="X355" s="4"/>
      <c r="Y355" s="4"/>
    </row>
    <row r="356" ht="9.75" customHeight="1">
      <c r="A356" s="65"/>
      <c r="B356" s="79" t="s">
        <v>315</v>
      </c>
      <c r="C356" s="80" t="s">
        <v>34</v>
      </c>
      <c r="D356" s="100"/>
      <c r="E356" s="100"/>
      <c r="F356" s="78"/>
      <c r="G356" s="90">
        <f t="shared" si="60"/>
        <v>0</v>
      </c>
      <c r="H356" s="4">
        <f t="shared" si="61"/>
        <v>0</v>
      </c>
      <c r="I356" s="59">
        <f t="shared" si="62"/>
        <v>0</v>
      </c>
      <c r="J356" s="4"/>
      <c r="K356" s="4"/>
      <c r="L356" s="4"/>
      <c r="M356" s="4"/>
      <c r="N356" s="4"/>
      <c r="O356" s="4"/>
      <c r="P356" s="4"/>
      <c r="Q356" s="4"/>
      <c r="R356" s="4"/>
      <c r="S356" s="4"/>
      <c r="T356" s="4"/>
      <c r="U356" s="4"/>
      <c r="V356" s="4"/>
      <c r="W356" s="4"/>
      <c r="X356" s="4"/>
      <c r="Y356" s="4"/>
    </row>
    <row r="357" ht="9.75" customHeight="1">
      <c r="A357" s="65"/>
      <c r="B357" s="79" t="s">
        <v>316</v>
      </c>
      <c r="C357" s="80" t="s">
        <v>34</v>
      </c>
      <c r="D357" s="100"/>
      <c r="E357" s="100"/>
      <c r="F357" s="78"/>
      <c r="G357" s="90">
        <f t="shared" si="60"/>
        <v>0</v>
      </c>
      <c r="H357" s="4">
        <f t="shared" si="61"/>
        <v>0</v>
      </c>
      <c r="I357" s="59">
        <f t="shared" si="62"/>
        <v>0</v>
      </c>
      <c r="J357" s="4"/>
      <c r="K357" s="4"/>
      <c r="L357" s="4"/>
      <c r="M357" s="4"/>
      <c r="N357" s="4"/>
      <c r="O357" s="4"/>
      <c r="P357" s="4"/>
      <c r="Q357" s="4"/>
      <c r="R357" s="4"/>
      <c r="S357" s="4"/>
      <c r="T357" s="4"/>
      <c r="U357" s="4"/>
      <c r="V357" s="4"/>
      <c r="W357" s="4"/>
      <c r="X357" s="4"/>
      <c r="Y357" s="4"/>
    </row>
    <row r="358" ht="9.75" customHeight="1">
      <c r="A358" s="65"/>
      <c r="B358" s="79" t="s">
        <v>317</v>
      </c>
      <c r="C358" s="80" t="s">
        <v>34</v>
      </c>
      <c r="D358" s="100"/>
      <c r="E358" s="100"/>
      <c r="F358" s="78"/>
      <c r="G358" s="90">
        <f t="shared" si="60"/>
        <v>0</v>
      </c>
      <c r="H358" s="4">
        <f t="shared" si="61"/>
        <v>0</v>
      </c>
      <c r="I358" s="59">
        <f t="shared" si="62"/>
        <v>0</v>
      </c>
      <c r="J358" s="4"/>
      <c r="K358" s="4"/>
      <c r="L358" s="4"/>
      <c r="M358" s="4"/>
      <c r="N358" s="4"/>
      <c r="O358" s="4"/>
      <c r="P358" s="4"/>
      <c r="Q358" s="4"/>
      <c r="R358" s="4"/>
      <c r="S358" s="4"/>
      <c r="T358" s="4"/>
      <c r="U358" s="4"/>
      <c r="V358" s="4"/>
      <c r="W358" s="4"/>
      <c r="X358" s="4"/>
      <c r="Y358" s="4"/>
    </row>
    <row r="359" ht="9.75" customHeight="1">
      <c r="A359" s="65"/>
      <c r="B359" s="79" t="s">
        <v>318</v>
      </c>
      <c r="C359" s="80" t="s">
        <v>34</v>
      </c>
      <c r="D359" s="100"/>
      <c r="E359" s="100"/>
      <c r="F359" s="78"/>
      <c r="G359" s="90">
        <f t="shared" si="60"/>
        <v>0</v>
      </c>
      <c r="H359" s="4">
        <f t="shared" si="61"/>
        <v>0</v>
      </c>
      <c r="I359" s="59">
        <f t="shared" si="62"/>
        <v>0</v>
      </c>
      <c r="J359" s="4"/>
      <c r="K359" s="4"/>
      <c r="L359" s="4"/>
      <c r="M359" s="4"/>
      <c r="N359" s="4"/>
      <c r="O359" s="4"/>
      <c r="P359" s="4"/>
      <c r="Q359" s="4"/>
      <c r="R359" s="4"/>
      <c r="S359" s="4"/>
      <c r="T359" s="4"/>
      <c r="U359" s="4"/>
      <c r="V359" s="4"/>
      <c r="W359" s="4"/>
      <c r="X359" s="4"/>
      <c r="Y359" s="4"/>
    </row>
    <row r="360" ht="9.75" customHeight="1">
      <c r="A360" s="65"/>
      <c r="B360" s="79" t="s">
        <v>319</v>
      </c>
      <c r="C360" s="80" t="s">
        <v>34</v>
      </c>
      <c r="D360" s="100"/>
      <c r="E360" s="100"/>
      <c r="F360" s="78"/>
      <c r="G360" s="90">
        <f t="shared" si="60"/>
        <v>0</v>
      </c>
      <c r="H360" s="4">
        <f t="shared" si="61"/>
        <v>0</v>
      </c>
      <c r="I360" s="59">
        <f t="shared" si="62"/>
        <v>0</v>
      </c>
      <c r="J360" s="4"/>
      <c r="K360" s="4"/>
      <c r="L360" s="4"/>
      <c r="M360" s="4"/>
      <c r="N360" s="4"/>
      <c r="O360" s="4"/>
      <c r="P360" s="4"/>
      <c r="Q360" s="4"/>
      <c r="R360" s="4"/>
      <c r="S360" s="4"/>
      <c r="T360" s="4"/>
      <c r="U360" s="4"/>
      <c r="V360" s="4"/>
      <c r="W360" s="4"/>
      <c r="X360" s="4"/>
      <c r="Y360" s="4"/>
    </row>
    <row r="361" ht="9.75" customHeight="1">
      <c r="A361" s="65"/>
      <c r="B361" s="79" t="s">
        <v>320</v>
      </c>
      <c r="C361" s="80" t="s">
        <v>34</v>
      </c>
      <c r="D361" s="100"/>
      <c r="E361" s="100"/>
      <c r="F361" s="78"/>
      <c r="G361" s="90">
        <f t="shared" si="60"/>
        <v>0</v>
      </c>
      <c r="H361" s="4">
        <f t="shared" si="61"/>
        <v>0</v>
      </c>
      <c r="I361" s="59">
        <f t="shared" si="62"/>
        <v>0</v>
      </c>
      <c r="J361" s="4"/>
      <c r="K361" s="4"/>
      <c r="L361" s="4"/>
      <c r="M361" s="4"/>
      <c r="N361" s="4"/>
      <c r="O361" s="4"/>
      <c r="P361" s="4"/>
      <c r="Q361" s="4"/>
      <c r="R361" s="4"/>
      <c r="S361" s="4"/>
      <c r="T361" s="4"/>
      <c r="U361" s="4"/>
      <c r="V361" s="4"/>
      <c r="W361" s="4"/>
      <c r="X361" s="4"/>
      <c r="Y361" s="4"/>
    </row>
    <row r="362" ht="9.75" customHeight="1">
      <c r="A362" s="65"/>
      <c r="B362" s="79" t="s">
        <v>321</v>
      </c>
      <c r="C362" s="80" t="s">
        <v>34</v>
      </c>
      <c r="D362" s="100"/>
      <c r="E362" s="100"/>
      <c r="F362" s="78"/>
      <c r="G362" s="90">
        <f t="shared" si="60"/>
        <v>0</v>
      </c>
      <c r="H362" s="4">
        <f t="shared" si="61"/>
        <v>0</v>
      </c>
      <c r="I362" s="59">
        <f t="shared" si="62"/>
        <v>0</v>
      </c>
      <c r="J362" s="4"/>
      <c r="K362" s="4"/>
      <c r="L362" s="4"/>
      <c r="M362" s="4"/>
      <c r="N362" s="4"/>
      <c r="O362" s="4"/>
      <c r="P362" s="4"/>
      <c r="Q362" s="4"/>
      <c r="R362" s="4"/>
      <c r="S362" s="4"/>
      <c r="T362" s="4"/>
      <c r="U362" s="4"/>
      <c r="V362" s="4"/>
      <c r="W362" s="4"/>
      <c r="X362" s="4"/>
      <c r="Y362" s="4"/>
    </row>
    <row r="363" ht="9.75" customHeight="1">
      <c r="A363" s="65"/>
      <c r="B363" s="79" t="s">
        <v>322</v>
      </c>
      <c r="C363" s="80" t="s">
        <v>34</v>
      </c>
      <c r="D363" s="100"/>
      <c r="E363" s="100"/>
      <c r="F363" s="78"/>
      <c r="G363" s="90">
        <f t="shared" si="60"/>
        <v>0</v>
      </c>
      <c r="H363" s="4">
        <f t="shared" si="61"/>
        <v>0</v>
      </c>
      <c r="I363" s="59">
        <f t="shared" si="62"/>
        <v>0</v>
      </c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</row>
    <row r="364" ht="9.75" customHeight="1">
      <c r="A364" s="65"/>
      <c r="B364" s="79" t="s">
        <v>323</v>
      </c>
      <c r="C364" s="80" t="s">
        <v>34</v>
      </c>
      <c r="D364" s="100"/>
      <c r="E364" s="100"/>
      <c r="F364" s="78"/>
      <c r="G364" s="90">
        <f t="shared" si="60"/>
        <v>0</v>
      </c>
      <c r="H364" s="4">
        <f t="shared" si="61"/>
        <v>0</v>
      </c>
      <c r="I364" s="59">
        <f t="shared" si="62"/>
        <v>0</v>
      </c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  <c r="Y364" s="4"/>
    </row>
    <row r="365" ht="9.75" customHeight="1">
      <c r="A365" s="65"/>
      <c r="B365" s="79" t="s">
        <v>324</v>
      </c>
      <c r="C365" s="80" t="s">
        <v>34</v>
      </c>
      <c r="D365" s="100"/>
      <c r="E365" s="100"/>
      <c r="F365" s="78"/>
      <c r="G365" s="90">
        <f t="shared" si="60"/>
        <v>0</v>
      </c>
      <c r="H365" s="4">
        <f t="shared" si="61"/>
        <v>0</v>
      </c>
      <c r="I365" s="59">
        <f t="shared" si="62"/>
        <v>0</v>
      </c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</row>
    <row r="366" ht="9.75" customHeight="1">
      <c r="A366" s="65"/>
      <c r="B366" s="79" t="s">
        <v>325</v>
      </c>
      <c r="C366" s="80" t="s">
        <v>34</v>
      </c>
      <c r="D366" s="100"/>
      <c r="E366" s="100"/>
      <c r="F366" s="78"/>
      <c r="G366" s="90">
        <f t="shared" si="60"/>
        <v>0</v>
      </c>
      <c r="H366" s="4">
        <f t="shared" si="61"/>
        <v>0</v>
      </c>
      <c r="I366" s="59">
        <f t="shared" si="62"/>
        <v>0</v>
      </c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</row>
    <row r="367" ht="9.75" customHeight="1">
      <c r="A367" s="65"/>
      <c r="B367" s="79" t="s">
        <v>326</v>
      </c>
      <c r="C367" s="80" t="s">
        <v>34</v>
      </c>
      <c r="D367" s="100"/>
      <c r="E367" s="100"/>
      <c r="F367" s="78"/>
      <c r="G367" s="90">
        <f t="shared" si="60"/>
        <v>0</v>
      </c>
      <c r="H367" s="4">
        <f t="shared" si="61"/>
        <v>0</v>
      </c>
      <c r="I367" s="59">
        <f t="shared" si="62"/>
        <v>0</v>
      </c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4"/>
      <c r="X367" s="4"/>
      <c r="Y367" s="4"/>
    </row>
    <row r="368" ht="9.75" customHeight="1">
      <c r="A368" s="65"/>
      <c r="B368" s="79" t="s">
        <v>327</v>
      </c>
      <c r="C368" s="80" t="s">
        <v>34</v>
      </c>
      <c r="D368" s="100"/>
      <c r="E368" s="100"/>
      <c r="F368" s="78"/>
      <c r="G368" s="90">
        <f t="shared" si="60"/>
        <v>0</v>
      </c>
      <c r="H368" s="4">
        <f t="shared" si="61"/>
        <v>0</v>
      </c>
      <c r="I368" s="59">
        <f t="shared" si="62"/>
        <v>0</v>
      </c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</row>
    <row r="369" ht="9.75" customHeight="1">
      <c r="A369" s="65"/>
      <c r="B369" s="79" t="s">
        <v>328</v>
      </c>
      <c r="C369" s="80" t="s">
        <v>32</v>
      </c>
      <c r="D369" s="100"/>
      <c r="E369" s="100"/>
      <c r="F369" s="78"/>
      <c r="G369" s="90">
        <f t="shared" si="60"/>
        <v>0</v>
      </c>
      <c r="H369" s="4">
        <f t="shared" si="61"/>
        <v>0</v>
      </c>
      <c r="I369" s="59">
        <f t="shared" si="62"/>
        <v>0</v>
      </c>
      <c r="J369" s="4"/>
      <c r="K369" s="4"/>
      <c r="L369" s="4"/>
      <c r="M369" s="4"/>
      <c r="N369" s="4"/>
      <c r="O369" s="4"/>
      <c r="P369" s="4"/>
      <c r="Q369" s="4"/>
      <c r="R369" s="4"/>
      <c r="S369" s="4"/>
      <c r="T369" s="4"/>
      <c r="U369" s="4"/>
      <c r="V369" s="4"/>
      <c r="W369" s="4"/>
      <c r="X369" s="4"/>
      <c r="Y369" s="4"/>
    </row>
    <row r="370" ht="12.75" customHeight="1">
      <c r="A370" s="65" t="s">
        <v>329</v>
      </c>
      <c r="B370" s="101" t="str">
        <f>CONCATENATE("Sous-Total : ",A341," - ",B341)</f>
        <v>Sous-Total :  - Eclairage</v>
      </c>
      <c r="C370" s="102"/>
      <c r="D370" s="103"/>
      <c r="E370" s="103"/>
      <c r="F370" s="103"/>
      <c r="G370" s="104">
        <f>SUM(G341:G369)</f>
        <v>3139.5</v>
      </c>
      <c r="H370" s="4">
        <f t="shared" si="61"/>
        <v>3139.5</v>
      </c>
      <c r="I370" s="59">
        <f t="shared" si="62"/>
        <v>0.0007229819257</v>
      </c>
      <c r="J370" s="4"/>
      <c r="K370" s="4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</row>
    <row r="371" ht="9.75" customHeight="1">
      <c r="A371" s="65"/>
      <c r="B371" s="105" t="s">
        <v>330</v>
      </c>
      <c r="C371" s="106"/>
      <c r="D371" s="98"/>
      <c r="E371" s="98"/>
      <c r="F371" s="98"/>
      <c r="G371" s="107">
        <f t="shared" ref="G371:G381" si="63">E371*F371</f>
        <v>0</v>
      </c>
      <c r="H371" s="4">
        <f t="shared" si="61"/>
        <v>0</v>
      </c>
      <c r="I371" s="59">
        <f t="shared" si="62"/>
        <v>0</v>
      </c>
      <c r="J371" s="4"/>
      <c r="K371" s="4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</row>
    <row r="372" ht="9.75" customHeight="1">
      <c r="A372" s="65"/>
      <c r="B372" s="146" t="s">
        <v>331</v>
      </c>
      <c r="C372" s="147" t="s">
        <v>27</v>
      </c>
      <c r="D372" s="148"/>
      <c r="E372" s="117">
        <v>1.0</v>
      </c>
      <c r="F372" s="73">
        <v>4.2</v>
      </c>
      <c r="G372" s="90">
        <f t="shared" si="63"/>
        <v>4.2</v>
      </c>
      <c r="H372" s="4">
        <f t="shared" si="61"/>
        <v>0</v>
      </c>
      <c r="I372" s="59">
        <f t="shared" si="62"/>
        <v>0</v>
      </c>
      <c r="J372" s="4"/>
      <c r="K372" s="4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</row>
    <row r="373" ht="9.75" customHeight="1">
      <c r="A373" s="65"/>
      <c r="B373" s="146" t="s">
        <v>332</v>
      </c>
      <c r="C373" s="147" t="s">
        <v>27</v>
      </c>
      <c r="D373" s="148"/>
      <c r="E373" s="117">
        <v>1.0</v>
      </c>
      <c r="F373" s="73">
        <v>4.7</v>
      </c>
      <c r="G373" s="90">
        <f t="shared" si="63"/>
        <v>4.7</v>
      </c>
      <c r="H373" s="4">
        <f t="shared" si="61"/>
        <v>0</v>
      </c>
      <c r="I373" s="59">
        <f t="shared" si="62"/>
        <v>0</v>
      </c>
      <c r="J373" s="4"/>
      <c r="K373" s="4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4"/>
      <c r="Y373" s="4"/>
    </row>
    <row r="374" ht="9.75" customHeight="1">
      <c r="A374" s="65"/>
      <c r="B374" s="146" t="s">
        <v>333</v>
      </c>
      <c r="C374" s="147" t="s">
        <v>27</v>
      </c>
      <c r="D374" s="148"/>
      <c r="E374" s="117">
        <v>1.0</v>
      </c>
      <c r="F374" s="73">
        <v>4.8</v>
      </c>
      <c r="G374" s="90">
        <f t="shared" si="63"/>
        <v>4.8</v>
      </c>
      <c r="H374" s="4">
        <f t="shared" si="61"/>
        <v>0</v>
      </c>
      <c r="I374" s="59">
        <f t="shared" si="62"/>
        <v>0</v>
      </c>
      <c r="J374" s="4"/>
      <c r="K374" s="4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</row>
    <row r="375" ht="9.75" customHeight="1">
      <c r="A375" s="65"/>
      <c r="B375" s="146" t="s">
        <v>334</v>
      </c>
      <c r="C375" s="147" t="s">
        <v>27</v>
      </c>
      <c r="D375" s="148"/>
      <c r="E375" s="117">
        <v>1.0</v>
      </c>
      <c r="F375" s="73">
        <v>7.2</v>
      </c>
      <c r="G375" s="90">
        <f t="shared" si="63"/>
        <v>7.2</v>
      </c>
      <c r="H375" s="4">
        <f t="shared" si="61"/>
        <v>0</v>
      </c>
      <c r="I375" s="59">
        <f t="shared" si="62"/>
        <v>0</v>
      </c>
      <c r="J375" s="4"/>
      <c r="K375" s="4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</row>
    <row r="376" ht="9.75" customHeight="1">
      <c r="A376" s="65"/>
      <c r="B376" s="146" t="s">
        <v>335</v>
      </c>
      <c r="C376" s="147" t="s">
        <v>27</v>
      </c>
      <c r="D376" s="148"/>
      <c r="E376" s="117">
        <v>1.0</v>
      </c>
      <c r="F376" s="73">
        <v>7.2</v>
      </c>
      <c r="G376" s="90">
        <f t="shared" si="63"/>
        <v>7.2</v>
      </c>
      <c r="H376" s="4">
        <f t="shared" si="61"/>
        <v>0</v>
      </c>
      <c r="I376" s="59">
        <f t="shared" si="62"/>
        <v>0</v>
      </c>
      <c r="J376" s="4"/>
      <c r="K376" s="4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</row>
    <row r="377" ht="9.75" customHeight="1">
      <c r="A377" s="65"/>
      <c r="B377" s="146" t="s">
        <v>336</v>
      </c>
      <c r="C377" s="147" t="s">
        <v>27</v>
      </c>
      <c r="D377" s="148"/>
      <c r="E377" s="117">
        <v>1.0</v>
      </c>
      <c r="F377" s="73">
        <v>4.2</v>
      </c>
      <c r="G377" s="90">
        <f t="shared" si="63"/>
        <v>4.2</v>
      </c>
      <c r="H377" s="4">
        <f t="shared" si="61"/>
        <v>0</v>
      </c>
      <c r="I377" s="59">
        <f t="shared" si="62"/>
        <v>0</v>
      </c>
      <c r="J377" s="4"/>
      <c r="K377" s="4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</row>
    <row r="378" ht="9.75" customHeight="1">
      <c r="A378" s="65"/>
      <c r="B378" s="146" t="s">
        <v>337</v>
      </c>
      <c r="C378" s="147" t="s">
        <v>27</v>
      </c>
      <c r="D378" s="148"/>
      <c r="E378" s="117">
        <v>1.0</v>
      </c>
      <c r="F378" s="73">
        <v>2.4</v>
      </c>
      <c r="G378" s="90">
        <f t="shared" si="63"/>
        <v>2.4</v>
      </c>
      <c r="H378" s="4">
        <f t="shared" si="61"/>
        <v>0</v>
      </c>
      <c r="I378" s="59">
        <f t="shared" si="62"/>
        <v>0</v>
      </c>
      <c r="J378" s="4"/>
      <c r="K378" s="4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</row>
    <row r="379" ht="9.75" customHeight="1">
      <c r="A379" s="65"/>
      <c r="B379" s="146" t="s">
        <v>338</v>
      </c>
      <c r="C379" s="147" t="s">
        <v>27</v>
      </c>
      <c r="D379" s="148"/>
      <c r="E379" s="117">
        <v>1.0</v>
      </c>
      <c r="F379" s="73">
        <v>7.0</v>
      </c>
      <c r="G379" s="90">
        <f t="shared" si="63"/>
        <v>7</v>
      </c>
      <c r="H379" s="4">
        <f t="shared" si="61"/>
        <v>0</v>
      </c>
      <c r="I379" s="59">
        <f t="shared" si="62"/>
        <v>0</v>
      </c>
      <c r="J379" s="4"/>
      <c r="K379" s="4"/>
      <c r="L379" s="4"/>
      <c r="M379" s="4"/>
      <c r="N379" s="4"/>
      <c r="O379" s="4"/>
      <c r="P379" s="4"/>
      <c r="Q379" s="4"/>
      <c r="R379" s="4"/>
      <c r="S379" s="4"/>
      <c r="T379" s="4"/>
      <c r="U379" s="4"/>
      <c r="V379" s="4"/>
      <c r="W379" s="4"/>
      <c r="X379" s="4"/>
      <c r="Y379" s="4"/>
    </row>
    <row r="380" ht="9.75" customHeight="1">
      <c r="A380" s="65"/>
      <c r="B380" s="146" t="s">
        <v>339</v>
      </c>
      <c r="C380" s="147" t="s">
        <v>27</v>
      </c>
      <c r="D380" s="148"/>
      <c r="E380" s="117">
        <v>1.0</v>
      </c>
      <c r="F380" s="73">
        <v>4.05</v>
      </c>
      <c r="G380" s="90">
        <f t="shared" si="63"/>
        <v>4.05</v>
      </c>
      <c r="H380" s="4">
        <f t="shared" si="61"/>
        <v>0</v>
      </c>
      <c r="I380" s="59">
        <f t="shared" si="62"/>
        <v>0</v>
      </c>
      <c r="J380" s="4"/>
      <c r="K380" s="4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</row>
    <row r="381" ht="9.75" customHeight="1">
      <c r="A381" s="65"/>
      <c r="B381" s="146" t="s">
        <v>340</v>
      </c>
      <c r="C381" s="147" t="s">
        <v>27</v>
      </c>
      <c r="D381" s="148"/>
      <c r="E381" s="117">
        <v>1.0</v>
      </c>
      <c r="F381" s="73">
        <v>4.5</v>
      </c>
      <c r="G381" s="90">
        <f t="shared" si="63"/>
        <v>4.5</v>
      </c>
      <c r="H381" s="4">
        <f t="shared" si="61"/>
        <v>0</v>
      </c>
      <c r="I381" s="59">
        <f t="shared" si="62"/>
        <v>0</v>
      </c>
      <c r="J381" s="4"/>
      <c r="K381" s="4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</row>
    <row r="382" ht="9.75" customHeight="1">
      <c r="A382" s="65"/>
      <c r="B382" s="158"/>
      <c r="C382" s="159"/>
      <c r="D382" s="160"/>
      <c r="E382" s="117">
        <v>1.0</v>
      </c>
      <c r="F382" s="161"/>
      <c r="G382" s="94"/>
      <c r="H382" s="4"/>
      <c r="I382" s="59"/>
      <c r="J382" s="4"/>
      <c r="K382" s="4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</row>
    <row r="383" ht="9.75" customHeight="1">
      <c r="A383" s="65"/>
      <c r="B383" s="158" t="s">
        <v>341</v>
      </c>
      <c r="C383" s="147" t="s">
        <v>27</v>
      </c>
      <c r="D383" s="148"/>
      <c r="E383" s="117">
        <v>1.0</v>
      </c>
      <c r="F383" s="161">
        <v>4.0</v>
      </c>
      <c r="G383" s="90">
        <f t="shared" ref="G383:G389" si="64">E383*F383</f>
        <v>4</v>
      </c>
      <c r="H383" s="4"/>
      <c r="I383" s="59"/>
      <c r="J383" s="4"/>
      <c r="K383" s="4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</row>
    <row r="384" ht="9.75" customHeight="1">
      <c r="A384" s="65"/>
      <c r="B384" s="91"/>
      <c r="C384" s="92"/>
      <c r="D384" s="93"/>
      <c r="E384" s="93"/>
      <c r="F384" s="93"/>
      <c r="G384" s="94">
        <f t="shared" si="64"/>
        <v>0</v>
      </c>
      <c r="H384" s="4">
        <f t="shared" ref="H384:H391" si="65">IFERROR(IF(FIND("Sous-",B384,1)&lt;&gt;0,G384,1),0)</f>
        <v>0</v>
      </c>
      <c r="I384" s="59">
        <f t="shared" ref="I384:I391" si="66">IFERROR(H384/$H$6,0)</f>
        <v>0</v>
      </c>
      <c r="J384" s="4"/>
      <c r="K384" s="4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</row>
    <row r="385" ht="9.75" customHeight="1">
      <c r="A385" s="65"/>
      <c r="B385" s="95" t="s">
        <v>342</v>
      </c>
      <c r="C385" s="96" t="s">
        <v>34</v>
      </c>
      <c r="D385" s="97"/>
      <c r="E385" s="97"/>
      <c r="F385" s="98"/>
      <c r="G385" s="99">
        <f t="shared" si="64"/>
        <v>0</v>
      </c>
      <c r="H385" s="4">
        <f t="shared" si="65"/>
        <v>0</v>
      </c>
      <c r="I385" s="59">
        <f t="shared" si="66"/>
        <v>0</v>
      </c>
      <c r="J385" s="4"/>
      <c r="K385" s="4"/>
      <c r="L385" s="4"/>
      <c r="M385" s="4"/>
      <c r="N385" s="4"/>
      <c r="O385" s="4"/>
      <c r="P385" s="4"/>
      <c r="Q385" s="4"/>
      <c r="R385" s="4"/>
      <c r="S385" s="4"/>
      <c r="T385" s="4"/>
      <c r="U385" s="4"/>
      <c r="V385" s="4"/>
      <c r="W385" s="4"/>
      <c r="X385" s="4"/>
      <c r="Y385" s="4"/>
    </row>
    <row r="386" ht="9.75" customHeight="1">
      <c r="A386" s="65"/>
      <c r="B386" s="79" t="s">
        <v>343</v>
      </c>
      <c r="C386" s="80" t="s">
        <v>34</v>
      </c>
      <c r="D386" s="100"/>
      <c r="E386" s="100"/>
      <c r="F386" s="78"/>
      <c r="G386" s="90">
        <f t="shared" si="64"/>
        <v>0</v>
      </c>
      <c r="H386" s="4">
        <f t="shared" si="65"/>
        <v>0</v>
      </c>
      <c r="I386" s="59">
        <f t="shared" si="66"/>
        <v>0</v>
      </c>
      <c r="J386" s="4"/>
      <c r="K386" s="4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</row>
    <row r="387" ht="9.75" customHeight="1">
      <c r="A387" s="65"/>
      <c r="B387" s="79" t="s">
        <v>344</v>
      </c>
      <c r="C387" s="80" t="s">
        <v>34</v>
      </c>
      <c r="D387" s="100"/>
      <c r="E387" s="100"/>
      <c r="F387" s="78"/>
      <c r="G387" s="90">
        <f t="shared" si="64"/>
        <v>0</v>
      </c>
      <c r="H387" s="4">
        <f t="shared" si="65"/>
        <v>0</v>
      </c>
      <c r="I387" s="59">
        <f t="shared" si="66"/>
        <v>0</v>
      </c>
      <c r="J387" s="4"/>
      <c r="K387" s="4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Y387" s="4"/>
    </row>
    <row r="388" ht="9.75" customHeight="1">
      <c r="A388" s="65"/>
      <c r="B388" s="79" t="s">
        <v>345</v>
      </c>
      <c r="C388" s="80" t="s">
        <v>34</v>
      </c>
      <c r="D388" s="100"/>
      <c r="E388" s="100"/>
      <c r="F388" s="78"/>
      <c r="G388" s="90">
        <f t="shared" si="64"/>
        <v>0</v>
      </c>
      <c r="H388" s="4">
        <f t="shared" si="65"/>
        <v>0</v>
      </c>
      <c r="I388" s="59">
        <f t="shared" si="66"/>
        <v>0</v>
      </c>
      <c r="J388" s="4"/>
      <c r="K388" s="4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</row>
    <row r="389" ht="9.75" customHeight="1">
      <c r="A389" s="65"/>
      <c r="B389" s="79" t="s">
        <v>346</v>
      </c>
      <c r="C389" s="80" t="s">
        <v>32</v>
      </c>
      <c r="D389" s="100"/>
      <c r="E389" s="100"/>
      <c r="F389" s="78"/>
      <c r="G389" s="90">
        <f t="shared" si="64"/>
        <v>0</v>
      </c>
      <c r="H389" s="4">
        <f t="shared" si="65"/>
        <v>0</v>
      </c>
      <c r="I389" s="59">
        <f t="shared" si="66"/>
        <v>0</v>
      </c>
      <c r="J389" s="4"/>
      <c r="K389" s="4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</row>
    <row r="390" ht="12.75" customHeight="1">
      <c r="A390" s="65" t="s">
        <v>347</v>
      </c>
      <c r="B390" s="101" t="str">
        <f>CONCATENATE("Sous-Total : ",A371," - ",B371)</f>
        <v>Sous-Total :  - Eclairage de sécurité</v>
      </c>
      <c r="C390" s="102"/>
      <c r="D390" s="103"/>
      <c r="E390" s="103"/>
      <c r="F390" s="103"/>
      <c r="G390" s="104">
        <f>SUM(G371:G389)</f>
        <v>54.25</v>
      </c>
      <c r="H390" s="4">
        <f t="shared" si="65"/>
        <v>54.25</v>
      </c>
      <c r="I390" s="59">
        <f t="shared" si="66"/>
        <v>0.00001249299872</v>
      </c>
      <c r="J390" s="4"/>
      <c r="K390" s="4"/>
      <c r="L390" s="4"/>
      <c r="M390" s="4"/>
      <c r="N390" s="4"/>
      <c r="O390" s="4"/>
      <c r="P390" s="4"/>
      <c r="Q390" s="4"/>
      <c r="R390" s="4"/>
      <c r="S390" s="4"/>
      <c r="T390" s="4"/>
      <c r="U390" s="4"/>
      <c r="V390" s="4"/>
      <c r="W390" s="4"/>
      <c r="X390" s="4"/>
      <c r="Y390" s="4"/>
    </row>
    <row r="391" ht="9.75" customHeight="1">
      <c r="A391" s="65"/>
      <c r="B391" s="105" t="s">
        <v>348</v>
      </c>
      <c r="C391" s="106"/>
      <c r="D391" s="98"/>
      <c r="E391" s="98"/>
      <c r="F391" s="98"/>
      <c r="G391" s="107">
        <f>E391*F391</f>
        <v>0</v>
      </c>
      <c r="H391" s="4">
        <f t="shared" si="65"/>
        <v>0</v>
      </c>
      <c r="I391" s="59">
        <f t="shared" si="66"/>
        <v>0</v>
      </c>
      <c r="J391" s="4"/>
      <c r="K391" s="4"/>
      <c r="L391" s="4"/>
      <c r="M391" s="4"/>
      <c r="N391" s="4"/>
      <c r="O391" s="4"/>
      <c r="P391" s="4"/>
      <c r="Q391" s="4"/>
      <c r="R391" s="4"/>
      <c r="S391" s="4"/>
      <c r="T391" s="4"/>
      <c r="U391" s="4"/>
      <c r="V391" s="4"/>
      <c r="W391" s="4"/>
      <c r="X391" s="4"/>
      <c r="Y391" s="4"/>
    </row>
    <row r="392" ht="9.75" customHeight="1">
      <c r="A392" s="162"/>
      <c r="B392" s="4"/>
      <c r="C392" s="163"/>
      <c r="D392" s="164"/>
      <c r="E392" s="164"/>
      <c r="F392" s="164"/>
      <c r="G392" s="164"/>
      <c r="H392" s="165"/>
      <c r="I392" s="4"/>
      <c r="J392" s="4"/>
      <c r="K392" s="4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</row>
    <row r="393" ht="9.75" customHeight="1">
      <c r="A393" s="65"/>
      <c r="B393" s="146" t="s">
        <v>349</v>
      </c>
      <c r="C393" s="147" t="s">
        <v>27</v>
      </c>
      <c r="D393" s="148"/>
      <c r="E393" s="148">
        <f t="shared" ref="E393:E395" si="67">$F$5</f>
        <v>1</v>
      </c>
      <c r="F393" s="73">
        <v>1.75</v>
      </c>
      <c r="G393" s="90">
        <f t="shared" ref="G393:G402" si="68">E393*F393</f>
        <v>1.75</v>
      </c>
      <c r="H393" s="4">
        <f t="shared" ref="H393:H423" si="69">IFERROR(IF(FIND("Sous-",B393,1)&lt;&gt;0,G393,1),0)</f>
        <v>0</v>
      </c>
      <c r="I393" s="59">
        <f t="shared" ref="I393:I423" si="70">IFERROR(H393/$H$6,0)</f>
        <v>0</v>
      </c>
      <c r="J393" s="4"/>
      <c r="K393" s="4"/>
      <c r="L393" s="4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4"/>
      <c r="X393" s="4"/>
      <c r="Y393" s="4"/>
    </row>
    <row r="394" ht="9.75" customHeight="1">
      <c r="A394" s="65"/>
      <c r="B394" s="146" t="s">
        <v>350</v>
      </c>
      <c r="C394" s="147" t="s">
        <v>27</v>
      </c>
      <c r="D394" s="148"/>
      <c r="E394" s="148">
        <f t="shared" si="67"/>
        <v>1</v>
      </c>
      <c r="F394" s="73">
        <v>14.0</v>
      </c>
      <c r="G394" s="90">
        <f t="shared" si="68"/>
        <v>14</v>
      </c>
      <c r="H394" s="4">
        <f t="shared" si="69"/>
        <v>0</v>
      </c>
      <c r="I394" s="59">
        <f t="shared" si="70"/>
        <v>0</v>
      </c>
      <c r="J394" s="4"/>
      <c r="K394" s="4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</row>
    <row r="395" ht="9.75" customHeight="1">
      <c r="A395" s="65"/>
      <c r="B395" s="146" t="s">
        <v>351</v>
      </c>
      <c r="C395" s="147" t="s">
        <v>27</v>
      </c>
      <c r="D395" s="148"/>
      <c r="E395" s="148">
        <f t="shared" si="67"/>
        <v>1</v>
      </c>
      <c r="F395" s="73">
        <v>6.0</v>
      </c>
      <c r="G395" s="90">
        <f t="shared" si="68"/>
        <v>6</v>
      </c>
      <c r="H395" s="4">
        <f t="shared" si="69"/>
        <v>0</v>
      </c>
      <c r="I395" s="59">
        <f t="shared" si="70"/>
        <v>0</v>
      </c>
      <c r="J395" s="4"/>
      <c r="K395" s="4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</row>
    <row r="396" ht="9.75" customHeight="1">
      <c r="A396" s="65"/>
      <c r="B396" s="66"/>
      <c r="C396" s="67"/>
      <c r="D396" s="78"/>
      <c r="E396" s="78"/>
      <c r="F396" s="78"/>
      <c r="G396" s="90">
        <f t="shared" si="68"/>
        <v>0</v>
      </c>
      <c r="H396" s="4">
        <f t="shared" si="69"/>
        <v>0</v>
      </c>
      <c r="I396" s="59">
        <f t="shared" si="70"/>
        <v>0</v>
      </c>
      <c r="J396" s="4"/>
      <c r="K396" s="4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</row>
    <row r="397" ht="9.75" customHeight="1">
      <c r="A397" s="65"/>
      <c r="B397" s="115" t="s">
        <v>352</v>
      </c>
      <c r="C397" s="67" t="s">
        <v>34</v>
      </c>
      <c r="D397" s="116"/>
      <c r="E397" s="117">
        <v>1.0</v>
      </c>
      <c r="F397" s="118">
        <v>230.0</v>
      </c>
      <c r="G397" s="90">
        <f t="shared" si="68"/>
        <v>230</v>
      </c>
      <c r="H397" s="4">
        <f t="shared" si="69"/>
        <v>0</v>
      </c>
      <c r="I397" s="59">
        <f t="shared" si="70"/>
        <v>0</v>
      </c>
      <c r="J397" s="4"/>
      <c r="K397" s="4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</row>
    <row r="398" ht="9.75" customHeight="1">
      <c r="A398" s="65"/>
      <c r="B398" s="115" t="s">
        <v>353</v>
      </c>
      <c r="C398" s="67" t="s">
        <v>34</v>
      </c>
      <c r="D398" s="116"/>
      <c r="E398" s="117">
        <v>1.0</v>
      </c>
      <c r="F398" s="118">
        <v>150.0</v>
      </c>
      <c r="G398" s="90">
        <f t="shared" si="68"/>
        <v>150</v>
      </c>
      <c r="H398" s="4">
        <f t="shared" si="69"/>
        <v>0</v>
      </c>
      <c r="I398" s="59">
        <f t="shared" si="70"/>
        <v>0</v>
      </c>
      <c r="J398" s="4"/>
      <c r="K398" s="4"/>
      <c r="L398" s="4"/>
      <c r="M398" s="4"/>
      <c r="N398" s="4"/>
      <c r="O398" s="4"/>
      <c r="P398" s="4"/>
      <c r="Q398" s="4"/>
      <c r="R398" s="4"/>
      <c r="S398" s="4"/>
      <c r="T398" s="4"/>
      <c r="U398" s="4"/>
      <c r="V398" s="4"/>
      <c r="W398" s="4"/>
      <c r="X398" s="4"/>
      <c r="Y398" s="4"/>
    </row>
    <row r="399" ht="9.75" customHeight="1">
      <c r="A399" s="65"/>
      <c r="B399" s="115" t="s">
        <v>354</v>
      </c>
      <c r="C399" s="67" t="s">
        <v>34</v>
      </c>
      <c r="D399" s="116"/>
      <c r="E399" s="117">
        <v>1.0</v>
      </c>
      <c r="F399" s="118">
        <v>500.0</v>
      </c>
      <c r="G399" s="90">
        <f t="shared" si="68"/>
        <v>500</v>
      </c>
      <c r="H399" s="4">
        <f t="shared" si="69"/>
        <v>0</v>
      </c>
      <c r="I399" s="59">
        <f t="shared" si="70"/>
        <v>0</v>
      </c>
      <c r="J399" s="4"/>
      <c r="K399" s="4"/>
      <c r="L399" s="4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4"/>
      <c r="X399" s="4"/>
      <c r="Y399" s="4"/>
    </row>
    <row r="400" ht="9.75" customHeight="1">
      <c r="A400" s="65"/>
      <c r="B400" s="115" t="s">
        <v>355</v>
      </c>
      <c r="C400" s="67" t="s">
        <v>34</v>
      </c>
      <c r="D400" s="116"/>
      <c r="E400" s="117">
        <v>1.0</v>
      </c>
      <c r="F400" s="118">
        <v>672.0</v>
      </c>
      <c r="G400" s="90">
        <f t="shared" si="68"/>
        <v>672</v>
      </c>
      <c r="H400" s="4">
        <f t="shared" si="69"/>
        <v>0</v>
      </c>
      <c r="I400" s="59">
        <f t="shared" si="70"/>
        <v>0</v>
      </c>
      <c r="J400" s="4"/>
      <c r="K400" s="4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</row>
    <row r="401" ht="9.75" customHeight="1">
      <c r="A401" s="65"/>
      <c r="B401" s="146" t="s">
        <v>356</v>
      </c>
      <c r="C401" s="147" t="s">
        <v>32</v>
      </c>
      <c r="D401" s="148"/>
      <c r="E401" s="117">
        <v>1.0</v>
      </c>
      <c r="F401" s="73">
        <v>3600.0</v>
      </c>
      <c r="G401" s="90">
        <f t="shared" si="68"/>
        <v>3600</v>
      </c>
      <c r="H401" s="4">
        <f t="shared" si="69"/>
        <v>0</v>
      </c>
      <c r="I401" s="59">
        <f t="shared" si="70"/>
        <v>0</v>
      </c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</row>
    <row r="402" ht="9.75" customHeight="1">
      <c r="A402" s="65"/>
      <c r="B402" s="66"/>
      <c r="C402" s="67"/>
      <c r="D402" s="78"/>
      <c r="E402" s="78"/>
      <c r="F402" s="78"/>
      <c r="G402" s="90">
        <f t="shared" si="68"/>
        <v>0</v>
      </c>
      <c r="H402" s="4">
        <f t="shared" si="69"/>
        <v>0</v>
      </c>
      <c r="I402" s="59">
        <f t="shared" si="70"/>
        <v>0</v>
      </c>
      <c r="J402" s="4"/>
      <c r="K402" s="4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</row>
    <row r="403" ht="9.75" customHeight="1">
      <c r="A403" s="65"/>
      <c r="B403" s="150"/>
      <c r="C403" s="151"/>
      <c r="D403" s="127"/>
      <c r="E403" s="127"/>
      <c r="F403" s="127"/>
      <c r="G403" s="156"/>
      <c r="H403" s="4">
        <f t="shared" si="69"/>
        <v>0</v>
      </c>
      <c r="I403" s="59">
        <f t="shared" si="70"/>
        <v>0</v>
      </c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</row>
    <row r="404" ht="9.75" customHeight="1">
      <c r="A404" s="65"/>
      <c r="B404" s="152" t="s">
        <v>357</v>
      </c>
      <c r="C404" s="153"/>
      <c r="D404" s="154"/>
      <c r="E404" s="154"/>
      <c r="F404" s="88"/>
      <c r="G404" s="89">
        <f t="shared" ref="G404:G423" si="71">E404*F404</f>
        <v>0</v>
      </c>
      <c r="H404" s="4">
        <f t="shared" si="69"/>
        <v>0</v>
      </c>
      <c r="I404" s="59">
        <f t="shared" si="70"/>
        <v>0</v>
      </c>
      <c r="J404" s="4"/>
      <c r="K404" s="4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</row>
    <row r="405" ht="9.75" customHeight="1">
      <c r="A405" s="65"/>
      <c r="B405" s="79" t="s">
        <v>358</v>
      </c>
      <c r="C405" s="80" t="s">
        <v>51</v>
      </c>
      <c r="D405" s="100"/>
      <c r="E405" s="100"/>
      <c r="F405" s="78"/>
      <c r="G405" s="114">
        <f t="shared" si="71"/>
        <v>0</v>
      </c>
      <c r="H405" s="4">
        <f t="shared" si="69"/>
        <v>0</v>
      </c>
      <c r="I405" s="59">
        <f t="shared" si="70"/>
        <v>0</v>
      </c>
      <c r="J405" s="4"/>
      <c r="K405" s="4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</row>
    <row r="406" ht="9.75" customHeight="1">
      <c r="A406" s="65"/>
      <c r="B406" s="79" t="s">
        <v>359</v>
      </c>
      <c r="C406" s="80" t="s">
        <v>51</v>
      </c>
      <c r="D406" s="100"/>
      <c r="E406" s="100"/>
      <c r="F406" s="78"/>
      <c r="G406" s="114">
        <f t="shared" si="71"/>
        <v>0</v>
      </c>
      <c r="H406" s="4">
        <f t="shared" si="69"/>
        <v>0</v>
      </c>
      <c r="I406" s="59">
        <f t="shared" si="70"/>
        <v>0</v>
      </c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</row>
    <row r="407" ht="9.75" customHeight="1">
      <c r="A407" s="65"/>
      <c r="B407" s="79" t="s">
        <v>360</v>
      </c>
      <c r="C407" s="80" t="s">
        <v>51</v>
      </c>
      <c r="D407" s="100"/>
      <c r="E407" s="100"/>
      <c r="F407" s="78"/>
      <c r="G407" s="114">
        <f t="shared" si="71"/>
        <v>0</v>
      </c>
      <c r="H407" s="4">
        <f t="shared" si="69"/>
        <v>0</v>
      </c>
      <c r="I407" s="59">
        <f t="shared" si="70"/>
        <v>0</v>
      </c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</row>
    <row r="408" ht="9.75" customHeight="1">
      <c r="A408" s="65"/>
      <c r="B408" s="79" t="s">
        <v>361</v>
      </c>
      <c r="C408" s="80" t="s">
        <v>51</v>
      </c>
      <c r="D408" s="100"/>
      <c r="E408" s="100"/>
      <c r="F408" s="78"/>
      <c r="G408" s="114">
        <f t="shared" si="71"/>
        <v>0</v>
      </c>
      <c r="H408" s="4">
        <f t="shared" si="69"/>
        <v>0</v>
      </c>
      <c r="I408" s="59">
        <f t="shared" si="70"/>
        <v>0</v>
      </c>
      <c r="J408" s="4"/>
      <c r="K408" s="4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</row>
    <row r="409" ht="9.75" customHeight="1">
      <c r="A409" s="65"/>
      <c r="B409" s="79" t="s">
        <v>362</v>
      </c>
      <c r="C409" s="80" t="s">
        <v>51</v>
      </c>
      <c r="D409" s="100"/>
      <c r="E409" s="100"/>
      <c r="F409" s="78"/>
      <c r="G409" s="114">
        <f t="shared" si="71"/>
        <v>0</v>
      </c>
      <c r="H409" s="4">
        <f t="shared" si="69"/>
        <v>0</v>
      </c>
      <c r="I409" s="59">
        <f t="shared" si="70"/>
        <v>0</v>
      </c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</row>
    <row r="410" ht="9.75" customHeight="1">
      <c r="A410" s="65"/>
      <c r="B410" s="79" t="s">
        <v>363</v>
      </c>
      <c r="C410" s="80" t="s">
        <v>51</v>
      </c>
      <c r="D410" s="100"/>
      <c r="E410" s="100"/>
      <c r="F410" s="78"/>
      <c r="G410" s="114">
        <f t="shared" si="71"/>
        <v>0</v>
      </c>
      <c r="H410" s="4">
        <f t="shared" si="69"/>
        <v>0</v>
      </c>
      <c r="I410" s="59">
        <f t="shared" si="70"/>
        <v>0</v>
      </c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</row>
    <row r="411" ht="9.75" customHeight="1">
      <c r="A411" s="65"/>
      <c r="B411" s="79" t="s">
        <v>364</v>
      </c>
      <c r="C411" s="80" t="s">
        <v>51</v>
      </c>
      <c r="D411" s="100"/>
      <c r="E411" s="100"/>
      <c r="F411" s="78"/>
      <c r="G411" s="114">
        <f t="shared" si="71"/>
        <v>0</v>
      </c>
      <c r="H411" s="4">
        <f t="shared" si="69"/>
        <v>0</v>
      </c>
      <c r="I411" s="59">
        <f t="shared" si="70"/>
        <v>0</v>
      </c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</row>
    <row r="412" ht="9.75" customHeight="1">
      <c r="A412" s="65"/>
      <c r="B412" s="79" t="s">
        <v>365</v>
      </c>
      <c r="C412" s="80" t="s">
        <v>51</v>
      </c>
      <c r="D412" s="100"/>
      <c r="E412" s="100"/>
      <c r="F412" s="78"/>
      <c r="G412" s="114">
        <f t="shared" si="71"/>
        <v>0</v>
      </c>
      <c r="H412" s="4">
        <f t="shared" si="69"/>
        <v>0</v>
      </c>
      <c r="I412" s="59">
        <f t="shared" si="70"/>
        <v>0</v>
      </c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</row>
    <row r="413" ht="9.75" customHeight="1">
      <c r="A413" s="65"/>
      <c r="B413" s="79" t="s">
        <v>366</v>
      </c>
      <c r="C413" s="80" t="s">
        <v>51</v>
      </c>
      <c r="D413" s="100"/>
      <c r="E413" s="100"/>
      <c r="F413" s="78"/>
      <c r="G413" s="114">
        <f t="shared" si="71"/>
        <v>0</v>
      </c>
      <c r="H413" s="4">
        <f t="shared" si="69"/>
        <v>0</v>
      </c>
      <c r="I413" s="59">
        <f t="shared" si="70"/>
        <v>0</v>
      </c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</row>
    <row r="414" ht="9.75" customHeight="1">
      <c r="A414" s="65"/>
      <c r="B414" s="79" t="s">
        <v>367</v>
      </c>
      <c r="C414" s="80" t="s">
        <v>51</v>
      </c>
      <c r="D414" s="100"/>
      <c r="E414" s="100"/>
      <c r="F414" s="78"/>
      <c r="G414" s="114">
        <f t="shared" si="71"/>
        <v>0</v>
      </c>
      <c r="H414" s="4">
        <f t="shared" si="69"/>
        <v>0</v>
      </c>
      <c r="I414" s="59">
        <f t="shared" si="70"/>
        <v>0</v>
      </c>
      <c r="J414" s="4"/>
      <c r="K414" s="4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</row>
    <row r="415" ht="9.75" customHeight="1">
      <c r="A415" s="65"/>
      <c r="B415" s="79" t="s">
        <v>368</v>
      </c>
      <c r="C415" s="80" t="s">
        <v>51</v>
      </c>
      <c r="D415" s="100"/>
      <c r="E415" s="100"/>
      <c r="F415" s="78"/>
      <c r="G415" s="114">
        <f t="shared" si="71"/>
        <v>0</v>
      </c>
      <c r="H415" s="4">
        <f t="shared" si="69"/>
        <v>0</v>
      </c>
      <c r="I415" s="59">
        <f t="shared" si="70"/>
        <v>0</v>
      </c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</row>
    <row r="416" ht="9.75" customHeight="1">
      <c r="A416" s="65"/>
      <c r="B416" s="79" t="s">
        <v>369</v>
      </c>
      <c r="C416" s="80" t="s">
        <v>51</v>
      </c>
      <c r="D416" s="100"/>
      <c r="E416" s="100"/>
      <c r="F416" s="78"/>
      <c r="G416" s="114">
        <f t="shared" si="71"/>
        <v>0</v>
      </c>
      <c r="H416" s="4">
        <f t="shared" si="69"/>
        <v>0</v>
      </c>
      <c r="I416" s="59">
        <f t="shared" si="70"/>
        <v>0</v>
      </c>
      <c r="J416" s="4"/>
      <c r="K416" s="4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</row>
    <row r="417" ht="9.75" customHeight="1">
      <c r="A417" s="65"/>
      <c r="B417" s="79" t="s">
        <v>370</v>
      </c>
      <c r="C417" s="80"/>
      <c r="D417" s="100"/>
      <c r="E417" s="100"/>
      <c r="F417" s="78"/>
      <c r="G417" s="114">
        <f t="shared" si="71"/>
        <v>0</v>
      </c>
      <c r="H417" s="4">
        <f t="shared" si="69"/>
        <v>0</v>
      </c>
      <c r="I417" s="59">
        <f t="shared" si="70"/>
        <v>0</v>
      </c>
      <c r="J417" s="4"/>
      <c r="K417" s="4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</row>
    <row r="418" ht="9.75" customHeight="1">
      <c r="A418" s="65"/>
      <c r="B418" s="79" t="s">
        <v>371</v>
      </c>
      <c r="C418" s="80"/>
      <c r="D418" s="100"/>
      <c r="E418" s="100"/>
      <c r="F418" s="78"/>
      <c r="G418" s="114">
        <f t="shared" si="71"/>
        <v>0</v>
      </c>
      <c r="H418" s="4">
        <f t="shared" si="69"/>
        <v>0</v>
      </c>
      <c r="I418" s="59">
        <f t="shared" si="70"/>
        <v>0</v>
      </c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</row>
    <row r="419" ht="9.75" customHeight="1">
      <c r="A419" s="65"/>
      <c r="B419" s="79" t="s">
        <v>372</v>
      </c>
      <c r="C419" s="80"/>
      <c r="D419" s="100"/>
      <c r="E419" s="100"/>
      <c r="F419" s="78"/>
      <c r="G419" s="114">
        <f t="shared" si="71"/>
        <v>0</v>
      </c>
      <c r="H419" s="4">
        <f t="shared" si="69"/>
        <v>0</v>
      </c>
      <c r="I419" s="59">
        <f t="shared" si="70"/>
        <v>0</v>
      </c>
      <c r="J419" s="4"/>
      <c r="K419" s="4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</row>
    <row r="420" ht="9.75" customHeight="1">
      <c r="A420" s="65"/>
      <c r="B420" s="79"/>
      <c r="C420" s="80"/>
      <c r="D420" s="100"/>
      <c r="E420" s="100"/>
      <c r="F420" s="78"/>
      <c r="G420" s="114">
        <f t="shared" si="71"/>
        <v>0</v>
      </c>
      <c r="H420" s="4">
        <f t="shared" si="69"/>
        <v>0</v>
      </c>
      <c r="I420" s="59">
        <f t="shared" si="70"/>
        <v>0</v>
      </c>
      <c r="J420" s="4"/>
      <c r="K420" s="4"/>
      <c r="L420" s="4"/>
      <c r="M420" s="4"/>
      <c r="N420" s="4"/>
      <c r="O420" s="4"/>
      <c r="P420" s="4"/>
      <c r="Q420" s="4"/>
      <c r="R420" s="4"/>
      <c r="S420" s="4"/>
      <c r="T420" s="4"/>
      <c r="U420" s="4"/>
      <c r="V420" s="4"/>
      <c r="W420" s="4"/>
      <c r="X420" s="4"/>
      <c r="Y420" s="4"/>
    </row>
    <row r="421" ht="9.75" customHeight="1">
      <c r="A421" s="65"/>
      <c r="B421" s="79" t="s">
        <v>373</v>
      </c>
      <c r="C421" s="80"/>
      <c r="D421" s="100"/>
      <c r="E421" s="100"/>
      <c r="F421" s="78"/>
      <c r="G421" s="114">
        <f t="shared" si="71"/>
        <v>0</v>
      </c>
      <c r="H421" s="4">
        <f t="shared" si="69"/>
        <v>0</v>
      </c>
      <c r="I421" s="59">
        <f t="shared" si="70"/>
        <v>0</v>
      </c>
      <c r="J421" s="4"/>
      <c r="K421" s="4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  <c r="X421" s="4"/>
      <c r="Y421" s="4"/>
    </row>
    <row r="422" ht="9.75" customHeight="1">
      <c r="A422" s="65"/>
      <c r="B422" s="79" t="s">
        <v>374</v>
      </c>
      <c r="C422" s="80" t="s">
        <v>51</v>
      </c>
      <c r="D422" s="100"/>
      <c r="E422" s="100"/>
      <c r="F422" s="78"/>
      <c r="G422" s="114">
        <f t="shared" si="71"/>
        <v>0</v>
      </c>
      <c r="H422" s="4">
        <f t="shared" si="69"/>
        <v>0</v>
      </c>
      <c r="I422" s="59">
        <f t="shared" si="70"/>
        <v>0</v>
      </c>
      <c r="J422" s="4"/>
      <c r="K422" s="4"/>
      <c r="L422" s="4"/>
      <c r="M422" s="4"/>
      <c r="N422" s="4"/>
      <c r="O422" s="4"/>
      <c r="P422" s="4"/>
      <c r="Q422" s="4"/>
      <c r="R422" s="4"/>
      <c r="S422" s="4"/>
      <c r="T422" s="4"/>
      <c r="U422" s="4"/>
      <c r="V422" s="4"/>
      <c r="W422" s="4"/>
      <c r="X422" s="4"/>
      <c r="Y422" s="4"/>
    </row>
    <row r="423" ht="9.75" customHeight="1">
      <c r="A423" s="65"/>
      <c r="B423" s="79" t="s">
        <v>375</v>
      </c>
      <c r="C423" s="80" t="s">
        <v>32</v>
      </c>
      <c r="D423" s="100"/>
      <c r="E423" s="100"/>
      <c r="F423" s="78"/>
      <c r="G423" s="114">
        <f t="shared" si="71"/>
        <v>0</v>
      </c>
      <c r="H423" s="4">
        <f t="shared" si="69"/>
        <v>0</v>
      </c>
      <c r="I423" s="59">
        <f t="shared" si="70"/>
        <v>0</v>
      </c>
      <c r="J423" s="4"/>
      <c r="K423" s="4"/>
      <c r="L423" s="4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4"/>
      <c r="X423" s="4"/>
      <c r="Y423" s="4"/>
    </row>
    <row r="424" ht="9.75" customHeight="1">
      <c r="A424" s="65"/>
      <c r="B424" s="166" t="s">
        <v>376</v>
      </c>
      <c r="C424" s="167"/>
      <c r="D424" s="168"/>
      <c r="E424" s="168"/>
      <c r="F424" s="168"/>
      <c r="G424" s="169"/>
      <c r="H424" s="4"/>
      <c r="I424" s="59"/>
      <c r="J424" s="4"/>
      <c r="K424" s="4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</row>
    <row r="425" ht="9.75" customHeight="1">
      <c r="A425" s="65"/>
      <c r="B425" s="170" t="s">
        <v>377</v>
      </c>
      <c r="C425" s="167" t="s">
        <v>51</v>
      </c>
      <c r="D425" s="168"/>
      <c r="E425" s="117">
        <v>1.0</v>
      </c>
      <c r="F425" s="168">
        <v>4.49</v>
      </c>
      <c r="G425" s="169"/>
      <c r="H425" s="4"/>
      <c r="I425" s="59"/>
      <c r="J425" s="4"/>
      <c r="K425" s="4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</row>
    <row r="426" ht="9.75" customHeight="1">
      <c r="A426" s="65"/>
      <c r="B426" s="170" t="s">
        <v>378</v>
      </c>
      <c r="C426" s="167" t="s">
        <v>51</v>
      </c>
      <c r="D426" s="168"/>
      <c r="E426" s="117">
        <v>1.0</v>
      </c>
      <c r="F426" s="168">
        <v>3.73</v>
      </c>
      <c r="G426" s="169"/>
      <c r="H426" s="4"/>
      <c r="I426" s="59"/>
      <c r="J426" s="4"/>
      <c r="K426" s="4"/>
      <c r="L426" s="4"/>
      <c r="M426" s="4"/>
      <c r="N426" s="4"/>
      <c r="O426" s="4"/>
      <c r="P426" s="4"/>
      <c r="Q426" s="4"/>
      <c r="R426" s="4"/>
      <c r="S426" s="4"/>
      <c r="T426" s="4"/>
      <c r="U426" s="4"/>
      <c r="V426" s="4"/>
      <c r="W426" s="4"/>
      <c r="X426" s="4"/>
      <c r="Y426" s="4"/>
    </row>
    <row r="427" ht="9.75" customHeight="1">
      <c r="A427" s="65"/>
      <c r="B427" s="170" t="s">
        <v>379</v>
      </c>
      <c r="C427" s="167" t="s">
        <v>51</v>
      </c>
      <c r="D427" s="168"/>
      <c r="E427" s="117">
        <v>1.0</v>
      </c>
      <c r="F427" s="168">
        <v>2.62</v>
      </c>
      <c r="G427" s="169"/>
      <c r="H427" s="4"/>
      <c r="I427" s="59"/>
      <c r="J427" s="4"/>
      <c r="K427" s="4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  <c r="X427" s="4"/>
      <c r="Y427" s="4"/>
    </row>
    <row r="428" ht="9.75" customHeight="1">
      <c r="A428" s="65"/>
      <c r="B428" s="170" t="s">
        <v>380</v>
      </c>
      <c r="C428" s="167" t="s">
        <v>51</v>
      </c>
      <c r="D428" s="168"/>
      <c r="E428" s="117">
        <v>1.0</v>
      </c>
      <c r="F428" s="168">
        <v>5.15</v>
      </c>
      <c r="G428" s="169"/>
      <c r="H428" s="4"/>
      <c r="I428" s="59"/>
      <c r="J428" s="4"/>
      <c r="K428" s="4"/>
      <c r="L428" s="4"/>
      <c r="M428" s="4"/>
      <c r="N428" s="4"/>
      <c r="O428" s="4"/>
      <c r="P428" s="4"/>
      <c r="Q428" s="4"/>
      <c r="R428" s="4"/>
      <c r="S428" s="4"/>
      <c r="T428" s="4"/>
      <c r="U428" s="4"/>
      <c r="V428" s="4"/>
      <c r="W428" s="4"/>
      <c r="X428" s="4"/>
      <c r="Y428" s="4"/>
    </row>
    <row r="429" ht="9.75" customHeight="1">
      <c r="A429" s="65"/>
      <c r="B429" s="170" t="s">
        <v>381</v>
      </c>
      <c r="C429" s="167" t="s">
        <v>51</v>
      </c>
      <c r="D429" s="168"/>
      <c r="E429" s="117">
        <v>1.0</v>
      </c>
      <c r="F429" s="168">
        <v>4.83</v>
      </c>
      <c r="G429" s="169"/>
      <c r="H429" s="4"/>
      <c r="I429" s="59"/>
      <c r="J429" s="4"/>
      <c r="K429" s="4"/>
      <c r="L429" s="4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4"/>
      <c r="X429" s="4"/>
      <c r="Y429" s="4"/>
    </row>
    <row r="430" ht="9.75" customHeight="1">
      <c r="A430" s="65"/>
      <c r="B430" s="170" t="s">
        <v>382</v>
      </c>
      <c r="C430" s="167" t="s">
        <v>51</v>
      </c>
      <c r="D430" s="168"/>
      <c r="E430" s="117">
        <v>1.0</v>
      </c>
      <c r="F430" s="168">
        <v>2.33</v>
      </c>
      <c r="G430" s="169"/>
      <c r="H430" s="4"/>
      <c r="I430" s="59"/>
      <c r="J430" s="4"/>
      <c r="K430" s="4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</row>
    <row r="431" ht="9.75" customHeight="1">
      <c r="A431" s="65"/>
      <c r="B431" s="170" t="s">
        <v>383</v>
      </c>
      <c r="C431" s="167" t="s">
        <v>51</v>
      </c>
      <c r="D431" s="168"/>
      <c r="E431" s="117">
        <v>1.0</v>
      </c>
      <c r="F431" s="168">
        <v>3.01</v>
      </c>
      <c r="G431" s="169"/>
      <c r="H431" s="4"/>
      <c r="I431" s="59"/>
      <c r="J431" s="4"/>
      <c r="K431" s="4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</row>
    <row r="432" ht="9.75" customHeight="1">
      <c r="A432" s="65"/>
      <c r="B432" s="170" t="s">
        <v>384</v>
      </c>
      <c r="C432" s="167" t="s">
        <v>51</v>
      </c>
      <c r="D432" s="168"/>
      <c r="E432" s="117">
        <v>1.0</v>
      </c>
      <c r="F432" s="168">
        <v>5.79</v>
      </c>
      <c r="G432" s="169"/>
      <c r="H432" s="4"/>
      <c r="I432" s="59"/>
      <c r="J432" s="4"/>
      <c r="K432" s="4"/>
      <c r="L432" s="4"/>
      <c r="M432" s="4"/>
      <c r="N432" s="4"/>
      <c r="O432" s="4"/>
      <c r="P432" s="4"/>
      <c r="Q432" s="4"/>
      <c r="R432" s="4"/>
      <c r="S432" s="4"/>
      <c r="T432" s="4"/>
      <c r="U432" s="4"/>
      <c r="V432" s="4"/>
      <c r="W432" s="4"/>
      <c r="X432" s="4"/>
      <c r="Y432" s="4"/>
    </row>
    <row r="433" ht="9.75" customHeight="1">
      <c r="A433" s="65"/>
      <c r="B433" s="170"/>
      <c r="C433" s="167"/>
      <c r="D433" s="168"/>
      <c r="E433" s="168"/>
      <c r="F433" s="168"/>
      <c r="G433" s="169"/>
      <c r="H433" s="4"/>
      <c r="I433" s="59"/>
      <c r="J433" s="4"/>
      <c r="K433" s="4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</row>
    <row r="434" ht="9.75" customHeight="1">
      <c r="A434" s="65"/>
      <c r="B434" s="170"/>
      <c r="C434" s="167"/>
      <c r="D434" s="168"/>
      <c r="E434" s="168"/>
      <c r="F434" s="168"/>
      <c r="G434" s="169"/>
      <c r="H434" s="4"/>
      <c r="I434" s="59"/>
      <c r="J434" s="4"/>
      <c r="K434" s="4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  <c r="X434" s="4"/>
      <c r="Y434" s="4"/>
    </row>
    <row r="435" ht="9.75" customHeight="1">
      <c r="A435" s="65"/>
      <c r="B435" s="170"/>
      <c r="C435" s="167"/>
      <c r="D435" s="168"/>
      <c r="E435" s="168"/>
      <c r="F435" s="168"/>
      <c r="G435" s="169"/>
      <c r="H435" s="4"/>
      <c r="I435" s="59"/>
      <c r="J435" s="4"/>
      <c r="K435" s="4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4"/>
      <c r="Y435" s="4"/>
    </row>
    <row r="436" ht="9.75" customHeight="1">
      <c r="A436" s="65"/>
      <c r="B436" s="170"/>
      <c r="C436" s="167"/>
      <c r="D436" s="168"/>
      <c r="E436" s="168"/>
      <c r="F436" s="168"/>
      <c r="G436" s="169"/>
      <c r="H436" s="4"/>
      <c r="I436" s="59"/>
      <c r="J436" s="4"/>
      <c r="K436" s="4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</row>
    <row r="437" ht="9.75" customHeight="1">
      <c r="A437" s="65"/>
      <c r="B437" s="170"/>
      <c r="C437" s="167"/>
      <c r="D437" s="168"/>
      <c r="E437" s="168"/>
      <c r="F437" s="168"/>
      <c r="G437" s="169"/>
      <c r="H437" s="4"/>
      <c r="I437" s="59"/>
      <c r="J437" s="4"/>
      <c r="K437" s="4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</row>
    <row r="438" ht="12.75" customHeight="1">
      <c r="A438" s="65" t="s">
        <v>385</v>
      </c>
      <c r="B438" s="82" t="str">
        <f>CONCATENATE("Sous-Total : ",A391," - ",B391)</f>
        <v>Sous-Total :  - Alimentations spécifiques</v>
      </c>
      <c r="C438" s="83"/>
      <c r="D438" s="84"/>
      <c r="E438" s="84"/>
      <c r="F438" s="84"/>
      <c r="G438" s="109">
        <f>SUM(G391:G437)</f>
        <v>5173.75</v>
      </c>
      <c r="H438" s="4">
        <f t="shared" ref="H438:H439" si="72">IFERROR(IF(FIND("Sous-",B438,1)&lt;&gt;0,G438,1),0)</f>
        <v>5173.75</v>
      </c>
      <c r="I438" s="59">
        <f t="shared" ref="I438:I482" si="73">IFERROR(H438/$H$6,0)</f>
        <v>0.001191440592</v>
      </c>
      <c r="J438" s="4"/>
      <c r="K438" s="4"/>
      <c r="L438" s="4"/>
      <c r="M438" s="4"/>
      <c r="N438" s="4"/>
      <c r="O438" s="4"/>
      <c r="P438" s="4"/>
      <c r="Q438" s="4"/>
      <c r="R438" s="4"/>
      <c r="S438" s="4"/>
      <c r="T438" s="4"/>
      <c r="U438" s="4"/>
      <c r="V438" s="4"/>
      <c r="W438" s="4"/>
      <c r="X438" s="4"/>
      <c r="Y438" s="4"/>
    </row>
    <row r="439" ht="9.75" customHeight="1">
      <c r="A439" s="65"/>
      <c r="B439" s="86" t="s">
        <v>386</v>
      </c>
      <c r="C439" s="87"/>
      <c r="D439" s="88"/>
      <c r="E439" s="88"/>
      <c r="F439" s="88"/>
      <c r="G439" s="88">
        <f t="shared" ref="G439:G446" si="74">E439*F439</f>
        <v>0</v>
      </c>
      <c r="H439" s="4">
        <f t="shared" si="72"/>
        <v>0</v>
      </c>
      <c r="I439" s="59">
        <f t="shared" si="73"/>
        <v>0</v>
      </c>
      <c r="J439" s="4"/>
      <c r="K439" s="4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</row>
    <row r="440" ht="9.75" customHeight="1">
      <c r="A440" s="65"/>
      <c r="B440" s="115" t="s">
        <v>387</v>
      </c>
      <c r="C440" s="67" t="s">
        <v>34</v>
      </c>
      <c r="D440" s="116"/>
      <c r="E440" s="117">
        <v>1.0</v>
      </c>
      <c r="F440" s="118">
        <f>1400+400</f>
        <v>1800</v>
      </c>
      <c r="G440" s="90">
        <f t="shared" si="74"/>
        <v>1800</v>
      </c>
      <c r="H440" s="4">
        <f t="shared" ref="H440:H442" si="75">IFERROR(IF(FIND("Sous-",#REF!,1)&lt;&gt;0,#REF!,1),0)</f>
        <v>0</v>
      </c>
      <c r="I440" s="59">
        <f t="shared" si="73"/>
        <v>0</v>
      </c>
      <c r="J440" s="4"/>
      <c r="K440" s="4"/>
      <c r="L440" s="4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4"/>
      <c r="X440" s="4"/>
      <c r="Y440" s="4"/>
    </row>
    <row r="441" ht="9.75" customHeight="1">
      <c r="A441" s="65"/>
      <c r="B441" s="115" t="s">
        <v>388</v>
      </c>
      <c r="C441" s="67" t="s">
        <v>34</v>
      </c>
      <c r="D441" s="116"/>
      <c r="E441" s="117">
        <v>1.0</v>
      </c>
      <c r="F441" s="118">
        <f>5600*0.57+200+(4*90)</f>
        <v>3752</v>
      </c>
      <c r="G441" s="90">
        <f t="shared" si="74"/>
        <v>3752</v>
      </c>
      <c r="H441" s="4">
        <f t="shared" si="75"/>
        <v>0</v>
      </c>
      <c r="I441" s="59">
        <f t="shared" si="73"/>
        <v>0</v>
      </c>
      <c r="J441" s="4"/>
      <c r="K441" s="4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4"/>
      <c r="Y441" s="4"/>
    </row>
    <row r="442" ht="9.75" customHeight="1">
      <c r="A442" s="65"/>
      <c r="B442" s="115" t="s">
        <v>389</v>
      </c>
      <c r="C442" s="67" t="s">
        <v>34</v>
      </c>
      <c r="D442" s="116"/>
      <c r="E442" s="117">
        <v>1.0</v>
      </c>
      <c r="F442" s="118">
        <v>5000.0</v>
      </c>
      <c r="G442" s="90">
        <f t="shared" si="74"/>
        <v>5000</v>
      </c>
      <c r="H442" s="4">
        <f t="shared" si="75"/>
        <v>0</v>
      </c>
      <c r="I442" s="59">
        <f t="shared" si="73"/>
        <v>0</v>
      </c>
      <c r="J442" s="4"/>
      <c r="K442" s="4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</row>
    <row r="443" ht="9.75" customHeight="1">
      <c r="A443" s="65"/>
      <c r="B443" s="79"/>
      <c r="C443" s="80"/>
      <c r="D443" s="100"/>
      <c r="E443" s="100"/>
      <c r="F443" s="78"/>
      <c r="G443" s="78">
        <f t="shared" si="74"/>
        <v>0</v>
      </c>
      <c r="H443" s="4">
        <f t="shared" ref="H443:H497" si="76">IFERROR(IF(FIND("Sous-",B443,1)&lt;&gt;0,G443,1),0)</f>
        <v>0</v>
      </c>
      <c r="I443" s="59">
        <f t="shared" si="73"/>
        <v>0</v>
      </c>
      <c r="J443" s="4"/>
      <c r="K443" s="4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</row>
    <row r="444" ht="9.75" customHeight="1">
      <c r="A444" s="65"/>
      <c r="B444" s="79"/>
      <c r="C444" s="80"/>
      <c r="D444" s="100"/>
      <c r="E444" s="100"/>
      <c r="F444" s="78"/>
      <c r="G444" s="78">
        <f t="shared" si="74"/>
        <v>0</v>
      </c>
      <c r="H444" s="4">
        <f t="shared" si="76"/>
        <v>0</v>
      </c>
      <c r="I444" s="59">
        <f t="shared" si="73"/>
        <v>0</v>
      </c>
      <c r="J444" s="4"/>
      <c r="K444" s="4"/>
      <c r="L444" s="4"/>
      <c r="M444" s="4"/>
      <c r="N444" s="4"/>
      <c r="O444" s="4"/>
      <c r="P444" s="4"/>
      <c r="Q444" s="4"/>
      <c r="R444" s="4"/>
      <c r="S444" s="4"/>
      <c r="T444" s="4"/>
      <c r="U444" s="4"/>
      <c r="V444" s="4"/>
      <c r="W444" s="4"/>
      <c r="X444" s="4"/>
      <c r="Y444" s="4"/>
    </row>
    <row r="445" ht="9.75" customHeight="1">
      <c r="A445" s="65"/>
      <c r="B445" s="79"/>
      <c r="C445" s="80"/>
      <c r="D445" s="100"/>
      <c r="E445" s="100"/>
      <c r="F445" s="78"/>
      <c r="G445" s="78">
        <f t="shared" si="74"/>
        <v>0</v>
      </c>
      <c r="H445" s="4">
        <f t="shared" si="76"/>
        <v>0</v>
      </c>
      <c r="I445" s="59">
        <f t="shared" si="73"/>
        <v>0</v>
      </c>
      <c r="J445" s="4"/>
      <c r="K445" s="4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</row>
    <row r="446" ht="9.75" customHeight="1">
      <c r="A446" s="65"/>
      <c r="B446" s="79"/>
      <c r="C446" s="80"/>
      <c r="D446" s="100"/>
      <c r="E446" s="100">
        <v>1.0</v>
      </c>
      <c r="F446" s="127">
        <v>1.0</v>
      </c>
      <c r="G446" s="78">
        <f t="shared" si="74"/>
        <v>1</v>
      </c>
      <c r="H446" s="4">
        <f t="shared" si="76"/>
        <v>0</v>
      </c>
      <c r="I446" s="59">
        <f t="shared" si="73"/>
        <v>0</v>
      </c>
      <c r="J446" s="4"/>
      <c r="K446" s="4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  <c r="X446" s="4"/>
      <c r="Y446" s="4"/>
    </row>
    <row r="447" ht="9.75" customHeight="1">
      <c r="A447" s="65" t="s">
        <v>390</v>
      </c>
      <c r="B447" s="129" t="str">
        <f>CONCATENATE("Sous-Total : ",A439," - ",B439)</f>
        <v>Sous-Total :  - Bornes de charges des véhicules électriques</v>
      </c>
      <c r="C447" s="130"/>
      <c r="D447" s="131"/>
      <c r="E447" s="131"/>
      <c r="F447" s="131"/>
      <c r="G447" s="132">
        <f>SUM(G439:G446)</f>
        <v>10553</v>
      </c>
      <c r="H447" s="4">
        <f t="shared" si="76"/>
        <v>10553</v>
      </c>
      <c r="I447" s="59">
        <f t="shared" si="73"/>
        <v>0.002430204893</v>
      </c>
      <c r="J447" s="4"/>
      <c r="K447" s="4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</row>
    <row r="448" ht="9.75" customHeight="1">
      <c r="A448" s="65"/>
      <c r="B448" s="105" t="s">
        <v>391</v>
      </c>
      <c r="C448" s="106"/>
      <c r="D448" s="98"/>
      <c r="E448" s="98"/>
      <c r="F448" s="98"/>
      <c r="G448" s="107">
        <f t="shared" ref="G448:G451" si="77">E448*F448</f>
        <v>0</v>
      </c>
      <c r="H448" s="4">
        <f t="shared" si="76"/>
        <v>0</v>
      </c>
      <c r="I448" s="59">
        <f t="shared" si="73"/>
        <v>0</v>
      </c>
      <c r="J448" s="4"/>
      <c r="K448" s="4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</row>
    <row r="449" ht="9.75" customHeight="1">
      <c r="A449" s="65"/>
      <c r="B449" s="146" t="s">
        <v>392</v>
      </c>
      <c r="C449" s="67" t="s">
        <v>51</v>
      </c>
      <c r="D449" s="148"/>
      <c r="E449" s="117">
        <v>1.0</v>
      </c>
      <c r="F449" s="73">
        <v>2100.0</v>
      </c>
      <c r="G449" s="90">
        <f t="shared" si="77"/>
        <v>2100</v>
      </c>
      <c r="H449" s="4">
        <f t="shared" si="76"/>
        <v>0</v>
      </c>
      <c r="I449" s="59">
        <f t="shared" si="73"/>
        <v>0</v>
      </c>
      <c r="J449" s="4"/>
      <c r="K449" s="4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</row>
    <row r="450" ht="9.75" customHeight="1">
      <c r="A450" s="65"/>
      <c r="B450" s="146" t="s">
        <v>393</v>
      </c>
      <c r="C450" s="67" t="s">
        <v>51</v>
      </c>
      <c r="D450" s="148"/>
      <c r="E450" s="117">
        <v>1.0</v>
      </c>
      <c r="F450" s="73">
        <v>542.0</v>
      </c>
      <c r="G450" s="90">
        <f t="shared" si="77"/>
        <v>542</v>
      </c>
      <c r="H450" s="4">
        <f t="shared" si="76"/>
        <v>0</v>
      </c>
      <c r="I450" s="59">
        <f t="shared" si="73"/>
        <v>0</v>
      </c>
      <c r="J450" s="4"/>
      <c r="K450" s="4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  <c r="X450" s="4"/>
      <c r="Y450" s="4"/>
    </row>
    <row r="451" ht="9.75" customHeight="1">
      <c r="A451" s="65"/>
      <c r="B451" s="146" t="s">
        <v>394</v>
      </c>
      <c r="C451" s="67" t="s">
        <v>51</v>
      </c>
      <c r="D451" s="148"/>
      <c r="E451" s="117">
        <v>1.0</v>
      </c>
      <c r="F451" s="73">
        <v>243.0</v>
      </c>
      <c r="G451" s="90">
        <f t="shared" si="77"/>
        <v>243</v>
      </c>
      <c r="H451" s="4">
        <f t="shared" si="76"/>
        <v>0</v>
      </c>
      <c r="I451" s="59">
        <f t="shared" si="73"/>
        <v>0</v>
      </c>
      <c r="J451" s="4"/>
      <c r="K451" s="4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  <c r="X451" s="4"/>
      <c r="Y451" s="4"/>
    </row>
    <row r="452" ht="9.75" customHeight="1">
      <c r="A452" s="65"/>
      <c r="B452" s="150"/>
      <c r="C452" s="151"/>
      <c r="D452" s="127"/>
      <c r="E452" s="127"/>
      <c r="F452" s="127"/>
      <c r="G452" s="156"/>
      <c r="H452" s="4">
        <f t="shared" si="76"/>
        <v>0</v>
      </c>
      <c r="I452" s="59">
        <f t="shared" si="73"/>
        <v>0</v>
      </c>
      <c r="J452" s="4"/>
      <c r="K452" s="4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  <c r="X452" s="4"/>
      <c r="Y452" s="4"/>
    </row>
    <row r="453" ht="9.75" customHeight="1">
      <c r="A453" s="65"/>
      <c r="B453" s="152"/>
      <c r="C453" s="153"/>
      <c r="D453" s="154"/>
      <c r="E453" s="154"/>
      <c r="F453" s="88"/>
      <c r="G453" s="89">
        <f t="shared" ref="G453:G456" si="78">E453*F453</f>
        <v>0</v>
      </c>
      <c r="H453" s="4">
        <f t="shared" si="76"/>
        <v>0</v>
      </c>
      <c r="I453" s="59">
        <f t="shared" si="73"/>
        <v>0</v>
      </c>
      <c r="J453" s="4"/>
      <c r="K453" s="4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</row>
    <row r="454" ht="9.75" customHeight="1">
      <c r="A454" s="65"/>
      <c r="B454" s="79"/>
      <c r="C454" s="80"/>
      <c r="D454" s="100"/>
      <c r="E454" s="100"/>
      <c r="F454" s="78"/>
      <c r="G454" s="114">
        <f t="shared" si="78"/>
        <v>0</v>
      </c>
      <c r="H454" s="4">
        <f t="shared" si="76"/>
        <v>0</v>
      </c>
      <c r="I454" s="59">
        <f t="shared" si="73"/>
        <v>0</v>
      </c>
      <c r="J454" s="4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</row>
    <row r="455" ht="9.75" customHeight="1">
      <c r="A455" s="65"/>
      <c r="B455" s="79"/>
      <c r="C455" s="80"/>
      <c r="D455" s="100"/>
      <c r="E455" s="100"/>
      <c r="F455" s="78"/>
      <c r="G455" s="114">
        <f t="shared" si="78"/>
        <v>0</v>
      </c>
      <c r="H455" s="4">
        <f t="shared" si="76"/>
        <v>0</v>
      </c>
      <c r="I455" s="59">
        <f t="shared" si="73"/>
        <v>0</v>
      </c>
      <c r="J455" s="4"/>
      <c r="K455" s="4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</row>
    <row r="456" ht="9.75" customHeight="1">
      <c r="A456" s="65"/>
      <c r="B456" s="79"/>
      <c r="C456" s="80"/>
      <c r="D456" s="100"/>
      <c r="E456" s="100">
        <v>1.0</v>
      </c>
      <c r="F456" s="78">
        <v>1.0</v>
      </c>
      <c r="G456" s="114">
        <f t="shared" si="78"/>
        <v>1</v>
      </c>
      <c r="H456" s="4">
        <f t="shared" si="76"/>
        <v>0</v>
      </c>
      <c r="I456" s="59">
        <f t="shared" si="73"/>
        <v>0</v>
      </c>
      <c r="J456" s="4"/>
      <c r="K456" s="4"/>
      <c r="L456" s="4"/>
      <c r="M456" s="4"/>
      <c r="N456" s="4"/>
      <c r="O456" s="4"/>
      <c r="P456" s="4"/>
      <c r="Q456" s="4"/>
      <c r="R456" s="4"/>
      <c r="S456" s="4"/>
      <c r="T456" s="4"/>
      <c r="U456" s="4"/>
      <c r="V456" s="4"/>
      <c r="W456" s="4"/>
      <c r="X456" s="4"/>
      <c r="Y456" s="4"/>
    </row>
    <row r="457" ht="9.75" customHeight="1">
      <c r="A457" s="65" t="s">
        <v>395</v>
      </c>
      <c r="B457" s="101" t="str">
        <f>CONCATENATE("Sous-Total : ",A448," - ",B448)</f>
        <v>Sous-Total :  - Paillasses</v>
      </c>
      <c r="C457" s="102"/>
      <c r="D457" s="103"/>
      <c r="E457" s="103"/>
      <c r="F457" s="103"/>
      <c r="G457" s="104">
        <f>SUM(G448:G456)</f>
        <v>2886</v>
      </c>
      <c r="H457" s="4">
        <f t="shared" si="76"/>
        <v>2886</v>
      </c>
      <c r="I457" s="59">
        <f t="shared" si="73"/>
        <v>0.0006646045031</v>
      </c>
      <c r="J457" s="4"/>
      <c r="K457" s="4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</row>
    <row r="458" ht="9.75" customHeight="1">
      <c r="A458" s="65"/>
      <c r="B458" s="105" t="s">
        <v>396</v>
      </c>
      <c r="C458" s="106"/>
      <c r="D458" s="98"/>
      <c r="E458" s="98"/>
      <c r="F458" s="98"/>
      <c r="G458" s="107">
        <f t="shared" ref="G458:G466" si="79">E458*F458</f>
        <v>0</v>
      </c>
      <c r="H458" s="4">
        <f t="shared" si="76"/>
        <v>0</v>
      </c>
      <c r="I458" s="59">
        <f t="shared" si="73"/>
        <v>0</v>
      </c>
      <c r="J458" s="4"/>
      <c r="K458" s="4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</row>
    <row r="459" ht="9.75" customHeight="1">
      <c r="A459" s="65"/>
      <c r="B459" s="146" t="s">
        <v>39</v>
      </c>
      <c r="C459" s="147" t="s">
        <v>27</v>
      </c>
      <c r="D459" s="148"/>
      <c r="E459" s="117">
        <v>1.0</v>
      </c>
      <c r="F459" s="73">
        <v>1.2</v>
      </c>
      <c r="G459" s="90">
        <f t="shared" si="79"/>
        <v>1.2</v>
      </c>
      <c r="H459" s="4">
        <f t="shared" si="76"/>
        <v>0</v>
      </c>
      <c r="I459" s="59">
        <f t="shared" si="73"/>
        <v>0</v>
      </c>
      <c r="J459" s="4"/>
      <c r="K459" s="4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</row>
    <row r="460" ht="9.75" customHeight="1">
      <c r="A460" s="65"/>
      <c r="B460" s="146" t="s">
        <v>397</v>
      </c>
      <c r="C460" s="147" t="s">
        <v>398</v>
      </c>
      <c r="D460" s="148"/>
      <c r="E460" s="148">
        <v>81.0</v>
      </c>
      <c r="F460" s="73">
        <v>110.0</v>
      </c>
      <c r="G460" s="90">
        <f t="shared" si="79"/>
        <v>8910</v>
      </c>
      <c r="H460" s="4">
        <f t="shared" si="76"/>
        <v>0</v>
      </c>
      <c r="I460" s="59">
        <f t="shared" si="73"/>
        <v>0</v>
      </c>
      <c r="J460" s="4"/>
      <c r="K460" s="4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</row>
    <row r="461" ht="9.75" customHeight="1">
      <c r="A461" s="65"/>
      <c r="B461" s="171"/>
      <c r="C461" s="67"/>
      <c r="D461" s="116"/>
      <c r="E461" s="116"/>
      <c r="F461" s="116"/>
      <c r="G461" s="90">
        <f t="shared" si="79"/>
        <v>0</v>
      </c>
      <c r="H461" s="4">
        <f t="shared" si="76"/>
        <v>0</v>
      </c>
      <c r="I461" s="59">
        <f t="shared" si="73"/>
        <v>0</v>
      </c>
      <c r="J461" s="4"/>
      <c r="K461" s="4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</row>
    <row r="462" ht="9.75" customHeight="1">
      <c r="A462" s="65"/>
      <c r="B462" s="146" t="s">
        <v>399</v>
      </c>
      <c r="C462" s="147"/>
      <c r="D462" s="148"/>
      <c r="E462" s="148"/>
      <c r="F462" s="73"/>
      <c r="G462" s="90">
        <f t="shared" si="79"/>
        <v>0</v>
      </c>
      <c r="H462" s="4">
        <f t="shared" si="76"/>
        <v>0</v>
      </c>
      <c r="I462" s="59">
        <f t="shared" si="73"/>
        <v>0</v>
      </c>
      <c r="J462" s="4"/>
      <c r="K462" s="4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</row>
    <row r="463" ht="9.75" customHeight="1">
      <c r="A463" s="65"/>
      <c r="B463" s="115" t="s">
        <v>400</v>
      </c>
      <c r="C463" s="67" t="s">
        <v>398</v>
      </c>
      <c r="D463" s="116"/>
      <c r="E463" s="117">
        <v>1.0</v>
      </c>
      <c r="F463" s="118">
        <v>60.0</v>
      </c>
      <c r="G463" s="90">
        <f t="shared" si="79"/>
        <v>60</v>
      </c>
      <c r="H463" s="4">
        <f t="shared" si="76"/>
        <v>0</v>
      </c>
      <c r="I463" s="59">
        <f t="shared" si="73"/>
        <v>0</v>
      </c>
      <c r="J463" s="4"/>
      <c r="K463" s="4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  <c r="X463" s="4"/>
      <c r="Y463" s="4"/>
    </row>
    <row r="464" ht="9.75" customHeight="1">
      <c r="A464" s="65"/>
      <c r="B464" s="115" t="s">
        <v>401</v>
      </c>
      <c r="C464" s="67" t="s">
        <v>398</v>
      </c>
      <c r="D464" s="116"/>
      <c r="E464" s="117">
        <v>1.0</v>
      </c>
      <c r="F464" s="118">
        <v>14.0</v>
      </c>
      <c r="G464" s="90">
        <f t="shared" si="79"/>
        <v>14</v>
      </c>
      <c r="H464" s="4">
        <f t="shared" si="76"/>
        <v>0</v>
      </c>
      <c r="I464" s="59">
        <f t="shared" si="73"/>
        <v>0</v>
      </c>
      <c r="J464" s="4"/>
      <c r="K464" s="4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  <c r="X464" s="4"/>
      <c r="Y464" s="4"/>
    </row>
    <row r="465" ht="9.75" customHeight="1">
      <c r="A465" s="65"/>
      <c r="B465" s="115" t="s">
        <v>402</v>
      </c>
      <c r="C465" s="67" t="s">
        <v>32</v>
      </c>
      <c r="D465" s="116"/>
      <c r="E465" s="117">
        <v>1.0</v>
      </c>
      <c r="F465" s="118">
        <v>5000.0</v>
      </c>
      <c r="G465" s="90">
        <f t="shared" si="79"/>
        <v>5000</v>
      </c>
      <c r="H465" s="4">
        <f t="shared" si="76"/>
        <v>0</v>
      </c>
      <c r="I465" s="59">
        <f t="shared" si="73"/>
        <v>0</v>
      </c>
      <c r="J465" s="4"/>
      <c r="K465" s="4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</row>
    <row r="466" ht="9.75" customHeight="1">
      <c r="A466" s="65"/>
      <c r="B466" s="115" t="s">
        <v>403</v>
      </c>
      <c r="C466" s="67"/>
      <c r="D466" s="116"/>
      <c r="E466" s="116"/>
      <c r="F466" s="118">
        <v>17.5</v>
      </c>
      <c r="G466" s="90">
        <f t="shared" si="79"/>
        <v>0</v>
      </c>
      <c r="H466" s="4">
        <f t="shared" si="76"/>
        <v>0</v>
      </c>
      <c r="I466" s="59">
        <f t="shared" si="73"/>
        <v>0</v>
      </c>
      <c r="J466" s="4"/>
      <c r="K466" s="4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4"/>
      <c r="Y466" s="4"/>
    </row>
    <row r="467" ht="9.75" customHeight="1">
      <c r="A467" s="65"/>
      <c r="B467" s="115"/>
      <c r="C467" s="67"/>
      <c r="D467" s="116"/>
      <c r="E467" s="116"/>
      <c r="F467" s="118"/>
      <c r="G467" s="90"/>
      <c r="H467" s="4">
        <f t="shared" si="76"/>
        <v>0</v>
      </c>
      <c r="I467" s="59">
        <f t="shared" si="73"/>
        <v>0</v>
      </c>
      <c r="J467" s="4"/>
      <c r="K467" s="4"/>
      <c r="L467" s="4"/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/>
      <c r="X467" s="4"/>
      <c r="Y467" s="4"/>
    </row>
    <row r="468" ht="9.75" customHeight="1">
      <c r="A468" s="65"/>
      <c r="B468" s="146" t="s">
        <v>404</v>
      </c>
      <c r="C468" s="147"/>
      <c r="D468" s="148"/>
      <c r="E468" s="148"/>
      <c r="F468" s="73"/>
      <c r="G468" s="90">
        <f t="shared" ref="G468:G480" si="80">E468*F468</f>
        <v>0</v>
      </c>
      <c r="H468" s="4">
        <f t="shared" si="76"/>
        <v>0</v>
      </c>
      <c r="I468" s="59">
        <f t="shared" si="73"/>
        <v>0</v>
      </c>
      <c r="J468" s="4"/>
      <c r="K468" s="4"/>
      <c r="L468" s="4"/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/>
      <c r="X468" s="4"/>
      <c r="Y468" s="4"/>
    </row>
    <row r="469" ht="9.75" customHeight="1">
      <c r="A469" s="65"/>
      <c r="B469" s="115" t="s">
        <v>405</v>
      </c>
      <c r="C469" s="67" t="s">
        <v>398</v>
      </c>
      <c r="D469" s="116"/>
      <c r="E469" s="117">
        <v>1.0</v>
      </c>
      <c r="F469" s="118">
        <v>105.0</v>
      </c>
      <c r="G469" s="90">
        <f t="shared" si="80"/>
        <v>105</v>
      </c>
      <c r="H469" s="4">
        <f t="shared" si="76"/>
        <v>0</v>
      </c>
      <c r="I469" s="59">
        <f t="shared" si="73"/>
        <v>0</v>
      </c>
      <c r="J469" s="4"/>
      <c r="K469" s="4"/>
      <c r="L469" s="4"/>
      <c r="M469" s="4"/>
      <c r="N469" s="4"/>
      <c r="O469" s="4"/>
      <c r="P469" s="4"/>
      <c r="Q469" s="4"/>
      <c r="R469" s="4"/>
      <c r="S469" s="4"/>
      <c r="T469" s="4"/>
      <c r="U469" s="4"/>
      <c r="V469" s="4"/>
      <c r="W469" s="4"/>
      <c r="X469" s="4"/>
      <c r="Y469" s="4"/>
    </row>
    <row r="470" ht="9.75" customHeight="1">
      <c r="A470" s="65"/>
      <c r="B470" s="115"/>
      <c r="C470" s="67"/>
      <c r="D470" s="116"/>
      <c r="E470" s="116"/>
      <c r="F470" s="118"/>
      <c r="G470" s="90">
        <f t="shared" si="80"/>
        <v>0</v>
      </c>
      <c r="H470" s="4">
        <f t="shared" si="76"/>
        <v>0</v>
      </c>
      <c r="I470" s="59">
        <f t="shared" si="73"/>
        <v>0</v>
      </c>
      <c r="J470" s="4"/>
      <c r="K470" s="4"/>
      <c r="L470" s="4"/>
      <c r="M470" s="4"/>
      <c r="N470" s="4"/>
      <c r="O470" s="4"/>
      <c r="P470" s="4"/>
      <c r="Q470" s="4"/>
      <c r="R470" s="4"/>
      <c r="S470" s="4"/>
      <c r="T470" s="4"/>
      <c r="U470" s="4"/>
      <c r="V470" s="4"/>
      <c r="W470" s="4"/>
      <c r="X470" s="4"/>
      <c r="Y470" s="4"/>
    </row>
    <row r="471" ht="9.75" customHeight="1">
      <c r="A471" s="65"/>
      <c r="B471" s="146" t="s">
        <v>406</v>
      </c>
      <c r="C471" s="147"/>
      <c r="D471" s="148"/>
      <c r="E471" s="148"/>
      <c r="F471" s="73"/>
      <c r="G471" s="90">
        <f t="shared" si="80"/>
        <v>0</v>
      </c>
      <c r="H471" s="4">
        <f t="shared" si="76"/>
        <v>0</v>
      </c>
      <c r="I471" s="59">
        <f t="shared" si="73"/>
        <v>0</v>
      </c>
      <c r="J471" s="4"/>
      <c r="K471" s="4"/>
      <c r="L471" s="4"/>
      <c r="M471" s="4"/>
      <c r="N471" s="4"/>
      <c r="O471" s="4"/>
      <c r="P471" s="4"/>
      <c r="Q471" s="4"/>
      <c r="R471" s="4"/>
      <c r="S471" s="4"/>
      <c r="T471" s="4"/>
      <c r="U471" s="4"/>
      <c r="V471" s="4"/>
      <c r="W471" s="4"/>
      <c r="X471" s="4"/>
      <c r="Y471" s="4"/>
    </row>
    <row r="472" ht="9.75" customHeight="1">
      <c r="A472" s="65"/>
      <c r="B472" s="115" t="s">
        <v>407</v>
      </c>
      <c r="C472" s="67" t="s">
        <v>398</v>
      </c>
      <c r="D472" s="148"/>
      <c r="E472" s="117">
        <v>1.0</v>
      </c>
      <c r="F472" s="118">
        <v>18.0</v>
      </c>
      <c r="G472" s="90">
        <f t="shared" si="80"/>
        <v>18</v>
      </c>
      <c r="H472" s="4">
        <f t="shared" si="76"/>
        <v>0</v>
      </c>
      <c r="I472" s="59">
        <f t="shared" si="73"/>
        <v>0</v>
      </c>
      <c r="J472" s="4"/>
      <c r="K472" s="4"/>
      <c r="L472" s="4"/>
      <c r="M472" s="4"/>
      <c r="N472" s="4"/>
      <c r="O472" s="4"/>
      <c r="P472" s="4"/>
      <c r="Q472" s="4"/>
      <c r="R472" s="4"/>
      <c r="S472" s="4"/>
      <c r="T472" s="4"/>
      <c r="U472" s="4"/>
      <c r="V472" s="4"/>
      <c r="W472" s="4"/>
      <c r="X472" s="4"/>
      <c r="Y472" s="4"/>
    </row>
    <row r="473" ht="9.75" customHeight="1">
      <c r="A473" s="65"/>
      <c r="B473" s="150"/>
      <c r="C473" s="151"/>
      <c r="D473" s="127"/>
      <c r="E473" s="127"/>
      <c r="F473" s="127"/>
      <c r="G473" s="128">
        <f t="shared" si="80"/>
        <v>0</v>
      </c>
      <c r="H473" s="4">
        <f t="shared" si="76"/>
        <v>0</v>
      </c>
      <c r="I473" s="59">
        <f t="shared" si="73"/>
        <v>0</v>
      </c>
      <c r="J473" s="4"/>
      <c r="K473" s="4"/>
      <c r="L473" s="4"/>
      <c r="M473" s="4"/>
      <c r="N473" s="4"/>
      <c r="O473" s="4"/>
      <c r="P473" s="4"/>
      <c r="Q473" s="4"/>
      <c r="R473" s="4"/>
      <c r="S473" s="4"/>
      <c r="T473" s="4"/>
      <c r="U473" s="4"/>
      <c r="V473" s="4"/>
      <c r="W473" s="4"/>
      <c r="X473" s="4"/>
      <c r="Y473" s="4"/>
    </row>
    <row r="474" ht="9.75" customHeight="1">
      <c r="A474" s="65"/>
      <c r="B474" s="152" t="s">
        <v>408</v>
      </c>
      <c r="C474" s="153" t="s">
        <v>34</v>
      </c>
      <c r="D474" s="154"/>
      <c r="E474" s="154"/>
      <c r="F474" s="88"/>
      <c r="G474" s="155">
        <f t="shared" si="80"/>
        <v>0</v>
      </c>
      <c r="H474" s="4">
        <f t="shared" si="76"/>
        <v>0</v>
      </c>
      <c r="I474" s="59">
        <f t="shared" si="73"/>
        <v>0</v>
      </c>
      <c r="J474" s="4"/>
      <c r="K474" s="4"/>
      <c r="L474" s="4"/>
      <c r="M474" s="4"/>
      <c r="N474" s="4"/>
      <c r="O474" s="4"/>
      <c r="P474" s="4"/>
      <c r="Q474" s="4"/>
      <c r="R474" s="4"/>
      <c r="S474" s="4"/>
      <c r="T474" s="4"/>
      <c r="U474" s="4"/>
      <c r="V474" s="4"/>
      <c r="W474" s="4"/>
      <c r="X474" s="4"/>
      <c r="Y474" s="4"/>
    </row>
    <row r="475" ht="9.75" customHeight="1">
      <c r="A475" s="65"/>
      <c r="B475" s="79" t="s">
        <v>409</v>
      </c>
      <c r="C475" s="80" t="s">
        <v>158</v>
      </c>
      <c r="D475" s="100"/>
      <c r="E475" s="100"/>
      <c r="F475" s="78"/>
      <c r="G475" s="90">
        <f t="shared" si="80"/>
        <v>0</v>
      </c>
      <c r="H475" s="4">
        <f t="shared" si="76"/>
        <v>0</v>
      </c>
      <c r="I475" s="59">
        <f t="shared" si="73"/>
        <v>0</v>
      </c>
      <c r="J475" s="4"/>
      <c r="K475" s="4"/>
      <c r="L475" s="4"/>
      <c r="M475" s="4"/>
      <c r="N475" s="4"/>
      <c r="O475" s="4"/>
      <c r="P475" s="4"/>
      <c r="Q475" s="4"/>
      <c r="R475" s="4"/>
      <c r="S475" s="4"/>
      <c r="T475" s="4"/>
      <c r="U475" s="4"/>
      <c r="V475" s="4"/>
      <c r="W475" s="4"/>
      <c r="X475" s="4"/>
      <c r="Y475" s="4"/>
    </row>
    <row r="476" ht="9.75" customHeight="1">
      <c r="A476" s="65"/>
      <c r="B476" s="79" t="s">
        <v>410</v>
      </c>
      <c r="C476" s="80" t="s">
        <v>158</v>
      </c>
      <c r="D476" s="100"/>
      <c r="E476" s="100"/>
      <c r="F476" s="78"/>
      <c r="G476" s="90">
        <f t="shared" si="80"/>
        <v>0</v>
      </c>
      <c r="H476" s="4">
        <f t="shared" si="76"/>
        <v>0</v>
      </c>
      <c r="I476" s="59">
        <f t="shared" si="73"/>
        <v>0</v>
      </c>
      <c r="J476" s="4"/>
      <c r="K476" s="4"/>
      <c r="L476" s="4"/>
      <c r="M476" s="4"/>
      <c r="N476" s="4"/>
      <c r="O476" s="4"/>
      <c r="P476" s="4"/>
      <c r="Q476" s="4"/>
      <c r="R476" s="4"/>
      <c r="S476" s="4"/>
      <c r="T476" s="4"/>
      <c r="U476" s="4"/>
      <c r="V476" s="4"/>
      <c r="W476" s="4"/>
      <c r="X476" s="4"/>
      <c r="Y476" s="4"/>
    </row>
    <row r="477" ht="9.75" customHeight="1">
      <c r="A477" s="65"/>
      <c r="B477" s="79" t="s">
        <v>411</v>
      </c>
      <c r="C477" s="80" t="s">
        <v>158</v>
      </c>
      <c r="D477" s="100"/>
      <c r="E477" s="100"/>
      <c r="F477" s="78"/>
      <c r="G477" s="90">
        <f t="shared" si="80"/>
        <v>0</v>
      </c>
      <c r="H477" s="4">
        <f t="shared" si="76"/>
        <v>0</v>
      </c>
      <c r="I477" s="59">
        <f t="shared" si="73"/>
        <v>0</v>
      </c>
      <c r="J477" s="4"/>
      <c r="K477" s="4"/>
      <c r="L477" s="4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4"/>
      <c r="X477" s="4"/>
      <c r="Y477" s="4"/>
    </row>
    <row r="478" ht="9.75" customHeight="1">
      <c r="A478" s="65"/>
      <c r="B478" s="79" t="s">
        <v>412</v>
      </c>
      <c r="C478" s="80" t="s">
        <v>158</v>
      </c>
      <c r="D478" s="100"/>
      <c r="E478" s="100"/>
      <c r="F478" s="78"/>
      <c r="G478" s="90">
        <f t="shared" si="80"/>
        <v>0</v>
      </c>
      <c r="H478" s="4">
        <f t="shared" si="76"/>
        <v>0</v>
      </c>
      <c r="I478" s="59">
        <f t="shared" si="73"/>
        <v>0</v>
      </c>
      <c r="J478" s="4"/>
      <c r="K478" s="4"/>
      <c r="L478" s="4"/>
      <c r="M478" s="4"/>
      <c r="N478" s="4"/>
      <c r="O478" s="4"/>
      <c r="P478" s="4"/>
      <c r="Q478" s="4"/>
      <c r="R478" s="4"/>
      <c r="S478" s="4"/>
      <c r="T478" s="4"/>
      <c r="U478" s="4"/>
      <c r="V478" s="4"/>
      <c r="W478" s="4"/>
      <c r="X478" s="4"/>
      <c r="Y478" s="4"/>
    </row>
    <row r="479" ht="9.75" customHeight="1">
      <c r="A479" s="65"/>
      <c r="B479" s="79" t="s">
        <v>413</v>
      </c>
      <c r="C479" s="80" t="s">
        <v>158</v>
      </c>
      <c r="D479" s="100"/>
      <c r="E479" s="100"/>
      <c r="F479" s="78"/>
      <c r="G479" s="90">
        <f t="shared" si="80"/>
        <v>0</v>
      </c>
      <c r="H479" s="4">
        <f t="shared" si="76"/>
        <v>0</v>
      </c>
      <c r="I479" s="59">
        <f t="shared" si="73"/>
        <v>0</v>
      </c>
      <c r="J479" s="4"/>
      <c r="K479" s="4"/>
      <c r="L479" s="4"/>
      <c r="M479" s="4"/>
      <c r="N479" s="4"/>
      <c r="O479" s="4"/>
      <c r="P479" s="4"/>
      <c r="Q479" s="4"/>
      <c r="R479" s="4"/>
      <c r="S479" s="4"/>
      <c r="T479" s="4"/>
      <c r="U479" s="4"/>
      <c r="V479" s="4"/>
      <c r="W479" s="4"/>
      <c r="X479" s="4"/>
      <c r="Y479" s="4"/>
    </row>
    <row r="480" ht="9.75" customHeight="1">
      <c r="A480" s="65"/>
      <c r="B480" s="79" t="s">
        <v>414</v>
      </c>
      <c r="C480" s="80" t="s">
        <v>158</v>
      </c>
      <c r="D480" s="100"/>
      <c r="E480" s="100">
        <v>1.0</v>
      </c>
      <c r="F480" s="78">
        <v>1.0</v>
      </c>
      <c r="G480" s="90">
        <f t="shared" si="80"/>
        <v>1</v>
      </c>
      <c r="H480" s="4">
        <f t="shared" si="76"/>
        <v>0</v>
      </c>
      <c r="I480" s="59">
        <f t="shared" si="73"/>
        <v>0</v>
      </c>
      <c r="J480" s="4"/>
      <c r="K480" s="4"/>
      <c r="L480" s="4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4"/>
      <c r="X480" s="4"/>
      <c r="Y480" s="4"/>
    </row>
    <row r="481" ht="12.75" customHeight="1">
      <c r="A481" s="65" t="s">
        <v>415</v>
      </c>
      <c r="B481" s="82" t="str">
        <f>CONCATENATE("Sous-Total : ",A458," - ",B458)</f>
        <v>Sous-Total :  - SYSTÈME GTC</v>
      </c>
      <c r="C481" s="83"/>
      <c r="D481" s="84"/>
      <c r="E481" s="84"/>
      <c r="F481" s="84"/>
      <c r="G481" s="109">
        <f>SUM(G458:G480)</f>
        <v>14109.2</v>
      </c>
      <c r="H481" s="4">
        <f t="shared" si="76"/>
        <v>14109.2</v>
      </c>
      <c r="I481" s="59">
        <f t="shared" si="73"/>
        <v>0.003249146866</v>
      </c>
      <c r="J481" s="4"/>
      <c r="K481" s="4"/>
      <c r="L481" s="4"/>
      <c r="M481" s="4"/>
      <c r="N481" s="4"/>
      <c r="O481" s="4"/>
      <c r="P481" s="4"/>
      <c r="Q481" s="4"/>
      <c r="R481" s="4"/>
      <c r="S481" s="4"/>
      <c r="T481" s="4"/>
      <c r="U481" s="4"/>
      <c r="V481" s="4"/>
      <c r="W481" s="4"/>
      <c r="X481" s="4"/>
      <c r="Y481" s="4"/>
    </row>
    <row r="482" ht="9.75" customHeight="1">
      <c r="A482" s="65"/>
      <c r="B482" s="4"/>
      <c r="C482" s="163"/>
      <c r="D482" s="164"/>
      <c r="E482" s="164"/>
      <c r="F482" s="164"/>
      <c r="G482" s="164"/>
      <c r="H482" s="4">
        <f t="shared" si="76"/>
        <v>0</v>
      </c>
      <c r="I482" s="59">
        <f t="shared" si="73"/>
        <v>0</v>
      </c>
      <c r="J482" s="4"/>
      <c r="K482" s="4"/>
      <c r="L482" s="4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4"/>
      <c r="X482" s="4"/>
      <c r="Y482" s="4"/>
    </row>
    <row r="483" ht="12.75" customHeight="1">
      <c r="A483" s="65" t="s">
        <v>416</v>
      </c>
      <c r="B483" s="172" t="s">
        <v>417</v>
      </c>
      <c r="C483" s="172"/>
      <c r="D483" s="173"/>
      <c r="E483" s="173"/>
      <c r="F483" s="174"/>
      <c r="G483" s="175">
        <f>SUM(G481,G457,G447,G438,G390,G370,G340,G309,G288,G262,G255,G240,G237,G231,G227,G224,G209,G144,G125,G117,G53,G46,G38,G32,G25,G17)</f>
        <v>4010286.49</v>
      </c>
      <c r="H483" s="4">
        <f t="shared" si="76"/>
        <v>0</v>
      </c>
      <c r="I483" s="59">
        <f>IFERROR(G483/$H$6,0)</f>
        <v>0.9235115939</v>
      </c>
      <c r="J483" s="175">
        <f>SUM(H15:H481)</f>
        <v>4010286.49</v>
      </c>
      <c r="K483" s="4"/>
      <c r="L483" s="4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4"/>
      <c r="X483" s="4"/>
      <c r="Y483" s="4"/>
    </row>
    <row r="484" ht="9.75" customHeight="1">
      <c r="A484" s="65"/>
      <c r="B484" s="4"/>
      <c r="C484" s="163"/>
      <c r="D484" s="164"/>
      <c r="E484" s="164"/>
      <c r="F484" s="164"/>
      <c r="G484" s="164"/>
      <c r="H484" s="4">
        <f t="shared" si="76"/>
        <v>0</v>
      </c>
      <c r="I484" s="59">
        <f t="shared" ref="I484:I499" si="81">IFERROR(H484/$H$6,0)</f>
        <v>0</v>
      </c>
      <c r="J484" s="4"/>
      <c r="K484" s="4"/>
      <c r="L484" s="4"/>
      <c r="M484" s="4"/>
      <c r="N484" s="4"/>
      <c r="O484" s="4"/>
      <c r="P484" s="4"/>
      <c r="Q484" s="4"/>
      <c r="R484" s="4"/>
      <c r="S484" s="4"/>
      <c r="T484" s="4"/>
      <c r="U484" s="4"/>
      <c r="V484" s="4"/>
      <c r="W484" s="4"/>
      <c r="X484" s="4"/>
      <c r="Y484" s="4"/>
    </row>
    <row r="485" ht="18.75" customHeight="1">
      <c r="A485" s="176"/>
      <c r="B485" s="177" t="s">
        <v>418</v>
      </c>
      <c r="C485" s="178"/>
      <c r="D485" s="178"/>
      <c r="E485" s="178"/>
      <c r="F485" s="178"/>
      <c r="G485" s="179"/>
      <c r="H485" s="4">
        <f t="shared" si="76"/>
        <v>0</v>
      </c>
      <c r="I485" s="59">
        <f t="shared" si="81"/>
        <v>0</v>
      </c>
      <c r="J485" s="4"/>
      <c r="K485" s="4"/>
      <c r="L485" s="4"/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  <c r="X485" s="4"/>
      <c r="Y485" s="4"/>
    </row>
    <row r="486" ht="9.75" customHeight="1">
      <c r="A486" s="65"/>
      <c r="B486" s="105" t="s">
        <v>419</v>
      </c>
      <c r="C486" s="106"/>
      <c r="D486" s="98"/>
      <c r="E486" s="98"/>
      <c r="F486" s="98"/>
      <c r="G486" s="107">
        <f t="shared" ref="G486:G487" si="82">E486*F486</f>
        <v>0</v>
      </c>
      <c r="H486" s="4">
        <f t="shared" si="76"/>
        <v>0</v>
      </c>
      <c r="I486" s="59">
        <f t="shared" si="81"/>
        <v>0</v>
      </c>
      <c r="J486" s="4"/>
      <c r="K486" s="4"/>
      <c r="L486" s="4"/>
      <c r="M486" s="4"/>
      <c r="N486" s="4"/>
      <c r="O486" s="4"/>
      <c r="P486" s="4"/>
      <c r="Q486" s="4"/>
      <c r="R486" s="4"/>
      <c r="S486" s="4"/>
      <c r="T486" s="4"/>
      <c r="U486" s="4"/>
      <c r="V486" s="4"/>
      <c r="W486" s="4"/>
      <c r="X486" s="4"/>
      <c r="Y486" s="4"/>
    </row>
    <row r="487" ht="9.75" customHeight="1">
      <c r="A487" s="65"/>
      <c r="B487" s="115" t="s">
        <v>420</v>
      </c>
      <c r="C487" s="67" t="s">
        <v>421</v>
      </c>
      <c r="D487" s="116"/>
      <c r="E487" s="116"/>
      <c r="F487" s="118">
        <v>905.0</v>
      </c>
      <c r="G487" s="90">
        <f t="shared" si="82"/>
        <v>0</v>
      </c>
      <c r="H487" s="4">
        <f t="shared" si="76"/>
        <v>0</v>
      </c>
      <c r="I487" s="59">
        <f t="shared" si="81"/>
        <v>0</v>
      </c>
      <c r="J487" s="4"/>
      <c r="K487" s="4"/>
      <c r="L487" s="4"/>
      <c r="M487" s="4"/>
      <c r="N487" s="4"/>
      <c r="O487" s="4"/>
      <c r="P487" s="4"/>
      <c r="Q487" s="4"/>
      <c r="R487" s="4"/>
      <c r="S487" s="4"/>
      <c r="T487" s="4"/>
      <c r="U487" s="4"/>
      <c r="V487" s="4"/>
      <c r="W487" s="4"/>
      <c r="X487" s="4"/>
      <c r="Y487" s="4"/>
    </row>
    <row r="488" ht="9.75" customHeight="1">
      <c r="A488" s="65"/>
      <c r="B488" s="150"/>
      <c r="C488" s="151"/>
      <c r="D488" s="127"/>
      <c r="E488" s="127"/>
      <c r="F488" s="127"/>
      <c r="G488" s="156"/>
      <c r="H488" s="4">
        <f t="shared" si="76"/>
        <v>0</v>
      </c>
      <c r="I488" s="59">
        <f t="shared" si="81"/>
        <v>0</v>
      </c>
      <c r="J488" s="4"/>
      <c r="K488" s="4"/>
      <c r="L488" s="4"/>
      <c r="M488" s="4"/>
      <c r="N488" s="4"/>
      <c r="O488" s="4"/>
      <c r="P488" s="4"/>
      <c r="Q488" s="4"/>
      <c r="R488" s="4"/>
      <c r="S488" s="4"/>
      <c r="T488" s="4"/>
      <c r="U488" s="4"/>
      <c r="V488" s="4"/>
      <c r="W488" s="4"/>
      <c r="X488" s="4"/>
      <c r="Y488" s="4"/>
    </row>
    <row r="489" ht="9.75" customHeight="1">
      <c r="A489" s="65"/>
      <c r="B489" s="152" t="s">
        <v>422</v>
      </c>
      <c r="C489" s="153" t="s">
        <v>32</v>
      </c>
      <c r="D489" s="154"/>
      <c r="E489" s="154">
        <v>1.0</v>
      </c>
      <c r="F489" s="180">
        <v>1.0</v>
      </c>
      <c r="G489" s="90">
        <f t="shared" ref="G489:G497" si="83">E489*F489</f>
        <v>1</v>
      </c>
      <c r="H489" s="4">
        <f t="shared" si="76"/>
        <v>0</v>
      </c>
      <c r="I489" s="59">
        <f t="shared" si="81"/>
        <v>0</v>
      </c>
      <c r="J489" s="4"/>
      <c r="K489" s="4"/>
      <c r="L489" s="4"/>
      <c r="M489" s="4"/>
      <c r="N489" s="4"/>
      <c r="O489" s="4"/>
      <c r="P489" s="4"/>
      <c r="Q489" s="4"/>
      <c r="R489" s="4"/>
      <c r="S489" s="4"/>
      <c r="T489" s="4"/>
      <c r="U489" s="4"/>
      <c r="V489" s="4"/>
      <c r="W489" s="4"/>
      <c r="X489" s="4"/>
      <c r="Y489" s="4"/>
    </row>
    <row r="490" ht="9.75" customHeight="1">
      <c r="A490" s="65"/>
      <c r="B490" s="79" t="s">
        <v>423</v>
      </c>
      <c r="C490" s="80" t="s">
        <v>34</v>
      </c>
      <c r="D490" s="100"/>
      <c r="E490" s="100"/>
      <c r="F490" s="181"/>
      <c r="G490" s="90">
        <f t="shared" si="83"/>
        <v>0</v>
      </c>
      <c r="H490" s="4">
        <f t="shared" si="76"/>
        <v>0</v>
      </c>
      <c r="I490" s="59">
        <f t="shared" si="81"/>
        <v>0</v>
      </c>
      <c r="J490" s="4"/>
      <c r="K490" s="4"/>
      <c r="L490" s="4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4"/>
      <c r="X490" s="4"/>
      <c r="Y490" s="4"/>
    </row>
    <row r="491" ht="9.75" customHeight="1">
      <c r="A491" s="65"/>
      <c r="B491" s="79" t="s">
        <v>424</v>
      </c>
      <c r="C491" s="80" t="s">
        <v>51</v>
      </c>
      <c r="D491" s="100"/>
      <c r="E491" s="100"/>
      <c r="F491" s="181"/>
      <c r="G491" s="90">
        <f t="shared" si="83"/>
        <v>0</v>
      </c>
      <c r="H491" s="4">
        <f t="shared" si="76"/>
        <v>0</v>
      </c>
      <c r="I491" s="59">
        <f t="shared" si="81"/>
        <v>0</v>
      </c>
      <c r="J491" s="4"/>
      <c r="K491" s="4"/>
      <c r="L491" s="4"/>
      <c r="M491" s="4"/>
      <c r="N491" s="4"/>
      <c r="O491" s="4"/>
      <c r="P491" s="4"/>
      <c r="Q491" s="4"/>
      <c r="R491" s="4"/>
      <c r="S491" s="4"/>
      <c r="T491" s="4"/>
      <c r="U491" s="4"/>
      <c r="V491" s="4"/>
      <c r="W491" s="4"/>
      <c r="X491" s="4"/>
      <c r="Y491" s="4"/>
    </row>
    <row r="492" ht="9.75" customHeight="1">
      <c r="A492" s="65"/>
      <c r="B492" s="79" t="s">
        <v>425</v>
      </c>
      <c r="C492" s="80" t="s">
        <v>32</v>
      </c>
      <c r="D492" s="100"/>
      <c r="E492" s="100"/>
      <c r="F492" s="181"/>
      <c r="G492" s="90">
        <f t="shared" si="83"/>
        <v>0</v>
      </c>
      <c r="H492" s="4">
        <f t="shared" si="76"/>
        <v>0</v>
      </c>
      <c r="I492" s="59">
        <f t="shared" si="81"/>
        <v>0</v>
      </c>
      <c r="J492" s="4"/>
      <c r="K492" s="4"/>
      <c r="L492" s="4"/>
      <c r="M492" s="4"/>
      <c r="N492" s="4"/>
      <c r="O492" s="4"/>
      <c r="P492" s="4"/>
      <c r="Q492" s="4"/>
      <c r="R492" s="4"/>
      <c r="S492" s="4"/>
      <c r="T492" s="4"/>
      <c r="U492" s="4"/>
      <c r="V492" s="4"/>
      <c r="W492" s="4"/>
      <c r="X492" s="4"/>
      <c r="Y492" s="4"/>
    </row>
    <row r="493" ht="9.75" customHeight="1">
      <c r="A493" s="65"/>
      <c r="B493" s="79" t="s">
        <v>426</v>
      </c>
      <c r="C493" s="80" t="s">
        <v>32</v>
      </c>
      <c r="D493" s="100"/>
      <c r="E493" s="100"/>
      <c r="F493" s="181"/>
      <c r="G493" s="90">
        <f t="shared" si="83"/>
        <v>0</v>
      </c>
      <c r="H493" s="4">
        <f t="shared" si="76"/>
        <v>0</v>
      </c>
      <c r="I493" s="59">
        <f t="shared" si="81"/>
        <v>0</v>
      </c>
      <c r="J493" s="4"/>
      <c r="K493" s="4"/>
      <c r="L493" s="4"/>
      <c r="M493" s="4"/>
      <c r="N493" s="4"/>
      <c r="O493" s="4"/>
      <c r="P493" s="4"/>
      <c r="Q493" s="4"/>
      <c r="R493" s="4"/>
      <c r="S493" s="4"/>
      <c r="T493" s="4"/>
      <c r="U493" s="4"/>
      <c r="V493" s="4"/>
      <c r="W493" s="4"/>
      <c r="X493" s="4"/>
      <c r="Y493" s="4"/>
    </row>
    <row r="494" ht="9.75" customHeight="1">
      <c r="A494" s="65"/>
      <c r="B494" s="79" t="s">
        <v>427</v>
      </c>
      <c r="C494" s="80" t="s">
        <v>27</v>
      </c>
      <c r="D494" s="100"/>
      <c r="E494" s="100"/>
      <c r="F494" s="181"/>
      <c r="G494" s="90">
        <f t="shared" si="83"/>
        <v>0</v>
      </c>
      <c r="H494" s="4">
        <f t="shared" si="76"/>
        <v>0</v>
      </c>
      <c r="I494" s="59">
        <f t="shared" si="81"/>
        <v>0</v>
      </c>
      <c r="J494" s="4"/>
      <c r="K494" s="4"/>
      <c r="L494" s="4"/>
      <c r="M494" s="4"/>
      <c r="N494" s="4"/>
      <c r="O494" s="4"/>
      <c r="P494" s="4"/>
      <c r="Q494" s="4"/>
      <c r="R494" s="4"/>
      <c r="S494" s="4"/>
      <c r="T494" s="4"/>
      <c r="U494" s="4"/>
      <c r="V494" s="4"/>
      <c r="W494" s="4"/>
      <c r="X494" s="4"/>
      <c r="Y494" s="4"/>
    </row>
    <row r="495" ht="9.75" customHeight="1">
      <c r="A495" s="65"/>
      <c r="B495" s="79" t="s">
        <v>428</v>
      </c>
      <c r="C495" s="80" t="s">
        <v>34</v>
      </c>
      <c r="D495" s="100"/>
      <c r="E495" s="100"/>
      <c r="F495" s="181"/>
      <c r="G495" s="90">
        <f t="shared" si="83"/>
        <v>0</v>
      </c>
      <c r="H495" s="4">
        <f t="shared" si="76"/>
        <v>0</v>
      </c>
      <c r="I495" s="59">
        <f t="shared" si="81"/>
        <v>0</v>
      </c>
      <c r="J495" s="4"/>
      <c r="K495" s="4"/>
      <c r="L495" s="4"/>
      <c r="M495" s="4"/>
      <c r="N495" s="4"/>
      <c r="O495" s="4"/>
      <c r="P495" s="4"/>
      <c r="Q495" s="4"/>
      <c r="R495" s="4"/>
      <c r="S495" s="4"/>
      <c r="T495" s="4"/>
      <c r="U495" s="4"/>
      <c r="V495" s="4"/>
      <c r="W495" s="4"/>
      <c r="X495" s="4"/>
      <c r="Y495" s="4"/>
    </row>
    <row r="496" ht="9.75" customHeight="1">
      <c r="A496" s="65"/>
      <c r="B496" s="79" t="s">
        <v>429</v>
      </c>
      <c r="C496" s="80" t="s">
        <v>34</v>
      </c>
      <c r="D496" s="100"/>
      <c r="E496" s="100"/>
      <c r="F496" s="181"/>
      <c r="G496" s="90">
        <f t="shared" si="83"/>
        <v>0</v>
      </c>
      <c r="H496" s="4">
        <f t="shared" si="76"/>
        <v>0</v>
      </c>
      <c r="I496" s="59">
        <f t="shared" si="81"/>
        <v>0</v>
      </c>
      <c r="J496" s="4"/>
      <c r="K496" s="4"/>
      <c r="L496" s="4"/>
      <c r="M496" s="4"/>
      <c r="N496" s="4"/>
      <c r="O496" s="4"/>
      <c r="P496" s="4"/>
      <c r="Q496" s="4"/>
      <c r="R496" s="4"/>
      <c r="S496" s="4"/>
      <c r="T496" s="4"/>
      <c r="U496" s="4"/>
      <c r="V496" s="4"/>
      <c r="W496" s="4"/>
      <c r="X496" s="4"/>
      <c r="Y496" s="4"/>
    </row>
    <row r="497" ht="9.75" customHeight="1">
      <c r="A497" s="65"/>
      <c r="B497" s="79" t="s">
        <v>430</v>
      </c>
      <c r="C497" s="80" t="s">
        <v>32</v>
      </c>
      <c r="D497" s="100"/>
      <c r="E497" s="100">
        <v>1.0</v>
      </c>
      <c r="F497" s="181">
        <v>1.0</v>
      </c>
      <c r="G497" s="90">
        <f t="shared" si="83"/>
        <v>1</v>
      </c>
      <c r="H497" s="4">
        <f t="shared" si="76"/>
        <v>0</v>
      </c>
      <c r="I497" s="59">
        <f t="shared" si="81"/>
        <v>0</v>
      </c>
      <c r="J497" s="4"/>
      <c r="K497" s="4"/>
      <c r="L497" s="4"/>
      <c r="M497" s="4"/>
      <c r="N497" s="4"/>
      <c r="O497" s="4"/>
      <c r="P497" s="4"/>
      <c r="Q497" s="4"/>
      <c r="R497" s="4"/>
      <c r="S497" s="4"/>
      <c r="T497" s="4"/>
      <c r="U497" s="4"/>
      <c r="V497" s="4"/>
      <c r="W497" s="4"/>
      <c r="X497" s="4"/>
      <c r="Y497" s="4"/>
    </row>
    <row r="498" ht="12.75" customHeight="1">
      <c r="A498" s="65" t="s">
        <v>431</v>
      </c>
      <c r="B498" s="4"/>
      <c r="C498" s="83"/>
      <c r="D498" s="84"/>
      <c r="E498" s="84"/>
      <c r="F498" s="84"/>
      <c r="G498" s="109">
        <f>SUM(G486:G497)</f>
        <v>2</v>
      </c>
      <c r="H498" s="4">
        <f>IFERROR(IF(FIND("Sous-",B499,1)&lt;&gt;0,G498,1),0)</f>
        <v>2</v>
      </c>
      <c r="I498" s="59">
        <f t="shared" si="81"/>
        <v>0.0000004605713812</v>
      </c>
      <c r="J498" s="4"/>
      <c r="K498" s="4"/>
      <c r="L498" s="4"/>
      <c r="M498" s="4"/>
      <c r="N498" s="4"/>
      <c r="O498" s="4"/>
      <c r="P498" s="4"/>
      <c r="Q498" s="4"/>
      <c r="R498" s="4"/>
      <c r="S498" s="4"/>
      <c r="T498" s="4"/>
      <c r="U498" s="4"/>
      <c r="V498" s="4"/>
      <c r="W498" s="4"/>
      <c r="X498" s="4"/>
      <c r="Y498" s="4"/>
    </row>
    <row r="499" ht="9.75" customHeight="1">
      <c r="A499" s="65"/>
      <c r="B499" s="82" t="str">
        <f>CONCATENATE("Sous-Total : ",A486," - ",B486)</f>
        <v>Sous-Total :  - Système photovoltïque</v>
      </c>
      <c r="C499" s="163"/>
      <c r="D499" s="164"/>
      <c r="E499" s="164"/>
      <c r="F499" s="164"/>
      <c r="G499" s="164"/>
      <c r="H499" s="4">
        <f>IFERROR(IF(FIND("Sous-",#REF!,1)&lt;&gt;0,G499,1),0)</f>
        <v>0</v>
      </c>
      <c r="I499" s="59">
        <f t="shared" si="81"/>
        <v>0</v>
      </c>
      <c r="J499" s="4"/>
      <c r="K499" s="4"/>
      <c r="L499" s="4"/>
      <c r="M499" s="4"/>
      <c r="N499" s="4"/>
      <c r="O499" s="4"/>
      <c r="P499" s="4"/>
      <c r="Q499" s="4"/>
      <c r="R499" s="4"/>
      <c r="S499" s="4"/>
      <c r="T499" s="4"/>
      <c r="U499" s="4"/>
      <c r="V499" s="4"/>
      <c r="W499" s="4"/>
      <c r="X499" s="4"/>
      <c r="Y499" s="4"/>
    </row>
    <row r="500" ht="12.75" customHeight="1">
      <c r="A500" s="65" t="s">
        <v>432</v>
      </c>
      <c r="B500" s="172" t="s">
        <v>433</v>
      </c>
      <c r="C500" s="172"/>
      <c r="D500" s="173"/>
      <c r="E500" s="173"/>
      <c r="F500" s="174"/>
      <c r="G500" s="175">
        <f>SUM(G498)</f>
        <v>2</v>
      </c>
      <c r="H500" s="4">
        <f t="shared" ref="H500:H504" si="84">IFERROR(IF(FIND("Sous-",B500,1)&lt;&gt;0,G500,1),0)</f>
        <v>0</v>
      </c>
      <c r="I500" s="59">
        <f>IFERROR(G500/$H$6,0)</f>
        <v>0.0000004605713812</v>
      </c>
      <c r="J500" s="4"/>
      <c r="K500" s="4"/>
      <c r="L500" s="4"/>
      <c r="M500" s="4"/>
      <c r="N500" s="4"/>
      <c r="O500" s="4"/>
      <c r="P500" s="4"/>
      <c r="Q500" s="4"/>
      <c r="R500" s="4"/>
      <c r="S500" s="4"/>
      <c r="T500" s="4"/>
      <c r="U500" s="4"/>
      <c r="V500" s="4"/>
      <c r="W500" s="4"/>
      <c r="X500" s="4"/>
      <c r="Y500" s="4"/>
    </row>
    <row r="501" ht="9.75" customHeight="1">
      <c r="A501" s="65"/>
      <c r="B501" s="182"/>
      <c r="C501" s="163"/>
      <c r="D501" s="164"/>
      <c r="E501" s="164"/>
      <c r="F501" s="164"/>
      <c r="G501" s="164"/>
      <c r="H501" s="4">
        <f t="shared" si="84"/>
        <v>0</v>
      </c>
      <c r="I501" s="59">
        <f t="shared" ref="I501:I541" si="85">IFERROR(H501/$H$6,0)</f>
        <v>0</v>
      </c>
      <c r="J501" s="4"/>
      <c r="K501" s="4"/>
      <c r="L501" s="4"/>
      <c r="M501" s="4"/>
      <c r="N501" s="4"/>
      <c r="O501" s="4"/>
      <c r="P501" s="4"/>
      <c r="Q501" s="4"/>
      <c r="R501" s="4"/>
      <c r="S501" s="4"/>
      <c r="T501" s="4"/>
      <c r="U501" s="4"/>
      <c r="V501" s="4"/>
      <c r="W501" s="4"/>
      <c r="X501" s="4"/>
      <c r="Y501" s="4"/>
    </row>
    <row r="502" ht="9.75" customHeight="1">
      <c r="A502" s="65"/>
      <c r="B502" s="4"/>
      <c r="C502" s="163"/>
      <c r="D502" s="164"/>
      <c r="E502" s="164"/>
      <c r="F502" s="164"/>
      <c r="G502" s="164"/>
      <c r="H502" s="4">
        <f t="shared" si="84"/>
        <v>0</v>
      </c>
      <c r="I502" s="59">
        <f t="shared" si="85"/>
        <v>0</v>
      </c>
      <c r="J502" s="4"/>
      <c r="K502" s="4"/>
      <c r="L502" s="4"/>
      <c r="M502" s="4"/>
      <c r="N502" s="4"/>
      <c r="O502" s="4"/>
      <c r="P502" s="4"/>
      <c r="Q502" s="4"/>
      <c r="R502" s="4"/>
      <c r="S502" s="4"/>
      <c r="T502" s="4"/>
      <c r="U502" s="4"/>
      <c r="V502" s="4"/>
      <c r="W502" s="4"/>
      <c r="X502" s="4"/>
      <c r="Y502" s="4"/>
    </row>
    <row r="503" ht="28.5" customHeight="1">
      <c r="A503" s="176"/>
      <c r="B503" s="177" t="s">
        <v>434</v>
      </c>
      <c r="C503" s="178"/>
      <c r="D503" s="178"/>
      <c r="E503" s="178"/>
      <c r="F503" s="178"/>
      <c r="G503" s="179"/>
      <c r="H503" s="4">
        <f t="shared" si="84"/>
        <v>0</v>
      </c>
      <c r="I503" s="59">
        <f t="shared" si="85"/>
        <v>0</v>
      </c>
      <c r="J503" s="4"/>
      <c r="K503" s="4"/>
      <c r="L503" s="4"/>
      <c r="M503" s="4"/>
      <c r="N503" s="4"/>
      <c r="O503" s="4"/>
      <c r="P503" s="4"/>
      <c r="Q503" s="4"/>
      <c r="R503" s="4"/>
      <c r="S503" s="4"/>
      <c r="T503" s="4"/>
      <c r="U503" s="4"/>
      <c r="V503" s="4"/>
      <c r="W503" s="4"/>
      <c r="X503" s="4"/>
      <c r="Y503" s="4"/>
    </row>
    <row r="504" ht="9.75" customHeight="1">
      <c r="A504" s="65"/>
      <c r="B504" s="183" t="s">
        <v>435</v>
      </c>
      <c r="C504" s="184"/>
      <c r="D504" s="144"/>
      <c r="E504" s="144"/>
      <c r="F504" s="144"/>
      <c r="G504" s="185"/>
      <c r="H504" s="4">
        <f t="shared" si="84"/>
        <v>0</v>
      </c>
      <c r="I504" s="59">
        <f t="shared" si="85"/>
        <v>0</v>
      </c>
      <c r="J504" s="4"/>
      <c r="K504" s="4"/>
      <c r="L504" s="4"/>
      <c r="M504" s="4"/>
      <c r="N504" s="4"/>
      <c r="O504" s="4"/>
      <c r="P504" s="4"/>
      <c r="Q504" s="4"/>
      <c r="R504" s="4"/>
      <c r="S504" s="4"/>
      <c r="T504" s="4"/>
      <c r="U504" s="4"/>
      <c r="V504" s="4"/>
      <c r="W504" s="4"/>
      <c r="X504" s="4"/>
      <c r="Y504" s="4"/>
    </row>
    <row r="505" ht="9.75" customHeight="1">
      <c r="A505" s="65"/>
      <c r="B505" s="186" t="s">
        <v>39</v>
      </c>
      <c r="C505" s="187"/>
      <c r="D505" s="188"/>
      <c r="E505" s="188"/>
      <c r="F505" s="189"/>
      <c r="G505" s="190">
        <f t="shared" ref="G505:G538" si="86">E505*F505</f>
        <v>0</v>
      </c>
      <c r="H505" s="4"/>
      <c r="I505" s="59">
        <f t="shared" si="85"/>
        <v>0</v>
      </c>
      <c r="J505" s="4"/>
      <c r="K505" s="4"/>
      <c r="L505" s="4"/>
      <c r="M505" s="4"/>
      <c r="N505" s="4"/>
      <c r="O505" s="4"/>
      <c r="P505" s="4"/>
      <c r="Q505" s="4"/>
      <c r="R505" s="4"/>
      <c r="S505" s="4"/>
      <c r="T505" s="4"/>
      <c r="U505" s="4"/>
      <c r="V505" s="4"/>
      <c r="W505" s="4"/>
      <c r="X505" s="4"/>
      <c r="Y505" s="4"/>
    </row>
    <row r="506" ht="9.75" customHeight="1">
      <c r="A506" s="65"/>
      <c r="B506" s="146" t="s">
        <v>331</v>
      </c>
      <c r="C506" s="147" t="s">
        <v>27</v>
      </c>
      <c r="D506" s="148"/>
      <c r="E506" s="148">
        <f>$F$5</f>
        <v>1</v>
      </c>
      <c r="F506" s="73">
        <v>39.6</v>
      </c>
      <c r="G506" s="90">
        <f t="shared" si="86"/>
        <v>39.6</v>
      </c>
      <c r="H506" s="4"/>
      <c r="I506" s="59">
        <f t="shared" si="85"/>
        <v>0</v>
      </c>
      <c r="J506" s="4"/>
      <c r="K506" s="4"/>
      <c r="L506" s="4"/>
      <c r="M506" s="4"/>
      <c r="N506" s="4"/>
      <c r="O506" s="4"/>
      <c r="P506" s="4"/>
      <c r="Q506" s="4"/>
      <c r="R506" s="4"/>
      <c r="S506" s="4"/>
      <c r="T506" s="4"/>
      <c r="U506" s="4"/>
      <c r="V506" s="4"/>
      <c r="W506" s="4"/>
      <c r="X506" s="4"/>
      <c r="Y506" s="4"/>
    </row>
    <row r="507" ht="9.75" customHeight="1">
      <c r="A507" s="65"/>
      <c r="B507" s="146" t="s">
        <v>332</v>
      </c>
      <c r="C507" s="147" t="s">
        <v>27</v>
      </c>
      <c r="D507" s="148"/>
      <c r="E507" s="117">
        <v>1.0</v>
      </c>
      <c r="F507" s="73">
        <v>13.0</v>
      </c>
      <c r="G507" s="90">
        <f t="shared" si="86"/>
        <v>13</v>
      </c>
      <c r="H507" s="4"/>
      <c r="I507" s="59">
        <f t="shared" si="85"/>
        <v>0</v>
      </c>
      <c r="J507" s="4"/>
      <c r="K507" s="4"/>
      <c r="L507" s="4"/>
      <c r="M507" s="4"/>
      <c r="N507" s="4"/>
      <c r="O507" s="4"/>
      <c r="P507" s="4"/>
      <c r="Q507" s="4"/>
      <c r="R507" s="4"/>
      <c r="S507" s="4"/>
      <c r="T507" s="4"/>
      <c r="U507" s="4"/>
      <c r="V507" s="4"/>
      <c r="W507" s="4"/>
      <c r="X507" s="4"/>
      <c r="Y507" s="4"/>
    </row>
    <row r="508" ht="9.75" customHeight="1">
      <c r="A508" s="65"/>
      <c r="B508" s="146" t="s">
        <v>436</v>
      </c>
      <c r="C508" s="147" t="s">
        <v>27</v>
      </c>
      <c r="D508" s="148"/>
      <c r="E508" s="117">
        <v>1.0</v>
      </c>
      <c r="F508" s="73">
        <v>7.2</v>
      </c>
      <c r="G508" s="90">
        <f t="shared" si="86"/>
        <v>7.2</v>
      </c>
      <c r="H508" s="4"/>
      <c r="I508" s="59">
        <f t="shared" si="85"/>
        <v>0</v>
      </c>
      <c r="J508" s="4"/>
      <c r="K508" s="4"/>
      <c r="L508" s="4"/>
      <c r="M508" s="4"/>
      <c r="N508" s="4"/>
      <c r="O508" s="4"/>
      <c r="P508" s="4"/>
      <c r="Q508" s="4"/>
      <c r="R508" s="4"/>
      <c r="S508" s="4"/>
      <c r="T508" s="4"/>
      <c r="U508" s="4"/>
      <c r="V508" s="4"/>
      <c r="W508" s="4"/>
      <c r="X508" s="4"/>
      <c r="Y508" s="4"/>
    </row>
    <row r="509" ht="9.75" customHeight="1">
      <c r="A509" s="65"/>
      <c r="B509" s="146" t="s">
        <v>334</v>
      </c>
      <c r="C509" s="147" t="s">
        <v>27</v>
      </c>
      <c r="D509" s="148"/>
      <c r="E509" s="117">
        <v>1.0</v>
      </c>
      <c r="F509" s="73">
        <v>8.4</v>
      </c>
      <c r="G509" s="90">
        <f t="shared" si="86"/>
        <v>8.4</v>
      </c>
      <c r="H509" s="4"/>
      <c r="I509" s="59">
        <f t="shared" si="85"/>
        <v>0</v>
      </c>
      <c r="J509" s="4"/>
      <c r="K509" s="4"/>
      <c r="L509" s="4"/>
      <c r="M509" s="4"/>
      <c r="N509" s="4"/>
      <c r="O509" s="4"/>
      <c r="P509" s="4"/>
      <c r="Q509" s="4"/>
      <c r="R509" s="4"/>
      <c r="S509" s="4"/>
      <c r="T509" s="4"/>
      <c r="U509" s="4"/>
      <c r="V509" s="4"/>
      <c r="W509" s="4"/>
      <c r="X509" s="4"/>
      <c r="Y509" s="4"/>
    </row>
    <row r="510" ht="9.75" customHeight="1">
      <c r="A510" s="65"/>
      <c r="B510" s="146" t="s">
        <v>437</v>
      </c>
      <c r="C510" s="147" t="s">
        <v>27</v>
      </c>
      <c r="D510" s="148"/>
      <c r="E510" s="117">
        <v>1.0</v>
      </c>
      <c r="F510" s="73">
        <v>8.4</v>
      </c>
      <c r="G510" s="90">
        <f t="shared" si="86"/>
        <v>8.4</v>
      </c>
      <c r="H510" s="4"/>
      <c r="I510" s="59">
        <f t="shared" si="85"/>
        <v>0</v>
      </c>
      <c r="J510" s="4"/>
      <c r="K510" s="4"/>
      <c r="L510" s="4"/>
      <c r="M510" s="4"/>
      <c r="N510" s="4"/>
      <c r="O510" s="4"/>
      <c r="P510" s="4"/>
      <c r="Q510" s="4"/>
      <c r="R510" s="4"/>
      <c r="S510" s="4"/>
      <c r="T510" s="4"/>
      <c r="U510" s="4"/>
      <c r="V510" s="4"/>
      <c r="W510" s="4"/>
      <c r="X510" s="4"/>
      <c r="Y510" s="4"/>
    </row>
    <row r="511" ht="9.75" customHeight="1">
      <c r="A511" s="65"/>
      <c r="B511" s="146" t="s">
        <v>336</v>
      </c>
      <c r="C511" s="147" t="s">
        <v>27</v>
      </c>
      <c r="D511" s="148"/>
      <c r="E511" s="117">
        <v>1.0</v>
      </c>
      <c r="F511" s="73">
        <v>8.64</v>
      </c>
      <c r="G511" s="90">
        <f t="shared" si="86"/>
        <v>8.64</v>
      </c>
      <c r="H511" s="4"/>
      <c r="I511" s="59">
        <f t="shared" si="85"/>
        <v>0</v>
      </c>
      <c r="J511" s="4"/>
      <c r="K511" s="4"/>
      <c r="L511" s="4"/>
      <c r="M511" s="4"/>
      <c r="N511" s="4"/>
      <c r="O511" s="4"/>
      <c r="P511" s="4"/>
      <c r="Q511" s="4"/>
      <c r="R511" s="4"/>
      <c r="S511" s="4"/>
      <c r="T511" s="4"/>
      <c r="U511" s="4"/>
      <c r="V511" s="4"/>
      <c r="W511" s="4"/>
      <c r="X511" s="4"/>
      <c r="Y511" s="4"/>
    </row>
    <row r="512" ht="9.75" customHeight="1">
      <c r="A512" s="65"/>
      <c r="B512" s="146" t="s">
        <v>337</v>
      </c>
      <c r="C512" s="147" t="s">
        <v>27</v>
      </c>
      <c r="D512" s="148"/>
      <c r="E512" s="117">
        <v>1.0</v>
      </c>
      <c r="F512" s="73">
        <v>2.4</v>
      </c>
      <c r="G512" s="90">
        <f t="shared" si="86"/>
        <v>2.4</v>
      </c>
      <c r="H512" s="4"/>
      <c r="I512" s="59">
        <f t="shared" si="85"/>
        <v>0</v>
      </c>
      <c r="J512" s="4"/>
      <c r="K512" s="4"/>
      <c r="L512" s="4"/>
      <c r="M512" s="4"/>
      <c r="N512" s="4"/>
      <c r="O512" s="4"/>
      <c r="P512" s="4"/>
      <c r="Q512" s="4"/>
      <c r="R512" s="4"/>
      <c r="S512" s="4"/>
      <c r="T512" s="4"/>
      <c r="U512" s="4"/>
      <c r="V512" s="4"/>
      <c r="W512" s="4"/>
      <c r="X512" s="4"/>
      <c r="Y512" s="4"/>
    </row>
    <row r="513" ht="9.75" customHeight="1">
      <c r="A513" s="65"/>
      <c r="B513" s="146" t="s">
        <v>338</v>
      </c>
      <c r="C513" s="147" t="s">
        <v>27</v>
      </c>
      <c r="D513" s="148"/>
      <c r="E513" s="117">
        <v>1.0</v>
      </c>
      <c r="F513" s="73">
        <v>19.0</v>
      </c>
      <c r="G513" s="90">
        <f t="shared" si="86"/>
        <v>19</v>
      </c>
      <c r="H513" s="4"/>
      <c r="I513" s="59">
        <f t="shared" si="85"/>
        <v>0</v>
      </c>
      <c r="J513" s="4"/>
      <c r="K513" s="4"/>
      <c r="L513" s="4"/>
      <c r="M513" s="4"/>
      <c r="N513" s="4"/>
      <c r="O513" s="4"/>
      <c r="P513" s="4"/>
      <c r="Q513" s="4"/>
      <c r="R513" s="4"/>
      <c r="S513" s="4"/>
      <c r="T513" s="4"/>
      <c r="U513" s="4"/>
      <c r="V513" s="4"/>
      <c r="W513" s="4"/>
      <c r="X513" s="4"/>
      <c r="Y513" s="4"/>
    </row>
    <row r="514" ht="9.75" customHeight="1">
      <c r="A514" s="65"/>
      <c r="B514" s="146" t="s">
        <v>438</v>
      </c>
      <c r="C514" s="147" t="s">
        <v>27</v>
      </c>
      <c r="D514" s="148"/>
      <c r="E514" s="117">
        <v>1.0</v>
      </c>
      <c r="F514" s="73">
        <v>7.06</v>
      </c>
      <c r="G514" s="90">
        <f t="shared" si="86"/>
        <v>7.06</v>
      </c>
      <c r="H514" s="4"/>
      <c r="I514" s="59">
        <f t="shared" si="85"/>
        <v>0</v>
      </c>
      <c r="J514" s="4"/>
      <c r="K514" s="4"/>
      <c r="L514" s="4"/>
      <c r="M514" s="4"/>
      <c r="N514" s="4"/>
      <c r="O514" s="4"/>
      <c r="P514" s="4"/>
      <c r="Q514" s="4"/>
      <c r="R514" s="4"/>
      <c r="S514" s="4"/>
      <c r="T514" s="4"/>
      <c r="U514" s="4"/>
      <c r="V514" s="4"/>
      <c r="W514" s="4"/>
      <c r="X514" s="4"/>
      <c r="Y514" s="4"/>
    </row>
    <row r="515" ht="9.75" customHeight="1">
      <c r="A515" s="65"/>
      <c r="B515" s="146" t="s">
        <v>439</v>
      </c>
      <c r="C515" s="147" t="s">
        <v>27</v>
      </c>
      <c r="D515" s="148"/>
      <c r="E515" s="117">
        <v>1.0</v>
      </c>
      <c r="F515" s="73">
        <v>0.8</v>
      </c>
      <c r="G515" s="90">
        <f t="shared" si="86"/>
        <v>0.8</v>
      </c>
      <c r="H515" s="4"/>
      <c r="I515" s="59">
        <f t="shared" si="85"/>
        <v>0</v>
      </c>
      <c r="J515" s="4"/>
      <c r="K515" s="4"/>
      <c r="L515" s="4"/>
      <c r="M515" s="4"/>
      <c r="N515" s="4"/>
      <c r="O515" s="4"/>
      <c r="P515" s="4"/>
      <c r="Q515" s="4"/>
      <c r="R515" s="4"/>
      <c r="S515" s="4"/>
      <c r="T515" s="4"/>
      <c r="U515" s="4"/>
      <c r="V515" s="4"/>
      <c r="W515" s="4"/>
      <c r="X515" s="4"/>
      <c r="Y515" s="4"/>
    </row>
    <row r="516" ht="9.75" customHeight="1">
      <c r="A516" s="65"/>
      <c r="B516" s="191"/>
      <c r="C516" s="151"/>
      <c r="D516" s="192"/>
      <c r="E516" s="192"/>
      <c r="F516" s="193"/>
      <c r="G516" s="128">
        <f t="shared" si="86"/>
        <v>0</v>
      </c>
      <c r="H516" s="4"/>
      <c r="I516" s="59">
        <f t="shared" si="85"/>
        <v>0</v>
      </c>
      <c r="J516" s="4"/>
      <c r="K516" s="4"/>
      <c r="L516" s="4"/>
      <c r="M516" s="4"/>
      <c r="N516" s="4"/>
      <c r="O516" s="4"/>
      <c r="P516" s="4"/>
      <c r="Q516" s="4"/>
      <c r="R516" s="4"/>
      <c r="S516" s="4"/>
      <c r="T516" s="4"/>
      <c r="U516" s="4"/>
      <c r="V516" s="4"/>
      <c r="W516" s="4"/>
      <c r="X516" s="4"/>
      <c r="Y516" s="4"/>
    </row>
    <row r="517" ht="9.75" customHeight="1">
      <c r="A517" s="65"/>
      <c r="B517" s="186" t="s">
        <v>246</v>
      </c>
      <c r="C517" s="187"/>
      <c r="D517" s="188"/>
      <c r="E517" s="188"/>
      <c r="F517" s="189"/>
      <c r="G517" s="190">
        <f t="shared" si="86"/>
        <v>0</v>
      </c>
      <c r="H517" s="4"/>
      <c r="I517" s="59">
        <f t="shared" si="85"/>
        <v>0</v>
      </c>
      <c r="J517" s="4"/>
      <c r="K517" s="4"/>
      <c r="L517" s="4"/>
      <c r="M517" s="4"/>
      <c r="N517" s="4"/>
      <c r="O517" s="4"/>
      <c r="P517" s="4"/>
      <c r="Q517" s="4"/>
      <c r="R517" s="4"/>
      <c r="S517" s="4"/>
      <c r="T517" s="4"/>
      <c r="U517" s="4"/>
      <c r="V517" s="4"/>
      <c r="W517" s="4"/>
      <c r="X517" s="4"/>
      <c r="Y517" s="4"/>
    </row>
    <row r="518" ht="9.75" customHeight="1">
      <c r="A518" s="65"/>
      <c r="B518" s="115" t="s">
        <v>440</v>
      </c>
      <c r="C518" s="67" t="s">
        <v>34</v>
      </c>
      <c r="D518" s="116"/>
      <c r="E518" s="116">
        <v>55.0</v>
      </c>
      <c r="F518" s="118">
        <v>150.0</v>
      </c>
      <c r="G518" s="90">
        <f t="shared" si="86"/>
        <v>8250</v>
      </c>
      <c r="H518" s="4"/>
      <c r="I518" s="59">
        <f t="shared" si="85"/>
        <v>0</v>
      </c>
      <c r="J518" s="4"/>
      <c r="K518" s="4"/>
      <c r="L518" s="4"/>
      <c r="M518" s="4"/>
      <c r="N518" s="4"/>
      <c r="O518" s="4"/>
      <c r="P518" s="4"/>
      <c r="Q518" s="4"/>
      <c r="R518" s="4"/>
      <c r="S518" s="4"/>
      <c r="T518" s="4"/>
      <c r="U518" s="4"/>
      <c r="V518" s="4"/>
      <c r="W518" s="4"/>
      <c r="X518" s="4"/>
      <c r="Y518" s="4"/>
    </row>
    <row r="519" ht="9.75" customHeight="1">
      <c r="A519" s="65"/>
      <c r="B519" s="115"/>
      <c r="C519" s="67"/>
      <c r="D519" s="116"/>
      <c r="E519" s="116"/>
      <c r="F519" s="118"/>
      <c r="G519" s="90">
        <f t="shared" si="86"/>
        <v>0</v>
      </c>
      <c r="H519" s="4"/>
      <c r="I519" s="59">
        <f t="shared" si="85"/>
        <v>0</v>
      </c>
      <c r="J519" s="4"/>
      <c r="K519" s="4"/>
      <c r="L519" s="4"/>
      <c r="M519" s="4"/>
      <c r="N519" s="4"/>
      <c r="O519" s="4"/>
      <c r="P519" s="4"/>
      <c r="Q519" s="4"/>
      <c r="R519" s="4"/>
      <c r="S519" s="4"/>
      <c r="T519" s="4"/>
      <c r="U519" s="4"/>
      <c r="V519" s="4"/>
      <c r="W519" s="4"/>
      <c r="X519" s="4"/>
      <c r="Y519" s="4"/>
    </row>
    <row r="520" ht="9.75" customHeight="1">
      <c r="A520" s="65"/>
      <c r="B520" s="194" t="s">
        <v>441</v>
      </c>
      <c r="C520" s="67"/>
      <c r="D520" s="116"/>
      <c r="E520" s="116"/>
      <c r="F520" s="118"/>
      <c r="G520" s="90">
        <f t="shared" si="86"/>
        <v>0</v>
      </c>
      <c r="H520" s="4"/>
      <c r="I520" s="59">
        <f t="shared" si="85"/>
        <v>0</v>
      </c>
      <c r="J520" s="4">
        <f>180*55</f>
        <v>9900</v>
      </c>
      <c r="K520" s="4"/>
      <c r="L520" s="4"/>
      <c r="M520" s="4"/>
      <c r="N520" s="4"/>
      <c r="O520" s="4"/>
      <c r="P520" s="4"/>
      <c r="Q520" s="4"/>
      <c r="R520" s="4"/>
      <c r="S520" s="4"/>
      <c r="T520" s="4"/>
      <c r="U520" s="4"/>
      <c r="V520" s="4"/>
      <c r="W520" s="4"/>
      <c r="X520" s="4"/>
      <c r="Y520" s="4"/>
    </row>
    <row r="521" ht="9.75" customHeight="1">
      <c r="A521" s="65"/>
      <c r="B521" s="115" t="s">
        <v>441</v>
      </c>
      <c r="C521" s="67" t="s">
        <v>51</v>
      </c>
      <c r="D521" s="116"/>
      <c r="E521" s="117">
        <v>1.0</v>
      </c>
      <c r="F521" s="118">
        <v>6.0</v>
      </c>
      <c r="G521" s="90">
        <f t="shared" si="86"/>
        <v>6</v>
      </c>
      <c r="H521" s="4"/>
      <c r="I521" s="59">
        <f t="shared" si="85"/>
        <v>0</v>
      </c>
      <c r="J521" s="4">
        <v>1180.0</v>
      </c>
      <c r="K521" s="4"/>
      <c r="L521" s="4"/>
      <c r="M521" s="4"/>
      <c r="N521" s="4"/>
      <c r="O521" s="4"/>
      <c r="P521" s="4"/>
      <c r="Q521" s="4"/>
      <c r="R521" s="4"/>
      <c r="S521" s="4"/>
      <c r="T521" s="4"/>
      <c r="U521" s="4"/>
      <c r="V521" s="4"/>
      <c r="W521" s="4"/>
      <c r="X521" s="4"/>
      <c r="Y521" s="4"/>
    </row>
    <row r="522" ht="9.75" customHeight="1">
      <c r="A522" s="65"/>
      <c r="B522" s="115" t="s">
        <v>442</v>
      </c>
      <c r="C522" s="67" t="s">
        <v>34</v>
      </c>
      <c r="D522" s="116"/>
      <c r="E522" s="117">
        <v>1.0</v>
      </c>
      <c r="F522" s="118">
        <v>600.0</v>
      </c>
      <c r="G522" s="90">
        <f t="shared" si="86"/>
        <v>600</v>
      </c>
      <c r="H522" s="4"/>
      <c r="I522" s="59">
        <f t="shared" si="85"/>
        <v>0</v>
      </c>
      <c r="J522" s="4">
        <v>1260.0</v>
      </c>
      <c r="K522" s="4"/>
      <c r="L522" s="4"/>
      <c r="M522" s="4"/>
      <c r="N522" s="4"/>
      <c r="O522" s="4"/>
      <c r="P522" s="4"/>
      <c r="Q522" s="4"/>
      <c r="R522" s="4"/>
      <c r="S522" s="4"/>
      <c r="T522" s="4"/>
      <c r="U522" s="4"/>
      <c r="V522" s="4"/>
      <c r="W522" s="4"/>
      <c r="X522" s="4"/>
      <c r="Y522" s="4"/>
    </row>
    <row r="523" ht="9.75" customHeight="1">
      <c r="A523" s="65"/>
      <c r="B523" s="115" t="s">
        <v>443</v>
      </c>
      <c r="C523" s="67" t="s">
        <v>34</v>
      </c>
      <c r="D523" s="116"/>
      <c r="E523" s="117">
        <v>1.0</v>
      </c>
      <c r="F523" s="118">
        <v>150.0</v>
      </c>
      <c r="G523" s="90">
        <f t="shared" si="86"/>
        <v>150</v>
      </c>
      <c r="H523" s="4"/>
      <c r="I523" s="59">
        <f t="shared" si="85"/>
        <v>0</v>
      </c>
      <c r="J523" s="4"/>
      <c r="K523" s="4"/>
      <c r="L523" s="4"/>
      <c r="M523" s="4"/>
      <c r="N523" s="4"/>
      <c r="O523" s="4"/>
      <c r="P523" s="4"/>
      <c r="Q523" s="4"/>
      <c r="R523" s="4"/>
      <c r="S523" s="4"/>
      <c r="T523" s="4"/>
      <c r="U523" s="4"/>
      <c r="V523" s="4"/>
      <c r="W523" s="4"/>
      <c r="X523" s="4"/>
      <c r="Y523" s="4"/>
    </row>
    <row r="524" ht="9.75" customHeight="1">
      <c r="A524" s="65"/>
      <c r="B524" s="115" t="s">
        <v>444</v>
      </c>
      <c r="C524" s="67" t="s">
        <v>34</v>
      </c>
      <c r="D524" s="116"/>
      <c r="E524" s="117">
        <v>1.0</v>
      </c>
      <c r="F524" s="118">
        <v>100.0</v>
      </c>
      <c r="G524" s="90">
        <f t="shared" si="86"/>
        <v>100</v>
      </c>
      <c r="H524" s="4"/>
      <c r="I524" s="59">
        <f t="shared" si="85"/>
        <v>0</v>
      </c>
      <c r="J524" s="4"/>
      <c r="K524" s="4"/>
      <c r="L524" s="4"/>
      <c r="M524" s="4"/>
      <c r="N524" s="4"/>
      <c r="O524" s="4"/>
      <c r="P524" s="4"/>
      <c r="Q524" s="4"/>
      <c r="R524" s="4"/>
      <c r="S524" s="4"/>
      <c r="T524" s="4"/>
      <c r="U524" s="4"/>
      <c r="V524" s="4"/>
      <c r="W524" s="4"/>
      <c r="X524" s="4"/>
      <c r="Y524" s="4"/>
    </row>
    <row r="525" ht="9.75" customHeight="1">
      <c r="A525" s="65"/>
      <c r="B525" s="115" t="s">
        <v>445</v>
      </c>
      <c r="C525" s="67" t="s">
        <v>32</v>
      </c>
      <c r="D525" s="116"/>
      <c r="E525" s="117">
        <v>1.0</v>
      </c>
      <c r="F525" s="118">
        <v>70.0</v>
      </c>
      <c r="G525" s="90">
        <f t="shared" si="86"/>
        <v>70</v>
      </c>
      <c r="H525" s="4"/>
      <c r="I525" s="59">
        <f t="shared" si="85"/>
        <v>0</v>
      </c>
      <c r="J525" s="4"/>
      <c r="K525" s="4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Y525" s="4"/>
    </row>
    <row r="526" ht="9.75" customHeight="1">
      <c r="A526" s="65"/>
      <c r="B526" s="115" t="s">
        <v>446</v>
      </c>
      <c r="C526" s="67" t="s">
        <v>34</v>
      </c>
      <c r="D526" s="116"/>
      <c r="E526" s="117">
        <v>1.0</v>
      </c>
      <c r="F526" s="118">
        <v>7.0</v>
      </c>
      <c r="G526" s="90">
        <f t="shared" si="86"/>
        <v>7</v>
      </c>
      <c r="H526" s="4"/>
      <c r="I526" s="59">
        <f t="shared" si="85"/>
        <v>0</v>
      </c>
      <c r="J526" s="4"/>
      <c r="K526" s="4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</row>
    <row r="527" ht="9.75" customHeight="1">
      <c r="A527" s="65"/>
      <c r="B527" s="150"/>
      <c r="C527" s="151"/>
      <c r="D527" s="127"/>
      <c r="E527" s="127"/>
      <c r="F527" s="127"/>
      <c r="G527" s="128">
        <f t="shared" si="86"/>
        <v>0</v>
      </c>
      <c r="H527" s="4"/>
      <c r="I527" s="59">
        <f t="shared" si="85"/>
        <v>0</v>
      </c>
      <c r="J527" s="4"/>
      <c r="K527" s="4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  <c r="X527" s="4"/>
      <c r="Y527" s="4"/>
    </row>
    <row r="528" ht="9.75" customHeight="1">
      <c r="A528" s="65"/>
      <c r="B528" s="152" t="s">
        <v>447</v>
      </c>
      <c r="C528" s="153" t="s">
        <v>34</v>
      </c>
      <c r="D528" s="154"/>
      <c r="E528" s="154"/>
      <c r="F528" s="88"/>
      <c r="G528" s="155">
        <f t="shared" si="86"/>
        <v>0</v>
      </c>
      <c r="H528" s="4">
        <f t="shared" ref="H528:H540" si="87">IFERROR(IF(FIND("Sous-",B528,1)&lt;&gt;0,G528,1),0)</f>
        <v>0</v>
      </c>
      <c r="I528" s="59">
        <f t="shared" si="85"/>
        <v>0</v>
      </c>
      <c r="J528" s="4"/>
      <c r="K528" s="4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  <c r="X528" s="4"/>
      <c r="Y528" s="4"/>
    </row>
    <row r="529" ht="9.75" customHeight="1">
      <c r="A529" s="65"/>
      <c r="B529" s="79" t="s">
        <v>448</v>
      </c>
      <c r="C529" s="80" t="s">
        <v>34</v>
      </c>
      <c r="D529" s="100"/>
      <c r="E529" s="100"/>
      <c r="F529" s="78"/>
      <c r="G529" s="90">
        <f t="shared" si="86"/>
        <v>0</v>
      </c>
      <c r="H529" s="4">
        <f t="shared" si="87"/>
        <v>0</v>
      </c>
      <c r="I529" s="59">
        <f t="shared" si="85"/>
        <v>0</v>
      </c>
      <c r="J529" s="4"/>
      <c r="K529" s="4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  <c r="X529" s="4"/>
      <c r="Y529" s="4"/>
    </row>
    <row r="530" ht="9.75" customHeight="1">
      <c r="A530" s="65"/>
      <c r="B530" s="79" t="s">
        <v>449</v>
      </c>
      <c r="C530" s="80" t="s">
        <v>34</v>
      </c>
      <c r="D530" s="100"/>
      <c r="E530" s="100"/>
      <c r="F530" s="78"/>
      <c r="G530" s="90">
        <f t="shared" si="86"/>
        <v>0</v>
      </c>
      <c r="H530" s="4">
        <f t="shared" si="87"/>
        <v>0</v>
      </c>
      <c r="I530" s="59">
        <f t="shared" si="85"/>
        <v>0</v>
      </c>
      <c r="J530" s="4"/>
      <c r="K530" s="4"/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  <c r="X530" s="4"/>
      <c r="Y530" s="4"/>
    </row>
    <row r="531" ht="9.75" customHeight="1">
      <c r="A531" s="65"/>
      <c r="B531" s="79" t="s">
        <v>450</v>
      </c>
      <c r="C531" s="80" t="s">
        <v>34</v>
      </c>
      <c r="D531" s="100"/>
      <c r="E531" s="100"/>
      <c r="F531" s="78"/>
      <c r="G531" s="90">
        <f t="shared" si="86"/>
        <v>0</v>
      </c>
      <c r="H531" s="4">
        <f t="shared" si="87"/>
        <v>0</v>
      </c>
      <c r="I531" s="59">
        <f t="shared" si="85"/>
        <v>0</v>
      </c>
      <c r="J531" s="4"/>
      <c r="K531" s="4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  <c r="X531" s="4"/>
      <c r="Y531" s="4"/>
    </row>
    <row r="532" ht="9.75" customHeight="1">
      <c r="A532" s="65"/>
      <c r="B532" s="79" t="s">
        <v>451</v>
      </c>
      <c r="C532" s="80" t="s">
        <v>51</v>
      </c>
      <c r="D532" s="100"/>
      <c r="E532" s="100"/>
      <c r="F532" s="78"/>
      <c r="G532" s="90">
        <f t="shared" si="86"/>
        <v>0</v>
      </c>
      <c r="H532" s="4">
        <f t="shared" si="87"/>
        <v>0</v>
      </c>
      <c r="I532" s="59">
        <f t="shared" si="85"/>
        <v>0</v>
      </c>
      <c r="J532" s="4"/>
      <c r="K532" s="4"/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4"/>
      <c r="X532" s="4"/>
      <c r="Y532" s="4"/>
    </row>
    <row r="533" ht="9.75" customHeight="1">
      <c r="A533" s="65"/>
      <c r="B533" s="79" t="s">
        <v>452</v>
      </c>
      <c r="C533" s="80" t="s">
        <v>32</v>
      </c>
      <c r="D533" s="100"/>
      <c r="E533" s="100"/>
      <c r="F533" s="78"/>
      <c r="G533" s="90">
        <f t="shared" si="86"/>
        <v>0</v>
      </c>
      <c r="H533" s="4">
        <f t="shared" si="87"/>
        <v>0</v>
      </c>
      <c r="I533" s="59">
        <f t="shared" si="85"/>
        <v>0</v>
      </c>
      <c r="J533" s="4"/>
      <c r="K533" s="4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  <c r="X533" s="4"/>
      <c r="Y533" s="4"/>
    </row>
    <row r="534" ht="9.75" customHeight="1">
      <c r="A534" s="65"/>
      <c r="B534" s="79" t="s">
        <v>453</v>
      </c>
      <c r="C534" s="80"/>
      <c r="D534" s="100"/>
      <c r="E534" s="100"/>
      <c r="F534" s="78"/>
      <c r="G534" s="90">
        <f t="shared" si="86"/>
        <v>0</v>
      </c>
      <c r="H534" s="4">
        <f t="shared" si="87"/>
        <v>0</v>
      </c>
      <c r="I534" s="59">
        <f t="shared" si="85"/>
        <v>0</v>
      </c>
      <c r="J534" s="4"/>
      <c r="K534" s="4"/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  <c r="X534" s="4"/>
      <c r="Y534" s="4"/>
    </row>
    <row r="535" ht="9.75" customHeight="1">
      <c r="A535" s="65"/>
      <c r="B535" s="79" t="s">
        <v>454</v>
      </c>
      <c r="C535" s="80" t="s">
        <v>51</v>
      </c>
      <c r="D535" s="100"/>
      <c r="E535" s="100"/>
      <c r="F535" s="78"/>
      <c r="G535" s="90">
        <f t="shared" si="86"/>
        <v>0</v>
      </c>
      <c r="H535" s="4">
        <f t="shared" si="87"/>
        <v>0</v>
      </c>
      <c r="I535" s="59">
        <f t="shared" si="85"/>
        <v>0</v>
      </c>
      <c r="J535" s="4"/>
      <c r="K535" s="4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  <c r="X535" s="4"/>
      <c r="Y535" s="4"/>
    </row>
    <row r="536" ht="9.75" customHeight="1">
      <c r="A536" s="65"/>
      <c r="B536" s="79" t="s">
        <v>455</v>
      </c>
      <c r="C536" s="80" t="s">
        <v>34</v>
      </c>
      <c r="D536" s="100"/>
      <c r="E536" s="100"/>
      <c r="F536" s="78"/>
      <c r="G536" s="90">
        <f t="shared" si="86"/>
        <v>0</v>
      </c>
      <c r="H536" s="4">
        <f t="shared" si="87"/>
        <v>0</v>
      </c>
      <c r="I536" s="59">
        <f t="shared" si="85"/>
        <v>0</v>
      </c>
      <c r="J536" s="4"/>
      <c r="K536" s="4"/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  <c r="X536" s="4"/>
      <c r="Y536" s="4"/>
    </row>
    <row r="537" ht="9.75" customHeight="1">
      <c r="A537" s="65"/>
      <c r="B537" s="79" t="s">
        <v>456</v>
      </c>
      <c r="C537" s="80" t="s">
        <v>34</v>
      </c>
      <c r="D537" s="100"/>
      <c r="E537" s="100"/>
      <c r="F537" s="78"/>
      <c r="G537" s="90">
        <f t="shared" si="86"/>
        <v>0</v>
      </c>
      <c r="H537" s="4">
        <f t="shared" si="87"/>
        <v>0</v>
      </c>
      <c r="I537" s="59">
        <f t="shared" si="85"/>
        <v>0</v>
      </c>
      <c r="J537" s="4"/>
      <c r="K537" s="4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  <c r="X537" s="4"/>
      <c r="Y537" s="4"/>
    </row>
    <row r="538" ht="9.75" customHeight="1">
      <c r="A538" s="65"/>
      <c r="B538" s="79" t="s">
        <v>445</v>
      </c>
      <c r="C538" s="80" t="s">
        <v>32</v>
      </c>
      <c r="D538" s="100"/>
      <c r="E538" s="100">
        <v>1.0</v>
      </c>
      <c r="F538" s="78">
        <v>1.0</v>
      </c>
      <c r="G538" s="90">
        <f t="shared" si="86"/>
        <v>1</v>
      </c>
      <c r="H538" s="4">
        <f t="shared" si="87"/>
        <v>0</v>
      </c>
      <c r="I538" s="59">
        <f t="shared" si="85"/>
        <v>0</v>
      </c>
      <c r="J538" s="4"/>
      <c r="K538" s="4"/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4"/>
      <c r="Y538" s="4"/>
    </row>
    <row r="539" ht="12.75" customHeight="1">
      <c r="A539" s="65" t="s">
        <v>457</v>
      </c>
      <c r="B539" s="101" t="str">
        <f>CONCATENATE("Sous-Total : ",A504," - ",B504)</f>
        <v>Sous-Total :  - Précâblage VDI</v>
      </c>
      <c r="C539" s="102"/>
      <c r="D539" s="103"/>
      <c r="E539" s="103"/>
      <c r="F539" s="103"/>
      <c r="G539" s="104">
        <f>SUM(G504:G538)</f>
        <v>9298.5</v>
      </c>
      <c r="H539" s="4">
        <f t="shared" si="87"/>
        <v>9298.5</v>
      </c>
      <c r="I539" s="59">
        <f t="shared" si="85"/>
        <v>0.002141311494</v>
      </c>
      <c r="J539" s="4"/>
      <c r="K539" s="4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  <c r="X539" s="4"/>
      <c r="Y539" s="4"/>
    </row>
    <row r="540" ht="9.75" customHeight="1">
      <c r="A540" s="65"/>
      <c r="B540" s="105" t="s">
        <v>458</v>
      </c>
      <c r="C540" s="106"/>
      <c r="D540" s="98"/>
      <c r="E540" s="98"/>
      <c r="F540" s="98"/>
      <c r="G540" s="107">
        <f t="shared" ref="G540:G550" si="88">E540*F540</f>
        <v>0</v>
      </c>
      <c r="H540" s="4">
        <f t="shared" si="87"/>
        <v>0</v>
      </c>
      <c r="I540" s="59">
        <f t="shared" si="85"/>
        <v>0</v>
      </c>
      <c r="J540" s="4"/>
      <c r="K540" s="4"/>
      <c r="L540" s="4"/>
      <c r="M540" s="4"/>
      <c r="N540" s="4"/>
      <c r="O540" s="4"/>
      <c r="P540" s="4"/>
      <c r="Q540" s="4"/>
      <c r="R540" s="4"/>
      <c r="S540" s="4"/>
      <c r="T540" s="4"/>
      <c r="U540" s="4"/>
      <c r="V540" s="4"/>
      <c r="W540" s="4"/>
      <c r="X540" s="4"/>
      <c r="Y540" s="4"/>
    </row>
    <row r="541" ht="9.75" customHeight="1">
      <c r="A541" s="65"/>
      <c r="B541" s="146" t="s">
        <v>459</v>
      </c>
      <c r="C541" s="147" t="s">
        <v>27</v>
      </c>
      <c r="D541" s="148"/>
      <c r="E541" s="148">
        <f t="shared" ref="E541:E542" si="89">$F$5</f>
        <v>1</v>
      </c>
      <c r="F541" s="73">
        <v>0.81</v>
      </c>
      <c r="G541" s="90">
        <f t="shared" si="88"/>
        <v>0.81</v>
      </c>
      <c r="H541" s="4"/>
      <c r="I541" s="59">
        <f t="shared" si="85"/>
        <v>0</v>
      </c>
      <c r="J541" s="4"/>
      <c r="K541" s="4"/>
      <c r="L541" s="4"/>
      <c r="M541" s="4"/>
      <c r="N541" s="4"/>
      <c r="O541" s="4"/>
      <c r="P541" s="4"/>
      <c r="Q541" s="4"/>
      <c r="R541" s="4"/>
      <c r="S541" s="4"/>
      <c r="T541" s="4"/>
      <c r="U541" s="4"/>
      <c r="V541" s="4"/>
      <c r="W541" s="4"/>
      <c r="X541" s="4"/>
      <c r="Y541" s="4"/>
    </row>
    <row r="542" ht="9.75" customHeight="1">
      <c r="A542" s="65"/>
      <c r="B542" s="146" t="s">
        <v>460</v>
      </c>
      <c r="C542" s="147" t="s">
        <v>27</v>
      </c>
      <c r="D542" s="148"/>
      <c r="E542" s="148">
        <f t="shared" si="89"/>
        <v>1</v>
      </c>
      <c r="F542" s="73">
        <v>7.0</v>
      </c>
      <c r="G542" s="90">
        <f t="shared" si="88"/>
        <v>7</v>
      </c>
      <c r="H542" s="4"/>
      <c r="I542" s="59"/>
      <c r="J542" s="4"/>
      <c r="K542" s="4"/>
      <c r="L542" s="4"/>
      <c r="M542" s="4"/>
      <c r="N542" s="4"/>
      <c r="O542" s="4"/>
      <c r="P542" s="4"/>
      <c r="Q542" s="4"/>
      <c r="R542" s="4"/>
      <c r="S542" s="4"/>
      <c r="T542" s="4"/>
      <c r="U542" s="4"/>
      <c r="V542" s="4"/>
      <c r="W542" s="4"/>
      <c r="X542" s="4"/>
      <c r="Y542" s="4"/>
    </row>
    <row r="543" ht="9.75" customHeight="1">
      <c r="A543" s="65"/>
      <c r="B543" s="146" t="s">
        <v>461</v>
      </c>
      <c r="C543" s="147" t="s">
        <v>27</v>
      </c>
      <c r="D543" s="148"/>
      <c r="E543" s="117">
        <v>1.0</v>
      </c>
      <c r="F543" s="73">
        <v>0.54</v>
      </c>
      <c r="G543" s="90">
        <f t="shared" si="88"/>
        <v>0.54</v>
      </c>
      <c r="H543" s="4"/>
      <c r="I543" s="59">
        <f t="shared" ref="I543:I547" si="90">IFERROR(H543/$H$6,0)</f>
        <v>0</v>
      </c>
      <c r="J543" s="4"/>
      <c r="K543" s="4"/>
      <c r="L543" s="4"/>
      <c r="M543" s="4"/>
      <c r="N543" s="4"/>
      <c r="O543" s="4"/>
      <c r="P543" s="4"/>
      <c r="Q543" s="4"/>
      <c r="R543" s="4"/>
      <c r="S543" s="4"/>
      <c r="T543" s="4"/>
      <c r="U543" s="4"/>
      <c r="V543" s="4"/>
      <c r="W543" s="4"/>
      <c r="X543" s="4"/>
      <c r="Y543" s="4"/>
    </row>
    <row r="544" ht="9.75" customHeight="1">
      <c r="A544" s="65"/>
      <c r="B544" s="146" t="s">
        <v>462</v>
      </c>
      <c r="C544" s="147" t="s">
        <v>27</v>
      </c>
      <c r="D544" s="148"/>
      <c r="E544" s="117">
        <v>1.0</v>
      </c>
      <c r="F544" s="73">
        <v>2.5</v>
      </c>
      <c r="G544" s="90">
        <f t="shared" si="88"/>
        <v>2.5</v>
      </c>
      <c r="H544" s="4"/>
      <c r="I544" s="59">
        <f t="shared" si="90"/>
        <v>0</v>
      </c>
      <c r="J544" s="4"/>
      <c r="K544" s="4"/>
      <c r="L544" s="4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4"/>
      <c r="X544" s="4"/>
      <c r="Y544" s="4"/>
    </row>
    <row r="545" ht="9.75" customHeight="1">
      <c r="A545" s="65"/>
      <c r="B545" s="66"/>
      <c r="C545" s="67"/>
      <c r="D545" s="78"/>
      <c r="E545" s="78"/>
      <c r="F545" s="78"/>
      <c r="G545" s="90">
        <f t="shared" si="88"/>
        <v>0</v>
      </c>
      <c r="H545" s="4"/>
      <c r="I545" s="59">
        <f t="shared" si="90"/>
        <v>0</v>
      </c>
      <c r="J545" s="4"/>
      <c r="K545" s="4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  <c r="X545" s="4"/>
      <c r="Y545" s="4"/>
    </row>
    <row r="546" ht="9.75" customHeight="1">
      <c r="A546" s="65"/>
      <c r="B546" s="79" t="s">
        <v>463</v>
      </c>
      <c r="C546" s="80" t="s">
        <v>34</v>
      </c>
      <c r="D546" s="100"/>
      <c r="E546" s="117">
        <v>1.0</v>
      </c>
      <c r="F546" s="78">
        <v>1110.0</v>
      </c>
      <c r="G546" s="90">
        <f t="shared" si="88"/>
        <v>1110</v>
      </c>
      <c r="H546" s="4">
        <f t="shared" ref="H546:H547" si="91">IFERROR(IF(FIND("Sous-",B546,1)&lt;&gt;0,G546,1),0)</f>
        <v>0</v>
      </c>
      <c r="I546" s="59">
        <f t="shared" si="90"/>
        <v>0</v>
      </c>
      <c r="J546" s="4"/>
      <c r="K546" s="4"/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  <c r="X546" s="4"/>
      <c r="Y546" s="4"/>
    </row>
    <row r="547" ht="9.75" customHeight="1">
      <c r="A547" s="65"/>
      <c r="B547" s="79" t="s">
        <v>450</v>
      </c>
      <c r="C547" s="80" t="s">
        <v>34</v>
      </c>
      <c r="D547" s="100"/>
      <c r="E547" s="100"/>
      <c r="F547" s="78"/>
      <c r="G547" s="90">
        <f t="shared" si="88"/>
        <v>0</v>
      </c>
      <c r="H547" s="4">
        <f t="shared" si="91"/>
        <v>0</v>
      </c>
      <c r="I547" s="59">
        <f t="shared" si="90"/>
        <v>0</v>
      </c>
      <c r="J547" s="4"/>
      <c r="K547" s="4"/>
      <c r="L547" s="4"/>
      <c r="M547" s="4"/>
      <c r="N547" s="4"/>
      <c r="O547" s="4"/>
      <c r="P547" s="4"/>
      <c r="Q547" s="4"/>
      <c r="R547" s="4"/>
      <c r="S547" s="4"/>
      <c r="T547" s="4"/>
      <c r="U547" s="4"/>
      <c r="V547" s="4"/>
      <c r="W547" s="4"/>
      <c r="X547" s="4"/>
      <c r="Y547" s="4"/>
    </row>
    <row r="548" ht="9.75" customHeight="1">
      <c r="A548" s="65"/>
      <c r="B548" s="79" t="s">
        <v>464</v>
      </c>
      <c r="C548" s="80" t="s">
        <v>34</v>
      </c>
      <c r="D548" s="100"/>
      <c r="E548" s="117">
        <v>1.0</v>
      </c>
      <c r="F548" s="78">
        <v>4200.0</v>
      </c>
      <c r="G548" s="90">
        <f t="shared" si="88"/>
        <v>4200</v>
      </c>
      <c r="H548" s="4"/>
      <c r="I548" s="59"/>
      <c r="J548" s="4"/>
      <c r="K548" s="4"/>
      <c r="L548" s="4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4"/>
      <c r="X548" s="4"/>
      <c r="Y548" s="4"/>
    </row>
    <row r="549" ht="9.75" customHeight="1">
      <c r="A549" s="65"/>
      <c r="B549" s="79" t="s">
        <v>465</v>
      </c>
      <c r="C549" s="80" t="s">
        <v>34</v>
      </c>
      <c r="D549" s="100"/>
      <c r="E549" s="117">
        <v>1.0</v>
      </c>
      <c r="F549" s="78">
        <v>1200.0</v>
      </c>
      <c r="G549" s="90">
        <f t="shared" si="88"/>
        <v>1200</v>
      </c>
      <c r="H549" s="4"/>
      <c r="I549" s="59"/>
      <c r="J549" s="4"/>
      <c r="K549" s="4"/>
      <c r="L549" s="4"/>
      <c r="M549" s="4"/>
      <c r="N549" s="4"/>
      <c r="O549" s="4"/>
      <c r="P549" s="4"/>
      <c r="Q549" s="4"/>
      <c r="R549" s="4"/>
      <c r="S549" s="4"/>
      <c r="T549" s="4"/>
      <c r="U549" s="4"/>
      <c r="V549" s="4"/>
      <c r="W549" s="4"/>
      <c r="X549" s="4"/>
      <c r="Y549" s="4"/>
    </row>
    <row r="550" ht="9.75" customHeight="1">
      <c r="A550" s="65"/>
      <c r="B550" s="79" t="s">
        <v>466</v>
      </c>
      <c r="C550" s="80" t="s">
        <v>32</v>
      </c>
      <c r="D550" s="100"/>
      <c r="E550" s="100">
        <v>1.0</v>
      </c>
      <c r="F550" s="78">
        <v>1.0</v>
      </c>
      <c r="G550" s="90">
        <f t="shared" si="88"/>
        <v>1</v>
      </c>
      <c r="H550" s="4">
        <f t="shared" ref="H550:H552" si="92">IFERROR(IF(FIND("Sous-",B550,1)&lt;&gt;0,G550,1),0)</f>
        <v>0</v>
      </c>
      <c r="I550" s="59">
        <f t="shared" ref="I550:I552" si="93">IFERROR(H550/$H$6,0)</f>
        <v>0</v>
      </c>
      <c r="J550" s="4"/>
      <c r="K550" s="4"/>
      <c r="L550" s="4"/>
      <c r="M550" s="4"/>
      <c r="N550" s="4"/>
      <c r="O550" s="4"/>
      <c r="P550" s="4"/>
      <c r="Q550" s="4"/>
      <c r="R550" s="4"/>
      <c r="S550" s="4"/>
      <c r="T550" s="4"/>
      <c r="U550" s="4"/>
      <c r="V550" s="4"/>
      <c r="W550" s="4"/>
      <c r="X550" s="4"/>
      <c r="Y550" s="4"/>
    </row>
    <row r="551" ht="12.75" customHeight="1">
      <c r="A551" s="65" t="s">
        <v>467</v>
      </c>
      <c r="B551" s="101" t="str">
        <f>CONCATENATE("Sous-Total : ",A540," - ",B540)</f>
        <v>Sous-Total :  - Système wifi</v>
      </c>
      <c r="C551" s="102"/>
      <c r="D551" s="103"/>
      <c r="E551" s="103"/>
      <c r="F551" s="103"/>
      <c r="G551" s="104">
        <f>SUM(G540:G550)</f>
        <v>6521.85</v>
      </c>
      <c r="H551" s="4">
        <f t="shared" si="92"/>
        <v>6521.85</v>
      </c>
      <c r="I551" s="59">
        <f t="shared" si="93"/>
        <v>0.001501888731</v>
      </c>
      <c r="J551" s="4"/>
      <c r="K551" s="4"/>
      <c r="L551" s="4"/>
      <c r="M551" s="4"/>
      <c r="N551" s="4"/>
      <c r="O551" s="4"/>
      <c r="P551" s="4"/>
      <c r="Q551" s="4"/>
      <c r="R551" s="4"/>
      <c r="S551" s="4"/>
      <c r="T551" s="4"/>
      <c r="U551" s="4"/>
      <c r="V551" s="4"/>
      <c r="W551" s="4"/>
      <c r="X551" s="4"/>
      <c r="Y551" s="4"/>
    </row>
    <row r="552" ht="9.75" customHeight="1">
      <c r="A552" s="65"/>
      <c r="B552" s="105" t="s">
        <v>468</v>
      </c>
      <c r="C552" s="106"/>
      <c r="D552" s="98"/>
      <c r="E552" s="98"/>
      <c r="F552" s="98"/>
      <c r="G552" s="107">
        <f t="shared" ref="G552:G572" si="94">E552*F552</f>
        <v>0</v>
      </c>
      <c r="H552" s="4">
        <f t="shared" si="92"/>
        <v>0</v>
      </c>
      <c r="I552" s="59">
        <f t="shared" si="93"/>
        <v>0</v>
      </c>
      <c r="J552" s="4"/>
      <c r="K552" s="4"/>
      <c r="L552" s="4"/>
      <c r="M552" s="4"/>
      <c r="N552" s="4"/>
      <c r="O552" s="4"/>
      <c r="P552" s="4"/>
      <c r="Q552" s="4"/>
      <c r="R552" s="4"/>
      <c r="S552" s="4"/>
      <c r="T552" s="4"/>
      <c r="U552" s="4"/>
      <c r="V552" s="4"/>
      <c r="W552" s="4"/>
      <c r="X552" s="4"/>
      <c r="Y552" s="4"/>
    </row>
    <row r="553" ht="9.75" customHeight="1">
      <c r="A553" s="65"/>
      <c r="B553" s="146" t="s">
        <v>469</v>
      </c>
      <c r="C553" s="147" t="s">
        <v>27</v>
      </c>
      <c r="D553" s="148"/>
      <c r="E553" s="148">
        <f>$F$5</f>
        <v>1</v>
      </c>
      <c r="F553" s="73">
        <v>4.64</v>
      </c>
      <c r="G553" s="90">
        <f t="shared" si="94"/>
        <v>4.64</v>
      </c>
      <c r="H553" s="4"/>
      <c r="I553" s="59"/>
      <c r="J553" s="4"/>
      <c r="K553" s="4"/>
      <c r="L553" s="4"/>
      <c r="M553" s="4"/>
      <c r="N553" s="4"/>
      <c r="O553" s="4"/>
      <c r="P553" s="4"/>
      <c r="Q553" s="4"/>
      <c r="R553" s="4"/>
      <c r="S553" s="4"/>
      <c r="T553" s="4"/>
      <c r="U553" s="4"/>
      <c r="V553" s="4"/>
      <c r="W553" s="4"/>
      <c r="X553" s="4"/>
      <c r="Y553" s="4"/>
    </row>
    <row r="554" ht="9.75" customHeight="1">
      <c r="A554" s="65"/>
      <c r="B554" s="115" t="s">
        <v>470</v>
      </c>
      <c r="C554" s="67" t="s">
        <v>34</v>
      </c>
      <c r="D554" s="116"/>
      <c r="E554" s="117">
        <v>1.0</v>
      </c>
      <c r="F554" s="118">
        <v>800.0</v>
      </c>
      <c r="G554" s="90">
        <f t="shared" si="94"/>
        <v>800</v>
      </c>
      <c r="H554" s="4"/>
      <c r="I554" s="59">
        <f t="shared" ref="I554:I555" si="95">IFERROR(H554/$H$6,0)</f>
        <v>0</v>
      </c>
      <c r="J554" s="4"/>
      <c r="K554" s="4"/>
      <c r="L554" s="4"/>
      <c r="M554" s="4"/>
      <c r="N554" s="4"/>
      <c r="O554" s="4"/>
      <c r="P554" s="4"/>
      <c r="Q554" s="4"/>
      <c r="R554" s="4"/>
      <c r="S554" s="4"/>
      <c r="T554" s="4"/>
      <c r="U554" s="4"/>
      <c r="V554" s="4"/>
      <c r="W554" s="4"/>
      <c r="X554" s="4"/>
      <c r="Y554" s="4"/>
    </row>
    <row r="555" ht="9.75" customHeight="1">
      <c r="A555" s="65"/>
      <c r="B555" s="115" t="s">
        <v>471</v>
      </c>
      <c r="C555" s="67" t="s">
        <v>17</v>
      </c>
      <c r="D555" s="116"/>
      <c r="E555" s="117">
        <v>1.0</v>
      </c>
      <c r="F555" s="118">
        <v>5500.0</v>
      </c>
      <c r="G555" s="90">
        <f t="shared" si="94"/>
        <v>5500</v>
      </c>
      <c r="H555" s="4"/>
      <c r="I555" s="59">
        <f t="shared" si="95"/>
        <v>0</v>
      </c>
      <c r="J555" s="4"/>
      <c r="K555" s="4"/>
      <c r="L555" s="4"/>
      <c r="M555" s="4"/>
      <c r="N555" s="4"/>
      <c r="O555" s="4"/>
      <c r="P555" s="4"/>
      <c r="Q555" s="4"/>
      <c r="R555" s="4"/>
      <c r="S555" s="4"/>
      <c r="T555" s="4"/>
      <c r="U555" s="4"/>
      <c r="V555" s="4"/>
      <c r="W555" s="4"/>
      <c r="X555" s="4"/>
      <c r="Y555" s="4"/>
    </row>
    <row r="556" ht="9.75" customHeight="1">
      <c r="A556" s="65"/>
      <c r="B556" s="115" t="s">
        <v>472</v>
      </c>
      <c r="C556" s="67" t="s">
        <v>17</v>
      </c>
      <c r="D556" s="116"/>
      <c r="E556" s="117">
        <v>1.0</v>
      </c>
      <c r="F556" s="118">
        <v>11000.0</v>
      </c>
      <c r="G556" s="90">
        <f t="shared" si="94"/>
        <v>11000</v>
      </c>
      <c r="H556" s="4"/>
      <c r="I556" s="59"/>
      <c r="J556" s="4"/>
      <c r="K556" s="4"/>
      <c r="L556" s="4"/>
      <c r="M556" s="4"/>
      <c r="N556" s="4"/>
      <c r="O556" s="4"/>
      <c r="P556" s="4"/>
      <c r="Q556" s="4"/>
      <c r="R556" s="4"/>
      <c r="S556" s="4"/>
      <c r="T556" s="4"/>
      <c r="U556" s="4"/>
      <c r="V556" s="4"/>
      <c r="W556" s="4"/>
      <c r="X556" s="4"/>
      <c r="Y556" s="4"/>
    </row>
    <row r="557" ht="9.75" customHeight="1">
      <c r="A557" s="65"/>
      <c r="B557" s="115" t="s">
        <v>473</v>
      </c>
      <c r="C557" s="67" t="s">
        <v>17</v>
      </c>
      <c r="D557" s="116"/>
      <c r="E557" s="117">
        <v>1.0</v>
      </c>
      <c r="F557" s="118">
        <v>250.0</v>
      </c>
      <c r="G557" s="90">
        <f t="shared" si="94"/>
        <v>250</v>
      </c>
      <c r="H557" s="4"/>
      <c r="I557" s="59">
        <f t="shared" ref="I557:I559" si="96">IFERROR(H557/$H$6,0)</f>
        <v>0</v>
      </c>
      <c r="J557" s="4"/>
      <c r="K557" s="4"/>
      <c r="L557" s="4"/>
      <c r="M557" s="4"/>
      <c r="N557" s="4"/>
      <c r="O557" s="4"/>
      <c r="P557" s="4"/>
      <c r="Q557" s="4"/>
      <c r="R557" s="4"/>
      <c r="S557" s="4"/>
      <c r="T557" s="4"/>
      <c r="U557" s="4"/>
      <c r="V557" s="4"/>
      <c r="W557" s="4"/>
      <c r="X557" s="4"/>
      <c r="Y557" s="4"/>
    </row>
    <row r="558" ht="9.75" customHeight="1">
      <c r="A558" s="65"/>
      <c r="B558" s="115" t="s">
        <v>474</v>
      </c>
      <c r="C558" s="67" t="s">
        <v>17</v>
      </c>
      <c r="D558" s="116"/>
      <c r="E558" s="117">
        <v>1.0</v>
      </c>
      <c r="F558" s="118">
        <v>250.0</v>
      </c>
      <c r="G558" s="90">
        <f t="shared" si="94"/>
        <v>250</v>
      </c>
      <c r="H558" s="4"/>
      <c r="I558" s="59">
        <f t="shared" si="96"/>
        <v>0</v>
      </c>
      <c r="J558" s="4"/>
      <c r="K558" s="4"/>
      <c r="L558" s="4"/>
      <c r="M558" s="4"/>
      <c r="N558" s="4"/>
      <c r="O558" s="4"/>
      <c r="P558" s="4"/>
      <c r="Q558" s="4"/>
      <c r="R558" s="4"/>
      <c r="S558" s="4"/>
      <c r="T558" s="4"/>
      <c r="U558" s="4"/>
      <c r="V558" s="4"/>
      <c r="W558" s="4"/>
      <c r="X558" s="4"/>
      <c r="Y558" s="4"/>
    </row>
    <row r="559" ht="9.75" customHeight="1">
      <c r="A559" s="65"/>
      <c r="B559" s="115" t="s">
        <v>475</v>
      </c>
      <c r="C559" s="67" t="s">
        <v>17</v>
      </c>
      <c r="D559" s="116"/>
      <c r="E559" s="117">
        <v>1.0</v>
      </c>
      <c r="F559" s="118">
        <v>80.0</v>
      </c>
      <c r="G559" s="90">
        <f t="shared" si="94"/>
        <v>80</v>
      </c>
      <c r="H559" s="4"/>
      <c r="I559" s="59">
        <f t="shared" si="96"/>
        <v>0</v>
      </c>
      <c r="J559" s="4"/>
      <c r="K559" s="4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4"/>
      <c r="Y559" s="4"/>
    </row>
    <row r="560" ht="9.75" customHeight="1">
      <c r="A560" s="65"/>
      <c r="B560" s="115" t="s">
        <v>476</v>
      </c>
      <c r="C560" s="67" t="s">
        <v>34</v>
      </c>
      <c r="D560" s="116"/>
      <c r="E560" s="117">
        <v>1.0</v>
      </c>
      <c r="F560" s="118">
        <v>350.0</v>
      </c>
      <c r="G560" s="90">
        <f t="shared" si="94"/>
        <v>350</v>
      </c>
      <c r="H560" s="4"/>
      <c r="I560" s="59"/>
      <c r="J560" s="4"/>
      <c r="K560" s="4"/>
      <c r="L560" s="4"/>
      <c r="M560" s="4"/>
      <c r="N560" s="4"/>
      <c r="O560" s="4"/>
      <c r="P560" s="4"/>
      <c r="Q560" s="4"/>
      <c r="R560" s="4"/>
      <c r="S560" s="4"/>
      <c r="T560" s="4"/>
      <c r="U560" s="4"/>
      <c r="V560" s="4"/>
      <c r="W560" s="4"/>
      <c r="X560" s="4"/>
      <c r="Y560" s="4"/>
    </row>
    <row r="561" ht="9.75" customHeight="1">
      <c r="A561" s="65"/>
      <c r="B561" s="115" t="s">
        <v>477</v>
      </c>
      <c r="C561" s="67" t="s">
        <v>34</v>
      </c>
      <c r="D561" s="116"/>
      <c r="E561" s="117">
        <v>1.0</v>
      </c>
      <c r="F561" s="118">
        <v>80.0</v>
      </c>
      <c r="G561" s="90">
        <f t="shared" si="94"/>
        <v>80</v>
      </c>
      <c r="H561" s="4"/>
      <c r="I561" s="59"/>
      <c r="J561" s="4"/>
      <c r="K561" s="4"/>
      <c r="L561" s="4"/>
      <c r="M561" s="4"/>
      <c r="N561" s="4"/>
      <c r="O561" s="4"/>
      <c r="P561" s="4"/>
      <c r="Q561" s="4"/>
      <c r="R561" s="4"/>
      <c r="S561" s="4"/>
      <c r="T561" s="4"/>
      <c r="U561" s="4"/>
      <c r="V561" s="4"/>
      <c r="W561" s="4"/>
      <c r="X561" s="4"/>
      <c r="Y561" s="4"/>
    </row>
    <row r="562" ht="9.75" customHeight="1">
      <c r="A562" s="65"/>
      <c r="B562" s="115" t="s">
        <v>478</v>
      </c>
      <c r="C562" s="67" t="s">
        <v>51</v>
      </c>
      <c r="D562" s="116"/>
      <c r="E562" s="117">
        <v>1.0</v>
      </c>
      <c r="F562" s="118">
        <v>12.0</v>
      </c>
      <c r="G562" s="90">
        <f t="shared" si="94"/>
        <v>12</v>
      </c>
      <c r="H562" s="4"/>
      <c r="I562" s="59">
        <f t="shared" ref="I562:I568" si="97">IFERROR(H562/$H$6,0)</f>
        <v>0</v>
      </c>
      <c r="J562" s="4"/>
      <c r="K562" s="4"/>
      <c r="L562" s="4"/>
      <c r="M562" s="4"/>
      <c r="N562" s="4"/>
      <c r="O562" s="4"/>
      <c r="P562" s="4"/>
      <c r="Q562" s="4"/>
      <c r="R562" s="4"/>
      <c r="S562" s="4"/>
      <c r="T562" s="4"/>
      <c r="U562" s="4"/>
      <c r="V562" s="4"/>
      <c r="W562" s="4"/>
      <c r="X562" s="4"/>
      <c r="Y562" s="4"/>
    </row>
    <row r="563" ht="9.75" customHeight="1">
      <c r="A563" s="65"/>
      <c r="B563" s="115" t="s">
        <v>479</v>
      </c>
      <c r="C563" s="67" t="s">
        <v>32</v>
      </c>
      <c r="D563" s="116"/>
      <c r="E563" s="117">
        <v>1.0</v>
      </c>
      <c r="F563" s="118">
        <v>300.0</v>
      </c>
      <c r="G563" s="90">
        <f t="shared" si="94"/>
        <v>300</v>
      </c>
      <c r="H563" s="4"/>
      <c r="I563" s="59">
        <f t="shared" si="97"/>
        <v>0</v>
      </c>
      <c r="J563" s="4"/>
      <c r="K563" s="4"/>
      <c r="L563" s="4"/>
      <c r="M563" s="4"/>
      <c r="N563" s="4"/>
      <c r="O563" s="4"/>
      <c r="P563" s="4"/>
      <c r="Q563" s="4"/>
      <c r="R563" s="4"/>
      <c r="S563" s="4"/>
      <c r="T563" s="4"/>
      <c r="U563" s="4"/>
      <c r="V563" s="4"/>
      <c r="W563" s="4"/>
      <c r="X563" s="4"/>
      <c r="Y563" s="4"/>
    </row>
    <row r="564" ht="9.75" customHeight="1">
      <c r="A564" s="65"/>
      <c r="B564" s="115" t="s">
        <v>181</v>
      </c>
      <c r="C564" s="67" t="s">
        <v>32</v>
      </c>
      <c r="D564" s="116"/>
      <c r="E564" s="117">
        <v>1.0</v>
      </c>
      <c r="F564" s="118">
        <v>2500.0</v>
      </c>
      <c r="G564" s="90">
        <f t="shared" si="94"/>
        <v>2500</v>
      </c>
      <c r="H564" s="4"/>
      <c r="I564" s="59">
        <f t="shared" si="97"/>
        <v>0</v>
      </c>
      <c r="J564" s="4"/>
      <c r="K564" s="4"/>
      <c r="L564" s="4"/>
      <c r="M564" s="4"/>
      <c r="N564" s="4"/>
      <c r="O564" s="4"/>
      <c r="P564" s="4"/>
      <c r="Q564" s="4"/>
      <c r="R564" s="4"/>
      <c r="S564" s="4"/>
      <c r="T564" s="4"/>
      <c r="U564" s="4"/>
      <c r="V564" s="4"/>
      <c r="W564" s="4"/>
      <c r="X564" s="4"/>
      <c r="Y564" s="4"/>
    </row>
    <row r="565" ht="9.75" customHeight="1">
      <c r="A565" s="65"/>
      <c r="B565" s="115"/>
      <c r="C565" s="67"/>
      <c r="D565" s="116"/>
      <c r="E565" s="116"/>
      <c r="F565" s="118"/>
      <c r="G565" s="90">
        <f t="shared" si="94"/>
        <v>0</v>
      </c>
      <c r="H565" s="4"/>
      <c r="I565" s="59">
        <f t="shared" si="97"/>
        <v>0</v>
      </c>
      <c r="J565" s="4"/>
      <c r="K565" s="4"/>
      <c r="L565" s="4"/>
      <c r="M565" s="4"/>
      <c r="N565" s="4"/>
      <c r="O565" s="4"/>
      <c r="P565" s="4"/>
      <c r="Q565" s="4"/>
      <c r="R565" s="4"/>
      <c r="S565" s="4"/>
      <c r="T565" s="4"/>
      <c r="U565" s="4"/>
      <c r="V565" s="4"/>
      <c r="W565" s="4"/>
      <c r="X565" s="4"/>
      <c r="Y565" s="4"/>
    </row>
    <row r="566" ht="9.75" customHeight="1">
      <c r="A566" s="65"/>
      <c r="B566" s="194" t="s">
        <v>480</v>
      </c>
      <c r="C566" s="195"/>
      <c r="D566" s="196"/>
      <c r="E566" s="196"/>
      <c r="F566" s="196"/>
      <c r="G566" s="197">
        <f t="shared" si="94"/>
        <v>0</v>
      </c>
      <c r="H566" s="4"/>
      <c r="I566" s="59">
        <f t="shared" si="97"/>
        <v>0</v>
      </c>
      <c r="J566" s="4"/>
      <c r="K566" s="4"/>
      <c r="L566" s="4"/>
      <c r="M566" s="4"/>
      <c r="N566" s="4"/>
      <c r="O566" s="4"/>
      <c r="P566" s="4"/>
      <c r="Q566" s="4"/>
      <c r="R566" s="4"/>
      <c r="S566" s="4"/>
      <c r="T566" s="4"/>
      <c r="U566" s="4"/>
      <c r="V566" s="4"/>
      <c r="W566" s="4"/>
      <c r="X566" s="4"/>
      <c r="Y566" s="4"/>
    </row>
    <row r="567" ht="9.75" customHeight="1">
      <c r="A567" s="65"/>
      <c r="B567" s="115" t="s">
        <v>481</v>
      </c>
      <c r="C567" s="67" t="s">
        <v>34</v>
      </c>
      <c r="D567" s="116"/>
      <c r="E567" s="117">
        <v>1.0</v>
      </c>
      <c r="F567" s="118">
        <v>1250.0</v>
      </c>
      <c r="G567" s="90">
        <f t="shared" si="94"/>
        <v>1250</v>
      </c>
      <c r="H567" s="4"/>
      <c r="I567" s="59">
        <f t="shared" si="97"/>
        <v>0</v>
      </c>
      <c r="J567" s="4"/>
      <c r="K567" s="4"/>
      <c r="L567" s="4"/>
      <c r="M567" s="4"/>
      <c r="N567" s="4"/>
      <c r="O567" s="4"/>
      <c r="P567" s="4"/>
      <c r="Q567" s="4"/>
      <c r="R567" s="4"/>
      <c r="S567" s="4"/>
      <c r="T567" s="4"/>
      <c r="U567" s="4"/>
      <c r="V567" s="4"/>
      <c r="W567" s="4"/>
      <c r="X567" s="4"/>
      <c r="Y567" s="4"/>
    </row>
    <row r="568" ht="9.75" customHeight="1">
      <c r="A568" s="65"/>
      <c r="B568" s="115" t="s">
        <v>450</v>
      </c>
      <c r="C568" s="67" t="s">
        <v>34</v>
      </c>
      <c r="D568" s="116"/>
      <c r="E568" s="116"/>
      <c r="F568" s="118"/>
      <c r="G568" s="90">
        <f t="shared" si="94"/>
        <v>0</v>
      </c>
      <c r="H568" s="4"/>
      <c r="I568" s="59">
        <f t="shared" si="97"/>
        <v>0</v>
      </c>
      <c r="J568" s="4"/>
      <c r="K568" s="4"/>
      <c r="L568" s="4"/>
      <c r="M568" s="4"/>
      <c r="N568" s="4"/>
      <c r="O568" s="4"/>
      <c r="P568" s="4"/>
      <c r="Q568" s="4"/>
      <c r="R568" s="4"/>
      <c r="S568" s="4"/>
      <c r="T568" s="4"/>
      <c r="U568" s="4"/>
      <c r="V568" s="4"/>
      <c r="W568" s="4"/>
      <c r="X568" s="4"/>
      <c r="Y568" s="4"/>
    </row>
    <row r="569" ht="9.75" customHeight="1">
      <c r="A569" s="65"/>
      <c r="B569" s="115" t="s">
        <v>482</v>
      </c>
      <c r="C569" s="67" t="s">
        <v>34</v>
      </c>
      <c r="D569" s="116"/>
      <c r="E569" s="117">
        <v>1.0</v>
      </c>
      <c r="F569" s="118">
        <v>1210.0</v>
      </c>
      <c r="G569" s="90">
        <f t="shared" si="94"/>
        <v>1210</v>
      </c>
      <c r="H569" s="4"/>
      <c r="I569" s="59"/>
      <c r="J569" s="4"/>
      <c r="K569" s="4"/>
      <c r="L569" s="4"/>
      <c r="M569" s="4"/>
      <c r="N569" s="4"/>
      <c r="O569" s="4"/>
      <c r="P569" s="4"/>
      <c r="Q569" s="4"/>
      <c r="R569" s="4"/>
      <c r="S569" s="4"/>
      <c r="T569" s="4"/>
      <c r="U569" s="4"/>
      <c r="V569" s="4"/>
      <c r="W569" s="4"/>
      <c r="X569" s="4"/>
      <c r="Y569" s="4"/>
    </row>
    <row r="570" ht="9.75" customHeight="1">
      <c r="A570" s="65"/>
      <c r="B570" s="115" t="s">
        <v>466</v>
      </c>
      <c r="C570" s="67" t="s">
        <v>32</v>
      </c>
      <c r="D570" s="116"/>
      <c r="E570" s="116"/>
      <c r="F570" s="118"/>
      <c r="G570" s="90">
        <f t="shared" si="94"/>
        <v>0</v>
      </c>
      <c r="H570" s="4"/>
      <c r="I570" s="59">
        <f t="shared" ref="I570:I655" si="98">IFERROR(H570/$H$6,0)</f>
        <v>0</v>
      </c>
      <c r="J570" s="4"/>
      <c r="K570" s="4"/>
      <c r="L570" s="4"/>
      <c r="M570" s="4"/>
      <c r="N570" s="4"/>
      <c r="O570" s="4"/>
      <c r="P570" s="4"/>
      <c r="Q570" s="4"/>
      <c r="R570" s="4"/>
      <c r="S570" s="4"/>
      <c r="T570" s="4"/>
      <c r="U570" s="4"/>
      <c r="V570" s="4"/>
      <c r="W570" s="4"/>
      <c r="X570" s="4"/>
      <c r="Y570" s="4"/>
    </row>
    <row r="571" ht="9.75" customHeight="1">
      <c r="A571" s="65"/>
      <c r="B571" s="115" t="s">
        <v>483</v>
      </c>
      <c r="C571" s="67" t="s">
        <v>32</v>
      </c>
      <c r="D571" s="116"/>
      <c r="E571" s="116"/>
      <c r="F571" s="118"/>
      <c r="G571" s="90">
        <f t="shared" si="94"/>
        <v>0</v>
      </c>
      <c r="H571" s="4"/>
      <c r="I571" s="59">
        <f t="shared" si="98"/>
        <v>0</v>
      </c>
      <c r="J571" s="4"/>
      <c r="K571" s="4"/>
      <c r="L571" s="4"/>
      <c r="M571" s="4"/>
      <c r="N571" s="4"/>
      <c r="O571" s="4"/>
      <c r="P571" s="4"/>
      <c r="Q571" s="4"/>
      <c r="R571" s="4"/>
      <c r="S571" s="4"/>
      <c r="T571" s="4"/>
      <c r="U571" s="4"/>
      <c r="V571" s="4"/>
      <c r="W571" s="4"/>
      <c r="X571" s="4"/>
      <c r="Y571" s="4"/>
    </row>
    <row r="572" ht="9.75" customHeight="1">
      <c r="A572" s="65"/>
      <c r="B572" s="198" t="s">
        <v>484</v>
      </c>
      <c r="C572" s="199" t="s">
        <v>27</v>
      </c>
      <c r="D572" s="200"/>
      <c r="E572" s="200">
        <f>$F$5</f>
        <v>1</v>
      </c>
      <c r="F572" s="201">
        <v>0.54</v>
      </c>
      <c r="G572" s="128">
        <f t="shared" si="94"/>
        <v>0.54</v>
      </c>
      <c r="H572" s="4"/>
      <c r="I572" s="59">
        <f t="shared" si="98"/>
        <v>0</v>
      </c>
      <c r="J572" s="4"/>
      <c r="K572" s="4"/>
      <c r="L572" s="4"/>
      <c r="M572" s="4"/>
      <c r="N572" s="4"/>
      <c r="O572" s="4"/>
      <c r="P572" s="4"/>
      <c r="Q572" s="4"/>
      <c r="R572" s="4"/>
      <c r="S572" s="4"/>
      <c r="T572" s="4"/>
      <c r="U572" s="4"/>
      <c r="V572" s="4"/>
      <c r="W572" s="4"/>
      <c r="X572" s="4"/>
      <c r="Y572" s="4"/>
    </row>
    <row r="573" ht="12.75" customHeight="1">
      <c r="A573" s="65" t="s">
        <v>485</v>
      </c>
      <c r="B573" s="129" t="str">
        <f>CONCATENATE("Sous-Total : ",A552," - ",B552)</f>
        <v>Sous-Total :  - Téléphonie</v>
      </c>
      <c r="C573" s="130"/>
      <c r="D573" s="131"/>
      <c r="E573" s="131"/>
      <c r="F573" s="131"/>
      <c r="G573" s="132">
        <f>SUM(G552:G572)</f>
        <v>23587.18</v>
      </c>
      <c r="H573" s="4">
        <f t="shared" ref="H573:H574" si="99">IFERROR(IF(FIND("Sous-",B573,1)&lt;&gt;0,G573,1),0)</f>
        <v>23587.18</v>
      </c>
      <c r="I573" s="59">
        <f t="shared" si="98"/>
        <v>0.005431790036</v>
      </c>
      <c r="J573" s="4"/>
      <c r="K573" s="4"/>
      <c r="L573" s="4"/>
      <c r="M573" s="4"/>
      <c r="N573" s="4"/>
      <c r="O573" s="4"/>
      <c r="P573" s="4"/>
      <c r="Q573" s="4"/>
      <c r="R573" s="4"/>
      <c r="S573" s="4"/>
      <c r="T573" s="4"/>
      <c r="U573" s="4"/>
      <c r="V573" s="4"/>
      <c r="W573" s="4"/>
      <c r="X573" s="4"/>
      <c r="Y573" s="4"/>
    </row>
    <row r="574" ht="9.75" customHeight="1">
      <c r="A574" s="65"/>
      <c r="B574" s="105" t="s">
        <v>486</v>
      </c>
      <c r="C574" s="106"/>
      <c r="D574" s="98"/>
      <c r="E574" s="98"/>
      <c r="F574" s="98"/>
      <c r="G574" s="107">
        <f t="shared" ref="G574:G599" si="100">E574*F574</f>
        <v>0</v>
      </c>
      <c r="H574" s="4">
        <f t="shared" si="99"/>
        <v>0</v>
      </c>
      <c r="I574" s="59">
        <f t="shared" si="98"/>
        <v>0</v>
      </c>
      <c r="J574" s="4"/>
      <c r="K574" s="4"/>
      <c r="L574" s="4"/>
      <c r="M574" s="4"/>
      <c r="N574" s="4"/>
      <c r="O574" s="4"/>
      <c r="P574" s="4"/>
      <c r="Q574" s="4"/>
      <c r="R574" s="4"/>
      <c r="S574" s="4"/>
      <c r="T574" s="4"/>
      <c r="U574" s="4"/>
      <c r="V574" s="4"/>
      <c r="W574" s="4"/>
      <c r="X574" s="4"/>
      <c r="Y574" s="4"/>
    </row>
    <row r="575" ht="9.75" customHeight="1">
      <c r="A575" s="65"/>
      <c r="B575" s="110" t="s">
        <v>487</v>
      </c>
      <c r="C575" s="111"/>
      <c r="D575" s="112"/>
      <c r="E575" s="112"/>
      <c r="F575" s="113"/>
      <c r="G575" s="90">
        <f t="shared" si="100"/>
        <v>0</v>
      </c>
      <c r="H575" s="4"/>
      <c r="I575" s="59">
        <f t="shared" si="98"/>
        <v>0</v>
      </c>
      <c r="J575" s="4"/>
      <c r="K575" s="4"/>
      <c r="L575" s="4"/>
      <c r="M575" s="4"/>
      <c r="N575" s="4"/>
      <c r="O575" s="4"/>
      <c r="P575" s="4"/>
      <c r="Q575" s="4"/>
      <c r="R575" s="4"/>
      <c r="S575" s="4"/>
      <c r="T575" s="4"/>
      <c r="U575" s="4"/>
      <c r="V575" s="4"/>
      <c r="W575" s="4"/>
      <c r="X575" s="4"/>
      <c r="Y575" s="4"/>
    </row>
    <row r="576" ht="9.75" customHeight="1">
      <c r="A576" s="65"/>
      <c r="B576" s="146" t="s">
        <v>488</v>
      </c>
      <c r="C576" s="147" t="s">
        <v>27</v>
      </c>
      <c r="D576" s="148"/>
      <c r="E576" s="148">
        <f>$F$5</f>
        <v>1</v>
      </c>
      <c r="F576" s="73">
        <v>20.52</v>
      </c>
      <c r="G576" s="90">
        <f t="shared" si="100"/>
        <v>20.52</v>
      </c>
      <c r="H576" s="4"/>
      <c r="I576" s="59">
        <f t="shared" si="98"/>
        <v>0</v>
      </c>
      <c r="J576" s="4"/>
      <c r="K576" s="4"/>
      <c r="L576" s="4"/>
      <c r="M576" s="4"/>
      <c r="N576" s="4"/>
      <c r="O576" s="4"/>
      <c r="P576" s="4"/>
      <c r="Q576" s="4"/>
      <c r="R576" s="4"/>
      <c r="S576" s="4"/>
      <c r="T576" s="4"/>
      <c r="U576" s="4"/>
      <c r="V576" s="4"/>
      <c r="W576" s="4"/>
      <c r="X576" s="4"/>
      <c r="Y576" s="4"/>
    </row>
    <row r="577" ht="9.75" customHeight="1">
      <c r="A577" s="65"/>
      <c r="B577" s="146" t="s">
        <v>489</v>
      </c>
      <c r="C577" s="147" t="s">
        <v>27</v>
      </c>
      <c r="D577" s="148"/>
      <c r="E577" s="117">
        <v>1.0</v>
      </c>
      <c r="F577" s="73">
        <v>13.0</v>
      </c>
      <c r="G577" s="90">
        <f t="shared" si="100"/>
        <v>13</v>
      </c>
      <c r="H577" s="4"/>
      <c r="I577" s="59">
        <f t="shared" si="98"/>
        <v>0</v>
      </c>
      <c r="J577" s="4"/>
      <c r="K577" s="4"/>
      <c r="L577" s="4"/>
      <c r="M577" s="4"/>
      <c r="N577" s="4"/>
      <c r="O577" s="4"/>
      <c r="P577" s="4"/>
      <c r="Q577" s="4"/>
      <c r="R577" s="4"/>
      <c r="S577" s="4"/>
      <c r="T577" s="4"/>
      <c r="U577" s="4"/>
      <c r="V577" s="4"/>
      <c r="W577" s="4"/>
      <c r="X577" s="4"/>
      <c r="Y577" s="4"/>
    </row>
    <row r="578" ht="9.75" customHeight="1">
      <c r="A578" s="65"/>
      <c r="B578" s="146" t="s">
        <v>490</v>
      </c>
      <c r="C578" s="147" t="s">
        <v>27</v>
      </c>
      <c r="D578" s="148"/>
      <c r="E578" s="117">
        <v>1.0</v>
      </c>
      <c r="F578" s="73">
        <v>8.0</v>
      </c>
      <c r="G578" s="90">
        <f t="shared" si="100"/>
        <v>8</v>
      </c>
      <c r="H578" s="4"/>
      <c r="I578" s="59">
        <f t="shared" si="98"/>
        <v>0</v>
      </c>
      <c r="J578" s="4"/>
      <c r="K578" s="4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  <c r="X578" s="4"/>
      <c r="Y578" s="4"/>
    </row>
    <row r="579" ht="9.75" customHeight="1">
      <c r="A579" s="65"/>
      <c r="B579" s="146" t="s">
        <v>491</v>
      </c>
      <c r="C579" s="147" t="s">
        <v>27</v>
      </c>
      <c r="D579" s="148"/>
      <c r="E579" s="117">
        <v>1.0</v>
      </c>
      <c r="F579" s="73">
        <v>7.5</v>
      </c>
      <c r="G579" s="90">
        <f t="shared" si="100"/>
        <v>7.5</v>
      </c>
      <c r="H579" s="4"/>
      <c r="I579" s="59">
        <f t="shared" si="98"/>
        <v>0</v>
      </c>
      <c r="J579" s="4"/>
      <c r="K579" s="4"/>
      <c r="L579" s="4"/>
      <c r="M579" s="4"/>
      <c r="N579" s="4"/>
      <c r="O579" s="4"/>
      <c r="P579" s="4"/>
      <c r="Q579" s="4"/>
      <c r="R579" s="4"/>
      <c r="S579" s="4"/>
      <c r="T579" s="4"/>
      <c r="U579" s="4"/>
      <c r="V579" s="4"/>
      <c r="W579" s="4"/>
      <c r="X579" s="4"/>
      <c r="Y579" s="4"/>
    </row>
    <row r="580" ht="9.75" customHeight="1">
      <c r="A580" s="65"/>
      <c r="B580" s="146" t="s">
        <v>492</v>
      </c>
      <c r="C580" s="147" t="s">
        <v>27</v>
      </c>
      <c r="D580" s="148"/>
      <c r="E580" s="117">
        <v>1.0</v>
      </c>
      <c r="F580" s="73">
        <v>2.1</v>
      </c>
      <c r="G580" s="90">
        <f t="shared" si="100"/>
        <v>2.1</v>
      </c>
      <c r="H580" s="4"/>
      <c r="I580" s="59">
        <f t="shared" si="98"/>
        <v>0</v>
      </c>
      <c r="J580" s="4"/>
      <c r="K580" s="4"/>
      <c r="L580" s="4"/>
      <c r="M580" s="4"/>
      <c r="N580" s="4"/>
      <c r="O580" s="4"/>
      <c r="P580" s="4"/>
      <c r="Q580" s="4"/>
      <c r="R580" s="4"/>
      <c r="S580" s="4"/>
      <c r="T580" s="4"/>
      <c r="U580" s="4"/>
      <c r="V580" s="4"/>
      <c r="W580" s="4"/>
      <c r="X580" s="4"/>
      <c r="Y580" s="4"/>
    </row>
    <row r="581" ht="9.75" customHeight="1">
      <c r="A581" s="65"/>
      <c r="B581" s="110" t="s">
        <v>493</v>
      </c>
      <c r="C581" s="111"/>
      <c r="D581" s="112"/>
      <c r="E581" s="112"/>
      <c r="F581" s="113"/>
      <c r="G581" s="90">
        <f t="shared" si="100"/>
        <v>0</v>
      </c>
      <c r="H581" s="4"/>
      <c r="I581" s="59">
        <f t="shared" si="98"/>
        <v>0</v>
      </c>
      <c r="J581" s="4"/>
      <c r="K581" s="4"/>
      <c r="L581" s="4"/>
      <c r="M581" s="4"/>
      <c r="N581" s="4"/>
      <c r="O581" s="4"/>
      <c r="P581" s="4"/>
      <c r="Q581" s="4"/>
      <c r="R581" s="4"/>
      <c r="S581" s="4"/>
      <c r="T581" s="4"/>
      <c r="U581" s="4"/>
      <c r="V581" s="4"/>
      <c r="W581" s="4"/>
      <c r="X581" s="4"/>
      <c r="Y581" s="4"/>
    </row>
    <row r="582" ht="9.75" customHeight="1">
      <c r="A582" s="65"/>
      <c r="B582" s="115" t="s">
        <v>494</v>
      </c>
      <c r="C582" s="202" t="s">
        <v>34</v>
      </c>
      <c r="D582" s="116"/>
      <c r="E582" s="117">
        <v>1.0</v>
      </c>
      <c r="F582" s="118">
        <v>5760.0</v>
      </c>
      <c r="G582" s="90">
        <f t="shared" si="100"/>
        <v>5760</v>
      </c>
      <c r="H582" s="4"/>
      <c r="I582" s="59">
        <f t="shared" si="98"/>
        <v>0</v>
      </c>
      <c r="J582" s="4"/>
      <c r="K582" s="4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/>
      <c r="W582" s="4"/>
      <c r="X582" s="4"/>
      <c r="Y582" s="4"/>
    </row>
    <row r="583" ht="9.75" customHeight="1">
      <c r="A583" s="65"/>
      <c r="B583" s="115" t="s">
        <v>495</v>
      </c>
      <c r="C583" s="202" t="s">
        <v>34</v>
      </c>
      <c r="D583" s="116"/>
      <c r="E583" s="117">
        <v>1.0</v>
      </c>
      <c r="F583" s="118">
        <v>2760.0</v>
      </c>
      <c r="G583" s="90">
        <f t="shared" si="100"/>
        <v>2760</v>
      </c>
      <c r="H583" s="4"/>
      <c r="I583" s="59">
        <f t="shared" si="98"/>
        <v>0</v>
      </c>
      <c r="J583" s="4"/>
      <c r="K583" s="4"/>
      <c r="L583" s="4"/>
      <c r="M583" s="4"/>
      <c r="N583" s="4"/>
      <c r="O583" s="4"/>
      <c r="P583" s="4"/>
      <c r="Q583" s="4"/>
      <c r="R583" s="4"/>
      <c r="S583" s="4"/>
      <c r="T583" s="4"/>
      <c r="U583" s="4"/>
      <c r="V583" s="4"/>
      <c r="W583" s="4"/>
      <c r="X583" s="4"/>
      <c r="Y583" s="4"/>
    </row>
    <row r="584" ht="9.75" customHeight="1">
      <c r="A584" s="65"/>
      <c r="B584" s="110" t="s">
        <v>496</v>
      </c>
      <c r="C584" s="111"/>
      <c r="D584" s="112"/>
      <c r="E584" s="112"/>
      <c r="F584" s="113"/>
      <c r="G584" s="90">
        <f t="shared" si="100"/>
        <v>0</v>
      </c>
      <c r="H584" s="4"/>
      <c r="I584" s="59">
        <f t="shared" si="98"/>
        <v>0</v>
      </c>
      <c r="J584" s="4"/>
      <c r="K584" s="4"/>
      <c r="L584" s="4"/>
      <c r="M584" s="4"/>
      <c r="N584" s="4"/>
      <c r="O584" s="4"/>
      <c r="P584" s="4"/>
      <c r="Q584" s="4"/>
      <c r="R584" s="4"/>
      <c r="S584" s="4"/>
      <c r="T584" s="4"/>
      <c r="U584" s="4"/>
      <c r="V584" s="4"/>
      <c r="W584" s="4"/>
      <c r="X584" s="4"/>
      <c r="Y584" s="4"/>
    </row>
    <row r="585" ht="9.75" customHeight="1">
      <c r="A585" s="65"/>
      <c r="B585" s="115" t="s">
        <v>497</v>
      </c>
      <c r="C585" s="202" t="s">
        <v>34</v>
      </c>
      <c r="D585" s="116"/>
      <c r="E585" s="117">
        <v>1.0</v>
      </c>
      <c r="F585" s="118">
        <v>5100.0</v>
      </c>
      <c r="G585" s="90">
        <f t="shared" si="100"/>
        <v>5100</v>
      </c>
      <c r="H585" s="4"/>
      <c r="I585" s="59">
        <f t="shared" si="98"/>
        <v>0</v>
      </c>
      <c r="J585" s="4"/>
      <c r="K585" s="4"/>
      <c r="L585" s="4"/>
      <c r="M585" s="4"/>
      <c r="N585" s="4"/>
      <c r="O585" s="4"/>
      <c r="P585" s="4"/>
      <c r="Q585" s="4"/>
      <c r="R585" s="4"/>
      <c r="S585" s="4"/>
      <c r="T585" s="4"/>
      <c r="U585" s="4"/>
      <c r="V585" s="4"/>
      <c r="W585" s="4"/>
      <c r="X585" s="4"/>
      <c r="Y585" s="4"/>
    </row>
    <row r="586" ht="9.75" customHeight="1">
      <c r="A586" s="65"/>
      <c r="B586" s="115" t="s">
        <v>498</v>
      </c>
      <c r="C586" s="202" t="s">
        <v>34</v>
      </c>
      <c r="D586" s="116"/>
      <c r="E586" s="117">
        <v>1.0</v>
      </c>
      <c r="F586" s="118">
        <v>2800.0</v>
      </c>
      <c r="G586" s="90">
        <f t="shared" si="100"/>
        <v>2800</v>
      </c>
      <c r="H586" s="4"/>
      <c r="I586" s="59">
        <f t="shared" si="98"/>
        <v>0</v>
      </c>
      <c r="J586" s="4"/>
      <c r="K586" s="4"/>
      <c r="L586" s="4"/>
      <c r="M586" s="4"/>
      <c r="N586" s="4"/>
      <c r="O586" s="4"/>
      <c r="P586" s="4"/>
      <c r="Q586" s="4"/>
      <c r="R586" s="4"/>
      <c r="S586" s="4"/>
      <c r="T586" s="4"/>
      <c r="U586" s="4"/>
      <c r="V586" s="4"/>
      <c r="W586" s="4"/>
      <c r="X586" s="4"/>
      <c r="Y586" s="4"/>
    </row>
    <row r="587" ht="9.75" customHeight="1">
      <c r="A587" s="65"/>
      <c r="B587" s="115" t="s">
        <v>499</v>
      </c>
      <c r="C587" s="202" t="s">
        <v>34</v>
      </c>
      <c r="D587" s="116"/>
      <c r="E587" s="117">
        <v>1.0</v>
      </c>
      <c r="F587" s="118">
        <v>480.0</v>
      </c>
      <c r="G587" s="90">
        <f t="shared" si="100"/>
        <v>480</v>
      </c>
      <c r="H587" s="4"/>
      <c r="I587" s="59">
        <f t="shared" si="98"/>
        <v>0</v>
      </c>
      <c r="J587" s="4"/>
      <c r="K587" s="4"/>
      <c r="L587" s="4"/>
      <c r="M587" s="4"/>
      <c r="N587" s="4"/>
      <c r="O587" s="4"/>
      <c r="P587" s="4"/>
      <c r="Q587" s="4"/>
      <c r="R587" s="4"/>
      <c r="S587" s="4"/>
      <c r="T587" s="4"/>
      <c r="U587" s="4"/>
      <c r="V587" s="4"/>
      <c r="W587" s="4"/>
      <c r="X587" s="4"/>
      <c r="Y587" s="4"/>
    </row>
    <row r="588" ht="9.75" customHeight="1">
      <c r="A588" s="65"/>
      <c r="B588" s="115" t="s">
        <v>500</v>
      </c>
      <c r="C588" s="202" t="s">
        <v>34</v>
      </c>
      <c r="D588" s="116"/>
      <c r="E588" s="117">
        <v>1.0</v>
      </c>
      <c r="F588" s="118">
        <v>62.0</v>
      </c>
      <c r="G588" s="90">
        <f t="shared" si="100"/>
        <v>62</v>
      </c>
      <c r="H588" s="4"/>
      <c r="I588" s="59">
        <f t="shared" si="98"/>
        <v>0</v>
      </c>
      <c r="J588" s="4"/>
      <c r="K588" s="4"/>
      <c r="L588" s="4"/>
      <c r="M588" s="4"/>
      <c r="N588" s="4"/>
      <c r="O588" s="4"/>
      <c r="P588" s="4"/>
      <c r="Q588" s="4"/>
      <c r="R588" s="4"/>
      <c r="S588" s="4"/>
      <c r="T588" s="4"/>
      <c r="U588" s="4"/>
      <c r="V588" s="4"/>
      <c r="W588" s="4"/>
      <c r="X588" s="4"/>
      <c r="Y588" s="4"/>
    </row>
    <row r="589" ht="9.75" customHeight="1">
      <c r="A589" s="65"/>
      <c r="B589" s="115" t="s">
        <v>501</v>
      </c>
      <c r="C589" s="202" t="s">
        <v>34</v>
      </c>
      <c r="D589" s="116"/>
      <c r="E589" s="117">
        <v>1.0</v>
      </c>
      <c r="F589" s="118">
        <v>210.0</v>
      </c>
      <c r="G589" s="90">
        <f t="shared" si="100"/>
        <v>210</v>
      </c>
      <c r="H589" s="4"/>
      <c r="I589" s="59">
        <f t="shared" si="98"/>
        <v>0</v>
      </c>
      <c r="J589" s="4"/>
      <c r="K589" s="4"/>
      <c r="L589" s="4"/>
      <c r="M589" s="4"/>
      <c r="N589" s="4"/>
      <c r="O589" s="4"/>
      <c r="P589" s="4"/>
      <c r="Q589" s="4"/>
      <c r="R589" s="4"/>
      <c r="S589" s="4"/>
      <c r="T589" s="4"/>
      <c r="U589" s="4"/>
      <c r="V589" s="4"/>
      <c r="W589" s="4"/>
      <c r="X589" s="4"/>
      <c r="Y589" s="4"/>
    </row>
    <row r="590" ht="9.75" customHeight="1">
      <c r="A590" s="65"/>
      <c r="B590" s="115" t="s">
        <v>502</v>
      </c>
      <c r="C590" s="202" t="s">
        <v>34</v>
      </c>
      <c r="D590" s="116"/>
      <c r="E590" s="117">
        <v>1.0</v>
      </c>
      <c r="F590" s="118">
        <v>1450.0</v>
      </c>
      <c r="G590" s="90">
        <f t="shared" si="100"/>
        <v>1450</v>
      </c>
      <c r="H590" s="4"/>
      <c r="I590" s="59">
        <f t="shared" si="98"/>
        <v>0</v>
      </c>
      <c r="J590" s="4"/>
      <c r="K590" s="4"/>
      <c r="L590" s="4"/>
      <c r="M590" s="4"/>
      <c r="N590" s="4"/>
      <c r="O590" s="4"/>
      <c r="P590" s="4"/>
      <c r="Q590" s="4"/>
      <c r="R590" s="4"/>
      <c r="S590" s="4"/>
      <c r="T590" s="4"/>
      <c r="U590" s="4"/>
      <c r="V590" s="4"/>
      <c r="W590" s="4"/>
      <c r="X590" s="4"/>
      <c r="Y590" s="4"/>
    </row>
    <row r="591" ht="9.75" customHeight="1">
      <c r="A591" s="65"/>
      <c r="B591" s="115" t="s">
        <v>503</v>
      </c>
      <c r="C591" s="202" t="s">
        <v>34</v>
      </c>
      <c r="D591" s="116"/>
      <c r="E591" s="117">
        <v>1.0</v>
      </c>
      <c r="F591" s="118">
        <v>63.0</v>
      </c>
      <c r="G591" s="90">
        <f t="shared" si="100"/>
        <v>63</v>
      </c>
      <c r="H591" s="4"/>
      <c r="I591" s="59">
        <f t="shared" si="98"/>
        <v>0</v>
      </c>
      <c r="J591" s="4"/>
      <c r="K591" s="4"/>
      <c r="L591" s="4"/>
      <c r="M591" s="4"/>
      <c r="N591" s="4"/>
      <c r="O591" s="4"/>
      <c r="P591" s="4"/>
      <c r="Q591" s="4"/>
      <c r="R591" s="4"/>
      <c r="S591" s="4"/>
      <c r="T591" s="4"/>
      <c r="U591" s="4"/>
      <c r="V591" s="4"/>
      <c r="W591" s="4"/>
      <c r="X591" s="4"/>
      <c r="Y591" s="4"/>
    </row>
    <row r="592" ht="9.75" customHeight="1">
      <c r="A592" s="65"/>
      <c r="B592" s="115" t="s">
        <v>504</v>
      </c>
      <c r="C592" s="202" t="s">
        <v>34</v>
      </c>
      <c r="D592" s="116"/>
      <c r="E592" s="117">
        <v>1.0</v>
      </c>
      <c r="F592" s="118">
        <v>210.0</v>
      </c>
      <c r="G592" s="90">
        <f t="shared" si="100"/>
        <v>210</v>
      </c>
      <c r="H592" s="4"/>
      <c r="I592" s="59">
        <f t="shared" si="98"/>
        <v>0</v>
      </c>
      <c r="J592" s="4"/>
      <c r="K592" s="4"/>
      <c r="L592" s="4"/>
      <c r="M592" s="4"/>
      <c r="N592" s="4"/>
      <c r="O592" s="4"/>
      <c r="P592" s="4"/>
      <c r="Q592" s="4"/>
      <c r="R592" s="4"/>
      <c r="S592" s="4"/>
      <c r="T592" s="4"/>
      <c r="U592" s="4"/>
      <c r="V592" s="4"/>
      <c r="W592" s="4"/>
      <c r="X592" s="4"/>
      <c r="Y592" s="4"/>
    </row>
    <row r="593" ht="9.75" customHeight="1">
      <c r="A593" s="65"/>
      <c r="B593" s="115" t="s">
        <v>505</v>
      </c>
      <c r="C593" s="202" t="s">
        <v>34</v>
      </c>
      <c r="D593" s="116"/>
      <c r="E593" s="117">
        <v>1.0</v>
      </c>
      <c r="F593" s="118">
        <v>25.0</v>
      </c>
      <c r="G593" s="90">
        <f t="shared" si="100"/>
        <v>25</v>
      </c>
      <c r="H593" s="4"/>
      <c r="I593" s="59">
        <f t="shared" si="98"/>
        <v>0</v>
      </c>
      <c r="J593" s="4"/>
      <c r="K593" s="4"/>
      <c r="L593" s="4"/>
      <c r="M593" s="4"/>
      <c r="N593" s="4"/>
      <c r="O593" s="4"/>
      <c r="P593" s="4"/>
      <c r="Q593" s="4"/>
      <c r="R593" s="4"/>
      <c r="S593" s="4"/>
      <c r="T593" s="4"/>
      <c r="U593" s="4"/>
      <c r="V593" s="4"/>
      <c r="W593" s="4"/>
      <c r="X593" s="4"/>
      <c r="Y593" s="4"/>
    </row>
    <row r="594" ht="9.75" customHeight="1">
      <c r="A594" s="65"/>
      <c r="B594" s="115" t="s">
        <v>506</v>
      </c>
      <c r="C594" s="202" t="s">
        <v>34</v>
      </c>
      <c r="D594" s="116"/>
      <c r="E594" s="117">
        <v>1.0</v>
      </c>
      <c r="F594" s="118">
        <v>57.0</v>
      </c>
      <c r="G594" s="90">
        <f t="shared" si="100"/>
        <v>57</v>
      </c>
      <c r="H594" s="4"/>
      <c r="I594" s="59">
        <f t="shared" si="98"/>
        <v>0</v>
      </c>
      <c r="J594" s="4"/>
      <c r="K594" s="4"/>
      <c r="L594" s="4"/>
      <c r="M594" s="4"/>
      <c r="N594" s="4"/>
      <c r="O594" s="4"/>
      <c r="P594" s="4"/>
      <c r="Q594" s="4"/>
      <c r="R594" s="4"/>
      <c r="S594" s="4"/>
      <c r="T594" s="4"/>
      <c r="U594" s="4"/>
      <c r="V594" s="4"/>
      <c r="W594" s="4"/>
      <c r="X594" s="4"/>
      <c r="Y594" s="4"/>
    </row>
    <row r="595" ht="9.75" customHeight="1">
      <c r="A595" s="65"/>
      <c r="B595" s="115"/>
      <c r="C595" s="202"/>
      <c r="D595" s="116"/>
      <c r="E595" s="116"/>
      <c r="F595" s="118"/>
      <c r="G595" s="90">
        <f t="shared" si="100"/>
        <v>0</v>
      </c>
      <c r="H595" s="4"/>
      <c r="I595" s="59">
        <f t="shared" si="98"/>
        <v>0</v>
      </c>
      <c r="J595" s="4"/>
      <c r="K595" s="4"/>
      <c r="L595" s="4"/>
      <c r="M595" s="4"/>
      <c r="N595" s="4"/>
      <c r="O595" s="4"/>
      <c r="P595" s="4"/>
      <c r="Q595" s="4"/>
      <c r="R595" s="4"/>
      <c r="S595" s="4"/>
      <c r="T595" s="4"/>
      <c r="U595" s="4"/>
      <c r="V595" s="4"/>
      <c r="W595" s="4"/>
      <c r="X595" s="4"/>
      <c r="Y595" s="4"/>
    </row>
    <row r="596" ht="9.75" customHeight="1">
      <c r="A596" s="65"/>
      <c r="B596" s="115"/>
      <c r="C596" s="202"/>
      <c r="D596" s="116"/>
      <c r="E596" s="116"/>
      <c r="F596" s="118"/>
      <c r="G596" s="90">
        <f t="shared" si="100"/>
        <v>0</v>
      </c>
      <c r="H596" s="4"/>
      <c r="I596" s="59">
        <f t="shared" si="98"/>
        <v>0</v>
      </c>
      <c r="J596" s="4"/>
      <c r="K596" s="4"/>
      <c r="L596" s="4"/>
      <c r="M596" s="4"/>
      <c r="N596" s="4"/>
      <c r="O596" s="4"/>
      <c r="P596" s="4"/>
      <c r="Q596" s="4"/>
      <c r="R596" s="4"/>
      <c r="S596" s="4"/>
      <c r="T596" s="4"/>
      <c r="U596" s="4"/>
      <c r="V596" s="4"/>
      <c r="W596" s="4"/>
      <c r="X596" s="4"/>
      <c r="Y596" s="4"/>
    </row>
    <row r="597" ht="9.75" customHeight="1">
      <c r="A597" s="65"/>
      <c r="B597" s="115"/>
      <c r="C597" s="202"/>
      <c r="D597" s="116"/>
      <c r="E597" s="116"/>
      <c r="F597" s="118"/>
      <c r="G597" s="90">
        <f t="shared" si="100"/>
        <v>0</v>
      </c>
      <c r="H597" s="4"/>
      <c r="I597" s="59">
        <f t="shared" si="98"/>
        <v>0</v>
      </c>
      <c r="J597" s="4"/>
      <c r="K597" s="4"/>
      <c r="L597" s="4"/>
      <c r="M597" s="4"/>
      <c r="N597" s="4"/>
      <c r="O597" s="4"/>
      <c r="P597" s="4"/>
      <c r="Q597" s="4"/>
      <c r="R597" s="4"/>
      <c r="S597" s="4"/>
      <c r="T597" s="4"/>
      <c r="U597" s="4"/>
      <c r="V597" s="4"/>
      <c r="W597" s="4"/>
      <c r="X597" s="4"/>
      <c r="Y597" s="4"/>
    </row>
    <row r="598" ht="9.75" customHeight="1">
      <c r="A598" s="65"/>
      <c r="B598" s="110" t="s">
        <v>170</v>
      </c>
      <c r="C598" s="111"/>
      <c r="D598" s="112"/>
      <c r="E598" s="112"/>
      <c r="F598" s="113"/>
      <c r="G598" s="90">
        <f t="shared" si="100"/>
        <v>0</v>
      </c>
      <c r="H598" s="4"/>
      <c r="I598" s="59">
        <f t="shared" si="98"/>
        <v>0</v>
      </c>
      <c r="J598" s="4"/>
      <c r="K598" s="4"/>
      <c r="L598" s="4"/>
      <c r="M598" s="4"/>
      <c r="N598" s="4"/>
      <c r="O598" s="4"/>
      <c r="P598" s="4"/>
      <c r="Q598" s="4"/>
      <c r="R598" s="4"/>
      <c r="S598" s="4"/>
      <c r="T598" s="4"/>
      <c r="U598" s="4"/>
      <c r="V598" s="4"/>
      <c r="W598" s="4"/>
      <c r="X598" s="4"/>
      <c r="Y598" s="4"/>
    </row>
    <row r="599" ht="9.75" customHeight="1">
      <c r="A599" s="65"/>
      <c r="B599" s="115" t="s">
        <v>507</v>
      </c>
      <c r="C599" s="202" t="s">
        <v>34</v>
      </c>
      <c r="D599" s="116"/>
      <c r="E599" s="116"/>
      <c r="F599" s="118">
        <v>24.0</v>
      </c>
      <c r="G599" s="90">
        <f t="shared" si="100"/>
        <v>0</v>
      </c>
      <c r="H599" s="4"/>
      <c r="I599" s="59">
        <f t="shared" si="98"/>
        <v>0</v>
      </c>
      <c r="J599" s="4"/>
      <c r="K599" s="4"/>
      <c r="L599" s="4"/>
      <c r="M599" s="4"/>
      <c r="N599" s="4"/>
      <c r="O599" s="4"/>
      <c r="P599" s="4"/>
      <c r="Q599" s="4"/>
      <c r="R599" s="4"/>
      <c r="S599" s="4"/>
      <c r="T599" s="4"/>
      <c r="U599" s="4"/>
      <c r="V599" s="4"/>
      <c r="W599" s="4"/>
      <c r="X599" s="4"/>
      <c r="Y599" s="4"/>
    </row>
    <row r="600" ht="9.75" customHeight="1">
      <c r="A600" s="65"/>
      <c r="B600" s="150"/>
      <c r="C600" s="151"/>
      <c r="D600" s="127"/>
      <c r="E600" s="127"/>
      <c r="F600" s="127"/>
      <c r="G600" s="156"/>
      <c r="H600" s="4"/>
      <c r="I600" s="59">
        <f t="shared" si="98"/>
        <v>0</v>
      </c>
      <c r="J600" s="4"/>
      <c r="K600" s="4"/>
      <c r="L600" s="4"/>
      <c r="M600" s="4"/>
      <c r="N600" s="4"/>
      <c r="O600" s="4"/>
      <c r="P600" s="4"/>
      <c r="Q600" s="4"/>
      <c r="R600" s="4"/>
      <c r="S600" s="4"/>
      <c r="T600" s="4"/>
      <c r="U600" s="4"/>
      <c r="V600" s="4"/>
      <c r="W600" s="4"/>
      <c r="X600" s="4"/>
      <c r="Y600" s="4"/>
    </row>
    <row r="601" ht="9.75" customHeight="1">
      <c r="A601" s="65"/>
      <c r="B601" s="152" t="s">
        <v>508</v>
      </c>
      <c r="C601" s="153" t="s">
        <v>34</v>
      </c>
      <c r="D601" s="154"/>
      <c r="E601" s="154"/>
      <c r="F601" s="88"/>
      <c r="G601" s="90">
        <f t="shared" ref="G601:G610" si="101">E601*F601</f>
        <v>0</v>
      </c>
      <c r="H601" s="4">
        <f t="shared" ref="H601:H619" si="102">IFERROR(IF(FIND("Sous-",B601,1)&lt;&gt;0,G601,1),0)</f>
        <v>0</v>
      </c>
      <c r="I601" s="59">
        <f t="shared" si="98"/>
        <v>0</v>
      </c>
      <c r="J601" s="4"/>
      <c r="K601" s="4"/>
      <c r="L601" s="4"/>
      <c r="M601" s="4"/>
      <c r="N601" s="4"/>
      <c r="O601" s="4"/>
      <c r="P601" s="4"/>
      <c r="Q601" s="4"/>
      <c r="R601" s="4"/>
      <c r="S601" s="4"/>
      <c r="T601" s="4"/>
      <c r="U601" s="4"/>
      <c r="V601" s="4"/>
      <c r="W601" s="4"/>
      <c r="X601" s="4"/>
      <c r="Y601" s="4"/>
    </row>
    <row r="602" ht="9.75" customHeight="1">
      <c r="A602" s="65"/>
      <c r="B602" s="79" t="s">
        <v>509</v>
      </c>
      <c r="C602" s="80" t="s">
        <v>34</v>
      </c>
      <c r="D602" s="100"/>
      <c r="E602" s="100"/>
      <c r="F602" s="78"/>
      <c r="G602" s="90">
        <f t="shared" si="101"/>
        <v>0</v>
      </c>
      <c r="H602" s="4">
        <f t="shared" si="102"/>
        <v>0</v>
      </c>
      <c r="I602" s="59">
        <f t="shared" si="98"/>
        <v>0</v>
      </c>
      <c r="J602" s="4"/>
      <c r="K602" s="4"/>
      <c r="L602" s="4"/>
      <c r="M602" s="4"/>
      <c r="N602" s="4"/>
      <c r="O602" s="4"/>
      <c r="P602" s="4"/>
      <c r="Q602" s="4"/>
      <c r="R602" s="4"/>
      <c r="S602" s="4"/>
      <c r="T602" s="4"/>
      <c r="U602" s="4"/>
      <c r="V602" s="4"/>
      <c r="W602" s="4"/>
      <c r="X602" s="4"/>
      <c r="Y602" s="4"/>
    </row>
    <row r="603" ht="9.75" customHeight="1">
      <c r="A603" s="65"/>
      <c r="B603" s="79" t="s">
        <v>510</v>
      </c>
      <c r="C603" s="80" t="s">
        <v>34</v>
      </c>
      <c r="D603" s="100"/>
      <c r="E603" s="100"/>
      <c r="F603" s="78"/>
      <c r="G603" s="90">
        <f t="shared" si="101"/>
        <v>0</v>
      </c>
      <c r="H603" s="4">
        <f t="shared" si="102"/>
        <v>0</v>
      </c>
      <c r="I603" s="59">
        <f t="shared" si="98"/>
        <v>0</v>
      </c>
      <c r="J603" s="4"/>
      <c r="K603" s="4"/>
      <c r="L603" s="4"/>
      <c r="M603" s="4"/>
      <c r="N603" s="4"/>
      <c r="O603" s="4"/>
      <c r="P603" s="4"/>
      <c r="Q603" s="4"/>
      <c r="R603" s="4"/>
      <c r="S603" s="4"/>
      <c r="T603" s="4"/>
      <c r="U603" s="4"/>
      <c r="V603" s="4"/>
      <c r="W603" s="4"/>
      <c r="X603" s="4"/>
      <c r="Y603" s="4"/>
    </row>
    <row r="604" ht="9.75" customHeight="1">
      <c r="A604" s="65"/>
      <c r="B604" s="79" t="s">
        <v>511</v>
      </c>
      <c r="C604" s="80" t="s">
        <v>34</v>
      </c>
      <c r="D604" s="100"/>
      <c r="E604" s="100"/>
      <c r="F604" s="78"/>
      <c r="G604" s="90">
        <f t="shared" si="101"/>
        <v>0</v>
      </c>
      <c r="H604" s="4">
        <f t="shared" si="102"/>
        <v>0</v>
      </c>
      <c r="I604" s="59">
        <f t="shared" si="98"/>
        <v>0</v>
      </c>
      <c r="J604" s="4"/>
      <c r="K604" s="4"/>
      <c r="L604" s="4"/>
      <c r="M604" s="4"/>
      <c r="N604" s="4"/>
      <c r="O604" s="4"/>
      <c r="P604" s="4"/>
      <c r="Q604" s="4"/>
      <c r="R604" s="4"/>
      <c r="S604" s="4"/>
      <c r="T604" s="4"/>
      <c r="U604" s="4"/>
      <c r="V604" s="4"/>
      <c r="W604" s="4"/>
      <c r="X604" s="4"/>
      <c r="Y604" s="4"/>
    </row>
    <row r="605" ht="9.75" customHeight="1">
      <c r="A605" s="65"/>
      <c r="B605" s="79" t="s">
        <v>512</v>
      </c>
      <c r="C605" s="80" t="s">
        <v>34</v>
      </c>
      <c r="D605" s="100"/>
      <c r="E605" s="100"/>
      <c r="F605" s="78"/>
      <c r="G605" s="90">
        <f t="shared" si="101"/>
        <v>0</v>
      </c>
      <c r="H605" s="4">
        <f t="shared" si="102"/>
        <v>0</v>
      </c>
      <c r="I605" s="59">
        <f t="shared" si="98"/>
        <v>0</v>
      </c>
      <c r="J605" s="4"/>
      <c r="K605" s="4"/>
      <c r="L605" s="4"/>
      <c r="M605" s="4"/>
      <c r="N605" s="4"/>
      <c r="O605" s="4"/>
      <c r="P605" s="4"/>
      <c r="Q605" s="4"/>
      <c r="R605" s="4"/>
      <c r="S605" s="4"/>
      <c r="T605" s="4"/>
      <c r="U605" s="4"/>
      <c r="V605" s="4"/>
      <c r="W605" s="4"/>
      <c r="X605" s="4"/>
      <c r="Y605" s="4"/>
    </row>
    <row r="606" ht="9.75" customHeight="1">
      <c r="A606" s="65"/>
      <c r="B606" s="79" t="s">
        <v>513</v>
      </c>
      <c r="C606" s="80" t="s">
        <v>34</v>
      </c>
      <c r="D606" s="100"/>
      <c r="E606" s="100"/>
      <c r="F606" s="78"/>
      <c r="G606" s="90">
        <f t="shared" si="101"/>
        <v>0</v>
      </c>
      <c r="H606" s="4">
        <f t="shared" si="102"/>
        <v>0</v>
      </c>
      <c r="I606" s="59">
        <f t="shared" si="98"/>
        <v>0</v>
      </c>
      <c r="J606" s="4"/>
      <c r="K606" s="4"/>
      <c r="L606" s="4"/>
      <c r="M606" s="4"/>
      <c r="N606" s="4"/>
      <c r="O606" s="4"/>
      <c r="P606" s="4"/>
      <c r="Q606" s="4"/>
      <c r="R606" s="4"/>
      <c r="S606" s="4"/>
      <c r="T606" s="4"/>
      <c r="U606" s="4"/>
      <c r="V606" s="4"/>
      <c r="W606" s="4"/>
      <c r="X606" s="4"/>
      <c r="Y606" s="4"/>
    </row>
    <row r="607" ht="9.75" customHeight="1">
      <c r="A607" s="65"/>
      <c r="B607" s="79" t="s">
        <v>514</v>
      </c>
      <c r="C607" s="80" t="s">
        <v>32</v>
      </c>
      <c r="D607" s="100"/>
      <c r="E607" s="100"/>
      <c r="F607" s="78"/>
      <c r="G607" s="90">
        <f t="shared" si="101"/>
        <v>0</v>
      </c>
      <c r="H607" s="4">
        <f t="shared" si="102"/>
        <v>0</v>
      </c>
      <c r="I607" s="59">
        <f t="shared" si="98"/>
        <v>0</v>
      </c>
      <c r="J607" s="4"/>
      <c r="K607" s="4"/>
      <c r="L607" s="4"/>
      <c r="M607" s="4"/>
      <c r="N607" s="4"/>
      <c r="O607" s="4"/>
      <c r="P607" s="4"/>
      <c r="Q607" s="4"/>
      <c r="R607" s="4"/>
      <c r="S607" s="4"/>
      <c r="T607" s="4"/>
      <c r="U607" s="4"/>
      <c r="V607" s="4"/>
      <c r="W607" s="4"/>
      <c r="X607" s="4"/>
      <c r="Y607" s="4"/>
    </row>
    <row r="608" ht="9.75" customHeight="1">
      <c r="A608" s="65"/>
      <c r="B608" s="79" t="s">
        <v>515</v>
      </c>
      <c r="C608" s="80"/>
      <c r="D608" s="100"/>
      <c r="E608" s="100"/>
      <c r="F608" s="78"/>
      <c r="G608" s="90">
        <f t="shared" si="101"/>
        <v>0</v>
      </c>
      <c r="H608" s="4">
        <f t="shared" si="102"/>
        <v>0</v>
      </c>
      <c r="I608" s="59">
        <f t="shared" si="98"/>
        <v>0</v>
      </c>
      <c r="J608" s="4"/>
      <c r="K608" s="4"/>
      <c r="L608" s="4"/>
      <c r="M608" s="4"/>
      <c r="N608" s="4"/>
      <c r="O608" s="4"/>
      <c r="P608" s="4"/>
      <c r="Q608" s="4"/>
      <c r="R608" s="4"/>
      <c r="S608" s="4"/>
      <c r="T608" s="4"/>
      <c r="U608" s="4"/>
      <c r="V608" s="4"/>
      <c r="W608" s="4"/>
      <c r="X608" s="4"/>
      <c r="Y608" s="4"/>
    </row>
    <row r="609" ht="9.75" customHeight="1">
      <c r="A609" s="65"/>
      <c r="B609" s="79" t="s">
        <v>516</v>
      </c>
      <c r="C609" s="80" t="s">
        <v>34</v>
      </c>
      <c r="D609" s="100"/>
      <c r="E609" s="100"/>
      <c r="F609" s="78"/>
      <c r="G609" s="90">
        <f t="shared" si="101"/>
        <v>0</v>
      </c>
      <c r="H609" s="4">
        <f t="shared" si="102"/>
        <v>0</v>
      </c>
      <c r="I609" s="59">
        <f t="shared" si="98"/>
        <v>0</v>
      </c>
      <c r="J609" s="4"/>
      <c r="K609" s="4"/>
      <c r="L609" s="4"/>
      <c r="M609" s="4"/>
      <c r="N609" s="4"/>
      <c r="O609" s="4"/>
      <c r="P609" s="4"/>
      <c r="Q609" s="4"/>
      <c r="R609" s="4"/>
      <c r="S609" s="4"/>
      <c r="T609" s="4"/>
      <c r="U609" s="4"/>
      <c r="V609" s="4"/>
      <c r="W609" s="4"/>
      <c r="X609" s="4"/>
      <c r="Y609" s="4"/>
    </row>
    <row r="610" ht="9.75" customHeight="1">
      <c r="A610" s="65"/>
      <c r="B610" s="79" t="s">
        <v>517</v>
      </c>
      <c r="C610" s="80" t="s">
        <v>32</v>
      </c>
      <c r="D610" s="100"/>
      <c r="E610" s="100">
        <v>1.0</v>
      </c>
      <c r="F610" s="78">
        <v>1.0</v>
      </c>
      <c r="G610" s="90">
        <f t="shared" si="101"/>
        <v>1</v>
      </c>
      <c r="H610" s="4">
        <f t="shared" si="102"/>
        <v>0</v>
      </c>
      <c r="I610" s="59">
        <f t="shared" si="98"/>
        <v>0</v>
      </c>
      <c r="J610" s="4"/>
      <c r="K610" s="4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4"/>
      <c r="X610" s="4"/>
      <c r="Y610" s="4"/>
    </row>
    <row r="611" ht="12.75" customHeight="1">
      <c r="A611" s="65" t="s">
        <v>518</v>
      </c>
      <c r="B611" s="82" t="str">
        <f>CONCATENATE("Sous-Total : ",A574," - ",B574)</f>
        <v>Sous-Total :  - Système de sécurité incendie</v>
      </c>
      <c r="C611" s="83"/>
      <c r="D611" s="84"/>
      <c r="E611" s="84"/>
      <c r="F611" s="84"/>
      <c r="G611" s="109">
        <f>SUM(G574:G610)</f>
        <v>19029.12</v>
      </c>
      <c r="H611" s="4">
        <f t="shared" si="102"/>
        <v>19029.12</v>
      </c>
      <c r="I611" s="59">
        <f t="shared" si="98"/>
        <v>0.004382134041</v>
      </c>
      <c r="J611" s="4"/>
      <c r="K611" s="4"/>
      <c r="L611" s="4"/>
      <c r="M611" s="4"/>
      <c r="N611" s="4"/>
      <c r="O611" s="4"/>
      <c r="P611" s="4"/>
      <c r="Q611" s="4"/>
      <c r="R611" s="4"/>
      <c r="S611" s="4"/>
      <c r="T611" s="4"/>
      <c r="U611" s="4"/>
      <c r="V611" s="4"/>
      <c r="W611" s="4"/>
      <c r="X611" s="4"/>
      <c r="Y611" s="4"/>
    </row>
    <row r="612" ht="9.75" customHeight="1">
      <c r="A612" s="65"/>
      <c r="B612" s="86" t="s">
        <v>519</v>
      </c>
      <c r="C612" s="87"/>
      <c r="D612" s="88"/>
      <c r="E612" s="88"/>
      <c r="F612" s="88"/>
      <c r="G612" s="88">
        <f t="shared" ref="G612:G617" si="103">E612*F612</f>
        <v>0</v>
      </c>
      <c r="H612" s="4">
        <f t="shared" si="102"/>
        <v>0</v>
      </c>
      <c r="I612" s="59">
        <f t="shared" si="98"/>
        <v>0</v>
      </c>
      <c r="J612" s="4"/>
      <c r="K612" s="4"/>
      <c r="L612" s="4"/>
      <c r="M612" s="4"/>
      <c r="N612" s="4"/>
      <c r="O612" s="4"/>
      <c r="P612" s="4"/>
      <c r="Q612" s="4"/>
      <c r="R612" s="4"/>
      <c r="S612" s="4"/>
      <c r="T612" s="4"/>
      <c r="U612" s="4"/>
      <c r="V612" s="4"/>
      <c r="W612" s="4"/>
      <c r="X612" s="4"/>
      <c r="Y612" s="4"/>
    </row>
    <row r="613" ht="9.75" customHeight="1">
      <c r="A613" s="65"/>
      <c r="B613" s="79"/>
      <c r="C613" s="80"/>
      <c r="D613" s="100"/>
      <c r="E613" s="100"/>
      <c r="F613" s="78"/>
      <c r="G613" s="78">
        <f t="shared" si="103"/>
        <v>0</v>
      </c>
      <c r="H613" s="4">
        <f t="shared" si="102"/>
        <v>0</v>
      </c>
      <c r="I613" s="59">
        <f t="shared" si="98"/>
        <v>0</v>
      </c>
      <c r="J613" s="4"/>
      <c r="K613" s="4"/>
      <c r="L613" s="4"/>
      <c r="M613" s="4"/>
      <c r="N613" s="4"/>
      <c r="O613" s="4"/>
      <c r="P613" s="4"/>
      <c r="Q613" s="4"/>
      <c r="R613" s="4"/>
      <c r="S613" s="4"/>
      <c r="T613" s="4"/>
      <c r="U613" s="4"/>
      <c r="V613" s="4"/>
      <c r="W613" s="4"/>
      <c r="X613" s="4"/>
      <c r="Y613" s="4"/>
    </row>
    <row r="614" ht="9.75" customHeight="1">
      <c r="A614" s="65"/>
      <c r="B614" s="79"/>
      <c r="C614" s="80"/>
      <c r="D614" s="100"/>
      <c r="E614" s="100"/>
      <c r="F614" s="78"/>
      <c r="G614" s="78">
        <f t="shared" si="103"/>
        <v>0</v>
      </c>
      <c r="H614" s="4">
        <f t="shared" si="102"/>
        <v>0</v>
      </c>
      <c r="I614" s="59">
        <f t="shared" si="98"/>
        <v>0</v>
      </c>
      <c r="J614" s="4"/>
      <c r="K614" s="4"/>
      <c r="L614" s="4"/>
      <c r="M614" s="4"/>
      <c r="N614" s="4"/>
      <c r="O614" s="4"/>
      <c r="P614" s="4"/>
      <c r="Q614" s="4"/>
      <c r="R614" s="4"/>
      <c r="S614" s="4"/>
      <c r="T614" s="4"/>
      <c r="U614" s="4"/>
      <c r="V614" s="4"/>
      <c r="W614" s="4"/>
      <c r="X614" s="4"/>
      <c r="Y614" s="4"/>
    </row>
    <row r="615" ht="9.75" customHeight="1">
      <c r="A615" s="65"/>
      <c r="B615" s="79"/>
      <c r="C615" s="80"/>
      <c r="D615" s="100"/>
      <c r="E615" s="100"/>
      <c r="F615" s="78"/>
      <c r="G615" s="78">
        <f t="shared" si="103"/>
        <v>0</v>
      </c>
      <c r="H615" s="4">
        <f t="shared" si="102"/>
        <v>0</v>
      </c>
      <c r="I615" s="59">
        <f t="shared" si="98"/>
        <v>0</v>
      </c>
      <c r="J615" s="4"/>
      <c r="K615" s="4"/>
      <c r="L615" s="4"/>
      <c r="M615" s="4"/>
      <c r="N615" s="4"/>
      <c r="O615" s="4"/>
      <c r="P615" s="4"/>
      <c r="Q615" s="4"/>
      <c r="R615" s="4"/>
      <c r="S615" s="4"/>
      <c r="T615" s="4"/>
      <c r="U615" s="4"/>
      <c r="V615" s="4"/>
      <c r="W615" s="4"/>
      <c r="X615" s="4"/>
      <c r="Y615" s="4"/>
    </row>
    <row r="616" ht="9.75" customHeight="1">
      <c r="A616" s="65"/>
      <c r="B616" s="79"/>
      <c r="C616" s="80"/>
      <c r="D616" s="100"/>
      <c r="E616" s="100"/>
      <c r="F616" s="78"/>
      <c r="G616" s="78">
        <f t="shared" si="103"/>
        <v>0</v>
      </c>
      <c r="H616" s="4">
        <f t="shared" si="102"/>
        <v>0</v>
      </c>
      <c r="I616" s="59">
        <f t="shared" si="98"/>
        <v>0</v>
      </c>
      <c r="J616" s="4"/>
      <c r="K616" s="4"/>
      <c r="L616" s="4"/>
      <c r="M616" s="4"/>
      <c r="N616" s="4"/>
      <c r="O616" s="4"/>
      <c r="P616" s="4"/>
      <c r="Q616" s="4"/>
      <c r="R616" s="4"/>
      <c r="S616" s="4"/>
      <c r="T616" s="4"/>
      <c r="U616" s="4"/>
      <c r="V616" s="4"/>
      <c r="W616" s="4"/>
      <c r="X616" s="4"/>
      <c r="Y616" s="4"/>
    </row>
    <row r="617" ht="9.75" customHeight="1">
      <c r="A617" s="65"/>
      <c r="B617" s="79"/>
      <c r="C617" s="80"/>
      <c r="D617" s="100"/>
      <c r="E617" s="100">
        <v>1.0</v>
      </c>
      <c r="F617" s="127">
        <v>1.0</v>
      </c>
      <c r="G617" s="78">
        <f t="shared" si="103"/>
        <v>1</v>
      </c>
      <c r="H617" s="4">
        <f t="shared" si="102"/>
        <v>0</v>
      </c>
      <c r="I617" s="59">
        <f t="shared" si="98"/>
        <v>0</v>
      </c>
      <c r="J617" s="4"/>
      <c r="K617" s="4"/>
      <c r="L617" s="4"/>
      <c r="M617" s="4"/>
      <c r="N617" s="4"/>
      <c r="O617" s="4"/>
      <c r="P617" s="4"/>
      <c r="Q617" s="4"/>
      <c r="R617" s="4"/>
      <c r="S617" s="4"/>
      <c r="T617" s="4"/>
      <c r="U617" s="4"/>
      <c r="V617" s="4"/>
      <c r="W617" s="4"/>
      <c r="X617" s="4"/>
      <c r="Y617" s="4"/>
    </row>
    <row r="618" ht="12.75" customHeight="1">
      <c r="A618" s="65" t="s">
        <v>520</v>
      </c>
      <c r="B618" s="129" t="str">
        <f>CONCATENATE("Sous-Total : ",A612," - ",B612)</f>
        <v>Sous-Total :  - Files d'attente</v>
      </c>
      <c r="C618" s="130"/>
      <c r="D618" s="131"/>
      <c r="E618" s="131"/>
      <c r="F618" s="131"/>
      <c r="G618" s="132">
        <f>SUM(G612:G617)</f>
        <v>1</v>
      </c>
      <c r="H618" s="4">
        <f t="shared" si="102"/>
        <v>1</v>
      </c>
      <c r="I618" s="59">
        <f t="shared" si="98"/>
        <v>0.0000002302856906</v>
      </c>
      <c r="J618" s="4"/>
      <c r="K618" s="4"/>
      <c r="L618" s="4"/>
      <c r="M618" s="4"/>
      <c r="N618" s="4"/>
      <c r="O618" s="4"/>
      <c r="P618" s="4"/>
      <c r="Q618" s="4"/>
      <c r="R618" s="4"/>
      <c r="S618" s="4"/>
      <c r="T618" s="4"/>
      <c r="U618" s="4"/>
      <c r="V618" s="4"/>
      <c r="W618" s="4"/>
      <c r="X618" s="4"/>
      <c r="Y618" s="4"/>
    </row>
    <row r="619" ht="9.75" customHeight="1">
      <c r="A619" s="65"/>
      <c r="B619" s="105" t="s">
        <v>521</v>
      </c>
      <c r="C619" s="106"/>
      <c r="D619" s="98"/>
      <c r="E619" s="98"/>
      <c r="F619" s="98"/>
      <c r="G619" s="107">
        <f t="shared" ref="G619:G635" si="104">E619*F619</f>
        <v>0</v>
      </c>
      <c r="H619" s="4">
        <f t="shared" si="102"/>
        <v>0</v>
      </c>
      <c r="I619" s="59">
        <f t="shared" si="98"/>
        <v>0</v>
      </c>
      <c r="J619" s="4"/>
      <c r="K619" s="4"/>
      <c r="L619" s="4"/>
      <c r="M619" s="4"/>
      <c r="N619" s="4"/>
      <c r="O619" s="4"/>
      <c r="P619" s="4"/>
      <c r="Q619" s="4"/>
      <c r="R619" s="4"/>
      <c r="S619" s="4"/>
      <c r="T619" s="4"/>
      <c r="U619" s="4"/>
      <c r="V619" s="4"/>
      <c r="W619" s="4"/>
      <c r="X619" s="4"/>
      <c r="Y619" s="4"/>
    </row>
    <row r="620" ht="9.75" customHeight="1">
      <c r="A620" s="65"/>
      <c r="B620" s="115" t="s">
        <v>522</v>
      </c>
      <c r="C620" s="202" t="s">
        <v>34</v>
      </c>
      <c r="D620" s="116"/>
      <c r="E620" s="117">
        <v>1.0</v>
      </c>
      <c r="F620" s="118">
        <v>560.0</v>
      </c>
      <c r="G620" s="90">
        <f t="shared" si="104"/>
        <v>560</v>
      </c>
      <c r="H620" s="4"/>
      <c r="I620" s="59">
        <f t="shared" si="98"/>
        <v>0</v>
      </c>
      <c r="J620" s="4"/>
      <c r="K620" s="4"/>
      <c r="L620" s="4"/>
      <c r="M620" s="4"/>
      <c r="N620" s="4"/>
      <c r="O620" s="4"/>
      <c r="P620" s="4"/>
      <c r="Q620" s="4"/>
      <c r="R620" s="4"/>
      <c r="S620" s="4"/>
      <c r="T620" s="4"/>
      <c r="U620" s="4"/>
      <c r="V620" s="4"/>
      <c r="W620" s="4"/>
      <c r="X620" s="4"/>
      <c r="Y620" s="4"/>
    </row>
    <row r="621" ht="9.75" customHeight="1">
      <c r="A621" s="65"/>
      <c r="B621" s="110" t="s">
        <v>523</v>
      </c>
      <c r="C621" s="111"/>
      <c r="D621" s="112"/>
      <c r="E621" s="112"/>
      <c r="F621" s="113"/>
      <c r="G621" s="90">
        <f t="shared" si="104"/>
        <v>0</v>
      </c>
      <c r="H621" s="4"/>
      <c r="I621" s="59">
        <f t="shared" si="98"/>
        <v>0</v>
      </c>
      <c r="J621" s="4"/>
      <c r="K621" s="4"/>
      <c r="L621" s="4"/>
      <c r="M621" s="4"/>
      <c r="N621" s="4"/>
      <c r="O621" s="4"/>
      <c r="P621" s="4"/>
      <c r="Q621" s="4"/>
      <c r="R621" s="4"/>
      <c r="S621" s="4"/>
      <c r="T621" s="4"/>
      <c r="U621" s="4"/>
      <c r="V621" s="4"/>
      <c r="W621" s="4"/>
      <c r="X621" s="4"/>
      <c r="Y621" s="4"/>
    </row>
    <row r="622" ht="9.75" customHeight="1">
      <c r="A622" s="65"/>
      <c r="B622" s="115" t="s">
        <v>524</v>
      </c>
      <c r="C622" s="202" t="s">
        <v>34</v>
      </c>
      <c r="D622" s="116"/>
      <c r="E622" s="117">
        <v>1.0</v>
      </c>
      <c r="F622" s="118">
        <v>700.0</v>
      </c>
      <c r="G622" s="90">
        <f t="shared" si="104"/>
        <v>700</v>
      </c>
      <c r="H622" s="4"/>
      <c r="I622" s="59">
        <f t="shared" si="98"/>
        <v>0</v>
      </c>
      <c r="J622" s="4"/>
      <c r="K622" s="4"/>
      <c r="L622" s="4"/>
      <c r="M622" s="4"/>
      <c r="N622" s="4"/>
      <c r="O622" s="4"/>
      <c r="P622" s="4"/>
      <c r="Q622" s="4"/>
      <c r="R622" s="4"/>
      <c r="S622" s="4"/>
      <c r="T622" s="4"/>
      <c r="U622" s="4"/>
      <c r="V622" s="4"/>
      <c r="W622" s="4"/>
      <c r="X622" s="4"/>
      <c r="Y622" s="4"/>
    </row>
    <row r="623" ht="9.75" customHeight="1">
      <c r="A623" s="65"/>
      <c r="B623" s="115" t="s">
        <v>525</v>
      </c>
      <c r="C623" s="202" t="s">
        <v>34</v>
      </c>
      <c r="D623" s="116"/>
      <c r="E623" s="117">
        <v>1.0</v>
      </c>
      <c r="F623" s="118">
        <v>850.0</v>
      </c>
      <c r="G623" s="90">
        <f t="shared" si="104"/>
        <v>850</v>
      </c>
      <c r="H623" s="4"/>
      <c r="I623" s="59">
        <f t="shared" si="98"/>
        <v>0</v>
      </c>
      <c r="J623" s="4"/>
      <c r="K623" s="4"/>
      <c r="L623" s="4"/>
      <c r="M623" s="4"/>
      <c r="N623" s="4"/>
      <c r="O623" s="4"/>
      <c r="P623" s="4"/>
      <c r="Q623" s="4"/>
      <c r="R623" s="4"/>
      <c r="S623" s="4"/>
      <c r="T623" s="4"/>
      <c r="U623" s="4"/>
      <c r="V623" s="4"/>
      <c r="W623" s="4"/>
      <c r="X623" s="4"/>
      <c r="Y623" s="4"/>
    </row>
    <row r="624" ht="9.75" customHeight="1">
      <c r="A624" s="65"/>
      <c r="B624" s="115" t="s">
        <v>526</v>
      </c>
      <c r="C624" s="202" t="s">
        <v>34</v>
      </c>
      <c r="D624" s="116"/>
      <c r="E624" s="117">
        <v>1.0</v>
      </c>
      <c r="F624" s="118">
        <v>950.0</v>
      </c>
      <c r="G624" s="90">
        <f t="shared" si="104"/>
        <v>950</v>
      </c>
      <c r="H624" s="4"/>
      <c r="I624" s="59">
        <f t="shared" si="98"/>
        <v>0</v>
      </c>
      <c r="J624" s="4"/>
      <c r="K624" s="4"/>
      <c r="L624" s="4"/>
      <c r="M624" s="4"/>
      <c r="N624" s="4"/>
      <c r="O624" s="4"/>
      <c r="P624" s="4"/>
      <c r="Q624" s="4"/>
      <c r="R624" s="4"/>
      <c r="S624" s="4"/>
      <c r="T624" s="4"/>
      <c r="U624" s="4"/>
      <c r="V624" s="4"/>
      <c r="W624" s="4"/>
      <c r="X624" s="4"/>
      <c r="Y624" s="4"/>
    </row>
    <row r="625" ht="9.75" customHeight="1">
      <c r="A625" s="65"/>
      <c r="B625" s="115" t="s">
        <v>527</v>
      </c>
      <c r="C625" s="202" t="s">
        <v>34</v>
      </c>
      <c r="D625" s="116"/>
      <c r="E625" s="117">
        <v>1.0</v>
      </c>
      <c r="F625" s="118">
        <v>1100.0</v>
      </c>
      <c r="G625" s="90">
        <f t="shared" si="104"/>
        <v>1100</v>
      </c>
      <c r="H625" s="4"/>
      <c r="I625" s="59">
        <f t="shared" si="98"/>
        <v>0</v>
      </c>
      <c r="J625" s="4"/>
      <c r="K625" s="4"/>
      <c r="L625" s="4"/>
      <c r="M625" s="4"/>
      <c r="N625" s="4"/>
      <c r="O625" s="4"/>
      <c r="P625" s="4"/>
      <c r="Q625" s="4"/>
      <c r="R625" s="4"/>
      <c r="S625" s="4"/>
      <c r="T625" s="4"/>
      <c r="U625" s="4"/>
      <c r="V625" s="4"/>
      <c r="W625" s="4"/>
      <c r="X625" s="4"/>
      <c r="Y625" s="4"/>
    </row>
    <row r="626" ht="9.75" customHeight="1">
      <c r="A626" s="65"/>
      <c r="B626" s="91"/>
      <c r="C626" s="92"/>
      <c r="D626" s="93"/>
      <c r="E626" s="93"/>
      <c r="F626" s="93"/>
      <c r="G626" s="94">
        <f t="shared" si="104"/>
        <v>0</v>
      </c>
      <c r="H626" s="4"/>
      <c r="I626" s="59">
        <f t="shared" si="98"/>
        <v>0</v>
      </c>
      <c r="J626" s="4"/>
      <c r="K626" s="4"/>
      <c r="L626" s="4"/>
      <c r="M626" s="4"/>
      <c r="N626" s="4"/>
      <c r="O626" s="4"/>
      <c r="P626" s="4"/>
      <c r="Q626" s="4"/>
      <c r="R626" s="4"/>
      <c r="S626" s="4"/>
      <c r="T626" s="4"/>
      <c r="U626" s="4"/>
      <c r="V626" s="4"/>
      <c r="W626" s="4"/>
      <c r="X626" s="4"/>
      <c r="Y626" s="4"/>
    </row>
    <row r="627" ht="9.75" customHeight="1">
      <c r="A627" s="65"/>
      <c r="B627" s="95" t="s">
        <v>528</v>
      </c>
      <c r="C627" s="96"/>
      <c r="D627" s="97"/>
      <c r="E627" s="97"/>
      <c r="F627" s="98"/>
      <c r="G627" s="99">
        <f t="shared" si="104"/>
        <v>0</v>
      </c>
      <c r="H627" s="4">
        <f t="shared" ref="H627:H637" si="105">IFERROR(IF(FIND("Sous-",B627,1)&lt;&gt;0,G627,1),0)</f>
        <v>0</v>
      </c>
      <c r="I627" s="59">
        <f t="shared" si="98"/>
        <v>0</v>
      </c>
      <c r="J627" s="4"/>
      <c r="K627" s="4"/>
      <c r="L627" s="4"/>
      <c r="M627" s="4"/>
      <c r="N627" s="4"/>
      <c r="O627" s="4"/>
      <c r="P627" s="4"/>
      <c r="Q627" s="4"/>
      <c r="R627" s="4"/>
      <c r="S627" s="4"/>
      <c r="T627" s="4"/>
      <c r="U627" s="4"/>
      <c r="V627" s="4"/>
      <c r="W627" s="4"/>
      <c r="X627" s="4"/>
      <c r="Y627" s="4"/>
    </row>
    <row r="628" ht="9.75" customHeight="1">
      <c r="A628" s="65"/>
      <c r="B628" s="79" t="s">
        <v>529</v>
      </c>
      <c r="C628" s="80"/>
      <c r="D628" s="100"/>
      <c r="E628" s="100"/>
      <c r="F628" s="78"/>
      <c r="G628" s="90">
        <f t="shared" si="104"/>
        <v>0</v>
      </c>
      <c r="H628" s="4">
        <f t="shared" si="105"/>
        <v>0</v>
      </c>
      <c r="I628" s="59">
        <f t="shared" si="98"/>
        <v>0</v>
      </c>
      <c r="J628" s="4"/>
      <c r="K628" s="4"/>
      <c r="L628" s="4"/>
      <c r="M628" s="4"/>
      <c r="N628" s="4"/>
      <c r="O628" s="4"/>
      <c r="P628" s="4"/>
      <c r="Q628" s="4"/>
      <c r="R628" s="4"/>
      <c r="S628" s="4"/>
      <c r="T628" s="4"/>
      <c r="U628" s="4"/>
      <c r="V628" s="4"/>
      <c r="W628" s="4"/>
      <c r="X628" s="4"/>
      <c r="Y628" s="4"/>
    </row>
    <row r="629" ht="9.75" customHeight="1">
      <c r="A629" s="65"/>
      <c r="B629" s="79" t="s">
        <v>530</v>
      </c>
      <c r="C629" s="80"/>
      <c r="D629" s="100"/>
      <c r="E629" s="100"/>
      <c r="F629" s="78"/>
      <c r="G629" s="90">
        <f t="shared" si="104"/>
        <v>0</v>
      </c>
      <c r="H629" s="4">
        <f t="shared" si="105"/>
        <v>0</v>
      </c>
      <c r="I629" s="59">
        <f t="shared" si="98"/>
        <v>0</v>
      </c>
      <c r="J629" s="4"/>
      <c r="K629" s="4"/>
      <c r="L629" s="4"/>
      <c r="M629" s="4"/>
      <c r="N629" s="4"/>
      <c r="O629" s="4"/>
      <c r="P629" s="4"/>
      <c r="Q629" s="4"/>
      <c r="R629" s="4"/>
      <c r="S629" s="4"/>
      <c r="T629" s="4"/>
      <c r="U629" s="4"/>
      <c r="V629" s="4"/>
      <c r="W629" s="4"/>
      <c r="X629" s="4"/>
      <c r="Y629" s="4"/>
    </row>
    <row r="630" ht="9.75" customHeight="1">
      <c r="A630" s="65"/>
      <c r="B630" s="79" t="s">
        <v>531</v>
      </c>
      <c r="C630" s="80"/>
      <c r="D630" s="100"/>
      <c r="E630" s="100"/>
      <c r="F630" s="78"/>
      <c r="G630" s="90">
        <f t="shared" si="104"/>
        <v>0</v>
      </c>
      <c r="H630" s="4">
        <f t="shared" si="105"/>
        <v>0</v>
      </c>
      <c r="I630" s="59">
        <f t="shared" si="98"/>
        <v>0</v>
      </c>
      <c r="J630" s="4"/>
      <c r="K630" s="4"/>
      <c r="L630" s="4"/>
      <c r="M630" s="4"/>
      <c r="N630" s="4"/>
      <c r="O630" s="4"/>
      <c r="P630" s="4"/>
      <c r="Q630" s="4"/>
      <c r="R630" s="4"/>
      <c r="S630" s="4"/>
      <c r="T630" s="4"/>
      <c r="U630" s="4"/>
      <c r="V630" s="4"/>
      <c r="W630" s="4"/>
      <c r="X630" s="4"/>
      <c r="Y630" s="4"/>
    </row>
    <row r="631" ht="9.75" customHeight="1">
      <c r="A631" s="65"/>
      <c r="B631" s="79" t="s">
        <v>532</v>
      </c>
      <c r="C631" s="80"/>
      <c r="D631" s="100"/>
      <c r="E631" s="100"/>
      <c r="F631" s="78"/>
      <c r="G631" s="90">
        <f t="shared" si="104"/>
        <v>0</v>
      </c>
      <c r="H631" s="4">
        <f t="shared" si="105"/>
        <v>0</v>
      </c>
      <c r="I631" s="59">
        <f t="shared" si="98"/>
        <v>0</v>
      </c>
      <c r="J631" s="4"/>
      <c r="K631" s="4"/>
      <c r="L631" s="4"/>
      <c r="M631" s="4"/>
      <c r="N631" s="4"/>
      <c r="O631" s="4"/>
      <c r="P631" s="4"/>
      <c r="Q631" s="4"/>
      <c r="R631" s="4"/>
      <c r="S631" s="4"/>
      <c r="T631" s="4"/>
      <c r="U631" s="4"/>
      <c r="V631" s="4"/>
      <c r="W631" s="4"/>
      <c r="X631" s="4"/>
      <c r="Y631" s="4"/>
    </row>
    <row r="632" ht="9.75" customHeight="1">
      <c r="A632" s="65"/>
      <c r="B632" s="79" t="s">
        <v>533</v>
      </c>
      <c r="C632" s="80"/>
      <c r="D632" s="100"/>
      <c r="E632" s="100"/>
      <c r="F632" s="78"/>
      <c r="G632" s="90">
        <f t="shared" si="104"/>
        <v>0</v>
      </c>
      <c r="H632" s="4">
        <f t="shared" si="105"/>
        <v>0</v>
      </c>
      <c r="I632" s="59">
        <f t="shared" si="98"/>
        <v>0</v>
      </c>
      <c r="J632" s="4"/>
      <c r="K632" s="4"/>
      <c r="L632" s="4"/>
      <c r="M632" s="4"/>
      <c r="N632" s="4"/>
      <c r="O632" s="4"/>
      <c r="P632" s="4"/>
      <c r="Q632" s="4"/>
      <c r="R632" s="4"/>
      <c r="S632" s="4"/>
      <c r="T632" s="4"/>
      <c r="U632" s="4"/>
      <c r="V632" s="4"/>
      <c r="W632" s="4"/>
      <c r="X632" s="4"/>
      <c r="Y632" s="4"/>
    </row>
    <row r="633" ht="9.75" customHeight="1">
      <c r="A633" s="65"/>
      <c r="B633" s="79" t="s">
        <v>534</v>
      </c>
      <c r="C633" s="80"/>
      <c r="D633" s="100"/>
      <c r="E633" s="100"/>
      <c r="F633" s="78"/>
      <c r="G633" s="90">
        <f t="shared" si="104"/>
        <v>0</v>
      </c>
      <c r="H633" s="4">
        <f t="shared" si="105"/>
        <v>0</v>
      </c>
      <c r="I633" s="59">
        <f t="shared" si="98"/>
        <v>0</v>
      </c>
      <c r="J633" s="4"/>
      <c r="K633" s="4"/>
      <c r="L633" s="4"/>
      <c r="M633" s="4"/>
      <c r="N633" s="4"/>
      <c r="O633" s="4"/>
      <c r="P633" s="4"/>
      <c r="Q633" s="4"/>
      <c r="R633" s="4"/>
      <c r="S633" s="4"/>
      <c r="T633" s="4"/>
      <c r="U633" s="4"/>
      <c r="V633" s="4"/>
      <c r="W633" s="4"/>
      <c r="X633" s="4"/>
      <c r="Y633" s="4"/>
    </row>
    <row r="634" ht="9.75" customHeight="1">
      <c r="A634" s="65"/>
      <c r="B634" s="79" t="s">
        <v>535</v>
      </c>
      <c r="C634" s="80"/>
      <c r="D634" s="100"/>
      <c r="E634" s="100"/>
      <c r="F634" s="78"/>
      <c r="G634" s="90">
        <f t="shared" si="104"/>
        <v>0</v>
      </c>
      <c r="H634" s="4">
        <f t="shared" si="105"/>
        <v>0</v>
      </c>
      <c r="I634" s="59">
        <f t="shared" si="98"/>
        <v>0</v>
      </c>
      <c r="J634" s="4"/>
      <c r="K634" s="4"/>
      <c r="L634" s="4"/>
      <c r="M634" s="4"/>
      <c r="N634" s="4"/>
      <c r="O634" s="4"/>
      <c r="P634" s="4"/>
      <c r="Q634" s="4"/>
      <c r="R634" s="4"/>
      <c r="S634" s="4"/>
      <c r="T634" s="4"/>
      <c r="U634" s="4"/>
      <c r="V634" s="4"/>
      <c r="W634" s="4"/>
      <c r="X634" s="4"/>
      <c r="Y634" s="4"/>
    </row>
    <row r="635" ht="9.75" customHeight="1">
      <c r="A635" s="65"/>
      <c r="B635" s="79" t="s">
        <v>516</v>
      </c>
      <c r="C635" s="80"/>
      <c r="D635" s="100"/>
      <c r="E635" s="100">
        <v>1.0</v>
      </c>
      <c r="F635" s="78">
        <v>1.0</v>
      </c>
      <c r="G635" s="90">
        <f t="shared" si="104"/>
        <v>1</v>
      </c>
      <c r="H635" s="4">
        <f t="shared" si="105"/>
        <v>0</v>
      </c>
      <c r="I635" s="59">
        <f t="shared" si="98"/>
        <v>0</v>
      </c>
      <c r="J635" s="4"/>
      <c r="K635" s="4"/>
      <c r="L635" s="4"/>
      <c r="M635" s="4"/>
      <c r="N635" s="4"/>
      <c r="O635" s="4"/>
      <c r="P635" s="4"/>
      <c r="Q635" s="4"/>
      <c r="R635" s="4"/>
      <c r="S635" s="4"/>
      <c r="T635" s="4"/>
      <c r="U635" s="4"/>
      <c r="V635" s="4"/>
      <c r="W635" s="4"/>
      <c r="X635" s="4"/>
      <c r="Y635" s="4"/>
    </row>
    <row r="636" ht="12.75" customHeight="1">
      <c r="A636" s="65" t="s">
        <v>536</v>
      </c>
      <c r="B636" s="101" t="str">
        <f>CONCATENATE("Sous-Total : ",A619," - ",B619)</f>
        <v>Sous-Total :  - Système d'appel malade</v>
      </c>
      <c r="C636" s="102"/>
      <c r="D636" s="103"/>
      <c r="E636" s="103"/>
      <c r="F636" s="103"/>
      <c r="G636" s="104">
        <f>SUM(G619:G635)</f>
        <v>4161</v>
      </c>
      <c r="H636" s="4">
        <f t="shared" si="105"/>
        <v>4161</v>
      </c>
      <c r="I636" s="59">
        <f t="shared" si="98"/>
        <v>0.0009582187587</v>
      </c>
      <c r="J636" s="4"/>
      <c r="K636" s="4"/>
      <c r="L636" s="4"/>
      <c r="M636" s="4"/>
      <c r="N636" s="4"/>
      <c r="O636" s="4"/>
      <c r="P636" s="4"/>
      <c r="Q636" s="4"/>
      <c r="R636" s="4"/>
      <c r="S636" s="4"/>
      <c r="T636" s="4"/>
      <c r="U636" s="4"/>
      <c r="V636" s="4"/>
      <c r="W636" s="4"/>
      <c r="X636" s="4"/>
      <c r="Y636" s="4"/>
    </row>
    <row r="637" ht="9.75" customHeight="1">
      <c r="A637" s="65"/>
      <c r="B637" s="105" t="s">
        <v>537</v>
      </c>
      <c r="C637" s="106"/>
      <c r="D637" s="98"/>
      <c r="E637" s="98"/>
      <c r="F637" s="98"/>
      <c r="G637" s="107">
        <f t="shared" ref="G637:G649" si="106">E637*F637</f>
        <v>0</v>
      </c>
      <c r="H637" s="4">
        <f t="shared" si="105"/>
        <v>0</v>
      </c>
      <c r="I637" s="59">
        <f t="shared" si="98"/>
        <v>0</v>
      </c>
      <c r="J637" s="4"/>
      <c r="K637" s="4"/>
      <c r="L637" s="4"/>
      <c r="M637" s="4"/>
      <c r="N637" s="4"/>
      <c r="O637" s="4"/>
      <c r="P637" s="4"/>
      <c r="Q637" s="4"/>
      <c r="R637" s="4"/>
      <c r="S637" s="4"/>
      <c r="T637" s="4"/>
      <c r="U637" s="4"/>
      <c r="V637" s="4"/>
      <c r="W637" s="4"/>
      <c r="X637" s="4"/>
      <c r="Y637" s="4"/>
    </row>
    <row r="638" ht="9.75" customHeight="1">
      <c r="A638" s="65"/>
      <c r="B638" s="146" t="s">
        <v>538</v>
      </c>
      <c r="C638" s="147" t="s">
        <v>27</v>
      </c>
      <c r="D638" s="148"/>
      <c r="E638" s="148">
        <f>$F$5</f>
        <v>1</v>
      </c>
      <c r="F638" s="73">
        <v>1.0</v>
      </c>
      <c r="G638" s="90">
        <f t="shared" si="106"/>
        <v>1</v>
      </c>
      <c r="H638" s="4"/>
      <c r="I638" s="59">
        <f t="shared" si="98"/>
        <v>0</v>
      </c>
      <c r="J638" s="4"/>
      <c r="K638" s="4"/>
      <c r="L638" s="4"/>
      <c r="M638" s="4"/>
      <c r="N638" s="4"/>
      <c r="O638" s="4"/>
      <c r="P638" s="4"/>
      <c r="Q638" s="4"/>
      <c r="R638" s="4"/>
      <c r="S638" s="4"/>
      <c r="T638" s="4"/>
      <c r="U638" s="4"/>
      <c r="V638" s="4"/>
      <c r="W638" s="4"/>
      <c r="X638" s="4"/>
      <c r="Y638" s="4"/>
    </row>
    <row r="639" ht="9.75" customHeight="1">
      <c r="A639" s="65"/>
      <c r="B639" s="203" t="s">
        <v>539</v>
      </c>
      <c r="C639" s="202" t="s">
        <v>34</v>
      </c>
      <c r="D639" s="116"/>
      <c r="E639" s="117">
        <v>1.0</v>
      </c>
      <c r="F639" s="118">
        <v>1300.0</v>
      </c>
      <c r="G639" s="90">
        <f t="shared" si="106"/>
        <v>1300</v>
      </c>
      <c r="H639" s="4"/>
      <c r="I639" s="59">
        <f t="shared" si="98"/>
        <v>0</v>
      </c>
      <c r="J639" s="4"/>
      <c r="K639" s="4"/>
      <c r="L639" s="4"/>
      <c r="M639" s="4"/>
      <c r="N639" s="4"/>
      <c r="O639" s="4"/>
      <c r="P639" s="4"/>
      <c r="Q639" s="4"/>
      <c r="R639" s="4"/>
      <c r="S639" s="4"/>
      <c r="T639" s="4"/>
      <c r="U639" s="4"/>
      <c r="V639" s="4"/>
      <c r="W639" s="4"/>
      <c r="X639" s="4"/>
      <c r="Y639" s="4"/>
    </row>
    <row r="640" ht="9.75" customHeight="1">
      <c r="A640" s="65"/>
      <c r="B640" s="203" t="s">
        <v>540</v>
      </c>
      <c r="C640" s="202" t="s">
        <v>34</v>
      </c>
      <c r="D640" s="116"/>
      <c r="E640" s="117">
        <v>1.0</v>
      </c>
      <c r="F640" s="118">
        <v>350.0</v>
      </c>
      <c r="G640" s="90">
        <f t="shared" si="106"/>
        <v>350</v>
      </c>
      <c r="H640" s="4"/>
      <c r="I640" s="59">
        <f t="shared" si="98"/>
        <v>0</v>
      </c>
      <c r="J640" s="4"/>
      <c r="K640" s="4"/>
      <c r="L640" s="4"/>
      <c r="M640" s="4"/>
      <c r="N640" s="4"/>
      <c r="O640" s="4"/>
      <c r="P640" s="4"/>
      <c r="Q640" s="4"/>
      <c r="R640" s="4"/>
      <c r="S640" s="4"/>
      <c r="T640" s="4"/>
      <c r="U640" s="4"/>
      <c r="V640" s="4"/>
      <c r="W640" s="4"/>
      <c r="X640" s="4"/>
      <c r="Y640" s="4"/>
    </row>
    <row r="641" ht="9.75" customHeight="1">
      <c r="A641" s="65"/>
      <c r="B641" s="146" t="s">
        <v>541</v>
      </c>
      <c r="C641" s="147" t="s">
        <v>27</v>
      </c>
      <c r="D641" s="148"/>
      <c r="E641" s="148">
        <f>$F$5</f>
        <v>1</v>
      </c>
      <c r="F641" s="73">
        <v>0.6</v>
      </c>
      <c r="G641" s="90">
        <f t="shared" si="106"/>
        <v>0.6</v>
      </c>
      <c r="H641" s="4"/>
      <c r="I641" s="59">
        <f t="shared" si="98"/>
        <v>0</v>
      </c>
      <c r="J641" s="4"/>
      <c r="K641" s="4"/>
      <c r="L641" s="4"/>
      <c r="M641" s="4"/>
      <c r="N641" s="4"/>
      <c r="O641" s="4"/>
      <c r="P641" s="4"/>
      <c r="Q641" s="4"/>
      <c r="R641" s="4"/>
      <c r="S641" s="4"/>
      <c r="T641" s="4"/>
      <c r="U641" s="4"/>
      <c r="V641" s="4"/>
      <c r="W641" s="4"/>
      <c r="X641" s="4"/>
      <c r="Y641" s="4"/>
    </row>
    <row r="642" ht="9.75" customHeight="1">
      <c r="A642" s="65"/>
      <c r="B642" s="66"/>
      <c r="C642" s="67"/>
      <c r="D642" s="78"/>
      <c r="E642" s="78"/>
      <c r="F642" s="78"/>
      <c r="G642" s="90">
        <f t="shared" si="106"/>
        <v>0</v>
      </c>
      <c r="H642" s="4"/>
      <c r="I642" s="59">
        <f t="shared" si="98"/>
        <v>0</v>
      </c>
      <c r="J642" s="4"/>
      <c r="K642" s="4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  <c r="X642" s="4"/>
      <c r="Y642" s="4"/>
    </row>
    <row r="643" ht="9.75" customHeight="1">
      <c r="A643" s="65"/>
      <c r="B643" s="194" t="s">
        <v>542</v>
      </c>
      <c r="C643" s="204"/>
      <c r="D643" s="205"/>
      <c r="E643" s="205"/>
      <c r="F643" s="206"/>
      <c r="G643" s="90">
        <f t="shared" si="106"/>
        <v>0</v>
      </c>
      <c r="H643" s="4"/>
      <c r="I643" s="59">
        <f t="shared" si="98"/>
        <v>0</v>
      </c>
      <c r="J643" s="4"/>
      <c r="K643" s="4"/>
      <c r="L643" s="4"/>
      <c r="M643" s="4"/>
      <c r="N643" s="4"/>
      <c r="O643" s="4"/>
      <c r="P643" s="4"/>
      <c r="Q643" s="4"/>
      <c r="R643" s="4"/>
      <c r="S643" s="4"/>
      <c r="T643" s="4"/>
      <c r="U643" s="4"/>
      <c r="V643" s="4"/>
      <c r="W643" s="4"/>
      <c r="X643" s="4"/>
      <c r="Y643" s="4"/>
    </row>
    <row r="644" ht="9.75" customHeight="1">
      <c r="A644" s="65"/>
      <c r="B644" s="203" t="s">
        <v>543</v>
      </c>
      <c r="C644" s="202" t="s">
        <v>32</v>
      </c>
      <c r="D644" s="116"/>
      <c r="E644" s="117">
        <v>1.0</v>
      </c>
      <c r="F644" s="118">
        <v>1100.0</v>
      </c>
      <c r="G644" s="90">
        <f t="shared" si="106"/>
        <v>1100</v>
      </c>
      <c r="H644" s="4"/>
      <c r="I644" s="59">
        <f t="shared" si="98"/>
        <v>0</v>
      </c>
      <c r="J644" s="4"/>
      <c r="K644" s="4"/>
      <c r="L644" s="4"/>
      <c r="M644" s="4"/>
      <c r="N644" s="4"/>
      <c r="O644" s="4"/>
      <c r="P644" s="4"/>
      <c r="Q644" s="4"/>
      <c r="R644" s="4"/>
      <c r="S644" s="4"/>
      <c r="T644" s="4"/>
      <c r="U644" s="4"/>
      <c r="V644" s="4"/>
      <c r="W644" s="4"/>
      <c r="X644" s="4"/>
      <c r="Y644" s="4"/>
    </row>
    <row r="645" ht="9.75" customHeight="1">
      <c r="A645" s="65"/>
      <c r="B645" s="150"/>
      <c r="C645" s="151"/>
      <c r="D645" s="127"/>
      <c r="E645" s="127"/>
      <c r="F645" s="127"/>
      <c r="G645" s="128">
        <f t="shared" si="106"/>
        <v>0</v>
      </c>
      <c r="H645" s="4"/>
      <c r="I645" s="59">
        <f t="shared" si="98"/>
        <v>0</v>
      </c>
      <c r="J645" s="4"/>
      <c r="K645" s="4"/>
      <c r="L645" s="4"/>
      <c r="M645" s="4"/>
      <c r="N645" s="4"/>
      <c r="O645" s="4"/>
      <c r="P645" s="4"/>
      <c r="Q645" s="4"/>
      <c r="R645" s="4"/>
      <c r="S645" s="4"/>
      <c r="T645" s="4"/>
      <c r="U645" s="4"/>
      <c r="V645" s="4"/>
      <c r="W645" s="4"/>
      <c r="X645" s="4"/>
      <c r="Y645" s="4"/>
    </row>
    <row r="646" ht="9.75" customHeight="1">
      <c r="A646" s="65"/>
      <c r="B646" s="152" t="s">
        <v>539</v>
      </c>
      <c r="C646" s="153"/>
      <c r="D646" s="154"/>
      <c r="E646" s="154"/>
      <c r="F646" s="88"/>
      <c r="G646" s="155">
        <f t="shared" si="106"/>
        <v>0</v>
      </c>
      <c r="H646" s="4">
        <f t="shared" ref="H646:H651" si="107">IFERROR(IF(FIND("Sous-",B646,1)&lt;&gt;0,G646,1),0)</f>
        <v>0</v>
      </c>
      <c r="I646" s="59">
        <f t="shared" si="98"/>
        <v>0</v>
      </c>
      <c r="J646" s="4"/>
      <c r="K646" s="4"/>
      <c r="L646" s="4"/>
      <c r="M646" s="4"/>
      <c r="N646" s="4"/>
      <c r="O646" s="4"/>
      <c r="P646" s="4"/>
      <c r="Q646" s="4"/>
      <c r="R646" s="4"/>
      <c r="S646" s="4"/>
      <c r="T646" s="4"/>
      <c r="U646" s="4"/>
      <c r="V646" s="4"/>
      <c r="W646" s="4"/>
      <c r="X646" s="4"/>
      <c r="Y646" s="4"/>
    </row>
    <row r="647" ht="9.75" customHeight="1">
      <c r="A647" s="65"/>
      <c r="B647" s="79" t="s">
        <v>544</v>
      </c>
      <c r="C647" s="80"/>
      <c r="D647" s="100"/>
      <c r="E647" s="100"/>
      <c r="F647" s="78"/>
      <c r="G647" s="90">
        <f t="shared" si="106"/>
        <v>0</v>
      </c>
      <c r="H647" s="4">
        <f t="shared" si="107"/>
        <v>0</v>
      </c>
      <c r="I647" s="59">
        <f t="shared" si="98"/>
        <v>0</v>
      </c>
      <c r="J647" s="4"/>
      <c r="K647" s="4"/>
      <c r="L647" s="4"/>
      <c r="M647" s="4"/>
      <c r="N647" s="4"/>
      <c r="O647" s="4"/>
      <c r="P647" s="4"/>
      <c r="Q647" s="4"/>
      <c r="R647" s="4"/>
      <c r="S647" s="4"/>
      <c r="T647" s="4"/>
      <c r="U647" s="4"/>
      <c r="V647" s="4"/>
      <c r="W647" s="4"/>
      <c r="X647" s="4"/>
      <c r="Y647" s="4"/>
    </row>
    <row r="648" ht="9.75" customHeight="1">
      <c r="A648" s="65"/>
      <c r="B648" s="79" t="s">
        <v>545</v>
      </c>
      <c r="C648" s="80"/>
      <c r="D648" s="100"/>
      <c r="E648" s="100"/>
      <c r="F648" s="78"/>
      <c r="G648" s="90">
        <f t="shared" si="106"/>
        <v>0</v>
      </c>
      <c r="H648" s="4">
        <f t="shared" si="107"/>
        <v>0</v>
      </c>
      <c r="I648" s="59">
        <f t="shared" si="98"/>
        <v>0</v>
      </c>
      <c r="J648" s="4"/>
      <c r="K648" s="4"/>
      <c r="L648" s="4"/>
      <c r="M648" s="4"/>
      <c r="N648" s="4"/>
      <c r="O648" s="4"/>
      <c r="P648" s="4"/>
      <c r="Q648" s="4"/>
      <c r="R648" s="4"/>
      <c r="S648" s="4"/>
      <c r="T648" s="4"/>
      <c r="U648" s="4"/>
      <c r="V648" s="4"/>
      <c r="W648" s="4"/>
      <c r="X648" s="4"/>
      <c r="Y648" s="4"/>
    </row>
    <row r="649" ht="9.75" customHeight="1">
      <c r="A649" s="65"/>
      <c r="B649" s="79" t="s">
        <v>534</v>
      </c>
      <c r="C649" s="80"/>
      <c r="D649" s="100"/>
      <c r="E649" s="100">
        <v>1.0</v>
      </c>
      <c r="F649" s="78">
        <v>1.0</v>
      </c>
      <c r="G649" s="90">
        <f t="shared" si="106"/>
        <v>1</v>
      </c>
      <c r="H649" s="4">
        <f t="shared" si="107"/>
        <v>0</v>
      </c>
      <c r="I649" s="59">
        <f t="shared" si="98"/>
        <v>0</v>
      </c>
      <c r="J649" s="4"/>
      <c r="K649" s="4"/>
      <c r="L649" s="4"/>
      <c r="M649" s="4"/>
      <c r="N649" s="4"/>
      <c r="O649" s="4"/>
      <c r="P649" s="4"/>
      <c r="Q649" s="4"/>
      <c r="R649" s="4"/>
      <c r="S649" s="4"/>
      <c r="T649" s="4"/>
      <c r="U649" s="4"/>
      <c r="V649" s="4"/>
      <c r="W649" s="4"/>
      <c r="X649" s="4"/>
      <c r="Y649" s="4"/>
    </row>
    <row r="650" ht="29.25" customHeight="1">
      <c r="A650" s="65" t="s">
        <v>546</v>
      </c>
      <c r="B650" s="82" t="str">
        <f>CONCATENATE("Sous-Total : ",A637," - ",B637)</f>
        <v>Sous-Total :  - Distribution de l'heure et sonnerie interclasse</v>
      </c>
      <c r="C650" s="83"/>
      <c r="D650" s="84"/>
      <c r="E650" s="84"/>
      <c r="F650" s="84"/>
      <c r="G650" s="109">
        <f>SUM(G637:G649)</f>
        <v>2752.6</v>
      </c>
      <c r="H650" s="4">
        <f t="shared" si="107"/>
        <v>2752.6</v>
      </c>
      <c r="I650" s="59">
        <f t="shared" si="98"/>
        <v>0.000633884392</v>
      </c>
      <c r="J650" s="4"/>
      <c r="K650" s="4"/>
      <c r="L650" s="4"/>
      <c r="M650" s="4"/>
      <c r="N650" s="4"/>
      <c r="O650" s="4"/>
      <c r="P650" s="4"/>
      <c r="Q650" s="4"/>
      <c r="R650" s="4"/>
      <c r="S650" s="4"/>
      <c r="T650" s="4"/>
      <c r="U650" s="4"/>
      <c r="V650" s="4"/>
      <c r="W650" s="4"/>
      <c r="X650" s="4"/>
      <c r="Y650" s="4"/>
    </row>
    <row r="651" ht="9.75" customHeight="1">
      <c r="A651" s="65"/>
      <c r="B651" s="86" t="s">
        <v>547</v>
      </c>
      <c r="C651" s="87"/>
      <c r="D651" s="88"/>
      <c r="E651" s="88"/>
      <c r="F651" s="88"/>
      <c r="G651" s="89">
        <f t="shared" ref="G651:G669" si="108">E651*F651</f>
        <v>0</v>
      </c>
      <c r="H651" s="4">
        <f t="shared" si="107"/>
        <v>0</v>
      </c>
      <c r="I651" s="59">
        <f t="shared" si="98"/>
        <v>0</v>
      </c>
      <c r="J651" s="4"/>
      <c r="K651" s="4"/>
      <c r="L651" s="4"/>
      <c r="M651" s="4"/>
      <c r="N651" s="4"/>
      <c r="O651" s="4"/>
      <c r="P651" s="4"/>
      <c r="Q651" s="4"/>
      <c r="R651" s="4"/>
      <c r="S651" s="4"/>
      <c r="T651" s="4"/>
      <c r="U651" s="4"/>
      <c r="V651" s="4"/>
      <c r="W651" s="4"/>
      <c r="X651" s="4"/>
      <c r="Y651" s="4"/>
    </row>
    <row r="652" ht="9.75" customHeight="1">
      <c r="A652" s="65"/>
      <c r="B652" s="110" t="s">
        <v>548</v>
      </c>
      <c r="C652" s="111"/>
      <c r="D652" s="112"/>
      <c r="E652" s="112"/>
      <c r="F652" s="113"/>
      <c r="G652" s="90">
        <f t="shared" si="108"/>
        <v>0</v>
      </c>
      <c r="H652" s="4"/>
      <c r="I652" s="59">
        <f t="shared" si="98"/>
        <v>0</v>
      </c>
      <c r="J652" s="4"/>
      <c r="K652" s="4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  <c r="X652" s="4"/>
      <c r="Y652" s="4"/>
    </row>
    <row r="653" ht="9.75" customHeight="1">
      <c r="A653" s="65"/>
      <c r="B653" s="146" t="s">
        <v>549</v>
      </c>
      <c r="C653" s="147" t="s">
        <v>27</v>
      </c>
      <c r="D653" s="148"/>
      <c r="E653" s="148">
        <f>$F$5</f>
        <v>1</v>
      </c>
      <c r="F653" s="73">
        <v>14.0</v>
      </c>
      <c r="G653" s="90">
        <f t="shared" si="108"/>
        <v>14</v>
      </c>
      <c r="H653" s="4"/>
      <c r="I653" s="59">
        <f t="shared" si="98"/>
        <v>0</v>
      </c>
      <c r="J653" s="4"/>
      <c r="K653" s="4"/>
      <c r="L653" s="4"/>
      <c r="M653" s="4"/>
      <c r="N653" s="4"/>
      <c r="O653" s="4"/>
      <c r="P653" s="4"/>
      <c r="Q653" s="4"/>
      <c r="R653" s="4"/>
      <c r="S653" s="4"/>
      <c r="T653" s="4"/>
      <c r="U653" s="4"/>
      <c r="V653" s="4"/>
      <c r="W653" s="4"/>
      <c r="X653" s="4"/>
      <c r="Y653" s="4"/>
    </row>
    <row r="654" ht="9.75" customHeight="1">
      <c r="A654" s="65"/>
      <c r="B654" s="110" t="s">
        <v>550</v>
      </c>
      <c r="C654" s="111"/>
      <c r="D654" s="112"/>
      <c r="E654" s="112"/>
      <c r="F654" s="113"/>
      <c r="G654" s="90">
        <f t="shared" si="108"/>
        <v>0</v>
      </c>
      <c r="H654" s="4"/>
      <c r="I654" s="59">
        <f t="shared" si="98"/>
        <v>0</v>
      </c>
      <c r="J654" s="4"/>
      <c r="K654" s="4"/>
      <c r="L654" s="4"/>
      <c r="M654" s="4"/>
      <c r="N654" s="4"/>
      <c r="O654" s="4"/>
      <c r="P654" s="4"/>
      <c r="Q654" s="4"/>
      <c r="R654" s="4"/>
      <c r="S654" s="4"/>
      <c r="T654" s="4"/>
      <c r="U654" s="4"/>
      <c r="V654" s="4"/>
      <c r="W654" s="4"/>
      <c r="X654" s="4"/>
      <c r="Y654" s="4"/>
    </row>
    <row r="655" ht="9.75" customHeight="1">
      <c r="A655" s="65"/>
      <c r="B655" s="134" t="s">
        <v>551</v>
      </c>
      <c r="C655" s="202" t="s">
        <v>34</v>
      </c>
      <c r="D655" s="116"/>
      <c r="E655" s="117">
        <v>1.0</v>
      </c>
      <c r="F655" s="118">
        <v>864.0</v>
      </c>
      <c r="G655" s="90">
        <f t="shared" si="108"/>
        <v>864</v>
      </c>
      <c r="H655" s="4"/>
      <c r="I655" s="59">
        <f t="shared" si="98"/>
        <v>0</v>
      </c>
      <c r="J655" s="4"/>
      <c r="K655" s="4"/>
      <c r="L655" s="4"/>
      <c r="M655" s="4"/>
      <c r="N655" s="4"/>
      <c r="O655" s="4"/>
      <c r="P655" s="4"/>
      <c r="Q655" s="4"/>
      <c r="R655" s="4"/>
      <c r="S655" s="4"/>
      <c r="T655" s="4"/>
      <c r="U655" s="4"/>
      <c r="V655" s="4"/>
      <c r="W655" s="4"/>
      <c r="X655" s="4"/>
      <c r="Y655" s="4"/>
    </row>
    <row r="656" ht="9.75" customHeight="1">
      <c r="A656" s="65"/>
      <c r="B656" s="134" t="s">
        <v>552</v>
      </c>
      <c r="C656" s="202" t="s">
        <v>34</v>
      </c>
      <c r="D656" s="116"/>
      <c r="E656" s="117">
        <v>1.0</v>
      </c>
      <c r="F656" s="118">
        <v>1450.0</v>
      </c>
      <c r="G656" s="90">
        <f t="shared" si="108"/>
        <v>1450</v>
      </c>
      <c r="H656" s="4"/>
      <c r="I656" s="59"/>
      <c r="J656" s="4"/>
      <c r="K656" s="4"/>
      <c r="L656" s="4"/>
      <c r="M656" s="4"/>
      <c r="N656" s="4"/>
      <c r="O656" s="4"/>
      <c r="P656" s="4"/>
      <c r="Q656" s="4"/>
      <c r="R656" s="4"/>
      <c r="S656" s="4"/>
      <c r="T656" s="4"/>
      <c r="U656" s="4"/>
      <c r="V656" s="4"/>
      <c r="W656" s="4"/>
      <c r="X656" s="4"/>
      <c r="Y656" s="4"/>
    </row>
    <row r="657" ht="9.75" customHeight="1">
      <c r="A657" s="65"/>
      <c r="B657" s="110" t="s">
        <v>553</v>
      </c>
      <c r="C657" s="111"/>
      <c r="D657" s="112"/>
      <c r="E657" s="117">
        <v>1.0</v>
      </c>
      <c r="F657" s="113"/>
      <c r="G657" s="90">
        <f t="shared" si="108"/>
        <v>0</v>
      </c>
      <c r="H657" s="4"/>
      <c r="I657" s="59">
        <f t="shared" ref="I657:I700" si="109">IFERROR(H657/$H$6,0)</f>
        <v>0</v>
      </c>
      <c r="J657" s="4"/>
      <c r="K657" s="4"/>
      <c r="L657" s="4"/>
      <c r="M657" s="4"/>
      <c r="N657" s="4"/>
      <c r="O657" s="4"/>
      <c r="P657" s="4"/>
      <c r="Q657" s="4"/>
      <c r="R657" s="4"/>
      <c r="S657" s="4"/>
      <c r="T657" s="4"/>
      <c r="U657" s="4"/>
      <c r="V657" s="4"/>
      <c r="W657" s="4"/>
      <c r="X657" s="4"/>
      <c r="Y657" s="4"/>
    </row>
    <row r="658" ht="9.75" customHeight="1">
      <c r="A658" s="65"/>
      <c r="B658" s="115" t="s">
        <v>554</v>
      </c>
      <c r="C658" s="202" t="s">
        <v>34</v>
      </c>
      <c r="D658" s="116"/>
      <c r="E658" s="117">
        <v>1.0</v>
      </c>
      <c r="F658" s="118">
        <v>4.0</v>
      </c>
      <c r="G658" s="90">
        <f t="shared" si="108"/>
        <v>4</v>
      </c>
      <c r="H658" s="4"/>
      <c r="I658" s="59">
        <f t="shared" si="109"/>
        <v>0</v>
      </c>
      <c r="J658" s="4"/>
      <c r="K658" s="4"/>
      <c r="L658" s="4"/>
      <c r="M658" s="4"/>
      <c r="N658" s="4"/>
      <c r="O658" s="4"/>
      <c r="P658" s="4"/>
      <c r="Q658" s="4"/>
      <c r="R658" s="4"/>
      <c r="S658" s="4"/>
      <c r="T658" s="4"/>
      <c r="U658" s="4"/>
      <c r="V658" s="4"/>
      <c r="W658" s="4"/>
      <c r="X658" s="4"/>
      <c r="Y658" s="4"/>
    </row>
    <row r="659" ht="9.75" customHeight="1">
      <c r="A659" s="65"/>
      <c r="B659" s="115" t="s">
        <v>555</v>
      </c>
      <c r="C659" s="202" t="s">
        <v>34</v>
      </c>
      <c r="D659" s="116"/>
      <c r="E659" s="117">
        <v>1.0</v>
      </c>
      <c r="F659" s="118">
        <v>540.0</v>
      </c>
      <c r="G659" s="90">
        <f t="shared" si="108"/>
        <v>540</v>
      </c>
      <c r="H659" s="4"/>
      <c r="I659" s="59">
        <f t="shared" si="109"/>
        <v>0</v>
      </c>
      <c r="J659" s="4"/>
      <c r="K659" s="4"/>
      <c r="L659" s="4"/>
      <c r="M659" s="4"/>
      <c r="N659" s="4"/>
      <c r="O659" s="4"/>
      <c r="P659" s="4"/>
      <c r="Q659" s="4"/>
      <c r="R659" s="4"/>
      <c r="S659" s="4"/>
      <c r="T659" s="4"/>
      <c r="U659" s="4"/>
      <c r="V659" s="4"/>
      <c r="W659" s="4"/>
      <c r="X659" s="4"/>
      <c r="Y659" s="4"/>
    </row>
    <row r="660" ht="9.75" customHeight="1">
      <c r="A660" s="65"/>
      <c r="B660" s="115" t="s">
        <v>556</v>
      </c>
      <c r="C660" s="202" t="s">
        <v>34</v>
      </c>
      <c r="D660" s="116"/>
      <c r="E660" s="117">
        <v>1.0</v>
      </c>
      <c r="F660" s="118">
        <v>75.0</v>
      </c>
      <c r="G660" s="90">
        <f t="shared" si="108"/>
        <v>75</v>
      </c>
      <c r="H660" s="4"/>
      <c r="I660" s="59">
        <f t="shared" si="109"/>
        <v>0</v>
      </c>
      <c r="J660" s="4"/>
      <c r="K660" s="4"/>
      <c r="L660" s="4"/>
      <c r="M660" s="4"/>
      <c r="N660" s="4"/>
      <c r="O660" s="4"/>
      <c r="P660" s="4"/>
      <c r="Q660" s="4"/>
      <c r="R660" s="4"/>
      <c r="S660" s="4"/>
      <c r="T660" s="4"/>
      <c r="U660" s="4"/>
      <c r="V660" s="4"/>
      <c r="W660" s="4"/>
      <c r="X660" s="4"/>
      <c r="Y660" s="4"/>
    </row>
    <row r="661" ht="9.75" customHeight="1">
      <c r="A661" s="65"/>
      <c r="B661" s="115" t="s">
        <v>557</v>
      </c>
      <c r="C661" s="202" t="s">
        <v>51</v>
      </c>
      <c r="D661" s="116"/>
      <c r="E661" s="117">
        <v>1.0</v>
      </c>
      <c r="F661" s="118">
        <v>13.0</v>
      </c>
      <c r="G661" s="90">
        <f t="shared" si="108"/>
        <v>13</v>
      </c>
      <c r="H661" s="4"/>
      <c r="I661" s="59">
        <f t="shared" si="109"/>
        <v>0</v>
      </c>
      <c r="J661" s="4"/>
      <c r="K661" s="4"/>
      <c r="L661" s="4"/>
      <c r="M661" s="4"/>
      <c r="N661" s="4"/>
      <c r="O661" s="4"/>
      <c r="P661" s="4"/>
      <c r="Q661" s="4"/>
      <c r="R661" s="4"/>
      <c r="S661" s="4"/>
      <c r="T661" s="4"/>
      <c r="U661" s="4"/>
      <c r="V661" s="4"/>
      <c r="W661" s="4"/>
      <c r="X661" s="4"/>
      <c r="Y661" s="4"/>
    </row>
    <row r="662" ht="9.75" customHeight="1">
      <c r="A662" s="65"/>
      <c r="B662" s="115" t="s">
        <v>558</v>
      </c>
      <c r="C662" s="202" t="s">
        <v>34</v>
      </c>
      <c r="D662" s="116"/>
      <c r="E662" s="117">
        <v>1.0</v>
      </c>
      <c r="F662" s="118">
        <v>216.0</v>
      </c>
      <c r="G662" s="90">
        <f t="shared" si="108"/>
        <v>216</v>
      </c>
      <c r="H662" s="4"/>
      <c r="I662" s="59">
        <f t="shared" si="109"/>
        <v>0</v>
      </c>
      <c r="J662" s="4"/>
      <c r="K662" s="4"/>
      <c r="L662" s="4"/>
      <c r="M662" s="4"/>
      <c r="N662" s="4"/>
      <c r="O662" s="4"/>
      <c r="P662" s="4"/>
      <c r="Q662" s="4"/>
      <c r="R662" s="4"/>
      <c r="S662" s="4"/>
      <c r="T662" s="4"/>
      <c r="U662" s="4"/>
      <c r="V662" s="4"/>
      <c r="W662" s="4"/>
      <c r="X662" s="4"/>
      <c r="Y662" s="4"/>
    </row>
    <row r="663" ht="9.75" customHeight="1">
      <c r="A663" s="65"/>
      <c r="B663" s="115" t="s">
        <v>559</v>
      </c>
      <c r="C663" s="202" t="s">
        <v>34</v>
      </c>
      <c r="D663" s="116"/>
      <c r="E663" s="117">
        <v>1.0</v>
      </c>
      <c r="F663" s="118">
        <v>270.0</v>
      </c>
      <c r="G663" s="90">
        <f t="shared" si="108"/>
        <v>270</v>
      </c>
      <c r="H663" s="4"/>
      <c r="I663" s="59">
        <f t="shared" si="109"/>
        <v>0</v>
      </c>
      <c r="J663" s="4"/>
      <c r="K663" s="4"/>
      <c r="L663" s="4"/>
      <c r="M663" s="4"/>
      <c r="N663" s="4"/>
      <c r="O663" s="4"/>
      <c r="P663" s="4"/>
      <c r="Q663" s="4"/>
      <c r="R663" s="4"/>
      <c r="S663" s="4"/>
      <c r="T663" s="4"/>
      <c r="U663" s="4"/>
      <c r="V663" s="4"/>
      <c r="W663" s="4"/>
      <c r="X663" s="4"/>
      <c r="Y663" s="4"/>
    </row>
    <row r="664" ht="9.75" customHeight="1">
      <c r="A664" s="65"/>
      <c r="B664" s="150"/>
      <c r="C664" s="151"/>
      <c r="D664" s="127"/>
      <c r="E664" s="127"/>
      <c r="F664" s="127"/>
      <c r="G664" s="128">
        <f t="shared" si="108"/>
        <v>0</v>
      </c>
      <c r="H664" s="4"/>
      <c r="I664" s="59">
        <f t="shared" si="109"/>
        <v>0</v>
      </c>
      <c r="J664" s="4"/>
      <c r="K664" s="4"/>
      <c r="L664" s="4"/>
      <c r="M664" s="4"/>
      <c r="N664" s="4"/>
      <c r="O664" s="4"/>
      <c r="P664" s="4"/>
      <c r="Q664" s="4"/>
      <c r="R664" s="4"/>
      <c r="S664" s="4"/>
      <c r="T664" s="4"/>
      <c r="U664" s="4"/>
      <c r="V664" s="4"/>
      <c r="W664" s="4"/>
      <c r="X664" s="4"/>
      <c r="Y664" s="4"/>
    </row>
    <row r="665" ht="9.75" customHeight="1">
      <c r="A665" s="65"/>
      <c r="B665" s="152" t="s">
        <v>560</v>
      </c>
      <c r="C665" s="153" t="s">
        <v>34</v>
      </c>
      <c r="D665" s="154"/>
      <c r="E665" s="154"/>
      <c r="F665" s="88"/>
      <c r="G665" s="155">
        <f t="shared" si="108"/>
        <v>0</v>
      </c>
      <c r="H665" s="4">
        <f t="shared" ref="H665:H671" si="110">IFERROR(IF(FIND("Sous-",B665,1)&lt;&gt;0,G665,1),0)</f>
        <v>0</v>
      </c>
      <c r="I665" s="59">
        <f t="shared" si="109"/>
        <v>0</v>
      </c>
      <c r="J665" s="4"/>
      <c r="K665" s="4"/>
      <c r="L665" s="4"/>
      <c r="M665" s="4"/>
      <c r="N665" s="4"/>
      <c r="O665" s="4"/>
      <c r="P665" s="4"/>
      <c r="Q665" s="4"/>
      <c r="R665" s="4"/>
      <c r="S665" s="4"/>
      <c r="T665" s="4"/>
      <c r="U665" s="4"/>
      <c r="V665" s="4"/>
      <c r="W665" s="4"/>
      <c r="X665" s="4"/>
      <c r="Y665" s="4"/>
    </row>
    <row r="666" ht="9.75" customHeight="1">
      <c r="A666" s="65"/>
      <c r="B666" s="79" t="s">
        <v>561</v>
      </c>
      <c r="C666" s="80" t="s">
        <v>34</v>
      </c>
      <c r="D666" s="100"/>
      <c r="E666" s="100"/>
      <c r="F666" s="78"/>
      <c r="G666" s="90">
        <f t="shared" si="108"/>
        <v>0</v>
      </c>
      <c r="H666" s="4">
        <f t="shared" si="110"/>
        <v>0</v>
      </c>
      <c r="I666" s="59">
        <f t="shared" si="109"/>
        <v>0</v>
      </c>
      <c r="J666" s="4"/>
      <c r="K666" s="4"/>
      <c r="L666" s="4"/>
      <c r="M666" s="4"/>
      <c r="N666" s="4"/>
      <c r="O666" s="4"/>
      <c r="P666" s="4"/>
      <c r="Q666" s="4"/>
      <c r="R666" s="4"/>
      <c r="S666" s="4"/>
      <c r="T666" s="4"/>
      <c r="U666" s="4"/>
      <c r="V666" s="4"/>
      <c r="W666" s="4"/>
      <c r="X666" s="4"/>
      <c r="Y666" s="4"/>
    </row>
    <row r="667" ht="9.75" customHeight="1">
      <c r="A667" s="65"/>
      <c r="B667" s="79" t="s">
        <v>562</v>
      </c>
      <c r="C667" s="80" t="s">
        <v>34</v>
      </c>
      <c r="D667" s="100"/>
      <c r="E667" s="100"/>
      <c r="F667" s="78"/>
      <c r="G667" s="90">
        <f t="shared" si="108"/>
        <v>0</v>
      </c>
      <c r="H667" s="4">
        <f t="shared" si="110"/>
        <v>0</v>
      </c>
      <c r="I667" s="59">
        <f t="shared" si="109"/>
        <v>0</v>
      </c>
      <c r="J667" s="4"/>
      <c r="K667" s="4"/>
      <c r="L667" s="4"/>
      <c r="M667" s="4"/>
      <c r="N667" s="4"/>
      <c r="O667" s="4"/>
      <c r="P667" s="4"/>
      <c r="Q667" s="4"/>
      <c r="R667" s="4"/>
      <c r="S667" s="4"/>
      <c r="T667" s="4"/>
      <c r="U667" s="4"/>
      <c r="V667" s="4"/>
      <c r="W667" s="4"/>
      <c r="X667" s="4"/>
      <c r="Y667" s="4"/>
    </row>
    <row r="668" ht="9.75" customHeight="1">
      <c r="A668" s="65"/>
      <c r="B668" s="79" t="s">
        <v>563</v>
      </c>
      <c r="C668" s="80" t="s">
        <v>34</v>
      </c>
      <c r="D668" s="100"/>
      <c r="E668" s="100"/>
      <c r="F668" s="78"/>
      <c r="G668" s="90">
        <f t="shared" si="108"/>
        <v>0</v>
      </c>
      <c r="H668" s="4">
        <f t="shared" si="110"/>
        <v>0</v>
      </c>
      <c r="I668" s="59">
        <f t="shared" si="109"/>
        <v>0</v>
      </c>
      <c r="J668" s="4"/>
      <c r="K668" s="4"/>
      <c r="L668" s="4"/>
      <c r="M668" s="4"/>
      <c r="N668" s="4"/>
      <c r="O668" s="4"/>
      <c r="P668" s="4"/>
      <c r="Q668" s="4"/>
      <c r="R668" s="4"/>
      <c r="S668" s="4"/>
      <c r="T668" s="4"/>
      <c r="U668" s="4"/>
      <c r="V668" s="4"/>
      <c r="W668" s="4"/>
      <c r="X668" s="4"/>
      <c r="Y668" s="4"/>
    </row>
    <row r="669" ht="9.75" customHeight="1">
      <c r="A669" s="65"/>
      <c r="B669" s="79" t="s">
        <v>564</v>
      </c>
      <c r="C669" s="80" t="s">
        <v>32</v>
      </c>
      <c r="D669" s="100"/>
      <c r="E669" s="100">
        <v>1.0</v>
      </c>
      <c r="F669" s="78">
        <v>1.0</v>
      </c>
      <c r="G669" s="90">
        <f t="shared" si="108"/>
        <v>1</v>
      </c>
      <c r="H669" s="4">
        <f t="shared" si="110"/>
        <v>0</v>
      </c>
      <c r="I669" s="59">
        <f t="shared" si="109"/>
        <v>0</v>
      </c>
      <c r="J669" s="4"/>
      <c r="K669" s="4"/>
      <c r="L669" s="4"/>
      <c r="M669" s="4"/>
      <c r="N669" s="4"/>
      <c r="O669" s="4"/>
      <c r="P669" s="4"/>
      <c r="Q669" s="4"/>
      <c r="R669" s="4"/>
      <c r="S669" s="4"/>
      <c r="T669" s="4"/>
      <c r="U669" s="4"/>
      <c r="V669" s="4"/>
      <c r="W669" s="4"/>
      <c r="X669" s="4"/>
      <c r="Y669" s="4"/>
    </row>
    <row r="670" ht="12.75" customHeight="1">
      <c r="A670" s="65" t="s">
        <v>565</v>
      </c>
      <c r="B670" s="101" t="str">
        <f>CONCATENATE("Sous-Total : ",A651," - ",B651)</f>
        <v>Sous-Total :  - Contrôle d'accès</v>
      </c>
      <c r="C670" s="102"/>
      <c r="D670" s="103"/>
      <c r="E670" s="103"/>
      <c r="F670" s="103"/>
      <c r="G670" s="104">
        <f>SUM(G651:G669)</f>
        <v>3447</v>
      </c>
      <c r="H670" s="4">
        <f t="shared" si="110"/>
        <v>3447</v>
      </c>
      <c r="I670" s="59">
        <f t="shared" si="109"/>
        <v>0.0007937947756</v>
      </c>
      <c r="J670" s="4"/>
      <c r="K670" s="4"/>
      <c r="L670" s="4"/>
      <c r="M670" s="4"/>
      <c r="N670" s="4"/>
      <c r="O670" s="4"/>
      <c r="P670" s="4"/>
      <c r="Q670" s="4"/>
      <c r="R670" s="4"/>
      <c r="S670" s="4"/>
      <c r="T670" s="4"/>
      <c r="U670" s="4"/>
      <c r="V670" s="4"/>
      <c r="W670" s="4"/>
      <c r="X670" s="4"/>
      <c r="Y670" s="4"/>
    </row>
    <row r="671" ht="9.75" customHeight="1">
      <c r="A671" s="65"/>
      <c r="B671" s="105" t="s">
        <v>566</v>
      </c>
      <c r="C671" s="106"/>
      <c r="D671" s="98"/>
      <c r="E671" s="98"/>
      <c r="F671" s="98"/>
      <c r="G671" s="107">
        <f t="shared" ref="G671:G681" si="111">E671*F671</f>
        <v>0</v>
      </c>
      <c r="H671" s="4">
        <f t="shared" si="110"/>
        <v>0</v>
      </c>
      <c r="I671" s="59">
        <f t="shared" si="109"/>
        <v>0</v>
      </c>
      <c r="J671" s="4"/>
      <c r="K671" s="4"/>
      <c r="L671" s="4"/>
      <c r="M671" s="4"/>
      <c r="N671" s="4"/>
      <c r="O671" s="4"/>
      <c r="P671" s="4"/>
      <c r="Q671" s="4"/>
      <c r="R671" s="4"/>
      <c r="S671" s="4"/>
      <c r="T671" s="4"/>
      <c r="U671" s="4"/>
      <c r="V671" s="4"/>
      <c r="W671" s="4"/>
      <c r="X671" s="4"/>
      <c r="Y671" s="4"/>
    </row>
    <row r="672" ht="9.75" customHeight="1">
      <c r="A672" s="65"/>
      <c r="B672" s="115" t="s">
        <v>567</v>
      </c>
      <c r="C672" s="202" t="s">
        <v>34</v>
      </c>
      <c r="D672" s="116"/>
      <c r="E672" s="117">
        <v>1.0</v>
      </c>
      <c r="F672" s="118">
        <v>4480.0</v>
      </c>
      <c r="G672" s="90">
        <f t="shared" si="111"/>
        <v>4480</v>
      </c>
      <c r="H672" s="4"/>
      <c r="I672" s="59">
        <f t="shared" si="109"/>
        <v>0</v>
      </c>
      <c r="J672" s="4"/>
      <c r="K672" s="4"/>
      <c r="L672" s="4"/>
      <c r="M672" s="4"/>
      <c r="N672" s="4"/>
      <c r="O672" s="4"/>
      <c r="P672" s="4"/>
      <c r="Q672" s="4"/>
      <c r="R672" s="4"/>
      <c r="S672" s="4"/>
      <c r="T672" s="4"/>
      <c r="U672" s="4"/>
      <c r="V672" s="4"/>
      <c r="W672" s="4"/>
      <c r="X672" s="4"/>
      <c r="Y672" s="4"/>
    </row>
    <row r="673" ht="9.75" customHeight="1">
      <c r="A673" s="65"/>
      <c r="B673" s="115" t="s">
        <v>568</v>
      </c>
      <c r="C673" s="202" t="s">
        <v>34</v>
      </c>
      <c r="D673" s="116"/>
      <c r="E673" s="117">
        <v>1.0</v>
      </c>
      <c r="F673" s="118">
        <v>9374.0</v>
      </c>
      <c r="G673" s="90">
        <f t="shared" si="111"/>
        <v>9374</v>
      </c>
      <c r="H673" s="4"/>
      <c r="I673" s="59">
        <f t="shared" si="109"/>
        <v>0</v>
      </c>
      <c r="J673" s="4"/>
      <c r="K673" s="4"/>
      <c r="L673" s="4"/>
      <c r="M673" s="4"/>
      <c r="N673" s="4"/>
      <c r="O673" s="4"/>
      <c r="P673" s="4"/>
      <c r="Q673" s="4"/>
      <c r="R673" s="4"/>
      <c r="S673" s="4"/>
      <c r="T673" s="4"/>
      <c r="U673" s="4"/>
      <c r="V673" s="4"/>
      <c r="W673" s="4"/>
      <c r="X673" s="4"/>
      <c r="Y673" s="4"/>
    </row>
    <row r="674" ht="9.75" customHeight="1">
      <c r="A674" s="65"/>
      <c r="B674" s="115" t="s">
        <v>569</v>
      </c>
      <c r="C674" s="202" t="s">
        <v>34</v>
      </c>
      <c r="D674" s="116"/>
      <c r="E674" s="117">
        <v>1.0</v>
      </c>
      <c r="F674" s="118">
        <v>4972.0</v>
      </c>
      <c r="G674" s="90">
        <f t="shared" si="111"/>
        <v>4972</v>
      </c>
      <c r="H674" s="4"/>
      <c r="I674" s="59">
        <f t="shared" si="109"/>
        <v>0</v>
      </c>
      <c r="J674" s="4"/>
      <c r="K674" s="4"/>
      <c r="L674" s="4"/>
      <c r="M674" s="4"/>
      <c r="N674" s="4"/>
      <c r="O674" s="4"/>
      <c r="P674" s="4"/>
      <c r="Q674" s="4"/>
      <c r="R674" s="4"/>
      <c r="S674" s="4"/>
      <c r="T674" s="4"/>
      <c r="U674" s="4"/>
      <c r="V674" s="4"/>
      <c r="W674" s="4"/>
      <c r="X674" s="4"/>
      <c r="Y674" s="4"/>
    </row>
    <row r="675" ht="9.75" customHeight="1">
      <c r="A675" s="65"/>
      <c r="B675" s="115" t="s">
        <v>570</v>
      </c>
      <c r="C675" s="202" t="s">
        <v>34</v>
      </c>
      <c r="D675" s="116"/>
      <c r="E675" s="117">
        <v>1.0</v>
      </c>
      <c r="F675" s="118">
        <v>5234.04</v>
      </c>
      <c r="G675" s="90">
        <f t="shared" si="111"/>
        <v>5234.04</v>
      </c>
      <c r="H675" s="4"/>
      <c r="I675" s="59">
        <f t="shared" si="109"/>
        <v>0</v>
      </c>
      <c r="J675" s="4"/>
      <c r="K675" s="4"/>
      <c r="L675" s="4"/>
      <c r="M675" s="4"/>
      <c r="N675" s="4"/>
      <c r="O675" s="4"/>
      <c r="P675" s="4"/>
      <c r="Q675" s="4"/>
      <c r="R675" s="4"/>
      <c r="S675" s="4"/>
      <c r="T675" s="4"/>
      <c r="U675" s="4"/>
      <c r="V675" s="4"/>
      <c r="W675" s="4"/>
      <c r="X675" s="4"/>
      <c r="Y675" s="4"/>
    </row>
    <row r="676" ht="9.75" customHeight="1">
      <c r="A676" s="65"/>
      <c r="B676" s="115" t="s">
        <v>571</v>
      </c>
      <c r="C676" s="202" t="s">
        <v>34</v>
      </c>
      <c r="D676" s="116"/>
      <c r="E676" s="117">
        <v>1.0</v>
      </c>
      <c r="F676" s="118">
        <v>3.968</v>
      </c>
      <c r="G676" s="90">
        <f t="shared" si="111"/>
        <v>3.968</v>
      </c>
      <c r="H676" s="4"/>
      <c r="I676" s="59">
        <f t="shared" si="109"/>
        <v>0</v>
      </c>
      <c r="J676" s="4"/>
      <c r="K676" s="4"/>
      <c r="L676" s="4"/>
      <c r="M676" s="4"/>
      <c r="N676" s="4"/>
      <c r="O676" s="4"/>
      <c r="P676" s="4"/>
      <c r="Q676" s="4"/>
      <c r="R676" s="4"/>
      <c r="S676" s="4"/>
      <c r="T676" s="4"/>
      <c r="U676" s="4"/>
      <c r="V676" s="4"/>
      <c r="W676" s="4"/>
      <c r="X676" s="4"/>
      <c r="Y676" s="4"/>
    </row>
    <row r="677" ht="9.75" customHeight="1">
      <c r="A677" s="65"/>
      <c r="B677" s="115" t="s">
        <v>572</v>
      </c>
      <c r="C677" s="202" t="s">
        <v>34</v>
      </c>
      <c r="D677" s="116"/>
      <c r="E677" s="117">
        <v>1.0</v>
      </c>
      <c r="F677" s="118">
        <v>3738.6</v>
      </c>
      <c r="G677" s="90">
        <f t="shared" si="111"/>
        <v>3738.6</v>
      </c>
      <c r="H677" s="4"/>
      <c r="I677" s="59">
        <f t="shared" si="109"/>
        <v>0</v>
      </c>
      <c r="J677" s="4"/>
      <c r="K677" s="4"/>
      <c r="L677" s="4"/>
      <c r="M677" s="4"/>
      <c r="N677" s="4"/>
      <c r="O677" s="4"/>
      <c r="P677" s="4"/>
      <c r="Q677" s="4"/>
      <c r="R677" s="4"/>
      <c r="S677" s="4"/>
      <c r="T677" s="4"/>
      <c r="U677" s="4"/>
      <c r="V677" s="4"/>
      <c r="W677" s="4"/>
      <c r="X677" s="4"/>
      <c r="Y677" s="4"/>
    </row>
    <row r="678" ht="9.75" customHeight="1">
      <c r="A678" s="65"/>
      <c r="B678" s="115" t="s">
        <v>573</v>
      </c>
      <c r="C678" s="202" t="s">
        <v>34</v>
      </c>
      <c r="D678" s="116"/>
      <c r="E678" s="117">
        <v>1.0</v>
      </c>
      <c r="F678" s="118">
        <v>2746.6</v>
      </c>
      <c r="G678" s="90">
        <f t="shared" si="111"/>
        <v>2746.6</v>
      </c>
      <c r="H678" s="4"/>
      <c r="I678" s="59">
        <f t="shared" si="109"/>
        <v>0</v>
      </c>
      <c r="J678" s="4"/>
      <c r="K678" s="4"/>
      <c r="L678" s="4"/>
      <c r="M678" s="4"/>
      <c r="N678" s="4"/>
      <c r="O678" s="4"/>
      <c r="P678" s="4"/>
      <c r="Q678" s="4"/>
      <c r="R678" s="4"/>
      <c r="S678" s="4"/>
      <c r="T678" s="4"/>
      <c r="U678" s="4"/>
      <c r="V678" s="4"/>
      <c r="W678" s="4"/>
      <c r="X678" s="4"/>
      <c r="Y678" s="4"/>
    </row>
    <row r="679" ht="9.75" customHeight="1">
      <c r="A679" s="65"/>
      <c r="B679" s="115" t="s">
        <v>574</v>
      </c>
      <c r="C679" s="202" t="s">
        <v>34</v>
      </c>
      <c r="D679" s="116"/>
      <c r="E679" s="117">
        <v>1.0</v>
      </c>
      <c r="F679" s="118">
        <v>576.6</v>
      </c>
      <c r="G679" s="90">
        <f t="shared" si="111"/>
        <v>576.6</v>
      </c>
      <c r="H679" s="4"/>
      <c r="I679" s="59">
        <f t="shared" si="109"/>
        <v>0</v>
      </c>
      <c r="J679" s="4"/>
      <c r="K679" s="4"/>
      <c r="L679" s="4"/>
      <c r="M679" s="4"/>
      <c r="N679" s="4"/>
      <c r="O679" s="4"/>
      <c r="P679" s="4"/>
      <c r="Q679" s="4"/>
      <c r="R679" s="4"/>
      <c r="S679" s="4"/>
      <c r="T679" s="4"/>
      <c r="U679" s="4"/>
      <c r="V679" s="4"/>
      <c r="W679" s="4"/>
      <c r="X679" s="4"/>
      <c r="Y679" s="4"/>
    </row>
    <row r="680" ht="9.75" customHeight="1">
      <c r="A680" s="65"/>
      <c r="B680" s="115" t="s">
        <v>575</v>
      </c>
      <c r="C680" s="202" t="s">
        <v>34</v>
      </c>
      <c r="D680" s="116"/>
      <c r="E680" s="117">
        <v>1.0</v>
      </c>
      <c r="F680" s="118">
        <v>5183.2</v>
      </c>
      <c r="G680" s="90">
        <f t="shared" si="111"/>
        <v>5183.2</v>
      </c>
      <c r="H680" s="4"/>
      <c r="I680" s="59">
        <f t="shared" si="109"/>
        <v>0</v>
      </c>
      <c r="J680" s="4"/>
      <c r="K680" s="4"/>
      <c r="L680" s="4"/>
      <c r="M680" s="4"/>
      <c r="N680" s="4"/>
      <c r="O680" s="4"/>
      <c r="P680" s="4"/>
      <c r="Q680" s="4"/>
      <c r="R680" s="4"/>
      <c r="S680" s="4"/>
      <c r="T680" s="4"/>
      <c r="U680" s="4"/>
      <c r="V680" s="4"/>
      <c r="W680" s="4"/>
      <c r="X680" s="4"/>
      <c r="Y680" s="4"/>
    </row>
    <row r="681" ht="9.75" customHeight="1">
      <c r="A681" s="65"/>
      <c r="B681" s="115" t="s">
        <v>576</v>
      </c>
      <c r="C681" s="202" t="s">
        <v>34</v>
      </c>
      <c r="D681" s="116"/>
      <c r="E681" s="117">
        <v>1.0</v>
      </c>
      <c r="F681" s="118">
        <v>135000.0</v>
      </c>
      <c r="G681" s="90">
        <f t="shared" si="111"/>
        <v>135000</v>
      </c>
      <c r="H681" s="4"/>
      <c r="I681" s="59">
        <f t="shared" si="109"/>
        <v>0</v>
      </c>
      <c r="J681" s="4"/>
      <c r="K681" s="4"/>
      <c r="L681" s="4"/>
      <c r="M681" s="4"/>
      <c r="N681" s="4"/>
      <c r="O681" s="4"/>
      <c r="P681" s="4"/>
      <c r="Q681" s="4"/>
      <c r="R681" s="4"/>
      <c r="S681" s="4"/>
      <c r="T681" s="4"/>
      <c r="U681" s="4"/>
      <c r="V681" s="4"/>
      <c r="W681" s="4"/>
      <c r="X681" s="4"/>
      <c r="Y681" s="4"/>
    </row>
    <row r="682" ht="9.75" customHeight="1">
      <c r="A682" s="65"/>
      <c r="B682" s="150"/>
      <c r="C682" s="151"/>
      <c r="D682" s="127"/>
      <c r="E682" s="127"/>
      <c r="F682" s="127"/>
      <c r="G682" s="156"/>
      <c r="H682" s="4"/>
      <c r="I682" s="59">
        <f t="shared" si="109"/>
        <v>0</v>
      </c>
      <c r="J682" s="4"/>
      <c r="K682" s="4"/>
      <c r="L682" s="4"/>
      <c r="M682" s="4"/>
      <c r="N682" s="4"/>
      <c r="O682" s="4"/>
      <c r="P682" s="4"/>
      <c r="Q682" s="4"/>
      <c r="R682" s="4"/>
      <c r="S682" s="4"/>
      <c r="T682" s="4"/>
      <c r="U682" s="4"/>
      <c r="V682" s="4"/>
      <c r="W682" s="4"/>
      <c r="X682" s="4"/>
      <c r="Y682" s="4"/>
    </row>
    <row r="683" ht="9.75" customHeight="1">
      <c r="A683" s="65"/>
      <c r="B683" s="152" t="s">
        <v>567</v>
      </c>
      <c r="C683" s="153" t="s">
        <v>34</v>
      </c>
      <c r="D683" s="154"/>
      <c r="E683" s="117">
        <v>1.0</v>
      </c>
      <c r="F683" s="88"/>
      <c r="G683" s="155">
        <f t="shared" ref="G683:G692" si="112">E683*F683</f>
        <v>0</v>
      </c>
      <c r="H683" s="4">
        <f t="shared" ref="H683:H700" si="113">IFERROR(IF(FIND("Sous-",B683,1)&lt;&gt;0,G683,1),0)</f>
        <v>0</v>
      </c>
      <c r="I683" s="59">
        <f t="shared" si="109"/>
        <v>0</v>
      </c>
      <c r="J683" s="4"/>
      <c r="K683" s="4"/>
      <c r="L683" s="4"/>
      <c r="M683" s="4"/>
      <c r="N683" s="4"/>
      <c r="O683" s="4"/>
      <c r="P683" s="4"/>
      <c r="Q683" s="4"/>
      <c r="R683" s="4"/>
      <c r="S683" s="4"/>
      <c r="T683" s="4"/>
      <c r="U683" s="4"/>
      <c r="V683" s="4"/>
      <c r="W683" s="4"/>
      <c r="X683" s="4"/>
      <c r="Y683" s="4"/>
    </row>
    <row r="684" ht="9.75" customHeight="1">
      <c r="A684" s="65"/>
      <c r="B684" s="79" t="s">
        <v>568</v>
      </c>
      <c r="C684" s="80" t="s">
        <v>34</v>
      </c>
      <c r="D684" s="100"/>
      <c r="E684" s="117">
        <v>1.0</v>
      </c>
      <c r="F684" s="78"/>
      <c r="G684" s="90">
        <f t="shared" si="112"/>
        <v>0</v>
      </c>
      <c r="H684" s="4">
        <f t="shared" si="113"/>
        <v>0</v>
      </c>
      <c r="I684" s="59">
        <f t="shared" si="109"/>
        <v>0</v>
      </c>
      <c r="J684" s="4"/>
      <c r="K684" s="4"/>
      <c r="L684" s="4"/>
      <c r="M684" s="4"/>
      <c r="N684" s="4"/>
      <c r="O684" s="4"/>
      <c r="P684" s="4"/>
      <c r="Q684" s="4"/>
      <c r="R684" s="4"/>
      <c r="S684" s="4"/>
      <c r="T684" s="4"/>
      <c r="U684" s="4"/>
      <c r="V684" s="4"/>
      <c r="W684" s="4"/>
      <c r="X684" s="4"/>
      <c r="Y684" s="4"/>
    </row>
    <row r="685" ht="9.75" customHeight="1">
      <c r="A685" s="65"/>
      <c r="B685" s="79" t="s">
        <v>569</v>
      </c>
      <c r="C685" s="80" t="s">
        <v>34</v>
      </c>
      <c r="D685" s="100"/>
      <c r="E685" s="117">
        <v>1.0</v>
      </c>
      <c r="F685" s="78"/>
      <c r="G685" s="90">
        <f t="shared" si="112"/>
        <v>0</v>
      </c>
      <c r="H685" s="4">
        <f t="shared" si="113"/>
        <v>0</v>
      </c>
      <c r="I685" s="59">
        <f t="shared" si="109"/>
        <v>0</v>
      </c>
      <c r="J685" s="4"/>
      <c r="K685" s="4"/>
      <c r="L685" s="4"/>
      <c r="M685" s="4"/>
      <c r="N685" s="4"/>
      <c r="O685" s="4"/>
      <c r="P685" s="4"/>
      <c r="Q685" s="4"/>
      <c r="R685" s="4"/>
      <c r="S685" s="4"/>
      <c r="T685" s="4"/>
      <c r="U685" s="4"/>
      <c r="V685" s="4"/>
      <c r="W685" s="4"/>
      <c r="X685" s="4"/>
      <c r="Y685" s="4"/>
    </row>
    <row r="686" ht="9.75" customHeight="1">
      <c r="A686" s="65"/>
      <c r="B686" s="79" t="s">
        <v>570</v>
      </c>
      <c r="C686" s="80" t="s">
        <v>34</v>
      </c>
      <c r="D686" s="100"/>
      <c r="E686" s="117">
        <v>1.0</v>
      </c>
      <c r="F686" s="78"/>
      <c r="G686" s="90">
        <f t="shared" si="112"/>
        <v>0</v>
      </c>
      <c r="H686" s="4">
        <f t="shared" si="113"/>
        <v>0</v>
      </c>
      <c r="I686" s="59">
        <f t="shared" si="109"/>
        <v>0</v>
      </c>
      <c r="J686" s="4"/>
      <c r="K686" s="4"/>
      <c r="L686" s="4"/>
      <c r="M686" s="4"/>
      <c r="N686" s="4"/>
      <c r="O686" s="4"/>
      <c r="P686" s="4"/>
      <c r="Q686" s="4"/>
      <c r="R686" s="4"/>
      <c r="S686" s="4"/>
      <c r="T686" s="4"/>
      <c r="U686" s="4"/>
      <c r="V686" s="4"/>
      <c r="W686" s="4"/>
      <c r="X686" s="4"/>
      <c r="Y686" s="4"/>
    </row>
    <row r="687" ht="9.75" customHeight="1">
      <c r="A687" s="65"/>
      <c r="B687" s="79" t="s">
        <v>571</v>
      </c>
      <c r="C687" s="80" t="s">
        <v>34</v>
      </c>
      <c r="D687" s="100"/>
      <c r="E687" s="117">
        <v>1.0</v>
      </c>
      <c r="F687" s="78"/>
      <c r="G687" s="90">
        <f t="shared" si="112"/>
        <v>0</v>
      </c>
      <c r="H687" s="4">
        <f t="shared" si="113"/>
        <v>0</v>
      </c>
      <c r="I687" s="59">
        <f t="shared" si="109"/>
        <v>0</v>
      </c>
      <c r="J687" s="4"/>
      <c r="K687" s="4"/>
      <c r="L687" s="4"/>
      <c r="M687" s="4"/>
      <c r="N687" s="4"/>
      <c r="O687" s="4"/>
      <c r="P687" s="4"/>
      <c r="Q687" s="4"/>
      <c r="R687" s="4"/>
      <c r="S687" s="4"/>
      <c r="T687" s="4"/>
      <c r="U687" s="4"/>
      <c r="V687" s="4"/>
      <c r="W687" s="4"/>
      <c r="X687" s="4"/>
      <c r="Y687" s="4"/>
    </row>
    <row r="688" ht="9.75" customHeight="1">
      <c r="A688" s="65"/>
      <c r="B688" s="79" t="s">
        <v>572</v>
      </c>
      <c r="C688" s="80" t="s">
        <v>34</v>
      </c>
      <c r="D688" s="100"/>
      <c r="E688" s="117">
        <v>1.0</v>
      </c>
      <c r="F688" s="78"/>
      <c r="G688" s="90">
        <f t="shared" si="112"/>
        <v>0</v>
      </c>
      <c r="H688" s="4">
        <f t="shared" si="113"/>
        <v>0</v>
      </c>
      <c r="I688" s="59">
        <f t="shared" si="109"/>
        <v>0</v>
      </c>
      <c r="J688" s="4"/>
      <c r="K688" s="4"/>
      <c r="L688" s="4"/>
      <c r="M688" s="4"/>
      <c r="N688" s="4"/>
      <c r="O688" s="4"/>
      <c r="P688" s="4"/>
      <c r="Q688" s="4"/>
      <c r="R688" s="4"/>
      <c r="S688" s="4"/>
      <c r="T688" s="4"/>
      <c r="U688" s="4"/>
      <c r="V688" s="4"/>
      <c r="W688" s="4"/>
      <c r="X688" s="4"/>
      <c r="Y688" s="4"/>
    </row>
    <row r="689" ht="9.75" customHeight="1">
      <c r="A689" s="65"/>
      <c r="B689" s="79" t="s">
        <v>573</v>
      </c>
      <c r="C689" s="80" t="s">
        <v>34</v>
      </c>
      <c r="D689" s="100"/>
      <c r="E689" s="117">
        <v>1.0</v>
      </c>
      <c r="F689" s="78"/>
      <c r="G689" s="90">
        <f t="shared" si="112"/>
        <v>0</v>
      </c>
      <c r="H689" s="4">
        <f t="shared" si="113"/>
        <v>0</v>
      </c>
      <c r="I689" s="59">
        <f t="shared" si="109"/>
        <v>0</v>
      </c>
      <c r="J689" s="4"/>
      <c r="K689" s="4"/>
      <c r="L689" s="4"/>
      <c r="M689" s="4"/>
      <c r="N689" s="4"/>
      <c r="O689" s="4"/>
      <c r="P689" s="4"/>
      <c r="Q689" s="4"/>
      <c r="R689" s="4"/>
      <c r="S689" s="4"/>
      <c r="T689" s="4"/>
      <c r="U689" s="4"/>
      <c r="V689" s="4"/>
      <c r="W689" s="4"/>
      <c r="X689" s="4"/>
      <c r="Y689" s="4"/>
    </row>
    <row r="690" ht="9.75" customHeight="1">
      <c r="A690" s="65"/>
      <c r="B690" s="79" t="s">
        <v>574</v>
      </c>
      <c r="C690" s="80" t="s">
        <v>34</v>
      </c>
      <c r="D690" s="100"/>
      <c r="E690" s="117">
        <v>1.0</v>
      </c>
      <c r="F690" s="78"/>
      <c r="G690" s="90">
        <f t="shared" si="112"/>
        <v>0</v>
      </c>
      <c r="H690" s="4">
        <f t="shared" si="113"/>
        <v>0</v>
      </c>
      <c r="I690" s="59">
        <f t="shared" si="109"/>
        <v>0</v>
      </c>
      <c r="J690" s="4"/>
      <c r="K690" s="4"/>
      <c r="L690" s="4"/>
      <c r="M690" s="4"/>
      <c r="N690" s="4"/>
      <c r="O690" s="4"/>
      <c r="P690" s="4"/>
      <c r="Q690" s="4"/>
      <c r="R690" s="4"/>
      <c r="S690" s="4"/>
      <c r="T690" s="4"/>
      <c r="U690" s="4"/>
      <c r="V690" s="4"/>
      <c r="W690" s="4"/>
      <c r="X690" s="4"/>
      <c r="Y690" s="4"/>
    </row>
    <row r="691" ht="9.75" customHeight="1">
      <c r="A691" s="65"/>
      <c r="B691" s="79" t="s">
        <v>575</v>
      </c>
      <c r="C691" s="80" t="s">
        <v>34</v>
      </c>
      <c r="D691" s="100"/>
      <c r="E691" s="117">
        <v>1.0</v>
      </c>
      <c r="F691" s="78"/>
      <c r="G691" s="90">
        <f t="shared" si="112"/>
        <v>0</v>
      </c>
      <c r="H691" s="4">
        <f t="shared" si="113"/>
        <v>0</v>
      </c>
      <c r="I691" s="59">
        <f t="shared" si="109"/>
        <v>0</v>
      </c>
      <c r="J691" s="4"/>
      <c r="K691" s="4"/>
      <c r="L691" s="4"/>
      <c r="M691" s="4"/>
      <c r="N691" s="4"/>
      <c r="O691" s="4"/>
      <c r="P691" s="4"/>
      <c r="Q691" s="4"/>
      <c r="R691" s="4"/>
      <c r="S691" s="4"/>
      <c r="T691" s="4"/>
      <c r="U691" s="4"/>
      <c r="V691" s="4"/>
      <c r="W691" s="4"/>
      <c r="X691" s="4"/>
      <c r="Y691" s="4"/>
    </row>
    <row r="692" ht="9.75" customHeight="1">
      <c r="A692" s="65"/>
      <c r="B692" s="79" t="s">
        <v>576</v>
      </c>
      <c r="C692" s="80" t="s">
        <v>34</v>
      </c>
      <c r="D692" s="100"/>
      <c r="E692" s="100">
        <v>1.0</v>
      </c>
      <c r="F692" s="78">
        <v>1.0</v>
      </c>
      <c r="G692" s="90">
        <f t="shared" si="112"/>
        <v>1</v>
      </c>
      <c r="H692" s="4">
        <f t="shared" si="113"/>
        <v>0</v>
      </c>
      <c r="I692" s="59">
        <f t="shared" si="109"/>
        <v>0</v>
      </c>
      <c r="J692" s="4"/>
      <c r="K692" s="4"/>
      <c r="L692" s="4"/>
      <c r="M692" s="4"/>
      <c r="N692" s="4"/>
      <c r="O692" s="4"/>
      <c r="P692" s="4"/>
      <c r="Q692" s="4"/>
      <c r="R692" s="4"/>
      <c r="S692" s="4"/>
      <c r="T692" s="4"/>
      <c r="U692" s="4"/>
      <c r="V692" s="4"/>
      <c r="W692" s="4"/>
      <c r="X692" s="4"/>
      <c r="Y692" s="4"/>
    </row>
    <row r="693" ht="12.75" customHeight="1">
      <c r="A693" s="65" t="s">
        <v>577</v>
      </c>
      <c r="B693" s="82" t="str">
        <f>CONCATENATE("Sous-Total : ",A671," - ",B671)</f>
        <v>Sous-Total :  - Système de péage pour parking</v>
      </c>
      <c r="C693" s="83"/>
      <c r="D693" s="84"/>
      <c r="E693" s="84"/>
      <c r="F693" s="84"/>
      <c r="G693" s="109">
        <f>SUM(G671:G692)</f>
        <v>171310.008</v>
      </c>
      <c r="H693" s="4">
        <f t="shared" si="113"/>
        <v>171310.008</v>
      </c>
      <c r="I693" s="59">
        <f t="shared" si="109"/>
        <v>0.0394502435</v>
      </c>
      <c r="J693" s="4"/>
      <c r="K693" s="4"/>
      <c r="L693" s="4"/>
      <c r="M693" s="4"/>
      <c r="N693" s="4"/>
      <c r="O693" s="4"/>
      <c r="P693" s="4"/>
      <c r="Q693" s="4"/>
      <c r="R693" s="4"/>
      <c r="S693" s="4"/>
      <c r="T693" s="4"/>
      <c r="U693" s="4"/>
      <c r="V693" s="4"/>
      <c r="W693" s="4"/>
      <c r="X693" s="4"/>
      <c r="Y693" s="4"/>
    </row>
    <row r="694" ht="9.75" customHeight="1">
      <c r="A694" s="65"/>
      <c r="B694" s="86" t="s">
        <v>578</v>
      </c>
      <c r="C694" s="87"/>
      <c r="D694" s="88"/>
      <c r="E694" s="88"/>
      <c r="F694" s="88"/>
      <c r="G694" s="88">
        <f t="shared" ref="G694:G698" si="114">E694*F694</f>
        <v>0</v>
      </c>
      <c r="H694" s="4">
        <f t="shared" si="113"/>
        <v>0</v>
      </c>
      <c r="I694" s="59">
        <f t="shared" si="109"/>
        <v>0</v>
      </c>
      <c r="J694" s="4"/>
      <c r="K694" s="4"/>
      <c r="L694" s="4"/>
      <c r="M694" s="4"/>
      <c r="N694" s="4"/>
      <c r="O694" s="4"/>
      <c r="P694" s="4"/>
      <c r="Q694" s="4"/>
      <c r="R694" s="4"/>
      <c r="S694" s="4"/>
      <c r="T694" s="4"/>
      <c r="U694" s="4"/>
      <c r="V694" s="4"/>
      <c r="W694" s="4"/>
      <c r="X694" s="4"/>
      <c r="Y694" s="4"/>
    </row>
    <row r="695" ht="9.75" customHeight="1">
      <c r="A695" s="65"/>
      <c r="B695" s="79"/>
      <c r="C695" s="80"/>
      <c r="D695" s="100"/>
      <c r="E695" s="100"/>
      <c r="F695" s="78"/>
      <c r="G695" s="78">
        <f t="shared" si="114"/>
        <v>0</v>
      </c>
      <c r="H695" s="4">
        <f t="shared" si="113"/>
        <v>0</v>
      </c>
      <c r="I695" s="59">
        <f t="shared" si="109"/>
        <v>0</v>
      </c>
      <c r="J695" s="4"/>
      <c r="K695" s="4"/>
      <c r="L695" s="4"/>
      <c r="M695" s="4"/>
      <c r="N695" s="4"/>
      <c r="O695" s="4"/>
      <c r="P695" s="4"/>
      <c r="Q695" s="4"/>
      <c r="R695" s="4"/>
      <c r="S695" s="4"/>
      <c r="T695" s="4"/>
      <c r="U695" s="4"/>
      <c r="V695" s="4"/>
      <c r="W695" s="4"/>
      <c r="X695" s="4"/>
      <c r="Y695" s="4"/>
    </row>
    <row r="696" ht="9.75" customHeight="1">
      <c r="A696" s="65"/>
      <c r="B696" s="79"/>
      <c r="C696" s="80"/>
      <c r="D696" s="100"/>
      <c r="E696" s="100"/>
      <c r="F696" s="78"/>
      <c r="G696" s="78">
        <f t="shared" si="114"/>
        <v>0</v>
      </c>
      <c r="H696" s="4">
        <f t="shared" si="113"/>
        <v>0</v>
      </c>
      <c r="I696" s="59">
        <f t="shared" si="109"/>
        <v>0</v>
      </c>
      <c r="J696" s="4"/>
      <c r="K696" s="4"/>
      <c r="L696" s="4"/>
      <c r="M696" s="4"/>
      <c r="N696" s="4"/>
      <c r="O696" s="4"/>
      <c r="P696" s="4"/>
      <c r="Q696" s="4"/>
      <c r="R696" s="4"/>
      <c r="S696" s="4"/>
      <c r="T696" s="4"/>
      <c r="U696" s="4"/>
      <c r="V696" s="4"/>
      <c r="W696" s="4"/>
      <c r="X696" s="4"/>
      <c r="Y696" s="4"/>
    </row>
    <row r="697" ht="9.75" customHeight="1">
      <c r="A697" s="65"/>
      <c r="B697" s="79"/>
      <c r="C697" s="80"/>
      <c r="D697" s="100"/>
      <c r="E697" s="100"/>
      <c r="F697" s="78"/>
      <c r="G697" s="78">
        <f t="shared" si="114"/>
        <v>0</v>
      </c>
      <c r="H697" s="4">
        <f t="shared" si="113"/>
        <v>0</v>
      </c>
      <c r="I697" s="59">
        <f t="shared" si="109"/>
        <v>0</v>
      </c>
      <c r="J697" s="4"/>
      <c r="K697" s="4"/>
      <c r="L697" s="4"/>
      <c r="M697" s="4"/>
      <c r="N697" s="4"/>
      <c r="O697" s="4"/>
      <c r="P697" s="4"/>
      <c r="Q697" s="4"/>
      <c r="R697" s="4"/>
      <c r="S697" s="4"/>
      <c r="T697" s="4"/>
      <c r="U697" s="4"/>
      <c r="V697" s="4"/>
      <c r="W697" s="4"/>
      <c r="X697" s="4"/>
      <c r="Y697" s="4"/>
    </row>
    <row r="698" ht="9.75" customHeight="1">
      <c r="A698" s="65"/>
      <c r="B698" s="79"/>
      <c r="C698" s="80"/>
      <c r="D698" s="100"/>
      <c r="E698" s="100">
        <v>1.0</v>
      </c>
      <c r="F698" s="127">
        <v>1.0</v>
      </c>
      <c r="G698" s="78">
        <f t="shared" si="114"/>
        <v>1</v>
      </c>
      <c r="H698" s="4">
        <f t="shared" si="113"/>
        <v>0</v>
      </c>
      <c r="I698" s="59">
        <f t="shared" si="109"/>
        <v>0</v>
      </c>
      <c r="J698" s="4"/>
      <c r="K698" s="4"/>
      <c r="L698" s="4"/>
      <c r="M698" s="4"/>
      <c r="N698" s="4"/>
      <c r="O698" s="4"/>
      <c r="P698" s="4"/>
      <c r="Q698" s="4"/>
      <c r="R698" s="4"/>
      <c r="S698" s="4"/>
      <c r="T698" s="4"/>
      <c r="U698" s="4"/>
      <c r="V698" s="4"/>
      <c r="W698" s="4"/>
      <c r="X698" s="4"/>
      <c r="Y698" s="4"/>
    </row>
    <row r="699" ht="12.75" customHeight="1">
      <c r="A699" s="65" t="s">
        <v>579</v>
      </c>
      <c r="B699" s="129" t="str">
        <f>CONCATENATE("Sous-Total : ",A694," - ",B694)</f>
        <v>Sous-Total :  - Gestion du temps de travail</v>
      </c>
      <c r="C699" s="130"/>
      <c r="D699" s="131"/>
      <c r="E699" s="131"/>
      <c r="F699" s="131"/>
      <c r="G699" s="132">
        <f>SUM(G694:G698)</f>
        <v>1</v>
      </c>
      <c r="H699" s="4">
        <f t="shared" si="113"/>
        <v>1</v>
      </c>
      <c r="I699" s="59">
        <f t="shared" si="109"/>
        <v>0.0000002302856906</v>
      </c>
      <c r="J699" s="4"/>
      <c r="K699" s="4"/>
      <c r="L699" s="4"/>
      <c r="M699" s="4"/>
      <c r="N699" s="4"/>
      <c r="O699" s="4"/>
      <c r="P699" s="4"/>
      <c r="Q699" s="4"/>
      <c r="R699" s="4"/>
      <c r="S699" s="4"/>
      <c r="T699" s="4"/>
      <c r="U699" s="4"/>
      <c r="V699" s="4"/>
      <c r="W699" s="4"/>
      <c r="X699" s="4"/>
      <c r="Y699" s="4"/>
    </row>
    <row r="700" ht="9.75" customHeight="1">
      <c r="A700" s="65"/>
      <c r="B700" s="105" t="s">
        <v>580</v>
      </c>
      <c r="C700" s="106"/>
      <c r="D700" s="98"/>
      <c r="E700" s="98"/>
      <c r="F700" s="98"/>
      <c r="G700" s="107">
        <f t="shared" ref="G700:G708" si="115">E700*F700</f>
        <v>0</v>
      </c>
      <c r="H700" s="4">
        <f t="shared" si="113"/>
        <v>0</v>
      </c>
      <c r="I700" s="59">
        <f t="shared" si="109"/>
        <v>0</v>
      </c>
      <c r="J700" s="4"/>
      <c r="K700" s="4"/>
      <c r="L700" s="4"/>
      <c r="M700" s="4"/>
      <c r="N700" s="4"/>
      <c r="O700" s="4"/>
      <c r="P700" s="4"/>
      <c r="Q700" s="4"/>
      <c r="R700" s="4"/>
      <c r="S700" s="4"/>
      <c r="T700" s="4"/>
      <c r="U700" s="4"/>
      <c r="V700" s="4"/>
      <c r="W700" s="4"/>
      <c r="X700" s="4"/>
      <c r="Y700" s="4"/>
    </row>
    <row r="701" ht="9.75" customHeight="1">
      <c r="A701" s="65"/>
      <c r="B701" s="146" t="s">
        <v>581</v>
      </c>
      <c r="C701" s="147" t="s">
        <v>27</v>
      </c>
      <c r="D701" s="148"/>
      <c r="E701" s="148">
        <f>$F$5</f>
        <v>1</v>
      </c>
      <c r="F701" s="73">
        <v>1.41</v>
      </c>
      <c r="G701" s="90">
        <f t="shared" si="115"/>
        <v>1.41</v>
      </c>
      <c r="H701" s="4"/>
      <c r="I701" s="59"/>
      <c r="J701" s="4"/>
      <c r="K701" s="4"/>
      <c r="L701" s="4"/>
      <c r="M701" s="4"/>
      <c r="N701" s="4"/>
      <c r="O701" s="4"/>
      <c r="P701" s="4"/>
      <c r="Q701" s="4"/>
      <c r="R701" s="4"/>
      <c r="S701" s="4"/>
      <c r="T701" s="4"/>
      <c r="U701" s="4"/>
      <c r="V701" s="4"/>
      <c r="W701" s="4"/>
      <c r="X701" s="4"/>
      <c r="Y701" s="4"/>
    </row>
    <row r="702" ht="9.75" customHeight="1">
      <c r="A702" s="65"/>
      <c r="B702" s="134" t="s">
        <v>582</v>
      </c>
      <c r="C702" s="202" t="s">
        <v>34</v>
      </c>
      <c r="D702" s="116"/>
      <c r="E702" s="117">
        <v>1.0</v>
      </c>
      <c r="F702" s="118">
        <v>2250.0</v>
      </c>
      <c r="G702" s="90">
        <f t="shared" si="115"/>
        <v>2250</v>
      </c>
      <c r="H702" s="4"/>
      <c r="I702" s="59">
        <f t="shared" ref="I702:I719" si="116">IFERROR(H702/$H$6,0)</f>
        <v>0</v>
      </c>
      <c r="J702" s="4"/>
      <c r="K702" s="4"/>
      <c r="L702" s="4"/>
      <c r="M702" s="4"/>
      <c r="N702" s="4"/>
      <c r="O702" s="4"/>
      <c r="P702" s="4"/>
      <c r="Q702" s="4"/>
      <c r="R702" s="4"/>
      <c r="S702" s="4"/>
      <c r="T702" s="4"/>
      <c r="U702" s="4"/>
      <c r="V702" s="4"/>
      <c r="W702" s="4"/>
      <c r="X702" s="4"/>
      <c r="Y702" s="4"/>
    </row>
    <row r="703" ht="9.75" customHeight="1">
      <c r="A703" s="65"/>
      <c r="B703" s="134" t="s">
        <v>583</v>
      </c>
      <c r="C703" s="202" t="s">
        <v>34</v>
      </c>
      <c r="D703" s="116"/>
      <c r="E703" s="117">
        <v>1.0</v>
      </c>
      <c r="F703" s="118">
        <v>350.0</v>
      </c>
      <c r="G703" s="90">
        <f t="shared" si="115"/>
        <v>350</v>
      </c>
      <c r="H703" s="4"/>
      <c r="I703" s="59">
        <f t="shared" si="116"/>
        <v>0</v>
      </c>
      <c r="J703" s="4"/>
      <c r="K703" s="4"/>
      <c r="L703" s="4"/>
      <c r="M703" s="4"/>
      <c r="N703" s="4"/>
      <c r="O703" s="4"/>
      <c r="P703" s="4"/>
      <c r="Q703" s="4"/>
      <c r="R703" s="4"/>
      <c r="S703" s="4"/>
      <c r="T703" s="4"/>
      <c r="U703" s="4"/>
      <c r="V703" s="4"/>
      <c r="W703" s="4"/>
      <c r="X703" s="4"/>
      <c r="Y703" s="4"/>
    </row>
    <row r="704" ht="9.75" customHeight="1">
      <c r="A704" s="65"/>
      <c r="B704" s="150"/>
      <c r="C704" s="151"/>
      <c r="D704" s="127"/>
      <c r="E704" s="127"/>
      <c r="F704" s="127"/>
      <c r="G704" s="128">
        <f t="shared" si="115"/>
        <v>0</v>
      </c>
      <c r="H704" s="4"/>
      <c r="I704" s="59">
        <f t="shared" si="116"/>
        <v>0</v>
      </c>
      <c r="J704" s="4"/>
      <c r="K704" s="4"/>
      <c r="L704" s="4"/>
      <c r="M704" s="4"/>
      <c r="N704" s="4"/>
      <c r="O704" s="4"/>
      <c r="P704" s="4"/>
      <c r="Q704" s="4"/>
      <c r="R704" s="4"/>
      <c r="S704" s="4"/>
      <c r="T704" s="4"/>
      <c r="U704" s="4"/>
      <c r="V704" s="4"/>
      <c r="W704" s="4"/>
      <c r="X704" s="4"/>
      <c r="Y704" s="4"/>
    </row>
    <row r="705" ht="9.75" customHeight="1">
      <c r="A705" s="65"/>
      <c r="B705" s="152" t="s">
        <v>584</v>
      </c>
      <c r="C705" s="153" t="s">
        <v>34</v>
      </c>
      <c r="D705" s="154"/>
      <c r="E705" s="154"/>
      <c r="F705" s="88"/>
      <c r="G705" s="155">
        <f t="shared" si="115"/>
        <v>0</v>
      </c>
      <c r="H705" s="4">
        <f t="shared" ref="H705:H710" si="117">IFERROR(IF(FIND("Sous-",B705,1)&lt;&gt;0,G705,1),0)</f>
        <v>0</v>
      </c>
      <c r="I705" s="59">
        <f t="shared" si="116"/>
        <v>0</v>
      </c>
      <c r="J705" s="4"/>
      <c r="K705" s="4"/>
      <c r="L705" s="4"/>
      <c r="M705" s="4"/>
      <c r="N705" s="4"/>
      <c r="O705" s="4"/>
      <c r="P705" s="4"/>
      <c r="Q705" s="4"/>
      <c r="R705" s="4"/>
      <c r="S705" s="4"/>
      <c r="T705" s="4"/>
      <c r="U705" s="4"/>
      <c r="V705" s="4"/>
      <c r="W705" s="4"/>
      <c r="X705" s="4"/>
      <c r="Y705" s="4"/>
    </row>
    <row r="706" ht="9.75" customHeight="1">
      <c r="A706" s="65"/>
      <c r="B706" s="79" t="s">
        <v>585</v>
      </c>
      <c r="C706" s="80" t="s">
        <v>34</v>
      </c>
      <c r="D706" s="100"/>
      <c r="E706" s="100"/>
      <c r="F706" s="78"/>
      <c r="G706" s="90">
        <f t="shared" si="115"/>
        <v>0</v>
      </c>
      <c r="H706" s="4">
        <f t="shared" si="117"/>
        <v>0</v>
      </c>
      <c r="I706" s="59">
        <f t="shared" si="116"/>
        <v>0</v>
      </c>
      <c r="J706" s="4"/>
      <c r="K706" s="4"/>
      <c r="L706" s="4"/>
      <c r="M706" s="4"/>
      <c r="N706" s="4"/>
      <c r="O706" s="4"/>
      <c r="P706" s="4"/>
      <c r="Q706" s="4"/>
      <c r="R706" s="4"/>
      <c r="S706" s="4"/>
      <c r="T706" s="4"/>
      <c r="U706" s="4"/>
      <c r="V706" s="4"/>
      <c r="W706" s="4"/>
      <c r="X706" s="4"/>
      <c r="Y706" s="4"/>
    </row>
    <row r="707" ht="9.75" customHeight="1">
      <c r="A707" s="65"/>
      <c r="B707" s="79" t="s">
        <v>586</v>
      </c>
      <c r="C707" s="80" t="s">
        <v>32</v>
      </c>
      <c r="D707" s="100"/>
      <c r="E707" s="100"/>
      <c r="F707" s="78"/>
      <c r="G707" s="90">
        <f t="shared" si="115"/>
        <v>0</v>
      </c>
      <c r="H707" s="4">
        <f t="shared" si="117"/>
        <v>0</v>
      </c>
      <c r="I707" s="59">
        <f t="shared" si="116"/>
        <v>0</v>
      </c>
      <c r="J707" s="4"/>
      <c r="K707" s="4"/>
      <c r="L707" s="4"/>
      <c r="M707" s="4"/>
      <c r="N707" s="4"/>
      <c r="O707" s="4"/>
      <c r="P707" s="4"/>
      <c r="Q707" s="4"/>
      <c r="R707" s="4"/>
      <c r="S707" s="4"/>
      <c r="T707" s="4"/>
      <c r="U707" s="4"/>
      <c r="V707" s="4"/>
      <c r="W707" s="4"/>
      <c r="X707" s="4"/>
      <c r="Y707" s="4"/>
    </row>
    <row r="708" ht="9.75" customHeight="1">
      <c r="A708" s="65"/>
      <c r="B708" s="79" t="s">
        <v>587</v>
      </c>
      <c r="C708" s="80" t="s">
        <v>32</v>
      </c>
      <c r="D708" s="100"/>
      <c r="E708" s="100">
        <v>1.0</v>
      </c>
      <c r="F708" s="78">
        <v>1.0</v>
      </c>
      <c r="G708" s="90">
        <f t="shared" si="115"/>
        <v>1</v>
      </c>
      <c r="H708" s="4">
        <f t="shared" si="117"/>
        <v>0</v>
      </c>
      <c r="I708" s="59">
        <f t="shared" si="116"/>
        <v>0</v>
      </c>
      <c r="J708" s="4"/>
      <c r="K708" s="4"/>
      <c r="L708" s="4"/>
      <c r="M708" s="4"/>
      <c r="N708" s="4"/>
      <c r="O708" s="4"/>
      <c r="P708" s="4"/>
      <c r="Q708" s="4"/>
      <c r="R708" s="4"/>
      <c r="S708" s="4"/>
      <c r="T708" s="4"/>
      <c r="U708" s="4"/>
      <c r="V708" s="4"/>
      <c r="W708" s="4"/>
      <c r="X708" s="4"/>
      <c r="Y708" s="4"/>
    </row>
    <row r="709" ht="12.75" customHeight="1">
      <c r="A709" s="65" t="s">
        <v>588</v>
      </c>
      <c r="B709" s="101" t="str">
        <f>CONCATENATE("Sous-Total : ",A700," - ",B700)</f>
        <v>Sous-Total :  - Interphonie / Visiophonie</v>
      </c>
      <c r="C709" s="102"/>
      <c r="D709" s="103"/>
      <c r="E709" s="103"/>
      <c r="F709" s="103"/>
      <c r="G709" s="104">
        <f>SUM(G700:G708)</f>
        <v>2602.41</v>
      </c>
      <c r="H709" s="4">
        <f t="shared" si="117"/>
        <v>2602.41</v>
      </c>
      <c r="I709" s="59">
        <f t="shared" si="116"/>
        <v>0.0005992977841</v>
      </c>
      <c r="J709" s="4"/>
      <c r="K709" s="4"/>
      <c r="L709" s="4"/>
      <c r="M709" s="4"/>
      <c r="N709" s="4"/>
      <c r="O709" s="4"/>
      <c r="P709" s="4"/>
      <c r="Q709" s="4"/>
      <c r="R709" s="4"/>
      <c r="S709" s="4"/>
      <c r="T709" s="4"/>
      <c r="U709" s="4"/>
      <c r="V709" s="4"/>
      <c r="W709" s="4"/>
      <c r="X709" s="4"/>
      <c r="Y709" s="4"/>
    </row>
    <row r="710" ht="9.75" customHeight="1">
      <c r="A710" s="65"/>
      <c r="B710" s="105" t="s">
        <v>589</v>
      </c>
      <c r="C710" s="207"/>
      <c r="D710" s="98"/>
      <c r="E710" s="98"/>
      <c r="F710" s="98"/>
      <c r="G710" s="107">
        <f t="shared" ref="G710:G713" si="118">E710*F710</f>
        <v>0</v>
      </c>
      <c r="H710" s="4">
        <f t="shared" si="117"/>
        <v>0</v>
      </c>
      <c r="I710" s="59">
        <f t="shared" si="116"/>
        <v>0</v>
      </c>
      <c r="J710" s="4"/>
      <c r="K710" s="4"/>
      <c r="L710" s="4"/>
      <c r="M710" s="4"/>
      <c r="N710" s="4"/>
      <c r="O710" s="4"/>
      <c r="P710" s="4"/>
      <c r="Q710" s="4"/>
      <c r="R710" s="4"/>
      <c r="S710" s="4"/>
      <c r="T710" s="4"/>
      <c r="U710" s="4"/>
      <c r="V710" s="4"/>
      <c r="W710" s="4"/>
      <c r="X710" s="4"/>
      <c r="Y710" s="4"/>
    </row>
    <row r="711" ht="9.75" customHeight="1">
      <c r="A711" s="65"/>
      <c r="B711" s="203" t="s">
        <v>590</v>
      </c>
      <c r="C711" s="202" t="s">
        <v>34</v>
      </c>
      <c r="D711" s="116"/>
      <c r="E711" s="117">
        <v>1.0</v>
      </c>
      <c r="F711" s="118">
        <v>2800.0</v>
      </c>
      <c r="G711" s="90">
        <f t="shared" si="118"/>
        <v>2800</v>
      </c>
      <c r="H711" s="4"/>
      <c r="I711" s="59">
        <f t="shared" si="116"/>
        <v>0</v>
      </c>
      <c r="J711" s="4"/>
      <c r="K711" s="4"/>
      <c r="L711" s="4"/>
      <c r="M711" s="4"/>
      <c r="N711" s="4"/>
      <c r="O711" s="4"/>
      <c r="P711" s="4"/>
      <c r="Q711" s="4"/>
      <c r="R711" s="4"/>
      <c r="S711" s="4"/>
      <c r="T711" s="4"/>
      <c r="U711" s="4"/>
      <c r="V711" s="4"/>
      <c r="W711" s="4"/>
      <c r="X711" s="4"/>
      <c r="Y711" s="4"/>
    </row>
    <row r="712" ht="9.75" customHeight="1">
      <c r="A712" s="65"/>
      <c r="B712" s="203" t="s">
        <v>591</v>
      </c>
      <c r="C712" s="202" t="s">
        <v>34</v>
      </c>
      <c r="D712" s="116"/>
      <c r="E712" s="117">
        <v>1.0</v>
      </c>
      <c r="F712" s="118">
        <v>1300.0</v>
      </c>
      <c r="G712" s="90">
        <f t="shared" si="118"/>
        <v>1300</v>
      </c>
      <c r="H712" s="4"/>
      <c r="I712" s="59">
        <f t="shared" si="116"/>
        <v>0</v>
      </c>
      <c r="J712" s="4"/>
      <c r="K712" s="4"/>
      <c r="L712" s="4"/>
      <c r="M712" s="4"/>
      <c r="N712" s="4"/>
      <c r="O712" s="4"/>
      <c r="P712" s="4"/>
      <c r="Q712" s="4"/>
      <c r="R712" s="4"/>
      <c r="S712" s="4"/>
      <c r="T712" s="4"/>
      <c r="U712" s="4"/>
      <c r="V712" s="4"/>
      <c r="W712" s="4"/>
      <c r="X712" s="4"/>
      <c r="Y712" s="4"/>
    </row>
    <row r="713" ht="9.75" customHeight="1">
      <c r="A713" s="65"/>
      <c r="B713" s="203" t="s">
        <v>586</v>
      </c>
      <c r="C713" s="202" t="s">
        <v>32</v>
      </c>
      <c r="D713" s="148"/>
      <c r="E713" s="148">
        <f>$F$5</f>
        <v>1</v>
      </c>
      <c r="F713" s="118">
        <v>0.35</v>
      </c>
      <c r="G713" s="90">
        <f t="shared" si="118"/>
        <v>0.35</v>
      </c>
      <c r="H713" s="4"/>
      <c r="I713" s="59">
        <f t="shared" si="116"/>
        <v>0</v>
      </c>
      <c r="J713" s="4"/>
      <c r="K713" s="4"/>
      <c r="L713" s="4"/>
      <c r="M713" s="4"/>
      <c r="N713" s="4"/>
      <c r="O713" s="4"/>
      <c r="P713" s="4"/>
      <c r="Q713" s="4"/>
      <c r="R713" s="4"/>
      <c r="S713" s="4"/>
      <c r="T713" s="4"/>
      <c r="U713" s="4"/>
      <c r="V713" s="4"/>
      <c r="W713" s="4"/>
      <c r="X713" s="4"/>
      <c r="Y713" s="4"/>
    </row>
    <row r="714" ht="12.75" customHeight="1">
      <c r="A714" s="65" t="s">
        <v>592</v>
      </c>
      <c r="B714" s="82" t="str">
        <f>CONCATENATE("Sous-Total : ",A710," - ",B710)</f>
        <v>Sous-Total :  - Interphonie de sécurité</v>
      </c>
      <c r="C714" s="83"/>
      <c r="D714" s="84"/>
      <c r="E714" s="84"/>
      <c r="F714" s="84"/>
      <c r="G714" s="109">
        <f>SUM(G710:G713)</f>
        <v>4100.35</v>
      </c>
      <c r="H714" s="4">
        <f t="shared" ref="H714:H719" si="119">IFERROR(IF(FIND("Sous-",B714,1)&lt;&gt;0,G714,1),0)</f>
        <v>4100.35</v>
      </c>
      <c r="I714" s="59">
        <f t="shared" si="116"/>
        <v>0.0009442519315</v>
      </c>
      <c r="J714" s="4"/>
      <c r="K714" s="4"/>
      <c r="L714" s="4"/>
      <c r="M714" s="4"/>
      <c r="N714" s="4"/>
      <c r="O714" s="4"/>
      <c r="P714" s="4"/>
      <c r="Q714" s="4"/>
      <c r="R714" s="4"/>
      <c r="S714" s="4"/>
      <c r="T714" s="4"/>
      <c r="U714" s="4"/>
      <c r="V714" s="4"/>
      <c r="W714" s="4"/>
      <c r="X714" s="4"/>
      <c r="Y714" s="4"/>
    </row>
    <row r="715" ht="9.75" customHeight="1">
      <c r="A715" s="65"/>
      <c r="B715" s="86" t="s">
        <v>593</v>
      </c>
      <c r="C715" s="208"/>
      <c r="D715" s="88"/>
      <c r="E715" s="88"/>
      <c r="F715" s="88"/>
      <c r="G715" s="88">
        <f t="shared" ref="G715:G717" si="120">E715*F715</f>
        <v>0</v>
      </c>
      <c r="H715" s="4">
        <f t="shared" si="119"/>
        <v>0</v>
      </c>
      <c r="I715" s="59">
        <f t="shared" si="116"/>
        <v>0</v>
      </c>
      <c r="J715" s="4"/>
      <c r="K715" s="4"/>
      <c r="L715" s="4"/>
      <c r="M715" s="4"/>
      <c r="N715" s="4"/>
      <c r="O715" s="4"/>
      <c r="P715" s="4"/>
      <c r="Q715" s="4"/>
      <c r="R715" s="4"/>
      <c r="S715" s="4"/>
      <c r="T715" s="4"/>
      <c r="U715" s="4"/>
      <c r="V715" s="4"/>
      <c r="W715" s="4"/>
      <c r="X715" s="4"/>
      <c r="Y715" s="4"/>
    </row>
    <row r="716" ht="9.75" customHeight="1">
      <c r="A716" s="65"/>
      <c r="B716" s="79" t="s">
        <v>590</v>
      </c>
      <c r="C716" s="80" t="s">
        <v>34</v>
      </c>
      <c r="D716" s="100"/>
      <c r="E716" s="100"/>
      <c r="F716" s="78"/>
      <c r="G716" s="78">
        <f t="shared" si="120"/>
        <v>0</v>
      </c>
      <c r="H716" s="4">
        <f t="shared" si="119"/>
        <v>0</v>
      </c>
      <c r="I716" s="59">
        <f t="shared" si="116"/>
        <v>0</v>
      </c>
      <c r="J716" s="4"/>
      <c r="K716" s="4"/>
      <c r="L716" s="4"/>
      <c r="M716" s="4"/>
      <c r="N716" s="4"/>
      <c r="O716" s="4"/>
      <c r="P716" s="4"/>
      <c r="Q716" s="4"/>
      <c r="R716" s="4"/>
      <c r="S716" s="4"/>
      <c r="T716" s="4"/>
      <c r="U716" s="4"/>
      <c r="V716" s="4"/>
      <c r="W716" s="4"/>
      <c r="X716" s="4"/>
      <c r="Y716" s="4"/>
    </row>
    <row r="717" ht="9.75" customHeight="1">
      <c r="A717" s="65"/>
      <c r="B717" s="79" t="s">
        <v>591</v>
      </c>
      <c r="C717" s="80" t="s">
        <v>34</v>
      </c>
      <c r="D717" s="100"/>
      <c r="E717" s="100">
        <v>1.0</v>
      </c>
      <c r="F717" s="127">
        <v>1.0</v>
      </c>
      <c r="G717" s="78">
        <f t="shared" si="120"/>
        <v>1</v>
      </c>
      <c r="H717" s="4">
        <f t="shared" si="119"/>
        <v>0</v>
      </c>
      <c r="I717" s="59">
        <f t="shared" si="116"/>
        <v>0</v>
      </c>
      <c r="J717" s="4"/>
      <c r="K717" s="4"/>
      <c r="L717" s="4"/>
      <c r="M717" s="4"/>
      <c r="N717" s="4"/>
      <c r="O717" s="4"/>
      <c r="P717" s="4"/>
      <c r="Q717" s="4"/>
      <c r="R717" s="4"/>
      <c r="S717" s="4"/>
      <c r="T717" s="4"/>
      <c r="U717" s="4"/>
      <c r="V717" s="4"/>
      <c r="W717" s="4"/>
      <c r="X717" s="4"/>
      <c r="Y717" s="4"/>
    </row>
    <row r="718" ht="12.75" customHeight="1">
      <c r="A718" s="65" t="s">
        <v>594</v>
      </c>
      <c r="B718" s="129" t="str">
        <f>CONCATENATE("Sous-Total : ",A715," - ",B715)</f>
        <v>Sous-Total :  - Interphonie de service</v>
      </c>
      <c r="C718" s="130"/>
      <c r="D718" s="131"/>
      <c r="E718" s="131"/>
      <c r="F718" s="131"/>
      <c r="G718" s="132">
        <f>SUM(G715:G717)</f>
        <v>1</v>
      </c>
      <c r="H718" s="4">
        <f t="shared" si="119"/>
        <v>1</v>
      </c>
      <c r="I718" s="59">
        <f t="shared" si="116"/>
        <v>0.0000002302856906</v>
      </c>
      <c r="J718" s="4"/>
      <c r="K718" s="4"/>
      <c r="L718" s="4"/>
      <c r="M718" s="4"/>
      <c r="N718" s="4"/>
      <c r="O718" s="4"/>
      <c r="P718" s="4"/>
      <c r="Q718" s="4"/>
      <c r="R718" s="4"/>
      <c r="S718" s="4"/>
      <c r="T718" s="4"/>
      <c r="U718" s="4"/>
      <c r="V718" s="4"/>
      <c r="W718" s="4"/>
      <c r="X718" s="4"/>
      <c r="Y718" s="4"/>
    </row>
    <row r="719" ht="9.75" customHeight="1">
      <c r="A719" s="65"/>
      <c r="B719" s="105" t="s">
        <v>595</v>
      </c>
      <c r="C719" s="106"/>
      <c r="D719" s="98"/>
      <c r="E719" s="98"/>
      <c r="F719" s="98"/>
      <c r="G719" s="107">
        <f t="shared" ref="G719:G729" si="121">E719*F719</f>
        <v>0</v>
      </c>
      <c r="H719" s="4">
        <f t="shared" si="119"/>
        <v>0</v>
      </c>
      <c r="I719" s="59">
        <f t="shared" si="116"/>
        <v>0</v>
      </c>
      <c r="J719" s="4"/>
      <c r="K719" s="4"/>
      <c r="L719" s="4"/>
      <c r="M719" s="4"/>
      <c r="N719" s="4"/>
      <c r="O719" s="4"/>
      <c r="P719" s="4"/>
      <c r="Q719" s="4"/>
      <c r="R719" s="4"/>
      <c r="S719" s="4"/>
      <c r="T719" s="4"/>
      <c r="U719" s="4"/>
      <c r="V719" s="4"/>
      <c r="W719" s="4"/>
      <c r="X719" s="4"/>
      <c r="Y719" s="4"/>
    </row>
    <row r="720" ht="9.75" customHeight="1">
      <c r="A720" s="65"/>
      <c r="B720" s="146" t="s">
        <v>596</v>
      </c>
      <c r="C720" s="147" t="s">
        <v>34</v>
      </c>
      <c r="D720" s="148"/>
      <c r="E720" s="117">
        <v>1.0</v>
      </c>
      <c r="F720" s="73">
        <v>3700.0</v>
      </c>
      <c r="G720" s="90">
        <f t="shared" si="121"/>
        <v>3700</v>
      </c>
      <c r="H720" s="4"/>
      <c r="I720" s="59"/>
      <c r="J720" s="4"/>
      <c r="K720" s="4"/>
      <c r="L720" s="4"/>
      <c r="M720" s="4"/>
      <c r="N720" s="4"/>
      <c r="O720" s="4"/>
      <c r="P720" s="4"/>
      <c r="Q720" s="4"/>
      <c r="R720" s="4"/>
      <c r="S720" s="4"/>
      <c r="T720" s="4"/>
      <c r="U720" s="4"/>
      <c r="V720" s="4"/>
      <c r="W720" s="4"/>
      <c r="X720" s="4"/>
      <c r="Y720" s="4"/>
    </row>
    <row r="721" ht="9.75" customHeight="1">
      <c r="A721" s="65"/>
      <c r="B721" s="203" t="s">
        <v>597</v>
      </c>
      <c r="C721" s="202" t="s">
        <v>32</v>
      </c>
      <c r="D721" s="116"/>
      <c r="E721" s="117">
        <v>1.0</v>
      </c>
      <c r="F721" s="118">
        <v>4300.0</v>
      </c>
      <c r="G721" s="90">
        <f t="shared" si="121"/>
        <v>4300</v>
      </c>
      <c r="H721" s="4"/>
      <c r="I721" s="59">
        <f t="shared" ref="I721:I740" si="122">IFERROR(H721/$H$6,0)</f>
        <v>0</v>
      </c>
      <c r="J721" s="4"/>
      <c r="K721" s="4"/>
      <c r="L721" s="4"/>
      <c r="M721" s="4"/>
      <c r="N721" s="4"/>
      <c r="O721" s="4"/>
      <c r="P721" s="4"/>
      <c r="Q721" s="4"/>
      <c r="R721" s="4"/>
      <c r="S721" s="4"/>
      <c r="T721" s="4"/>
      <c r="U721" s="4"/>
      <c r="V721" s="4"/>
      <c r="W721" s="4"/>
      <c r="X721" s="4"/>
      <c r="Y721" s="4"/>
    </row>
    <row r="722" ht="9.75" customHeight="1">
      <c r="A722" s="65"/>
      <c r="B722" s="203" t="s">
        <v>598</v>
      </c>
      <c r="C722" s="202" t="s">
        <v>34</v>
      </c>
      <c r="D722" s="116"/>
      <c r="E722" s="117">
        <v>1.0</v>
      </c>
      <c r="F722" s="118">
        <v>90.0</v>
      </c>
      <c r="G722" s="90">
        <f t="shared" si="121"/>
        <v>90</v>
      </c>
      <c r="H722" s="4"/>
      <c r="I722" s="59">
        <f t="shared" si="122"/>
        <v>0</v>
      </c>
      <c r="J722" s="4"/>
      <c r="K722" s="4"/>
      <c r="L722" s="4"/>
      <c r="M722" s="4"/>
      <c r="N722" s="4"/>
      <c r="O722" s="4"/>
      <c r="P722" s="4"/>
      <c r="Q722" s="4"/>
      <c r="R722" s="4"/>
      <c r="S722" s="4"/>
      <c r="T722" s="4"/>
      <c r="U722" s="4"/>
      <c r="V722" s="4"/>
      <c r="W722" s="4"/>
      <c r="X722" s="4"/>
      <c r="Y722" s="4"/>
    </row>
    <row r="723" ht="9.75" customHeight="1">
      <c r="A723" s="65"/>
      <c r="B723" s="91"/>
      <c r="C723" s="92"/>
      <c r="D723" s="93"/>
      <c r="E723" s="93"/>
      <c r="F723" s="93"/>
      <c r="G723" s="94">
        <f t="shared" si="121"/>
        <v>0</v>
      </c>
      <c r="H723" s="4"/>
      <c r="I723" s="59">
        <f t="shared" si="122"/>
        <v>0</v>
      </c>
      <c r="J723" s="4"/>
      <c r="K723" s="4"/>
      <c r="L723" s="4"/>
      <c r="M723" s="4"/>
      <c r="N723" s="4"/>
      <c r="O723" s="4"/>
      <c r="P723" s="4"/>
      <c r="Q723" s="4"/>
      <c r="R723" s="4"/>
      <c r="S723" s="4"/>
      <c r="T723" s="4"/>
      <c r="U723" s="4"/>
      <c r="V723" s="4"/>
      <c r="W723" s="4"/>
      <c r="X723" s="4"/>
      <c r="Y723" s="4"/>
    </row>
    <row r="724" ht="9.75" customHeight="1">
      <c r="A724" s="65"/>
      <c r="B724" s="95" t="s">
        <v>599</v>
      </c>
      <c r="C724" s="96" t="s">
        <v>32</v>
      </c>
      <c r="D724" s="97"/>
      <c r="E724" s="97"/>
      <c r="F724" s="98"/>
      <c r="G724" s="99">
        <f t="shared" si="121"/>
        <v>0</v>
      </c>
      <c r="H724" s="4">
        <f t="shared" ref="H724:H731" si="123">IFERROR(IF(FIND("Sous-",B724,1)&lt;&gt;0,G724,1),0)</f>
        <v>0</v>
      </c>
      <c r="I724" s="59">
        <f t="shared" si="122"/>
        <v>0</v>
      </c>
      <c r="J724" s="4"/>
      <c r="K724" s="4"/>
      <c r="L724" s="4"/>
      <c r="M724" s="4"/>
      <c r="N724" s="4"/>
      <c r="O724" s="4"/>
      <c r="P724" s="4"/>
      <c r="Q724" s="4"/>
      <c r="R724" s="4"/>
      <c r="S724" s="4"/>
      <c r="T724" s="4"/>
      <c r="U724" s="4"/>
      <c r="V724" s="4"/>
      <c r="W724" s="4"/>
      <c r="X724" s="4"/>
      <c r="Y724" s="4"/>
    </row>
    <row r="725" ht="9.75" customHeight="1">
      <c r="A725" s="65"/>
      <c r="B725" s="79" t="s">
        <v>600</v>
      </c>
      <c r="C725" s="80" t="s">
        <v>34</v>
      </c>
      <c r="D725" s="100"/>
      <c r="E725" s="100"/>
      <c r="F725" s="78"/>
      <c r="G725" s="90">
        <f t="shared" si="121"/>
        <v>0</v>
      </c>
      <c r="H725" s="4">
        <f t="shared" si="123"/>
        <v>0</v>
      </c>
      <c r="I725" s="59">
        <f t="shared" si="122"/>
        <v>0</v>
      </c>
      <c r="J725" s="4"/>
      <c r="K725" s="4"/>
      <c r="L725" s="4"/>
      <c r="M725" s="4"/>
      <c r="N725" s="4"/>
      <c r="O725" s="4"/>
      <c r="P725" s="4"/>
      <c r="Q725" s="4"/>
      <c r="R725" s="4"/>
      <c r="S725" s="4"/>
      <c r="T725" s="4"/>
      <c r="U725" s="4"/>
      <c r="V725" s="4"/>
      <c r="W725" s="4"/>
      <c r="X725" s="4"/>
      <c r="Y725" s="4"/>
    </row>
    <row r="726" ht="9.75" customHeight="1">
      <c r="A726" s="65"/>
      <c r="B726" s="79" t="s">
        <v>601</v>
      </c>
      <c r="C726" s="80" t="s">
        <v>34</v>
      </c>
      <c r="D726" s="100"/>
      <c r="E726" s="100"/>
      <c r="F726" s="78"/>
      <c r="G726" s="90">
        <f t="shared" si="121"/>
        <v>0</v>
      </c>
      <c r="H726" s="4">
        <f t="shared" si="123"/>
        <v>0</v>
      </c>
      <c r="I726" s="59">
        <f t="shared" si="122"/>
        <v>0</v>
      </c>
      <c r="J726" s="4"/>
      <c r="K726" s="4"/>
      <c r="L726" s="4"/>
      <c r="M726" s="4"/>
      <c r="N726" s="4"/>
      <c r="O726" s="4"/>
      <c r="P726" s="4"/>
      <c r="Q726" s="4"/>
      <c r="R726" s="4"/>
      <c r="S726" s="4"/>
      <c r="T726" s="4"/>
      <c r="U726" s="4"/>
      <c r="V726" s="4"/>
      <c r="W726" s="4"/>
      <c r="X726" s="4"/>
      <c r="Y726" s="4"/>
    </row>
    <row r="727" ht="9.75" customHeight="1">
      <c r="A727" s="65"/>
      <c r="B727" s="79" t="s">
        <v>602</v>
      </c>
      <c r="C727" s="80" t="s">
        <v>34</v>
      </c>
      <c r="D727" s="100"/>
      <c r="E727" s="100"/>
      <c r="F727" s="78"/>
      <c r="G727" s="90">
        <f t="shared" si="121"/>
        <v>0</v>
      </c>
      <c r="H727" s="4">
        <f t="shared" si="123"/>
        <v>0</v>
      </c>
      <c r="I727" s="59">
        <f t="shared" si="122"/>
        <v>0</v>
      </c>
      <c r="J727" s="4"/>
      <c r="K727" s="4"/>
      <c r="L727" s="4"/>
      <c r="M727" s="4"/>
      <c r="N727" s="4"/>
      <c r="O727" s="4"/>
      <c r="P727" s="4"/>
      <c r="Q727" s="4"/>
      <c r="R727" s="4"/>
      <c r="S727" s="4"/>
      <c r="T727" s="4"/>
      <c r="U727" s="4"/>
      <c r="V727" s="4"/>
      <c r="W727" s="4"/>
      <c r="X727" s="4"/>
      <c r="Y727" s="4"/>
    </row>
    <row r="728" ht="9.75" customHeight="1">
      <c r="A728" s="65"/>
      <c r="B728" s="79" t="s">
        <v>586</v>
      </c>
      <c r="C728" s="80" t="s">
        <v>32</v>
      </c>
      <c r="D728" s="100"/>
      <c r="E728" s="100"/>
      <c r="F728" s="78"/>
      <c r="G728" s="90">
        <f t="shared" si="121"/>
        <v>0</v>
      </c>
      <c r="H728" s="4">
        <f t="shared" si="123"/>
        <v>0</v>
      </c>
      <c r="I728" s="59">
        <f t="shared" si="122"/>
        <v>0</v>
      </c>
      <c r="J728" s="4"/>
      <c r="K728" s="4"/>
      <c r="L728" s="4"/>
      <c r="M728" s="4"/>
      <c r="N728" s="4"/>
      <c r="O728" s="4"/>
      <c r="P728" s="4"/>
      <c r="Q728" s="4"/>
      <c r="R728" s="4"/>
      <c r="S728" s="4"/>
      <c r="T728" s="4"/>
      <c r="U728" s="4"/>
      <c r="V728" s="4"/>
      <c r="W728" s="4"/>
      <c r="X728" s="4"/>
      <c r="Y728" s="4"/>
    </row>
    <row r="729" ht="9.75" customHeight="1">
      <c r="A729" s="65"/>
      <c r="B729" s="79" t="s">
        <v>603</v>
      </c>
      <c r="C729" s="80" t="s">
        <v>32</v>
      </c>
      <c r="D729" s="100"/>
      <c r="E729" s="100">
        <v>1.0</v>
      </c>
      <c r="F729" s="78">
        <v>1.0</v>
      </c>
      <c r="G729" s="90">
        <f t="shared" si="121"/>
        <v>1</v>
      </c>
      <c r="H729" s="4">
        <f t="shared" si="123"/>
        <v>0</v>
      </c>
      <c r="I729" s="59">
        <f t="shared" si="122"/>
        <v>0</v>
      </c>
      <c r="J729" s="4"/>
      <c r="K729" s="4"/>
      <c r="L729" s="4"/>
      <c r="M729" s="4"/>
      <c r="N729" s="4"/>
      <c r="O729" s="4"/>
      <c r="P729" s="4"/>
      <c r="Q729" s="4"/>
      <c r="R729" s="4"/>
      <c r="S729" s="4"/>
      <c r="T729" s="4"/>
      <c r="U729" s="4"/>
      <c r="V729" s="4"/>
      <c r="W729" s="4"/>
      <c r="X729" s="4"/>
      <c r="Y729" s="4"/>
    </row>
    <row r="730" ht="12.75" customHeight="1">
      <c r="A730" s="65" t="s">
        <v>604</v>
      </c>
      <c r="B730" s="101" t="str">
        <f>CONCATENATE("Sous-Total : ",A719," - ",B719)</f>
        <v>Sous-Total :  - Télévision</v>
      </c>
      <c r="C730" s="102"/>
      <c r="D730" s="103"/>
      <c r="E730" s="103"/>
      <c r="F730" s="103"/>
      <c r="G730" s="104">
        <f>SUM(G719:G729)</f>
        <v>8091</v>
      </c>
      <c r="H730" s="4">
        <f t="shared" si="123"/>
        <v>8091</v>
      </c>
      <c r="I730" s="59">
        <f t="shared" si="122"/>
        <v>0.001863241523</v>
      </c>
      <c r="J730" s="4"/>
      <c r="K730" s="4"/>
      <c r="L730" s="4"/>
      <c r="M730" s="4"/>
      <c r="N730" s="4"/>
      <c r="O730" s="4"/>
      <c r="P730" s="4"/>
      <c r="Q730" s="4"/>
      <c r="R730" s="4"/>
      <c r="S730" s="4"/>
      <c r="T730" s="4"/>
      <c r="U730" s="4"/>
      <c r="V730" s="4"/>
      <c r="W730" s="4"/>
      <c r="X730" s="4"/>
      <c r="Y730" s="4"/>
    </row>
    <row r="731" ht="9.75" customHeight="1">
      <c r="A731" s="65"/>
      <c r="B731" s="105" t="s">
        <v>605</v>
      </c>
      <c r="C731" s="106"/>
      <c r="D731" s="98"/>
      <c r="E731" s="98"/>
      <c r="F731" s="98"/>
      <c r="G731" s="107">
        <f t="shared" ref="G731:G736" si="124">E731*F731</f>
        <v>0</v>
      </c>
      <c r="H731" s="4">
        <f t="shared" si="123"/>
        <v>0</v>
      </c>
      <c r="I731" s="59">
        <f t="shared" si="122"/>
        <v>0</v>
      </c>
      <c r="J731" s="4"/>
      <c r="K731" s="4"/>
      <c r="L731" s="4"/>
      <c r="M731" s="4"/>
      <c r="N731" s="4"/>
      <c r="O731" s="4"/>
      <c r="P731" s="4"/>
      <c r="Q731" s="4"/>
      <c r="R731" s="4"/>
      <c r="S731" s="4"/>
      <c r="T731" s="4"/>
      <c r="U731" s="4"/>
      <c r="V731" s="4"/>
      <c r="W731" s="4"/>
      <c r="X731" s="4"/>
      <c r="Y731" s="4"/>
    </row>
    <row r="732" ht="9.75" customHeight="1">
      <c r="A732" s="65"/>
      <c r="B732" s="203" t="s">
        <v>606</v>
      </c>
      <c r="C732" s="202" t="s">
        <v>34</v>
      </c>
      <c r="D732" s="116"/>
      <c r="E732" s="117">
        <v>1.0</v>
      </c>
      <c r="F732" s="118">
        <v>1920.0</v>
      </c>
      <c r="G732" s="90">
        <f t="shared" si="124"/>
        <v>1920</v>
      </c>
      <c r="H732" s="4"/>
      <c r="I732" s="59">
        <f t="shared" si="122"/>
        <v>0</v>
      </c>
      <c r="J732" s="4"/>
      <c r="K732" s="4"/>
      <c r="L732" s="4"/>
      <c r="M732" s="4"/>
      <c r="N732" s="4"/>
      <c r="O732" s="4"/>
      <c r="P732" s="4"/>
      <c r="Q732" s="4"/>
      <c r="R732" s="4"/>
      <c r="S732" s="4"/>
      <c r="T732" s="4"/>
      <c r="U732" s="4"/>
      <c r="V732" s="4"/>
      <c r="W732" s="4"/>
      <c r="X732" s="4"/>
      <c r="Y732" s="4"/>
    </row>
    <row r="733" ht="9.75" customHeight="1">
      <c r="A733" s="65"/>
      <c r="B733" s="203" t="s">
        <v>607</v>
      </c>
      <c r="C733" s="202" t="s">
        <v>34</v>
      </c>
      <c r="D733" s="116"/>
      <c r="E733" s="117">
        <v>1.0</v>
      </c>
      <c r="F733" s="118">
        <v>3830.0</v>
      </c>
      <c r="G733" s="90">
        <f t="shared" si="124"/>
        <v>3830</v>
      </c>
      <c r="H733" s="4"/>
      <c r="I733" s="59">
        <f t="shared" si="122"/>
        <v>0</v>
      </c>
      <c r="J733" s="4"/>
      <c r="K733" s="4"/>
      <c r="L733" s="4"/>
      <c r="M733" s="4"/>
      <c r="N733" s="4"/>
      <c r="O733" s="4"/>
      <c r="P733" s="4"/>
      <c r="Q733" s="4"/>
      <c r="R733" s="4"/>
      <c r="S733" s="4"/>
      <c r="T733" s="4"/>
      <c r="U733" s="4"/>
      <c r="V733" s="4"/>
      <c r="W733" s="4"/>
      <c r="X733" s="4"/>
      <c r="Y733" s="4"/>
    </row>
    <row r="734" ht="9.75" customHeight="1">
      <c r="A734" s="65"/>
      <c r="B734" s="150"/>
      <c r="C734" s="151"/>
      <c r="D734" s="127"/>
      <c r="E734" s="127"/>
      <c r="F734" s="127"/>
      <c r="G734" s="128">
        <f t="shared" si="124"/>
        <v>0</v>
      </c>
      <c r="H734" s="4"/>
      <c r="I734" s="59">
        <f t="shared" si="122"/>
        <v>0</v>
      </c>
      <c r="J734" s="4"/>
      <c r="K734" s="4"/>
      <c r="L734" s="4"/>
      <c r="M734" s="4"/>
      <c r="N734" s="4"/>
      <c r="O734" s="4"/>
      <c r="P734" s="4"/>
      <c r="Q734" s="4"/>
      <c r="R734" s="4"/>
      <c r="S734" s="4"/>
      <c r="T734" s="4"/>
      <c r="U734" s="4"/>
      <c r="V734" s="4"/>
      <c r="W734" s="4"/>
      <c r="X734" s="4"/>
      <c r="Y734" s="4"/>
    </row>
    <row r="735" ht="9.75" customHeight="1">
      <c r="A735" s="65"/>
      <c r="B735" s="152" t="s">
        <v>608</v>
      </c>
      <c r="C735" s="153"/>
      <c r="D735" s="154"/>
      <c r="E735" s="154"/>
      <c r="F735" s="88"/>
      <c r="G735" s="155">
        <f t="shared" si="124"/>
        <v>0</v>
      </c>
      <c r="H735" s="4">
        <f t="shared" ref="H735:H738" si="125">IFERROR(IF(FIND("Sous-",B735,1)&lt;&gt;0,G735,1),0)</f>
        <v>0</v>
      </c>
      <c r="I735" s="59">
        <f t="shared" si="122"/>
        <v>0</v>
      </c>
      <c r="J735" s="4"/>
      <c r="K735" s="4"/>
      <c r="L735" s="4"/>
      <c r="M735" s="4"/>
      <c r="N735" s="4"/>
      <c r="O735" s="4"/>
      <c r="P735" s="4"/>
      <c r="Q735" s="4"/>
      <c r="R735" s="4"/>
      <c r="S735" s="4"/>
      <c r="T735" s="4"/>
      <c r="U735" s="4"/>
      <c r="V735" s="4"/>
      <c r="W735" s="4"/>
      <c r="X735" s="4"/>
      <c r="Y735" s="4"/>
    </row>
    <row r="736" ht="9.75" customHeight="1">
      <c r="A736" s="65"/>
      <c r="B736" s="79" t="s">
        <v>609</v>
      </c>
      <c r="C736" s="80"/>
      <c r="D736" s="100"/>
      <c r="E736" s="100">
        <v>1.0</v>
      </c>
      <c r="F736" s="78">
        <v>1.0</v>
      </c>
      <c r="G736" s="90">
        <f t="shared" si="124"/>
        <v>1</v>
      </c>
      <c r="H736" s="4">
        <f t="shared" si="125"/>
        <v>0</v>
      </c>
      <c r="I736" s="59">
        <f t="shared" si="122"/>
        <v>0</v>
      </c>
      <c r="J736" s="4"/>
      <c r="K736" s="4"/>
      <c r="L736" s="4"/>
      <c r="M736" s="4"/>
      <c r="N736" s="4"/>
      <c r="O736" s="4"/>
      <c r="P736" s="4"/>
      <c r="Q736" s="4"/>
      <c r="R736" s="4"/>
      <c r="S736" s="4"/>
      <c r="T736" s="4"/>
      <c r="U736" s="4"/>
      <c r="V736" s="4"/>
      <c r="W736" s="4"/>
      <c r="X736" s="4"/>
      <c r="Y736" s="4"/>
    </row>
    <row r="737" ht="12.75" customHeight="1">
      <c r="A737" s="65" t="s">
        <v>610</v>
      </c>
      <c r="B737" s="101" t="str">
        <f>CONCATENATE("Sous-Total : ",A731," - ",B731)</f>
        <v>Sous-Total :  - Alarme technique</v>
      </c>
      <c r="C737" s="102"/>
      <c r="D737" s="103"/>
      <c r="E737" s="103"/>
      <c r="F737" s="103"/>
      <c r="G737" s="104">
        <f>SUM(G731:G736)</f>
        <v>5751</v>
      </c>
      <c r="H737" s="4">
        <f t="shared" si="125"/>
        <v>5751</v>
      </c>
      <c r="I737" s="59">
        <f t="shared" si="122"/>
        <v>0.001324373007</v>
      </c>
      <c r="J737" s="4"/>
      <c r="K737" s="4"/>
      <c r="L737" s="4"/>
      <c r="M737" s="4"/>
      <c r="N737" s="4"/>
      <c r="O737" s="4"/>
      <c r="P737" s="4"/>
      <c r="Q737" s="4"/>
      <c r="R737" s="4"/>
      <c r="S737" s="4"/>
      <c r="T737" s="4"/>
      <c r="U737" s="4"/>
      <c r="V737" s="4"/>
      <c r="W737" s="4"/>
      <c r="X737" s="4"/>
      <c r="Y737" s="4"/>
    </row>
    <row r="738" ht="9.75" customHeight="1">
      <c r="A738" s="65"/>
      <c r="B738" s="105" t="s">
        <v>611</v>
      </c>
      <c r="C738" s="106"/>
      <c r="D738" s="98"/>
      <c r="E738" s="98"/>
      <c r="F738" s="98"/>
      <c r="G738" s="107">
        <f t="shared" ref="G738:G750" si="126">E738*F738</f>
        <v>0</v>
      </c>
      <c r="H738" s="4">
        <f t="shared" si="125"/>
        <v>0</v>
      </c>
      <c r="I738" s="59">
        <f t="shared" si="122"/>
        <v>0</v>
      </c>
      <c r="J738" s="4"/>
      <c r="K738" s="4"/>
      <c r="L738" s="4"/>
      <c r="M738" s="4"/>
      <c r="N738" s="4"/>
      <c r="O738" s="4"/>
      <c r="P738" s="4"/>
      <c r="Q738" s="4"/>
      <c r="R738" s="4"/>
      <c r="S738" s="4"/>
      <c r="T738" s="4"/>
      <c r="U738" s="4"/>
      <c r="V738" s="4"/>
      <c r="W738" s="4"/>
      <c r="X738" s="4"/>
      <c r="Y738" s="4"/>
    </row>
    <row r="739" ht="9.75" customHeight="1">
      <c r="A739" s="65"/>
      <c r="B739" s="146" t="s">
        <v>612</v>
      </c>
      <c r="C739" s="147" t="s">
        <v>27</v>
      </c>
      <c r="D739" s="148"/>
      <c r="E739" s="117">
        <v>1.0</v>
      </c>
      <c r="F739" s="73">
        <v>2.8</v>
      </c>
      <c r="G739" s="90">
        <f t="shared" si="126"/>
        <v>2.8</v>
      </c>
      <c r="H739" s="4"/>
      <c r="I739" s="59">
        <f t="shared" si="122"/>
        <v>0</v>
      </c>
      <c r="J739" s="4"/>
      <c r="K739" s="4"/>
      <c r="L739" s="4"/>
      <c r="M739" s="4"/>
      <c r="N739" s="4"/>
      <c r="O739" s="4"/>
      <c r="P739" s="4"/>
      <c r="Q739" s="4"/>
      <c r="R739" s="4"/>
      <c r="S739" s="4"/>
      <c r="T739" s="4"/>
      <c r="U739" s="4"/>
      <c r="V739" s="4"/>
      <c r="W739" s="4"/>
      <c r="X739" s="4"/>
      <c r="Y739" s="4"/>
    </row>
    <row r="740" ht="9.75" customHeight="1">
      <c r="A740" s="65"/>
      <c r="B740" s="146" t="s">
        <v>613</v>
      </c>
      <c r="C740" s="147" t="s">
        <v>27</v>
      </c>
      <c r="D740" s="148"/>
      <c r="E740" s="117">
        <v>1.0</v>
      </c>
      <c r="F740" s="73">
        <v>0.9</v>
      </c>
      <c r="G740" s="90">
        <f t="shared" si="126"/>
        <v>0.9</v>
      </c>
      <c r="H740" s="4"/>
      <c r="I740" s="59">
        <f t="shared" si="122"/>
        <v>0</v>
      </c>
      <c r="J740" s="4"/>
      <c r="K740" s="4"/>
      <c r="L740" s="4"/>
      <c r="M740" s="4"/>
      <c r="N740" s="4"/>
      <c r="O740" s="4"/>
      <c r="P740" s="4"/>
      <c r="Q740" s="4"/>
      <c r="R740" s="4"/>
      <c r="S740" s="4"/>
      <c r="T740" s="4"/>
      <c r="U740" s="4"/>
      <c r="V740" s="4"/>
      <c r="W740" s="4"/>
      <c r="X740" s="4"/>
      <c r="Y740" s="4"/>
    </row>
    <row r="741" ht="9.75" customHeight="1">
      <c r="A741" s="65"/>
      <c r="B741" s="146" t="s">
        <v>614</v>
      </c>
      <c r="C741" s="147" t="s">
        <v>27</v>
      </c>
      <c r="D741" s="148"/>
      <c r="E741" s="117">
        <v>1.0</v>
      </c>
      <c r="F741" s="73">
        <v>0.4</v>
      </c>
      <c r="G741" s="90">
        <f t="shared" si="126"/>
        <v>0.4</v>
      </c>
      <c r="H741" s="4"/>
      <c r="I741" s="59"/>
      <c r="J741" s="4"/>
      <c r="K741" s="4"/>
      <c r="L741" s="4"/>
      <c r="M741" s="4"/>
      <c r="N741" s="4"/>
      <c r="O741" s="4"/>
      <c r="P741" s="4"/>
      <c r="Q741" s="4"/>
      <c r="R741" s="4"/>
      <c r="S741" s="4"/>
      <c r="T741" s="4"/>
      <c r="U741" s="4"/>
      <c r="V741" s="4"/>
      <c r="W741" s="4"/>
      <c r="X741" s="4"/>
      <c r="Y741" s="4"/>
    </row>
    <row r="742" ht="9.75" customHeight="1">
      <c r="A742" s="65"/>
      <c r="B742" s="203" t="s">
        <v>615</v>
      </c>
      <c r="C742" s="202" t="s">
        <v>34</v>
      </c>
      <c r="D742" s="116"/>
      <c r="E742" s="117">
        <v>1.0</v>
      </c>
      <c r="F742" s="118">
        <v>1200.0</v>
      </c>
      <c r="G742" s="90">
        <f t="shared" si="126"/>
        <v>1200</v>
      </c>
      <c r="H742" s="4"/>
      <c r="I742" s="59">
        <f t="shared" ref="I742:I750" si="127">IFERROR(H742/$H$6,0)</f>
        <v>0</v>
      </c>
      <c r="J742" s="4"/>
      <c r="K742" s="4"/>
      <c r="L742" s="4"/>
      <c r="M742" s="4"/>
      <c r="N742" s="4"/>
      <c r="O742" s="4"/>
      <c r="P742" s="4"/>
      <c r="Q742" s="4"/>
      <c r="R742" s="4"/>
      <c r="S742" s="4"/>
      <c r="T742" s="4"/>
      <c r="U742" s="4"/>
      <c r="V742" s="4"/>
      <c r="W742" s="4"/>
      <c r="X742" s="4"/>
      <c r="Y742" s="4"/>
    </row>
    <row r="743" ht="9.75" customHeight="1">
      <c r="A743" s="65"/>
      <c r="B743" s="203" t="s">
        <v>616</v>
      </c>
      <c r="C743" s="202" t="s">
        <v>34</v>
      </c>
      <c r="D743" s="116"/>
      <c r="E743" s="117">
        <v>1.0</v>
      </c>
      <c r="F743" s="118">
        <v>250.0</v>
      </c>
      <c r="G743" s="90">
        <f t="shared" si="126"/>
        <v>250</v>
      </c>
      <c r="H743" s="4"/>
      <c r="I743" s="59">
        <f t="shared" si="127"/>
        <v>0</v>
      </c>
      <c r="J743" s="4"/>
      <c r="K743" s="4"/>
      <c r="L743" s="4"/>
      <c r="M743" s="4"/>
      <c r="N743" s="4"/>
      <c r="O743" s="4"/>
      <c r="P743" s="4"/>
      <c r="Q743" s="4"/>
      <c r="R743" s="4"/>
      <c r="S743" s="4"/>
      <c r="T743" s="4"/>
      <c r="U743" s="4"/>
      <c r="V743" s="4"/>
      <c r="W743" s="4"/>
      <c r="X743" s="4"/>
      <c r="Y743" s="4"/>
    </row>
    <row r="744" ht="9.75" customHeight="1">
      <c r="A744" s="65"/>
      <c r="B744" s="203" t="s">
        <v>617</v>
      </c>
      <c r="C744" s="202" t="s">
        <v>34</v>
      </c>
      <c r="D744" s="116"/>
      <c r="E744" s="117">
        <v>1.0</v>
      </c>
      <c r="F744" s="118">
        <v>40.0</v>
      </c>
      <c r="G744" s="90">
        <f t="shared" si="126"/>
        <v>40</v>
      </c>
      <c r="H744" s="4"/>
      <c r="I744" s="59">
        <f t="shared" si="127"/>
        <v>0</v>
      </c>
      <c r="J744" s="4"/>
      <c r="K744" s="4"/>
      <c r="L744" s="4"/>
      <c r="M744" s="4"/>
      <c r="N744" s="4"/>
      <c r="O744" s="4"/>
      <c r="P744" s="4"/>
      <c r="Q744" s="4"/>
      <c r="R744" s="4"/>
      <c r="S744" s="4"/>
      <c r="T744" s="4"/>
      <c r="U744" s="4"/>
      <c r="V744" s="4"/>
      <c r="W744" s="4"/>
      <c r="X744" s="4"/>
      <c r="Y744" s="4"/>
    </row>
    <row r="745" ht="9.75" customHeight="1">
      <c r="A745" s="65"/>
      <c r="B745" s="203" t="s">
        <v>618</v>
      </c>
      <c r="C745" s="202" t="s">
        <v>34</v>
      </c>
      <c r="D745" s="116"/>
      <c r="E745" s="117">
        <v>1.0</v>
      </c>
      <c r="F745" s="118">
        <v>30.0</v>
      </c>
      <c r="G745" s="90">
        <f t="shared" si="126"/>
        <v>30</v>
      </c>
      <c r="H745" s="4"/>
      <c r="I745" s="59">
        <f t="shared" si="127"/>
        <v>0</v>
      </c>
      <c r="J745" s="4"/>
      <c r="K745" s="4"/>
      <c r="L745" s="4"/>
      <c r="M745" s="4"/>
      <c r="N745" s="4"/>
      <c r="O745" s="4"/>
      <c r="P745" s="4"/>
      <c r="Q745" s="4"/>
      <c r="R745" s="4"/>
      <c r="S745" s="4"/>
      <c r="T745" s="4"/>
      <c r="U745" s="4"/>
      <c r="V745" s="4"/>
      <c r="W745" s="4"/>
      <c r="X745" s="4"/>
      <c r="Y745" s="4"/>
    </row>
    <row r="746" ht="9.75" customHeight="1">
      <c r="A746" s="65"/>
      <c r="B746" s="203" t="s">
        <v>619</v>
      </c>
      <c r="C746" s="202" t="s">
        <v>34</v>
      </c>
      <c r="D746" s="116"/>
      <c r="E746" s="117">
        <v>1.0</v>
      </c>
      <c r="F746" s="118">
        <v>110.0</v>
      </c>
      <c r="G746" s="90">
        <f t="shared" si="126"/>
        <v>110</v>
      </c>
      <c r="H746" s="4"/>
      <c r="I746" s="59">
        <f t="shared" si="127"/>
        <v>0</v>
      </c>
      <c r="J746" s="4"/>
      <c r="K746" s="4"/>
      <c r="L746" s="4"/>
      <c r="M746" s="4"/>
      <c r="N746" s="4"/>
      <c r="O746" s="4"/>
      <c r="P746" s="4"/>
      <c r="Q746" s="4"/>
      <c r="R746" s="4"/>
      <c r="S746" s="4"/>
      <c r="T746" s="4"/>
      <c r="U746" s="4"/>
      <c r="V746" s="4"/>
      <c r="W746" s="4"/>
      <c r="X746" s="4"/>
      <c r="Y746" s="4"/>
    </row>
    <row r="747" ht="9.75" customHeight="1">
      <c r="A747" s="65"/>
      <c r="B747" s="203" t="s">
        <v>620</v>
      </c>
      <c r="C747" s="202" t="s">
        <v>34</v>
      </c>
      <c r="D747" s="116"/>
      <c r="E747" s="117">
        <v>1.0</v>
      </c>
      <c r="F747" s="118">
        <v>82.0</v>
      </c>
      <c r="G747" s="90">
        <f t="shared" si="126"/>
        <v>82</v>
      </c>
      <c r="H747" s="4"/>
      <c r="I747" s="59">
        <f t="shared" si="127"/>
        <v>0</v>
      </c>
      <c r="J747" s="4"/>
      <c r="K747" s="4"/>
      <c r="L747" s="4"/>
      <c r="M747" s="4"/>
      <c r="N747" s="4"/>
      <c r="O747" s="4"/>
      <c r="P747" s="4"/>
      <c r="Q747" s="4"/>
      <c r="R747" s="4"/>
      <c r="S747" s="4"/>
      <c r="T747" s="4"/>
      <c r="U747" s="4"/>
      <c r="V747" s="4"/>
      <c r="W747" s="4"/>
      <c r="X747" s="4"/>
      <c r="Y747" s="4"/>
    </row>
    <row r="748" ht="9.75" customHeight="1">
      <c r="A748" s="65"/>
      <c r="B748" s="146" t="s">
        <v>621</v>
      </c>
      <c r="C748" s="147" t="s">
        <v>27</v>
      </c>
      <c r="D748" s="148"/>
      <c r="E748" s="117">
        <v>1.0</v>
      </c>
      <c r="F748" s="73">
        <v>0.5</v>
      </c>
      <c r="G748" s="90">
        <f t="shared" si="126"/>
        <v>0.5</v>
      </c>
      <c r="H748" s="4"/>
      <c r="I748" s="59">
        <f t="shared" si="127"/>
        <v>0</v>
      </c>
      <c r="J748" s="4"/>
      <c r="K748" s="4"/>
      <c r="L748" s="4"/>
      <c r="M748" s="4"/>
      <c r="N748" s="4"/>
      <c r="O748" s="4"/>
      <c r="P748" s="4"/>
      <c r="Q748" s="4"/>
      <c r="R748" s="4"/>
      <c r="S748" s="4"/>
      <c r="T748" s="4"/>
      <c r="U748" s="4"/>
      <c r="V748" s="4"/>
      <c r="W748" s="4"/>
      <c r="X748" s="4"/>
      <c r="Y748" s="4"/>
    </row>
    <row r="749" ht="9.75" customHeight="1">
      <c r="A749" s="65"/>
      <c r="B749" s="203" t="s">
        <v>622</v>
      </c>
      <c r="C749" s="202" t="s">
        <v>32</v>
      </c>
      <c r="D749" s="116"/>
      <c r="E749" s="117">
        <v>1.0</v>
      </c>
      <c r="F749" s="118">
        <v>3500.0</v>
      </c>
      <c r="G749" s="90">
        <f t="shared" si="126"/>
        <v>3500</v>
      </c>
      <c r="H749" s="4"/>
      <c r="I749" s="59">
        <f t="shared" si="127"/>
        <v>0</v>
      </c>
      <c r="J749" s="4"/>
      <c r="K749" s="4"/>
      <c r="L749" s="4"/>
      <c r="M749" s="4"/>
      <c r="N749" s="4"/>
      <c r="O749" s="4"/>
      <c r="P749" s="4"/>
      <c r="Q749" s="4"/>
      <c r="R749" s="4"/>
      <c r="S749" s="4"/>
      <c r="T749" s="4"/>
      <c r="U749" s="4"/>
      <c r="V749" s="4"/>
      <c r="W749" s="4"/>
      <c r="X749" s="4"/>
      <c r="Y749" s="4"/>
    </row>
    <row r="750" ht="9.75" customHeight="1">
      <c r="A750" s="65"/>
      <c r="B750" s="203" t="s">
        <v>623</v>
      </c>
      <c r="C750" s="202" t="s">
        <v>34</v>
      </c>
      <c r="D750" s="116"/>
      <c r="E750" s="117">
        <v>1.0</v>
      </c>
      <c r="F750" s="118">
        <v>12000.0</v>
      </c>
      <c r="G750" s="90">
        <f t="shared" si="126"/>
        <v>12000</v>
      </c>
      <c r="H750" s="4"/>
      <c r="I750" s="59">
        <f t="shared" si="127"/>
        <v>0</v>
      </c>
      <c r="J750" s="4"/>
      <c r="K750" s="4"/>
      <c r="L750" s="4"/>
      <c r="M750" s="4"/>
      <c r="N750" s="4"/>
      <c r="O750" s="4"/>
      <c r="P750" s="4"/>
      <c r="Q750" s="4"/>
      <c r="R750" s="4"/>
      <c r="S750" s="4"/>
      <c r="T750" s="4"/>
      <c r="U750" s="4"/>
      <c r="V750" s="4"/>
      <c r="W750" s="4"/>
      <c r="X750" s="4"/>
      <c r="Y750" s="4"/>
    </row>
    <row r="751" ht="9.75" customHeight="1">
      <c r="A751" s="65"/>
      <c r="B751" s="209"/>
      <c r="C751" s="210"/>
      <c r="D751" s="121"/>
      <c r="E751" s="117">
        <v>1.0</v>
      </c>
      <c r="F751" s="122"/>
      <c r="G751" s="94"/>
      <c r="H751" s="4"/>
      <c r="I751" s="59"/>
      <c r="J751" s="4">
        <v>15000.0</v>
      </c>
      <c r="K751" s="4"/>
      <c r="L751" s="4"/>
      <c r="M751" s="4"/>
      <c r="N751" s="4"/>
      <c r="O751" s="4"/>
      <c r="P751" s="4"/>
      <c r="Q751" s="4"/>
      <c r="R751" s="4"/>
      <c r="S751" s="4"/>
      <c r="T751" s="4"/>
      <c r="U751" s="4"/>
      <c r="V751" s="4"/>
      <c r="W751" s="4"/>
      <c r="X751" s="4"/>
      <c r="Y751" s="4"/>
    </row>
    <row r="752" ht="9.75" customHeight="1">
      <c r="A752" s="65"/>
      <c r="B752" s="150" t="s">
        <v>624</v>
      </c>
      <c r="C752" s="151" t="s">
        <v>51</v>
      </c>
      <c r="D752" s="127"/>
      <c r="E752" s="117">
        <v>1.0</v>
      </c>
      <c r="F752" s="127">
        <v>32.0</v>
      </c>
      <c r="G752" s="90">
        <f t="shared" ref="G752:G759" si="128">E752*F752</f>
        <v>32</v>
      </c>
      <c r="H752" s="4"/>
      <c r="I752" s="59">
        <f t="shared" ref="I752:I761" si="129">IFERROR(H752/$H$6,0)</f>
        <v>0</v>
      </c>
      <c r="J752" s="4">
        <v>500.0</v>
      </c>
      <c r="K752" s="4"/>
      <c r="L752" s="4"/>
      <c r="M752" s="4"/>
      <c r="N752" s="4"/>
      <c r="O752" s="4"/>
      <c r="P752" s="4"/>
      <c r="Q752" s="4"/>
      <c r="R752" s="4"/>
      <c r="S752" s="4"/>
      <c r="T752" s="4"/>
      <c r="U752" s="4"/>
      <c r="V752" s="4"/>
      <c r="W752" s="4"/>
      <c r="X752" s="4"/>
      <c r="Y752" s="4"/>
    </row>
    <row r="753" ht="9.75" customHeight="1">
      <c r="A753" s="65"/>
      <c r="B753" s="152" t="s">
        <v>625</v>
      </c>
      <c r="C753" s="153" t="s">
        <v>34</v>
      </c>
      <c r="D753" s="154"/>
      <c r="E753" s="154"/>
      <c r="F753" s="88"/>
      <c r="G753" s="155">
        <f t="shared" si="128"/>
        <v>0</v>
      </c>
      <c r="H753" s="4">
        <f t="shared" ref="H753:H761" si="130">IFERROR(IF(FIND("Sous-",B753,1)&lt;&gt;0,G753,1),0)</f>
        <v>0</v>
      </c>
      <c r="I753" s="59">
        <f t="shared" si="129"/>
        <v>0</v>
      </c>
      <c r="J753" s="4">
        <f>J751/J752</f>
        <v>30</v>
      </c>
      <c r="K753" s="4"/>
      <c r="L753" s="4"/>
      <c r="M753" s="4"/>
      <c r="N753" s="4"/>
      <c r="O753" s="4"/>
      <c r="P753" s="4"/>
      <c r="Q753" s="4"/>
      <c r="R753" s="4"/>
      <c r="S753" s="4"/>
      <c r="T753" s="4"/>
      <c r="U753" s="4"/>
      <c r="V753" s="4"/>
      <c r="W753" s="4"/>
      <c r="X753" s="4"/>
      <c r="Y753" s="4"/>
    </row>
    <row r="754" ht="9.75" customHeight="1">
      <c r="A754" s="65"/>
      <c r="B754" s="79" t="s">
        <v>626</v>
      </c>
      <c r="C754" s="80" t="s">
        <v>34</v>
      </c>
      <c r="D754" s="100"/>
      <c r="E754" s="100"/>
      <c r="F754" s="78"/>
      <c r="G754" s="90">
        <f t="shared" si="128"/>
        <v>0</v>
      </c>
      <c r="H754" s="4">
        <f t="shared" si="130"/>
        <v>0</v>
      </c>
      <c r="I754" s="59">
        <f t="shared" si="129"/>
        <v>0</v>
      </c>
      <c r="J754" s="4"/>
      <c r="K754" s="4"/>
      <c r="L754" s="4"/>
      <c r="M754" s="4"/>
      <c r="N754" s="4"/>
      <c r="O754" s="4"/>
      <c r="P754" s="4"/>
      <c r="Q754" s="4"/>
      <c r="R754" s="4"/>
      <c r="S754" s="4"/>
      <c r="T754" s="4"/>
      <c r="U754" s="4"/>
      <c r="V754" s="4"/>
      <c r="W754" s="4"/>
      <c r="X754" s="4"/>
      <c r="Y754" s="4"/>
    </row>
    <row r="755" ht="9.75" customHeight="1">
      <c r="A755" s="65"/>
      <c r="B755" s="79" t="s">
        <v>627</v>
      </c>
      <c r="C755" s="80" t="s">
        <v>34</v>
      </c>
      <c r="D755" s="100"/>
      <c r="E755" s="100"/>
      <c r="F755" s="78"/>
      <c r="G755" s="90">
        <f t="shared" si="128"/>
        <v>0</v>
      </c>
      <c r="H755" s="4">
        <f t="shared" si="130"/>
        <v>0</v>
      </c>
      <c r="I755" s="59">
        <f t="shared" si="129"/>
        <v>0</v>
      </c>
      <c r="J755" s="4"/>
      <c r="K755" s="4"/>
      <c r="L755" s="4"/>
      <c r="M755" s="4"/>
      <c r="N755" s="4"/>
      <c r="O755" s="4"/>
      <c r="P755" s="4"/>
      <c r="Q755" s="4"/>
      <c r="R755" s="4"/>
      <c r="S755" s="4"/>
      <c r="T755" s="4"/>
      <c r="U755" s="4"/>
      <c r="V755" s="4"/>
      <c r="W755" s="4"/>
      <c r="X755" s="4"/>
      <c r="Y755" s="4"/>
    </row>
    <row r="756" ht="9.75" customHeight="1">
      <c r="A756" s="65"/>
      <c r="B756" s="79" t="s">
        <v>628</v>
      </c>
      <c r="C756" s="80" t="s">
        <v>34</v>
      </c>
      <c r="D756" s="100"/>
      <c r="E756" s="100"/>
      <c r="F756" s="78"/>
      <c r="G756" s="90">
        <f t="shared" si="128"/>
        <v>0</v>
      </c>
      <c r="H756" s="4">
        <f t="shared" si="130"/>
        <v>0</v>
      </c>
      <c r="I756" s="59">
        <f t="shared" si="129"/>
        <v>0</v>
      </c>
      <c r="J756" s="4"/>
      <c r="K756" s="4"/>
      <c r="L756" s="4"/>
      <c r="M756" s="4"/>
      <c r="N756" s="4"/>
      <c r="O756" s="4"/>
      <c r="P756" s="4"/>
      <c r="Q756" s="4"/>
      <c r="R756" s="4"/>
      <c r="S756" s="4"/>
      <c r="T756" s="4"/>
      <c r="U756" s="4"/>
      <c r="V756" s="4"/>
      <c r="W756" s="4"/>
      <c r="X756" s="4"/>
      <c r="Y756" s="4"/>
    </row>
    <row r="757" ht="9.75" customHeight="1">
      <c r="A757" s="65"/>
      <c r="B757" s="79" t="s">
        <v>629</v>
      </c>
      <c r="C757" s="80" t="s">
        <v>34</v>
      </c>
      <c r="D757" s="100"/>
      <c r="E757" s="100"/>
      <c r="F757" s="78"/>
      <c r="G757" s="90">
        <f t="shared" si="128"/>
        <v>0</v>
      </c>
      <c r="H757" s="4">
        <f t="shared" si="130"/>
        <v>0</v>
      </c>
      <c r="I757" s="59">
        <f t="shared" si="129"/>
        <v>0</v>
      </c>
      <c r="J757" s="4"/>
      <c r="K757" s="4"/>
      <c r="L757" s="4"/>
      <c r="M757" s="4"/>
      <c r="N757" s="4"/>
      <c r="O757" s="4"/>
      <c r="P757" s="4"/>
      <c r="Q757" s="4"/>
      <c r="R757" s="4"/>
      <c r="S757" s="4"/>
      <c r="T757" s="4"/>
      <c r="U757" s="4"/>
      <c r="V757" s="4"/>
      <c r="W757" s="4"/>
      <c r="X757" s="4"/>
      <c r="Y757" s="4"/>
    </row>
    <row r="758" ht="9.75" customHeight="1">
      <c r="A758" s="65"/>
      <c r="B758" s="79" t="s">
        <v>630</v>
      </c>
      <c r="C758" s="80" t="s">
        <v>51</v>
      </c>
      <c r="D758" s="100"/>
      <c r="E758" s="100"/>
      <c r="F758" s="78"/>
      <c r="G758" s="90">
        <f t="shared" si="128"/>
        <v>0</v>
      </c>
      <c r="H758" s="4">
        <f t="shared" si="130"/>
        <v>0</v>
      </c>
      <c r="I758" s="59">
        <f t="shared" si="129"/>
        <v>0</v>
      </c>
      <c r="J758" s="4"/>
      <c r="K758" s="4"/>
      <c r="L758" s="4"/>
      <c r="M758" s="4"/>
      <c r="N758" s="4"/>
      <c r="O758" s="4"/>
      <c r="P758" s="4"/>
      <c r="Q758" s="4"/>
      <c r="R758" s="4"/>
      <c r="S758" s="4"/>
      <c r="T758" s="4"/>
      <c r="U758" s="4"/>
      <c r="V758" s="4"/>
      <c r="W758" s="4"/>
      <c r="X758" s="4"/>
      <c r="Y758" s="4"/>
    </row>
    <row r="759" ht="9.75" customHeight="1">
      <c r="A759" s="65"/>
      <c r="B759" s="79" t="s">
        <v>587</v>
      </c>
      <c r="C759" s="80" t="s">
        <v>32</v>
      </c>
      <c r="D759" s="100"/>
      <c r="E759" s="100">
        <v>1.0</v>
      </c>
      <c r="F759" s="78">
        <v>1.0</v>
      </c>
      <c r="G759" s="90">
        <f t="shared" si="128"/>
        <v>1</v>
      </c>
      <c r="H759" s="4">
        <f t="shared" si="130"/>
        <v>0</v>
      </c>
      <c r="I759" s="59">
        <f t="shared" si="129"/>
        <v>0</v>
      </c>
      <c r="J759" s="4"/>
      <c r="K759" s="4"/>
      <c r="L759" s="4"/>
      <c r="M759" s="4"/>
      <c r="N759" s="4"/>
      <c r="O759" s="4"/>
      <c r="P759" s="4"/>
      <c r="Q759" s="4"/>
      <c r="R759" s="4"/>
      <c r="S759" s="4"/>
      <c r="T759" s="4"/>
      <c r="U759" s="4"/>
      <c r="V759" s="4"/>
      <c r="W759" s="4"/>
      <c r="X759" s="4"/>
      <c r="Y759" s="4"/>
    </row>
    <row r="760" ht="12.75" customHeight="1">
      <c r="A760" s="65" t="s">
        <v>631</v>
      </c>
      <c r="B760" s="101" t="str">
        <f>CONCATENATE("Sous-Total : ",A738," - ",B738)</f>
        <v>Sous-Total :  - Système anti intrusion</v>
      </c>
      <c r="C760" s="102"/>
      <c r="D760" s="103"/>
      <c r="E760" s="103"/>
      <c r="F760" s="103"/>
      <c r="G760" s="104">
        <f>SUM(G738:G759)</f>
        <v>17249.6</v>
      </c>
      <c r="H760" s="4">
        <f t="shared" si="130"/>
        <v>17249.6</v>
      </c>
      <c r="I760" s="59">
        <f t="shared" si="129"/>
        <v>0.003972336049</v>
      </c>
      <c r="J760" s="4"/>
      <c r="K760" s="4"/>
      <c r="L760" s="4"/>
      <c r="M760" s="4"/>
      <c r="N760" s="4"/>
      <c r="O760" s="4"/>
      <c r="P760" s="4"/>
      <c r="Q760" s="4"/>
      <c r="R760" s="4"/>
      <c r="S760" s="4"/>
      <c r="T760" s="4"/>
      <c r="U760" s="4"/>
      <c r="V760" s="4"/>
      <c r="W760" s="4"/>
      <c r="X760" s="4"/>
      <c r="Y760" s="4"/>
    </row>
    <row r="761" ht="9.75" customHeight="1">
      <c r="A761" s="65"/>
      <c r="B761" s="105" t="s">
        <v>632</v>
      </c>
      <c r="C761" s="106"/>
      <c r="D761" s="98"/>
      <c r="E761" s="98"/>
      <c r="F761" s="98"/>
      <c r="G761" s="107">
        <f t="shared" ref="G761:G771" si="131">E761*F761</f>
        <v>0</v>
      </c>
      <c r="H761" s="4">
        <f t="shared" si="130"/>
        <v>0</v>
      </c>
      <c r="I761" s="59">
        <f t="shared" si="129"/>
        <v>0</v>
      </c>
      <c r="J761" s="4"/>
      <c r="K761" s="4"/>
      <c r="L761" s="4"/>
      <c r="M761" s="4"/>
      <c r="N761" s="4"/>
      <c r="O761" s="4"/>
      <c r="P761" s="4"/>
      <c r="Q761" s="4"/>
      <c r="R761" s="4"/>
      <c r="S761" s="4"/>
      <c r="T761" s="4"/>
      <c r="U761" s="4"/>
      <c r="V761" s="4"/>
      <c r="W761" s="4"/>
      <c r="X761" s="4"/>
      <c r="Y761" s="4"/>
    </row>
    <row r="762" ht="9.75" customHeight="1">
      <c r="A762" s="65"/>
      <c r="B762" s="146" t="s">
        <v>633</v>
      </c>
      <c r="C762" s="147" t="s">
        <v>27</v>
      </c>
      <c r="D762" s="148"/>
      <c r="E762" s="148">
        <f>$F$5</f>
        <v>1</v>
      </c>
      <c r="F762" s="73">
        <v>1.4</v>
      </c>
      <c r="G762" s="90">
        <f t="shared" si="131"/>
        <v>1.4</v>
      </c>
      <c r="H762" s="4"/>
      <c r="I762" s="59"/>
      <c r="J762" s="4"/>
      <c r="K762" s="4"/>
      <c r="L762" s="4"/>
      <c r="M762" s="4"/>
      <c r="N762" s="4"/>
      <c r="O762" s="4"/>
      <c r="P762" s="4"/>
      <c r="Q762" s="4"/>
      <c r="R762" s="4"/>
      <c r="S762" s="4"/>
      <c r="T762" s="4"/>
      <c r="U762" s="4"/>
      <c r="V762" s="4"/>
      <c r="W762" s="4"/>
      <c r="X762" s="4"/>
      <c r="Y762" s="4"/>
    </row>
    <row r="763" ht="9.75" customHeight="1">
      <c r="A763" s="65"/>
      <c r="B763" s="134" t="s">
        <v>634</v>
      </c>
      <c r="C763" s="202" t="s">
        <v>34</v>
      </c>
      <c r="D763" s="116"/>
      <c r="E763" s="117">
        <v>1.0</v>
      </c>
      <c r="F763" s="118">
        <v>1400.0</v>
      </c>
      <c r="G763" s="90">
        <f t="shared" si="131"/>
        <v>1400</v>
      </c>
      <c r="H763" s="4"/>
      <c r="I763" s="59">
        <f t="shared" ref="I763:I790" si="132">IFERROR(H763/$H$6,0)</f>
        <v>0</v>
      </c>
      <c r="J763" s="4"/>
      <c r="K763" s="4"/>
      <c r="L763" s="4"/>
      <c r="M763" s="4"/>
      <c r="N763" s="4"/>
      <c r="O763" s="4"/>
      <c r="P763" s="4"/>
      <c r="Q763" s="4"/>
      <c r="R763" s="4"/>
      <c r="S763" s="4"/>
      <c r="T763" s="4"/>
      <c r="U763" s="4"/>
      <c r="V763" s="4"/>
      <c r="W763" s="4"/>
      <c r="X763" s="4"/>
      <c r="Y763" s="4"/>
    </row>
    <row r="764" ht="9.75" customHeight="1">
      <c r="A764" s="65"/>
      <c r="B764" s="134" t="s">
        <v>635</v>
      </c>
      <c r="C764" s="202" t="s">
        <v>34</v>
      </c>
      <c r="D764" s="116"/>
      <c r="E764" s="117">
        <v>1.0</v>
      </c>
      <c r="F764" s="118">
        <v>1440.0</v>
      </c>
      <c r="G764" s="90">
        <f t="shared" si="131"/>
        <v>1440</v>
      </c>
      <c r="H764" s="4"/>
      <c r="I764" s="59">
        <f t="shared" si="132"/>
        <v>0</v>
      </c>
      <c r="J764" s="4"/>
      <c r="K764" s="4"/>
      <c r="L764" s="4"/>
      <c r="M764" s="4"/>
      <c r="N764" s="4"/>
      <c r="O764" s="4"/>
      <c r="P764" s="4"/>
      <c r="Q764" s="4"/>
      <c r="R764" s="4"/>
      <c r="S764" s="4"/>
      <c r="T764" s="4"/>
      <c r="U764" s="4"/>
      <c r="V764" s="4"/>
      <c r="W764" s="4"/>
      <c r="X764" s="4"/>
      <c r="Y764" s="4"/>
    </row>
    <row r="765" ht="9.75" customHeight="1">
      <c r="A765" s="65"/>
      <c r="B765" s="134" t="s">
        <v>636</v>
      </c>
      <c r="C765" s="202" t="s">
        <v>34</v>
      </c>
      <c r="D765" s="116"/>
      <c r="E765" s="117">
        <v>1.0</v>
      </c>
      <c r="F765" s="118">
        <v>1512.0</v>
      </c>
      <c r="G765" s="90">
        <f t="shared" si="131"/>
        <v>1512</v>
      </c>
      <c r="H765" s="4"/>
      <c r="I765" s="59">
        <f t="shared" si="132"/>
        <v>0</v>
      </c>
      <c r="J765" s="4"/>
      <c r="K765" s="4"/>
      <c r="L765" s="4"/>
      <c r="M765" s="4"/>
      <c r="N765" s="4"/>
      <c r="O765" s="4"/>
      <c r="P765" s="4"/>
      <c r="Q765" s="4"/>
      <c r="R765" s="4"/>
      <c r="S765" s="4"/>
      <c r="T765" s="4"/>
      <c r="U765" s="4"/>
      <c r="V765" s="4"/>
      <c r="W765" s="4"/>
      <c r="X765" s="4"/>
      <c r="Y765" s="4"/>
    </row>
    <row r="766" ht="9.75" customHeight="1">
      <c r="A766" s="65"/>
      <c r="B766" s="134" t="s">
        <v>637</v>
      </c>
      <c r="C766" s="202" t="s">
        <v>34</v>
      </c>
      <c r="D766" s="116"/>
      <c r="E766" s="117">
        <v>1.0</v>
      </c>
      <c r="F766" s="118">
        <v>1512.0</v>
      </c>
      <c r="G766" s="90">
        <f t="shared" si="131"/>
        <v>1512</v>
      </c>
      <c r="H766" s="4"/>
      <c r="I766" s="59">
        <f t="shared" si="132"/>
        <v>0</v>
      </c>
      <c r="J766" s="4"/>
      <c r="K766" s="4"/>
      <c r="L766" s="4"/>
      <c r="M766" s="4"/>
      <c r="N766" s="4"/>
      <c r="O766" s="4"/>
      <c r="P766" s="4"/>
      <c r="Q766" s="4"/>
      <c r="R766" s="4"/>
      <c r="S766" s="4"/>
      <c r="T766" s="4"/>
      <c r="U766" s="4"/>
      <c r="V766" s="4"/>
      <c r="W766" s="4"/>
      <c r="X766" s="4"/>
      <c r="Y766" s="4"/>
    </row>
    <row r="767" ht="9.75" customHeight="1">
      <c r="A767" s="65"/>
      <c r="B767" s="134" t="s">
        <v>638</v>
      </c>
      <c r="C767" s="202" t="s">
        <v>34</v>
      </c>
      <c r="D767" s="116"/>
      <c r="E767" s="117">
        <v>1.0</v>
      </c>
      <c r="F767" s="118">
        <v>1426.0</v>
      </c>
      <c r="G767" s="90">
        <f t="shared" si="131"/>
        <v>1426</v>
      </c>
      <c r="H767" s="4"/>
      <c r="I767" s="59">
        <f t="shared" si="132"/>
        <v>0</v>
      </c>
      <c r="J767" s="4"/>
      <c r="K767" s="4"/>
      <c r="L767" s="4"/>
      <c r="M767" s="4"/>
      <c r="N767" s="4"/>
      <c r="O767" s="4"/>
      <c r="P767" s="4"/>
      <c r="Q767" s="4"/>
      <c r="R767" s="4"/>
      <c r="S767" s="4"/>
      <c r="T767" s="4"/>
      <c r="U767" s="4"/>
      <c r="V767" s="4"/>
      <c r="W767" s="4"/>
      <c r="X767" s="4"/>
      <c r="Y767" s="4"/>
    </row>
    <row r="768" ht="9.75" customHeight="1">
      <c r="A768" s="65"/>
      <c r="B768" s="134" t="s">
        <v>639</v>
      </c>
      <c r="C768" s="202" t="s">
        <v>34</v>
      </c>
      <c r="D768" s="116"/>
      <c r="E768" s="117">
        <v>1.0</v>
      </c>
      <c r="F768" s="118">
        <v>4400.0</v>
      </c>
      <c r="G768" s="90">
        <f t="shared" si="131"/>
        <v>4400</v>
      </c>
      <c r="H768" s="4"/>
      <c r="I768" s="59">
        <f t="shared" si="132"/>
        <v>0</v>
      </c>
      <c r="J768" s="4"/>
      <c r="K768" s="4"/>
      <c r="L768" s="4"/>
      <c r="M768" s="4"/>
      <c r="N768" s="4"/>
      <c r="O768" s="4"/>
      <c r="P768" s="4"/>
      <c r="Q768" s="4"/>
      <c r="R768" s="4"/>
      <c r="S768" s="4"/>
      <c r="T768" s="4"/>
      <c r="U768" s="4"/>
      <c r="V768" s="4"/>
      <c r="W768" s="4"/>
      <c r="X768" s="4"/>
      <c r="Y768" s="4"/>
    </row>
    <row r="769" ht="9.75" customHeight="1">
      <c r="A769" s="65"/>
      <c r="B769" s="134" t="s">
        <v>640</v>
      </c>
      <c r="C769" s="202" t="s">
        <v>34</v>
      </c>
      <c r="D769" s="116"/>
      <c r="E769" s="117">
        <v>1.0</v>
      </c>
      <c r="F769" s="118">
        <v>13000.0</v>
      </c>
      <c r="G769" s="90">
        <f t="shared" si="131"/>
        <v>13000</v>
      </c>
      <c r="H769" s="4"/>
      <c r="I769" s="59">
        <f t="shared" si="132"/>
        <v>0</v>
      </c>
      <c r="J769" s="4"/>
      <c r="K769" s="4"/>
      <c r="L769" s="4"/>
      <c r="M769" s="4"/>
      <c r="N769" s="4"/>
      <c r="O769" s="4"/>
      <c r="P769" s="4"/>
      <c r="Q769" s="4"/>
      <c r="R769" s="4"/>
      <c r="S769" s="4"/>
      <c r="T769" s="4"/>
      <c r="U769" s="4"/>
      <c r="V769" s="4"/>
      <c r="W769" s="4"/>
      <c r="X769" s="4"/>
      <c r="Y769" s="4"/>
    </row>
    <row r="770" ht="9.75" customHeight="1">
      <c r="A770" s="65"/>
      <c r="B770" s="134" t="s">
        <v>641</v>
      </c>
      <c r="C770" s="202" t="s">
        <v>34</v>
      </c>
      <c r="D770" s="116"/>
      <c r="E770" s="117">
        <v>1.0</v>
      </c>
      <c r="F770" s="118">
        <v>350.0</v>
      </c>
      <c r="G770" s="90">
        <f t="shared" si="131"/>
        <v>350</v>
      </c>
      <c r="H770" s="4"/>
      <c r="I770" s="59">
        <f t="shared" si="132"/>
        <v>0</v>
      </c>
      <c r="J770" s="4"/>
      <c r="K770" s="4"/>
      <c r="L770" s="4"/>
      <c r="M770" s="4"/>
      <c r="N770" s="4"/>
      <c r="O770" s="4"/>
      <c r="P770" s="4"/>
      <c r="Q770" s="4"/>
      <c r="R770" s="4"/>
      <c r="S770" s="4"/>
      <c r="T770" s="4"/>
      <c r="U770" s="4"/>
      <c r="V770" s="4"/>
      <c r="W770" s="4"/>
      <c r="X770" s="4"/>
      <c r="Y770" s="4"/>
    </row>
    <row r="771" ht="9.75" customHeight="1">
      <c r="A771" s="65"/>
      <c r="B771" s="146" t="s">
        <v>642</v>
      </c>
      <c r="C771" s="147" t="s">
        <v>27</v>
      </c>
      <c r="D771" s="148"/>
      <c r="E771" s="117">
        <v>1.0</v>
      </c>
      <c r="F771" s="73">
        <v>0.7</v>
      </c>
      <c r="G771" s="90">
        <f t="shared" si="131"/>
        <v>0.7</v>
      </c>
      <c r="H771" s="4"/>
      <c r="I771" s="59">
        <f t="shared" si="132"/>
        <v>0</v>
      </c>
      <c r="J771" s="4"/>
      <c r="K771" s="4"/>
      <c r="L771" s="4"/>
      <c r="M771" s="4"/>
      <c r="N771" s="4"/>
      <c r="O771" s="4"/>
      <c r="P771" s="4"/>
      <c r="Q771" s="4"/>
      <c r="R771" s="4"/>
      <c r="S771" s="4"/>
      <c r="T771" s="4"/>
      <c r="U771" s="4"/>
      <c r="V771" s="4"/>
      <c r="W771" s="4"/>
      <c r="X771" s="4"/>
      <c r="Y771" s="4"/>
    </row>
    <row r="772" ht="9.75" customHeight="1">
      <c r="A772" s="65"/>
      <c r="B772" s="150"/>
      <c r="C772" s="151"/>
      <c r="D772" s="127"/>
      <c r="E772" s="127"/>
      <c r="F772" s="127"/>
      <c r="G772" s="156"/>
      <c r="H772" s="4"/>
      <c r="I772" s="59">
        <f t="shared" si="132"/>
        <v>0</v>
      </c>
      <c r="J772" s="4"/>
      <c r="K772" s="4"/>
      <c r="L772" s="4"/>
      <c r="M772" s="4"/>
      <c r="N772" s="4"/>
      <c r="O772" s="4"/>
      <c r="P772" s="4"/>
      <c r="Q772" s="4"/>
      <c r="R772" s="4"/>
      <c r="S772" s="4"/>
      <c r="T772" s="4"/>
      <c r="U772" s="4"/>
      <c r="V772" s="4"/>
      <c r="W772" s="4"/>
      <c r="X772" s="4"/>
      <c r="Y772" s="4"/>
    </row>
    <row r="773" ht="9.75" customHeight="1">
      <c r="A773" s="65"/>
      <c r="B773" s="152" t="s">
        <v>643</v>
      </c>
      <c r="C773" s="153" t="s">
        <v>34</v>
      </c>
      <c r="D773" s="154"/>
      <c r="E773" s="154"/>
      <c r="F773" s="88"/>
      <c r="G773" s="89">
        <f t="shared" ref="G773:G780" si="133">E773*F773</f>
        <v>0</v>
      </c>
      <c r="H773" s="4">
        <f t="shared" ref="H773:H790" si="134">IFERROR(IF(FIND("Sous-",B773,1)&lt;&gt;0,G773,1),0)</f>
        <v>0</v>
      </c>
      <c r="I773" s="59">
        <f t="shared" si="132"/>
        <v>0</v>
      </c>
      <c r="J773" s="4"/>
      <c r="K773" s="4"/>
      <c r="L773" s="4"/>
      <c r="M773" s="4"/>
      <c r="N773" s="4"/>
      <c r="O773" s="4"/>
      <c r="P773" s="4"/>
      <c r="Q773" s="4"/>
      <c r="R773" s="4"/>
      <c r="S773" s="4"/>
      <c r="T773" s="4"/>
      <c r="U773" s="4"/>
      <c r="V773" s="4"/>
      <c r="W773" s="4"/>
      <c r="X773" s="4"/>
      <c r="Y773" s="4"/>
    </row>
    <row r="774" ht="9.75" customHeight="1">
      <c r="A774" s="65"/>
      <c r="B774" s="79" t="s">
        <v>644</v>
      </c>
      <c r="C774" s="80" t="s">
        <v>34</v>
      </c>
      <c r="D774" s="100"/>
      <c r="E774" s="100"/>
      <c r="F774" s="78"/>
      <c r="G774" s="114">
        <f t="shared" si="133"/>
        <v>0</v>
      </c>
      <c r="H774" s="4">
        <f t="shared" si="134"/>
        <v>0</v>
      </c>
      <c r="I774" s="59">
        <f t="shared" si="132"/>
        <v>0</v>
      </c>
      <c r="J774" s="4"/>
      <c r="K774" s="4"/>
      <c r="L774" s="4"/>
      <c r="M774" s="4"/>
      <c r="N774" s="4"/>
      <c r="O774" s="4"/>
      <c r="P774" s="4"/>
      <c r="Q774" s="4"/>
      <c r="R774" s="4"/>
      <c r="S774" s="4"/>
      <c r="T774" s="4"/>
      <c r="U774" s="4"/>
      <c r="V774" s="4"/>
      <c r="W774" s="4"/>
      <c r="X774" s="4"/>
      <c r="Y774" s="4"/>
    </row>
    <row r="775" ht="9.75" customHeight="1">
      <c r="A775" s="65"/>
      <c r="B775" s="79" t="s">
        <v>645</v>
      </c>
      <c r="C775" s="80" t="s">
        <v>34</v>
      </c>
      <c r="D775" s="100"/>
      <c r="E775" s="100"/>
      <c r="F775" s="78"/>
      <c r="G775" s="114">
        <f t="shared" si="133"/>
        <v>0</v>
      </c>
      <c r="H775" s="4">
        <f t="shared" si="134"/>
        <v>0</v>
      </c>
      <c r="I775" s="59">
        <f t="shared" si="132"/>
        <v>0</v>
      </c>
      <c r="J775" s="4"/>
      <c r="K775" s="4"/>
      <c r="L775" s="4"/>
      <c r="M775" s="4"/>
      <c r="N775" s="4"/>
      <c r="O775" s="4"/>
      <c r="P775" s="4"/>
      <c r="Q775" s="4"/>
      <c r="R775" s="4"/>
      <c r="S775" s="4"/>
      <c r="T775" s="4"/>
      <c r="U775" s="4"/>
      <c r="V775" s="4"/>
      <c r="W775" s="4"/>
      <c r="X775" s="4"/>
      <c r="Y775" s="4"/>
    </row>
    <row r="776" ht="9.75" customHeight="1">
      <c r="A776" s="65"/>
      <c r="B776" s="79" t="s">
        <v>646</v>
      </c>
      <c r="C776" s="80" t="s">
        <v>34</v>
      </c>
      <c r="D776" s="100"/>
      <c r="E776" s="100"/>
      <c r="F776" s="78"/>
      <c r="G776" s="114">
        <f t="shared" si="133"/>
        <v>0</v>
      </c>
      <c r="H776" s="4">
        <f t="shared" si="134"/>
        <v>0</v>
      </c>
      <c r="I776" s="59">
        <f t="shared" si="132"/>
        <v>0</v>
      </c>
      <c r="J776" s="4"/>
      <c r="K776" s="4"/>
      <c r="L776" s="4"/>
      <c r="M776" s="4"/>
      <c r="N776" s="4"/>
      <c r="O776" s="4"/>
      <c r="P776" s="4"/>
      <c r="Q776" s="4"/>
      <c r="R776" s="4"/>
      <c r="S776" s="4"/>
      <c r="T776" s="4"/>
      <c r="U776" s="4"/>
      <c r="V776" s="4"/>
      <c r="W776" s="4"/>
      <c r="X776" s="4"/>
      <c r="Y776" s="4"/>
    </row>
    <row r="777" ht="9.75" customHeight="1">
      <c r="A777" s="65"/>
      <c r="B777" s="79" t="s">
        <v>647</v>
      </c>
      <c r="C777" s="80" t="s">
        <v>34</v>
      </c>
      <c r="D777" s="100"/>
      <c r="E777" s="100"/>
      <c r="F777" s="78"/>
      <c r="G777" s="114">
        <f t="shared" si="133"/>
        <v>0</v>
      </c>
      <c r="H777" s="4">
        <f t="shared" si="134"/>
        <v>0</v>
      </c>
      <c r="I777" s="59">
        <f t="shared" si="132"/>
        <v>0</v>
      </c>
      <c r="J777" s="4"/>
      <c r="K777" s="4"/>
      <c r="L777" s="4"/>
      <c r="M777" s="4"/>
      <c r="N777" s="4"/>
      <c r="O777" s="4"/>
      <c r="P777" s="4"/>
      <c r="Q777" s="4"/>
      <c r="R777" s="4"/>
      <c r="S777" s="4"/>
      <c r="T777" s="4"/>
      <c r="U777" s="4"/>
      <c r="V777" s="4"/>
      <c r="W777" s="4"/>
      <c r="X777" s="4"/>
      <c r="Y777" s="4"/>
    </row>
    <row r="778" ht="9.75" customHeight="1">
      <c r="A778" s="65"/>
      <c r="B778" s="79" t="s">
        <v>587</v>
      </c>
      <c r="C778" s="80" t="s">
        <v>32</v>
      </c>
      <c r="D778" s="100"/>
      <c r="E778" s="100"/>
      <c r="F778" s="78"/>
      <c r="G778" s="114">
        <f t="shared" si="133"/>
        <v>0</v>
      </c>
      <c r="H778" s="4">
        <f t="shared" si="134"/>
        <v>0</v>
      </c>
      <c r="I778" s="59">
        <f t="shared" si="132"/>
        <v>0</v>
      </c>
      <c r="J778" s="4"/>
      <c r="K778" s="4"/>
      <c r="L778" s="4"/>
      <c r="M778" s="4"/>
      <c r="N778" s="4"/>
      <c r="O778" s="4"/>
      <c r="P778" s="4"/>
      <c r="Q778" s="4"/>
      <c r="R778" s="4"/>
      <c r="S778" s="4"/>
      <c r="T778" s="4"/>
      <c r="U778" s="4"/>
      <c r="V778" s="4"/>
      <c r="W778" s="4"/>
      <c r="X778" s="4"/>
      <c r="Y778" s="4"/>
    </row>
    <row r="779" ht="9.75" customHeight="1">
      <c r="A779" s="65"/>
      <c r="B779" s="79" t="s">
        <v>648</v>
      </c>
      <c r="C779" s="80" t="s">
        <v>32</v>
      </c>
      <c r="D779" s="100"/>
      <c r="E779" s="100"/>
      <c r="F779" s="78"/>
      <c r="G779" s="114">
        <f t="shared" si="133"/>
        <v>0</v>
      </c>
      <c r="H779" s="4">
        <f t="shared" si="134"/>
        <v>0</v>
      </c>
      <c r="I779" s="59">
        <f t="shared" si="132"/>
        <v>0</v>
      </c>
      <c r="J779" s="4"/>
      <c r="K779" s="4"/>
      <c r="L779" s="4"/>
      <c r="M779" s="4"/>
      <c r="N779" s="4"/>
      <c r="O779" s="4"/>
      <c r="P779" s="4"/>
      <c r="Q779" s="4"/>
      <c r="R779" s="4"/>
      <c r="S779" s="4"/>
      <c r="T779" s="4"/>
      <c r="U779" s="4"/>
      <c r="V779" s="4"/>
      <c r="W779" s="4"/>
      <c r="X779" s="4"/>
      <c r="Y779" s="4"/>
    </row>
    <row r="780" ht="9.75" customHeight="1">
      <c r="A780" s="65"/>
      <c r="B780" s="79" t="s">
        <v>375</v>
      </c>
      <c r="C780" s="80" t="s">
        <v>32</v>
      </c>
      <c r="D780" s="100"/>
      <c r="E780" s="100">
        <v>1.0</v>
      </c>
      <c r="F780" s="78">
        <v>1.0</v>
      </c>
      <c r="G780" s="114">
        <f t="shared" si="133"/>
        <v>1</v>
      </c>
      <c r="H780" s="4">
        <f t="shared" si="134"/>
        <v>0</v>
      </c>
      <c r="I780" s="59">
        <f t="shared" si="132"/>
        <v>0</v>
      </c>
      <c r="J780" s="4"/>
      <c r="K780" s="4"/>
      <c r="L780" s="4"/>
      <c r="M780" s="4"/>
      <c r="N780" s="4"/>
      <c r="O780" s="4"/>
      <c r="P780" s="4"/>
      <c r="Q780" s="4"/>
      <c r="R780" s="4"/>
      <c r="S780" s="4"/>
      <c r="T780" s="4"/>
      <c r="U780" s="4"/>
      <c r="V780" s="4"/>
      <c r="W780" s="4"/>
      <c r="X780" s="4"/>
      <c r="Y780" s="4"/>
    </row>
    <row r="781" ht="12.75" customHeight="1">
      <c r="A781" s="162" t="s">
        <v>649</v>
      </c>
      <c r="B781" s="82" t="str">
        <f>CONCATENATE("Sous-Total : ",A761," - ",B761)</f>
        <v>Sous-Total :  - Vidéo surveillance</v>
      </c>
      <c r="C781" s="83"/>
      <c r="D781" s="84"/>
      <c r="E781" s="84"/>
      <c r="F781" s="84"/>
      <c r="G781" s="109">
        <f>SUM(G761:G780)</f>
        <v>25043.1</v>
      </c>
      <c r="H781" s="4">
        <f t="shared" si="134"/>
        <v>25043.1</v>
      </c>
      <c r="I781" s="59">
        <f t="shared" si="132"/>
        <v>0.005767067579</v>
      </c>
      <c r="J781" s="4"/>
      <c r="K781" s="4"/>
      <c r="L781" s="4"/>
      <c r="M781" s="4"/>
      <c r="N781" s="4"/>
      <c r="O781" s="4"/>
      <c r="P781" s="4"/>
      <c r="Q781" s="4"/>
      <c r="R781" s="4"/>
      <c r="S781" s="4"/>
      <c r="T781" s="4"/>
      <c r="U781" s="4"/>
      <c r="V781" s="4"/>
      <c r="W781" s="4"/>
      <c r="X781" s="4"/>
      <c r="Y781" s="4"/>
    </row>
    <row r="782" ht="9.75" customHeight="1">
      <c r="A782" s="65"/>
      <c r="B782" s="86" t="s">
        <v>650</v>
      </c>
      <c r="C782" s="87"/>
      <c r="D782" s="88"/>
      <c r="E782" s="88"/>
      <c r="F782" s="88"/>
      <c r="G782" s="88">
        <f t="shared" ref="G782:G785" si="135">E782*F782</f>
        <v>0</v>
      </c>
      <c r="H782" s="4">
        <f t="shared" si="134"/>
        <v>0</v>
      </c>
      <c r="I782" s="59">
        <f t="shared" si="132"/>
        <v>0</v>
      </c>
      <c r="J782" s="4"/>
      <c r="K782" s="4"/>
      <c r="L782" s="4"/>
      <c r="M782" s="4"/>
      <c r="N782" s="4"/>
      <c r="O782" s="4"/>
      <c r="P782" s="4"/>
      <c r="Q782" s="4"/>
      <c r="R782" s="4"/>
      <c r="S782" s="4"/>
      <c r="T782" s="4"/>
      <c r="U782" s="4"/>
      <c r="V782" s="4"/>
      <c r="W782" s="4"/>
      <c r="X782" s="4"/>
      <c r="Y782" s="4"/>
    </row>
    <row r="783" ht="9.75" customHeight="1">
      <c r="A783" s="65"/>
      <c r="B783" s="79"/>
      <c r="C783" s="80"/>
      <c r="D783" s="100"/>
      <c r="E783" s="100"/>
      <c r="F783" s="78"/>
      <c r="G783" s="78">
        <f t="shared" si="135"/>
        <v>0</v>
      </c>
      <c r="H783" s="4">
        <f t="shared" si="134"/>
        <v>0</v>
      </c>
      <c r="I783" s="59">
        <f t="shared" si="132"/>
        <v>0</v>
      </c>
      <c r="J783" s="4"/>
      <c r="K783" s="4"/>
      <c r="L783" s="4"/>
      <c r="M783" s="4"/>
      <c r="N783" s="4"/>
      <c r="O783" s="4"/>
      <c r="P783" s="4"/>
      <c r="Q783" s="4"/>
      <c r="R783" s="4"/>
      <c r="S783" s="4"/>
      <c r="T783" s="4"/>
      <c r="U783" s="4"/>
      <c r="V783" s="4"/>
      <c r="W783" s="4"/>
      <c r="X783" s="4"/>
      <c r="Y783" s="4"/>
    </row>
    <row r="784" ht="9.75" customHeight="1">
      <c r="A784" s="65"/>
      <c r="B784" s="79"/>
      <c r="C784" s="80"/>
      <c r="D784" s="100"/>
      <c r="E784" s="100"/>
      <c r="F784" s="78"/>
      <c r="G784" s="78">
        <f t="shared" si="135"/>
        <v>0</v>
      </c>
      <c r="H784" s="4">
        <f t="shared" si="134"/>
        <v>0</v>
      </c>
      <c r="I784" s="59">
        <f t="shared" si="132"/>
        <v>0</v>
      </c>
      <c r="J784" s="4"/>
      <c r="K784" s="4"/>
      <c r="L784" s="4"/>
      <c r="M784" s="4"/>
      <c r="N784" s="4"/>
      <c r="O784" s="4"/>
      <c r="P784" s="4"/>
      <c r="Q784" s="4"/>
      <c r="R784" s="4"/>
      <c r="S784" s="4"/>
      <c r="T784" s="4"/>
      <c r="U784" s="4"/>
      <c r="V784" s="4"/>
      <c r="W784" s="4"/>
      <c r="X784" s="4"/>
      <c r="Y784" s="4"/>
    </row>
    <row r="785" ht="9.75" customHeight="1">
      <c r="A785" s="65"/>
      <c r="B785" s="79"/>
      <c r="C785" s="80"/>
      <c r="D785" s="100"/>
      <c r="E785" s="100">
        <v>1.0</v>
      </c>
      <c r="F785" s="127">
        <v>1.0</v>
      </c>
      <c r="G785" s="78">
        <f t="shared" si="135"/>
        <v>1</v>
      </c>
      <c r="H785" s="4">
        <f t="shared" si="134"/>
        <v>0</v>
      </c>
      <c r="I785" s="59">
        <f t="shared" si="132"/>
        <v>0</v>
      </c>
      <c r="J785" s="4"/>
      <c r="K785" s="4"/>
      <c r="L785" s="4"/>
      <c r="M785" s="4"/>
      <c r="N785" s="4"/>
      <c r="O785" s="4"/>
      <c r="P785" s="4"/>
      <c r="Q785" s="4"/>
      <c r="R785" s="4"/>
      <c r="S785" s="4"/>
      <c r="T785" s="4"/>
      <c r="U785" s="4"/>
      <c r="V785" s="4"/>
      <c r="W785" s="4"/>
      <c r="X785" s="4"/>
      <c r="Y785" s="4"/>
    </row>
    <row r="786" ht="12.75" customHeight="1">
      <c r="A786" s="65" t="s">
        <v>651</v>
      </c>
      <c r="B786" s="129" t="str">
        <f>CONCATENATE("Sous-Total : ",A782," - ",B782)</f>
        <v>Sous-Total :  - Comptage véhicules</v>
      </c>
      <c r="C786" s="130"/>
      <c r="D786" s="131"/>
      <c r="E786" s="131"/>
      <c r="F786" s="131"/>
      <c r="G786" s="132">
        <f>SUM(G782:G785)</f>
        <v>1</v>
      </c>
      <c r="H786" s="4">
        <f t="shared" si="134"/>
        <v>1</v>
      </c>
      <c r="I786" s="59">
        <f t="shared" si="132"/>
        <v>0.0000002302856906</v>
      </c>
      <c r="J786" s="4"/>
      <c r="K786" s="4"/>
      <c r="L786" s="4"/>
      <c r="M786" s="4"/>
      <c r="N786" s="4"/>
      <c r="O786" s="4"/>
      <c r="P786" s="4"/>
      <c r="Q786" s="4"/>
      <c r="R786" s="4"/>
      <c r="S786" s="4"/>
      <c r="T786" s="4"/>
      <c r="U786" s="4"/>
      <c r="V786" s="4"/>
      <c r="W786" s="4"/>
      <c r="X786" s="4"/>
      <c r="Y786" s="4"/>
    </row>
    <row r="787" ht="9.75" customHeight="1">
      <c r="A787" s="65"/>
      <c r="B787" s="105" t="s">
        <v>652</v>
      </c>
      <c r="C787" s="106"/>
      <c r="D787" s="98"/>
      <c r="E787" s="98"/>
      <c r="F787" s="98"/>
      <c r="G787" s="78">
        <f t="shared" ref="G787:G794" si="136">E787*F787</f>
        <v>0</v>
      </c>
      <c r="H787" s="4">
        <f t="shared" si="134"/>
        <v>0</v>
      </c>
      <c r="I787" s="59">
        <f t="shared" si="132"/>
        <v>0</v>
      </c>
      <c r="J787" s="4"/>
      <c r="K787" s="4"/>
      <c r="L787" s="4"/>
      <c r="M787" s="4"/>
      <c r="N787" s="4"/>
      <c r="O787" s="4"/>
      <c r="P787" s="4"/>
      <c r="Q787" s="4"/>
      <c r="R787" s="4"/>
      <c r="S787" s="4"/>
      <c r="T787" s="4"/>
      <c r="U787" s="4"/>
      <c r="V787" s="4"/>
      <c r="W787" s="4"/>
      <c r="X787" s="4"/>
      <c r="Y787" s="4"/>
    </row>
    <row r="788" ht="9.75" customHeight="1">
      <c r="A788" s="65"/>
      <c r="B788" s="79" t="s">
        <v>653</v>
      </c>
      <c r="C788" s="80" t="s">
        <v>34</v>
      </c>
      <c r="D788" s="100"/>
      <c r="E788" s="117">
        <v>1.0</v>
      </c>
      <c r="F788" s="78">
        <v>1500.0</v>
      </c>
      <c r="G788" s="78">
        <f t="shared" si="136"/>
        <v>1500</v>
      </c>
      <c r="H788" s="4">
        <f t="shared" si="134"/>
        <v>0</v>
      </c>
      <c r="I788" s="59">
        <f t="shared" si="132"/>
        <v>0</v>
      </c>
      <c r="J788" s="4"/>
      <c r="K788" s="4"/>
      <c r="L788" s="4"/>
      <c r="M788" s="4"/>
      <c r="N788" s="4"/>
      <c r="O788" s="4"/>
      <c r="P788" s="4"/>
      <c r="Q788" s="4"/>
      <c r="R788" s="4"/>
      <c r="S788" s="4"/>
      <c r="T788" s="4"/>
      <c r="U788" s="4"/>
      <c r="V788" s="4"/>
      <c r="W788" s="4"/>
      <c r="X788" s="4"/>
      <c r="Y788" s="4"/>
    </row>
    <row r="789" ht="9.75" customHeight="1">
      <c r="A789" s="65"/>
      <c r="B789" s="79" t="s">
        <v>654</v>
      </c>
      <c r="C789" s="80" t="s">
        <v>34</v>
      </c>
      <c r="D789" s="100"/>
      <c r="E789" s="117">
        <v>1.0</v>
      </c>
      <c r="F789" s="78">
        <v>600.0</v>
      </c>
      <c r="G789" s="78">
        <f t="shared" si="136"/>
        <v>600</v>
      </c>
      <c r="H789" s="4">
        <f t="shared" si="134"/>
        <v>0</v>
      </c>
      <c r="I789" s="59">
        <f t="shared" si="132"/>
        <v>0</v>
      </c>
      <c r="J789" s="4"/>
      <c r="K789" s="4"/>
      <c r="L789" s="4"/>
      <c r="M789" s="4"/>
      <c r="N789" s="4"/>
      <c r="O789" s="4"/>
      <c r="P789" s="4"/>
      <c r="Q789" s="4"/>
      <c r="R789" s="4"/>
      <c r="S789" s="4"/>
      <c r="T789" s="4"/>
      <c r="U789" s="4"/>
      <c r="V789" s="4"/>
      <c r="W789" s="4"/>
      <c r="X789" s="4"/>
      <c r="Y789" s="4"/>
    </row>
    <row r="790" ht="9.75" customHeight="1">
      <c r="A790" s="65"/>
      <c r="B790" s="79" t="s">
        <v>655</v>
      </c>
      <c r="C790" s="80" t="s">
        <v>32</v>
      </c>
      <c r="D790" s="100"/>
      <c r="E790" s="117">
        <v>1.0</v>
      </c>
      <c r="F790" s="78">
        <v>1300.0</v>
      </c>
      <c r="G790" s="78">
        <f t="shared" si="136"/>
        <v>1300</v>
      </c>
      <c r="H790" s="4">
        <f t="shared" si="134"/>
        <v>0</v>
      </c>
      <c r="I790" s="59">
        <f t="shared" si="132"/>
        <v>0</v>
      </c>
      <c r="J790" s="4"/>
      <c r="K790" s="4"/>
      <c r="L790" s="4"/>
      <c r="M790" s="4"/>
      <c r="N790" s="4"/>
      <c r="O790" s="4"/>
      <c r="P790" s="4"/>
      <c r="Q790" s="4"/>
      <c r="R790" s="4"/>
      <c r="S790" s="4"/>
      <c r="T790" s="4"/>
      <c r="U790" s="4"/>
      <c r="V790" s="4"/>
      <c r="W790" s="4"/>
      <c r="X790" s="4"/>
      <c r="Y790" s="4"/>
    </row>
    <row r="791" ht="9.75" customHeight="1">
      <c r="A791" s="65"/>
      <c r="B791" s="79" t="s">
        <v>656</v>
      </c>
      <c r="C791" s="80" t="s">
        <v>32</v>
      </c>
      <c r="D791" s="100"/>
      <c r="E791" s="117">
        <v>1.0</v>
      </c>
      <c r="F791" s="78">
        <v>2400.0</v>
      </c>
      <c r="G791" s="78">
        <f t="shared" si="136"/>
        <v>2400</v>
      </c>
      <c r="H791" s="4"/>
      <c r="I791" s="59"/>
      <c r="J791" s="4"/>
      <c r="K791" s="4"/>
      <c r="L791" s="4"/>
      <c r="M791" s="4"/>
      <c r="N791" s="4"/>
      <c r="O791" s="4"/>
      <c r="P791" s="4"/>
      <c r="Q791" s="4"/>
      <c r="R791" s="4"/>
      <c r="S791" s="4"/>
      <c r="T791" s="4"/>
      <c r="U791" s="4"/>
      <c r="V791" s="4"/>
      <c r="W791" s="4"/>
      <c r="X791" s="4"/>
      <c r="Y791" s="4"/>
    </row>
    <row r="792" ht="9.75" customHeight="1">
      <c r="A792" s="65"/>
      <c r="B792" s="79" t="s">
        <v>657</v>
      </c>
      <c r="C792" s="80" t="s">
        <v>32</v>
      </c>
      <c r="D792" s="100"/>
      <c r="E792" s="117">
        <v>1.0</v>
      </c>
      <c r="F792" s="78">
        <v>3900.0</v>
      </c>
      <c r="G792" s="78">
        <f t="shared" si="136"/>
        <v>3900</v>
      </c>
      <c r="H792" s="4"/>
      <c r="I792" s="59"/>
      <c r="J792" s="4"/>
      <c r="K792" s="4"/>
      <c r="L792" s="4"/>
      <c r="M792" s="4"/>
      <c r="N792" s="4"/>
      <c r="O792" s="4"/>
      <c r="P792" s="4"/>
      <c r="Q792" s="4"/>
      <c r="R792" s="4"/>
      <c r="S792" s="4"/>
      <c r="T792" s="4"/>
      <c r="U792" s="4"/>
      <c r="V792" s="4"/>
      <c r="W792" s="4"/>
      <c r="X792" s="4"/>
      <c r="Y792" s="4"/>
    </row>
    <row r="793" ht="9.75" customHeight="1">
      <c r="A793" s="65"/>
      <c r="B793" s="79" t="s">
        <v>658</v>
      </c>
      <c r="C793" s="80" t="s">
        <v>32</v>
      </c>
      <c r="D793" s="100"/>
      <c r="E793" s="117">
        <v>1.0</v>
      </c>
      <c r="F793" s="78">
        <v>11000.0</v>
      </c>
      <c r="G793" s="78">
        <f t="shared" si="136"/>
        <v>11000</v>
      </c>
      <c r="H793" s="4"/>
      <c r="I793" s="59"/>
      <c r="J793" s="4"/>
      <c r="K793" s="4"/>
      <c r="L793" s="4"/>
      <c r="M793" s="4"/>
      <c r="N793" s="4"/>
      <c r="O793" s="4"/>
      <c r="P793" s="4"/>
      <c r="Q793" s="4"/>
      <c r="R793" s="4"/>
      <c r="S793" s="4"/>
      <c r="T793" s="4"/>
      <c r="U793" s="4"/>
      <c r="V793" s="4"/>
      <c r="W793" s="4"/>
      <c r="X793" s="4"/>
      <c r="Y793" s="4"/>
    </row>
    <row r="794" ht="9.75" customHeight="1">
      <c r="A794" s="65"/>
      <c r="B794" s="79" t="s">
        <v>659</v>
      </c>
      <c r="C794" s="80" t="s">
        <v>34</v>
      </c>
      <c r="D794" s="100"/>
      <c r="E794" s="100">
        <v>1.0</v>
      </c>
      <c r="F794" s="78">
        <v>650.0</v>
      </c>
      <c r="G794" s="78">
        <f t="shared" si="136"/>
        <v>650</v>
      </c>
      <c r="H794" s="4"/>
      <c r="I794" s="59"/>
      <c r="J794" s="4"/>
      <c r="K794" s="4"/>
      <c r="L794" s="4"/>
      <c r="M794" s="4"/>
      <c r="N794" s="4"/>
      <c r="O794" s="4"/>
      <c r="P794" s="4"/>
      <c r="Q794" s="4"/>
      <c r="R794" s="4"/>
      <c r="S794" s="4"/>
      <c r="T794" s="4"/>
      <c r="U794" s="4"/>
      <c r="V794" s="4"/>
      <c r="W794" s="4"/>
      <c r="X794" s="4"/>
      <c r="Y794" s="4"/>
    </row>
    <row r="795" ht="12.75" customHeight="1">
      <c r="A795" s="65" t="s">
        <v>660</v>
      </c>
      <c r="B795" s="129" t="str">
        <f>CONCATENATE("Sous-Total : ",A787," - ",B787)</f>
        <v>Sous-Total :  - Détection CO-NO2</v>
      </c>
      <c r="C795" s="130"/>
      <c r="D795" s="131"/>
      <c r="E795" s="131"/>
      <c r="F795" s="131"/>
      <c r="G795" s="132">
        <f>SUM(G787:G794)</f>
        <v>21350</v>
      </c>
      <c r="H795" s="4">
        <f t="shared" ref="H795:H796" si="137">IFERROR(IF(FIND("Sous-",B795,1)&lt;&gt;0,G795,1),0)</f>
        <v>21350</v>
      </c>
      <c r="I795" s="59">
        <f t="shared" ref="I795:I827" si="138">IFERROR(H795/$H$6,0)</f>
        <v>0.004916599495</v>
      </c>
      <c r="J795" s="4"/>
      <c r="K795" s="4"/>
      <c r="L795" s="4"/>
      <c r="M795" s="4"/>
      <c r="N795" s="4"/>
      <c r="O795" s="4"/>
      <c r="P795" s="4"/>
      <c r="Q795" s="4"/>
      <c r="R795" s="4"/>
      <c r="S795" s="4"/>
      <c r="T795" s="4"/>
      <c r="U795" s="4"/>
      <c r="V795" s="4"/>
      <c r="W795" s="4"/>
      <c r="X795" s="4"/>
      <c r="Y795" s="4"/>
    </row>
    <row r="796" ht="9.75" customHeight="1">
      <c r="A796" s="65"/>
      <c r="B796" s="105" t="s">
        <v>661</v>
      </c>
      <c r="C796" s="106"/>
      <c r="D796" s="98"/>
      <c r="E796" s="98"/>
      <c r="F796" s="98"/>
      <c r="G796" s="107">
        <f t="shared" ref="G796:G815" si="139">E796*F796</f>
        <v>0</v>
      </c>
      <c r="H796" s="4">
        <f t="shared" si="137"/>
        <v>0</v>
      </c>
      <c r="I796" s="59">
        <f t="shared" si="138"/>
        <v>0</v>
      </c>
      <c r="J796" s="4"/>
      <c r="K796" s="4"/>
      <c r="L796" s="4"/>
      <c r="M796" s="4"/>
      <c r="N796" s="4"/>
      <c r="O796" s="4"/>
      <c r="P796" s="4"/>
      <c r="Q796" s="4"/>
      <c r="R796" s="4"/>
      <c r="S796" s="4"/>
      <c r="T796" s="4"/>
      <c r="U796" s="4"/>
      <c r="V796" s="4"/>
      <c r="W796" s="4"/>
      <c r="X796" s="4"/>
      <c r="Y796" s="4"/>
    </row>
    <row r="797" ht="9.75" customHeight="1">
      <c r="A797" s="65"/>
      <c r="B797" s="146" t="s">
        <v>662</v>
      </c>
      <c r="C797" s="147" t="s">
        <v>27</v>
      </c>
      <c r="D797" s="148"/>
      <c r="E797" s="148">
        <f>$F$5</f>
        <v>1</v>
      </c>
      <c r="F797" s="73">
        <v>2.0</v>
      </c>
      <c r="G797" s="90">
        <f t="shared" si="139"/>
        <v>2</v>
      </c>
      <c r="H797" s="4"/>
      <c r="I797" s="59">
        <f t="shared" si="138"/>
        <v>0</v>
      </c>
      <c r="J797" s="4"/>
      <c r="K797" s="4"/>
      <c r="L797" s="4"/>
      <c r="M797" s="4"/>
      <c r="N797" s="4"/>
      <c r="O797" s="4"/>
      <c r="P797" s="4"/>
      <c r="Q797" s="4"/>
      <c r="R797" s="4"/>
      <c r="S797" s="4"/>
      <c r="T797" s="4"/>
      <c r="U797" s="4"/>
      <c r="V797" s="4"/>
      <c r="W797" s="4"/>
      <c r="X797" s="4"/>
      <c r="Y797" s="4"/>
    </row>
    <row r="798" ht="9.75" customHeight="1">
      <c r="A798" s="65"/>
      <c r="B798" s="146" t="s">
        <v>663</v>
      </c>
      <c r="C798" s="147" t="s">
        <v>27</v>
      </c>
      <c r="D798" s="148"/>
      <c r="E798" s="117">
        <v>1.0</v>
      </c>
      <c r="F798" s="73">
        <v>6.0</v>
      </c>
      <c r="G798" s="90">
        <f t="shared" si="139"/>
        <v>6</v>
      </c>
      <c r="H798" s="4"/>
      <c r="I798" s="59">
        <f t="shared" si="138"/>
        <v>0</v>
      </c>
      <c r="J798" s="4"/>
      <c r="K798" s="4"/>
      <c r="L798" s="4"/>
      <c r="M798" s="4"/>
      <c r="N798" s="4"/>
      <c r="O798" s="4"/>
      <c r="P798" s="4"/>
      <c r="Q798" s="4"/>
      <c r="R798" s="4"/>
      <c r="S798" s="4"/>
      <c r="T798" s="4"/>
      <c r="U798" s="4"/>
      <c r="V798" s="4"/>
      <c r="W798" s="4"/>
      <c r="X798" s="4"/>
      <c r="Y798" s="4"/>
    </row>
    <row r="799" ht="9.75" customHeight="1">
      <c r="A799" s="65"/>
      <c r="B799" s="146" t="s">
        <v>340</v>
      </c>
      <c r="C799" s="147" t="s">
        <v>27</v>
      </c>
      <c r="D799" s="148"/>
      <c r="E799" s="117">
        <v>1.0</v>
      </c>
      <c r="F799" s="73">
        <v>4.0</v>
      </c>
      <c r="G799" s="90">
        <f t="shared" si="139"/>
        <v>4</v>
      </c>
      <c r="H799" s="4"/>
      <c r="I799" s="59">
        <f t="shared" si="138"/>
        <v>0</v>
      </c>
      <c r="J799" s="4"/>
      <c r="K799" s="4"/>
      <c r="L799" s="4"/>
      <c r="M799" s="4"/>
      <c r="N799" s="4"/>
      <c r="O799" s="4"/>
      <c r="P799" s="4"/>
      <c r="Q799" s="4"/>
      <c r="R799" s="4"/>
      <c r="S799" s="4"/>
      <c r="T799" s="4"/>
      <c r="U799" s="4"/>
      <c r="V799" s="4"/>
      <c r="W799" s="4"/>
      <c r="X799" s="4"/>
      <c r="Y799" s="4"/>
    </row>
    <row r="800" ht="9.75" customHeight="1">
      <c r="A800" s="65"/>
      <c r="B800" s="203"/>
      <c r="C800" s="202"/>
      <c r="D800" s="116"/>
      <c r="E800" s="117">
        <v>1.0</v>
      </c>
      <c r="F800" s="118"/>
      <c r="G800" s="90">
        <f t="shared" si="139"/>
        <v>0</v>
      </c>
      <c r="H800" s="4"/>
      <c r="I800" s="59">
        <f t="shared" si="138"/>
        <v>0</v>
      </c>
      <c r="J800" s="4"/>
      <c r="K800" s="4"/>
      <c r="L800" s="4"/>
      <c r="M800" s="4"/>
      <c r="N800" s="4"/>
      <c r="O800" s="4"/>
      <c r="P800" s="4"/>
      <c r="Q800" s="4"/>
      <c r="R800" s="4"/>
      <c r="S800" s="4"/>
      <c r="T800" s="4"/>
      <c r="U800" s="4"/>
      <c r="V800" s="4"/>
      <c r="W800" s="4"/>
      <c r="X800" s="4"/>
      <c r="Y800" s="4"/>
    </row>
    <row r="801" ht="9.75" customHeight="1">
      <c r="A801" s="65"/>
      <c r="B801" s="146" t="s">
        <v>246</v>
      </c>
      <c r="C801" s="147"/>
      <c r="D801" s="148"/>
      <c r="E801" s="117">
        <v>1.0</v>
      </c>
      <c r="F801" s="73"/>
      <c r="G801" s="90">
        <f t="shared" si="139"/>
        <v>0</v>
      </c>
      <c r="H801" s="4"/>
      <c r="I801" s="59">
        <f t="shared" si="138"/>
        <v>0</v>
      </c>
      <c r="J801" s="4"/>
      <c r="K801" s="4"/>
      <c r="L801" s="4"/>
      <c r="M801" s="4"/>
      <c r="N801" s="4"/>
      <c r="O801" s="4"/>
      <c r="P801" s="4"/>
      <c r="Q801" s="4"/>
      <c r="R801" s="4"/>
      <c r="S801" s="4"/>
      <c r="T801" s="4"/>
      <c r="U801" s="4"/>
      <c r="V801" s="4"/>
      <c r="W801" s="4"/>
      <c r="X801" s="4"/>
      <c r="Y801" s="4"/>
    </row>
    <row r="802" ht="9.75" customHeight="1">
      <c r="A802" s="65"/>
      <c r="B802" s="203" t="s">
        <v>664</v>
      </c>
      <c r="C802" s="202" t="s">
        <v>34</v>
      </c>
      <c r="D802" s="116"/>
      <c r="E802" s="117">
        <v>1.0</v>
      </c>
      <c r="F802" s="118">
        <v>36.0</v>
      </c>
      <c r="G802" s="90">
        <f t="shared" si="139"/>
        <v>36</v>
      </c>
      <c r="H802" s="4"/>
      <c r="I802" s="59">
        <f t="shared" si="138"/>
        <v>0</v>
      </c>
      <c r="J802" s="4"/>
      <c r="K802" s="4"/>
      <c r="L802" s="4"/>
      <c r="M802" s="4"/>
      <c r="N802" s="4"/>
      <c r="O802" s="4"/>
      <c r="P802" s="4"/>
      <c r="Q802" s="4"/>
      <c r="R802" s="4"/>
      <c r="S802" s="4"/>
      <c r="T802" s="4"/>
      <c r="U802" s="4"/>
      <c r="V802" s="4"/>
      <c r="W802" s="4"/>
      <c r="X802" s="4"/>
      <c r="Y802" s="4"/>
    </row>
    <row r="803" ht="9.75" customHeight="1">
      <c r="A803" s="65"/>
      <c r="B803" s="203" t="s">
        <v>665</v>
      </c>
      <c r="C803" s="202" t="s">
        <v>34</v>
      </c>
      <c r="D803" s="116"/>
      <c r="E803" s="117">
        <v>1.0</v>
      </c>
      <c r="F803" s="118">
        <v>36.0</v>
      </c>
      <c r="G803" s="90">
        <f t="shared" si="139"/>
        <v>36</v>
      </c>
      <c r="H803" s="4"/>
      <c r="I803" s="59">
        <f t="shared" si="138"/>
        <v>0</v>
      </c>
      <c r="J803" s="4"/>
      <c r="K803" s="4"/>
      <c r="L803" s="4"/>
      <c r="M803" s="4"/>
      <c r="N803" s="4"/>
      <c r="O803" s="4"/>
      <c r="P803" s="4"/>
      <c r="Q803" s="4"/>
      <c r="R803" s="4"/>
      <c r="S803" s="4"/>
      <c r="T803" s="4"/>
      <c r="U803" s="4"/>
      <c r="V803" s="4"/>
      <c r="W803" s="4"/>
      <c r="X803" s="4"/>
      <c r="Y803" s="4"/>
    </row>
    <row r="804" ht="9.75" customHeight="1">
      <c r="A804" s="65"/>
      <c r="B804" s="203" t="s">
        <v>666</v>
      </c>
      <c r="C804" s="202" t="s">
        <v>34</v>
      </c>
      <c r="D804" s="116"/>
      <c r="E804" s="117">
        <v>1.0</v>
      </c>
      <c r="F804" s="118">
        <v>250.0</v>
      </c>
      <c r="G804" s="90">
        <f t="shared" si="139"/>
        <v>250</v>
      </c>
      <c r="H804" s="4"/>
      <c r="I804" s="59">
        <f t="shared" si="138"/>
        <v>0</v>
      </c>
      <c r="J804" s="4"/>
      <c r="K804" s="4"/>
      <c r="L804" s="4"/>
      <c r="M804" s="4"/>
      <c r="N804" s="4"/>
      <c r="O804" s="4"/>
      <c r="P804" s="4"/>
      <c r="Q804" s="4"/>
      <c r="R804" s="4"/>
      <c r="S804" s="4"/>
      <c r="T804" s="4"/>
      <c r="U804" s="4"/>
      <c r="V804" s="4"/>
      <c r="W804" s="4"/>
      <c r="X804" s="4"/>
      <c r="Y804" s="4"/>
    </row>
    <row r="805" ht="9.75" customHeight="1">
      <c r="A805" s="65"/>
      <c r="B805" s="203" t="s">
        <v>667</v>
      </c>
      <c r="C805" s="202" t="s">
        <v>34</v>
      </c>
      <c r="D805" s="116"/>
      <c r="E805" s="117">
        <v>1.0</v>
      </c>
      <c r="F805" s="118">
        <v>900.0</v>
      </c>
      <c r="G805" s="90">
        <f t="shared" si="139"/>
        <v>900</v>
      </c>
      <c r="H805" s="4"/>
      <c r="I805" s="59">
        <f t="shared" si="138"/>
        <v>0</v>
      </c>
      <c r="J805" s="4"/>
      <c r="K805" s="4"/>
      <c r="L805" s="4"/>
      <c r="M805" s="4"/>
      <c r="N805" s="4"/>
      <c r="O805" s="4"/>
      <c r="P805" s="4"/>
      <c r="Q805" s="4"/>
      <c r="R805" s="4"/>
      <c r="S805" s="4"/>
      <c r="T805" s="4"/>
      <c r="U805" s="4"/>
      <c r="V805" s="4"/>
      <c r="W805" s="4"/>
      <c r="X805" s="4"/>
      <c r="Y805" s="4"/>
    </row>
    <row r="806" ht="9.75" customHeight="1">
      <c r="A806" s="65"/>
      <c r="B806" s="203" t="s">
        <v>668</v>
      </c>
      <c r="C806" s="202" t="s">
        <v>34</v>
      </c>
      <c r="D806" s="116"/>
      <c r="E806" s="117">
        <v>1.0</v>
      </c>
      <c r="F806" s="118">
        <v>850.0</v>
      </c>
      <c r="G806" s="90">
        <f t="shared" si="139"/>
        <v>850</v>
      </c>
      <c r="H806" s="4"/>
      <c r="I806" s="59">
        <f t="shared" si="138"/>
        <v>0</v>
      </c>
      <c r="J806" s="4"/>
      <c r="K806" s="4"/>
      <c r="L806" s="4"/>
      <c r="M806" s="4"/>
      <c r="N806" s="4"/>
      <c r="O806" s="4"/>
      <c r="P806" s="4"/>
      <c r="Q806" s="4"/>
      <c r="R806" s="4"/>
      <c r="S806" s="4"/>
      <c r="T806" s="4"/>
      <c r="U806" s="4"/>
      <c r="V806" s="4"/>
      <c r="W806" s="4"/>
      <c r="X806" s="4"/>
      <c r="Y806" s="4"/>
    </row>
    <row r="807" ht="9.75" customHeight="1">
      <c r="A807" s="65"/>
      <c r="B807" s="203" t="s">
        <v>669</v>
      </c>
      <c r="C807" s="202" t="s">
        <v>51</v>
      </c>
      <c r="D807" s="116"/>
      <c r="E807" s="117">
        <v>1.0</v>
      </c>
      <c r="F807" s="118">
        <v>10.0</v>
      </c>
      <c r="G807" s="90">
        <f t="shared" si="139"/>
        <v>10</v>
      </c>
      <c r="H807" s="4"/>
      <c r="I807" s="59">
        <f t="shared" si="138"/>
        <v>0</v>
      </c>
      <c r="J807" s="4"/>
      <c r="K807" s="4"/>
      <c r="L807" s="4"/>
      <c r="M807" s="4"/>
      <c r="N807" s="4"/>
      <c r="O807" s="4"/>
      <c r="P807" s="4"/>
      <c r="Q807" s="4"/>
      <c r="R807" s="4"/>
      <c r="S807" s="4"/>
      <c r="T807" s="4"/>
      <c r="U807" s="4"/>
      <c r="V807" s="4"/>
      <c r="W807" s="4"/>
      <c r="X807" s="4"/>
      <c r="Y807" s="4"/>
    </row>
    <row r="808" ht="9.75" customHeight="1">
      <c r="A808" s="65"/>
      <c r="B808" s="203" t="s">
        <v>670</v>
      </c>
      <c r="C808" s="202" t="s">
        <v>34</v>
      </c>
      <c r="D808" s="116"/>
      <c r="E808" s="117">
        <v>1.0</v>
      </c>
      <c r="F808" s="118">
        <v>150.0</v>
      </c>
      <c r="G808" s="90">
        <f t="shared" si="139"/>
        <v>150</v>
      </c>
      <c r="H808" s="4"/>
      <c r="I808" s="59">
        <f t="shared" si="138"/>
        <v>0</v>
      </c>
      <c r="J808" s="4"/>
      <c r="K808" s="4"/>
      <c r="L808" s="4"/>
      <c r="M808" s="4"/>
      <c r="N808" s="4"/>
      <c r="O808" s="4"/>
      <c r="P808" s="4"/>
      <c r="Q808" s="4"/>
      <c r="R808" s="4"/>
      <c r="S808" s="4"/>
      <c r="T808" s="4"/>
      <c r="U808" s="4"/>
      <c r="V808" s="4"/>
      <c r="W808" s="4"/>
      <c r="X808" s="4"/>
      <c r="Y808" s="4"/>
    </row>
    <row r="809" ht="9.75" customHeight="1">
      <c r="A809" s="65"/>
      <c r="B809" s="203" t="s">
        <v>671</v>
      </c>
      <c r="C809" s="202" t="s">
        <v>34</v>
      </c>
      <c r="D809" s="116"/>
      <c r="E809" s="117">
        <v>1.0</v>
      </c>
      <c r="F809" s="118">
        <v>200.0</v>
      </c>
      <c r="G809" s="90">
        <f t="shared" si="139"/>
        <v>200</v>
      </c>
      <c r="H809" s="4"/>
      <c r="I809" s="59">
        <f t="shared" si="138"/>
        <v>0</v>
      </c>
      <c r="J809" s="4"/>
      <c r="K809" s="4"/>
      <c r="L809" s="4"/>
      <c r="M809" s="4"/>
      <c r="N809" s="4"/>
      <c r="O809" s="4"/>
      <c r="P809" s="4"/>
      <c r="Q809" s="4"/>
      <c r="R809" s="4"/>
      <c r="S809" s="4"/>
      <c r="T809" s="4"/>
      <c r="U809" s="4"/>
      <c r="V809" s="4"/>
      <c r="W809" s="4"/>
      <c r="X809" s="4"/>
      <c r="Y809" s="4"/>
    </row>
    <row r="810" ht="9.75" customHeight="1">
      <c r="A810" s="65"/>
      <c r="B810" s="91"/>
      <c r="C810" s="92"/>
      <c r="D810" s="93"/>
      <c r="E810" s="93"/>
      <c r="F810" s="93"/>
      <c r="G810" s="94">
        <f t="shared" si="139"/>
        <v>0</v>
      </c>
      <c r="H810" s="4"/>
      <c r="I810" s="59">
        <f t="shared" si="138"/>
        <v>0</v>
      </c>
      <c r="J810" s="4"/>
      <c r="K810" s="4"/>
      <c r="L810" s="4"/>
      <c r="M810" s="4"/>
      <c r="N810" s="4"/>
      <c r="O810" s="4"/>
      <c r="P810" s="4"/>
      <c r="Q810" s="4"/>
      <c r="R810" s="4"/>
      <c r="S810" s="4"/>
      <c r="T810" s="4"/>
      <c r="U810" s="4"/>
      <c r="V810" s="4"/>
      <c r="W810" s="4"/>
      <c r="X810" s="4"/>
      <c r="Y810" s="4"/>
    </row>
    <row r="811" ht="9.75" customHeight="1">
      <c r="A811" s="65"/>
      <c r="B811" s="95" t="s">
        <v>672</v>
      </c>
      <c r="C811" s="96" t="s">
        <v>34</v>
      </c>
      <c r="D811" s="97"/>
      <c r="E811" s="97"/>
      <c r="F811" s="98"/>
      <c r="G811" s="99">
        <f t="shared" si="139"/>
        <v>0</v>
      </c>
      <c r="H811" s="4">
        <f t="shared" ref="H811:H817" si="140">IFERROR(IF(FIND("Sous-",B811,1)&lt;&gt;0,G811,1),0)</f>
        <v>0</v>
      </c>
      <c r="I811" s="59">
        <f t="shared" si="138"/>
        <v>0</v>
      </c>
      <c r="J811" s="4"/>
      <c r="K811" s="4"/>
      <c r="L811" s="4"/>
      <c r="M811" s="4"/>
      <c r="N811" s="4"/>
      <c r="O811" s="4"/>
      <c r="P811" s="4"/>
      <c r="Q811" s="4"/>
      <c r="R811" s="4"/>
      <c r="S811" s="4"/>
      <c r="T811" s="4"/>
      <c r="U811" s="4"/>
      <c r="V811" s="4"/>
      <c r="W811" s="4"/>
      <c r="X811" s="4"/>
      <c r="Y811" s="4"/>
    </row>
    <row r="812" ht="9.75" customHeight="1">
      <c r="A812" s="65"/>
      <c r="B812" s="79" t="s">
        <v>512</v>
      </c>
      <c r="C812" s="80" t="s">
        <v>34</v>
      </c>
      <c r="D812" s="100"/>
      <c r="E812" s="100"/>
      <c r="F812" s="78"/>
      <c r="G812" s="90">
        <f t="shared" si="139"/>
        <v>0</v>
      </c>
      <c r="H812" s="4">
        <f t="shared" si="140"/>
        <v>0</v>
      </c>
      <c r="I812" s="59">
        <f t="shared" si="138"/>
        <v>0</v>
      </c>
      <c r="J812" s="4"/>
      <c r="K812" s="4"/>
      <c r="L812" s="4"/>
      <c r="M812" s="4"/>
      <c r="N812" s="4"/>
      <c r="O812" s="4"/>
      <c r="P812" s="4"/>
      <c r="Q812" s="4"/>
      <c r="R812" s="4"/>
      <c r="S812" s="4"/>
      <c r="T812" s="4"/>
      <c r="U812" s="4"/>
      <c r="V812" s="4"/>
      <c r="W812" s="4"/>
      <c r="X812" s="4"/>
      <c r="Y812" s="4"/>
    </row>
    <row r="813" ht="9.75" customHeight="1">
      <c r="A813" s="65"/>
      <c r="B813" s="79" t="s">
        <v>673</v>
      </c>
      <c r="C813" s="80" t="s">
        <v>32</v>
      </c>
      <c r="D813" s="100"/>
      <c r="E813" s="100"/>
      <c r="F813" s="78"/>
      <c r="G813" s="90">
        <f t="shared" si="139"/>
        <v>0</v>
      </c>
      <c r="H813" s="4">
        <f t="shared" si="140"/>
        <v>0</v>
      </c>
      <c r="I813" s="59">
        <f t="shared" si="138"/>
        <v>0</v>
      </c>
      <c r="J813" s="4"/>
      <c r="K813" s="4"/>
      <c r="L813" s="4"/>
      <c r="M813" s="4"/>
      <c r="N813" s="4"/>
      <c r="O813" s="4"/>
      <c r="P813" s="4"/>
      <c r="Q813" s="4"/>
      <c r="R813" s="4"/>
      <c r="S813" s="4"/>
      <c r="T813" s="4"/>
      <c r="U813" s="4"/>
      <c r="V813" s="4"/>
      <c r="W813" s="4"/>
      <c r="X813" s="4"/>
      <c r="Y813" s="4"/>
    </row>
    <row r="814" ht="9.75" customHeight="1">
      <c r="A814" s="65"/>
      <c r="B814" s="79" t="s">
        <v>534</v>
      </c>
      <c r="C814" s="80" t="s">
        <v>32</v>
      </c>
      <c r="D814" s="100"/>
      <c r="E814" s="100"/>
      <c r="F814" s="78"/>
      <c r="G814" s="90">
        <f t="shared" si="139"/>
        <v>0</v>
      </c>
      <c r="H814" s="4">
        <f t="shared" si="140"/>
        <v>0</v>
      </c>
      <c r="I814" s="59">
        <f t="shared" si="138"/>
        <v>0</v>
      </c>
      <c r="J814" s="4"/>
      <c r="K814" s="4"/>
      <c r="L814" s="4"/>
      <c r="M814" s="4"/>
      <c r="N814" s="4"/>
      <c r="O814" s="4"/>
      <c r="P814" s="4"/>
      <c r="Q814" s="4"/>
      <c r="R814" s="4"/>
      <c r="S814" s="4"/>
      <c r="T814" s="4"/>
      <c r="U814" s="4"/>
      <c r="V814" s="4"/>
      <c r="W814" s="4"/>
      <c r="X814" s="4"/>
      <c r="Y814" s="4"/>
    </row>
    <row r="815" ht="9.75" customHeight="1">
      <c r="A815" s="65"/>
      <c r="B815" s="79" t="s">
        <v>674</v>
      </c>
      <c r="C815" s="80" t="s">
        <v>32</v>
      </c>
      <c r="D815" s="100"/>
      <c r="E815" s="100">
        <v>1.0</v>
      </c>
      <c r="F815" s="78">
        <v>1.0</v>
      </c>
      <c r="G815" s="90">
        <f t="shared" si="139"/>
        <v>1</v>
      </c>
      <c r="H815" s="4">
        <f t="shared" si="140"/>
        <v>0</v>
      </c>
      <c r="I815" s="59">
        <f t="shared" si="138"/>
        <v>0</v>
      </c>
      <c r="J815" s="4"/>
      <c r="K815" s="4"/>
      <c r="L815" s="4"/>
      <c r="M815" s="4"/>
      <c r="N815" s="4"/>
      <c r="O815" s="4"/>
      <c r="P815" s="4"/>
      <c r="Q815" s="4"/>
      <c r="R815" s="4"/>
      <c r="S815" s="4"/>
      <c r="T815" s="4"/>
      <c r="U815" s="4"/>
      <c r="V815" s="4"/>
      <c r="W815" s="4"/>
      <c r="X815" s="4"/>
      <c r="Y815" s="4"/>
    </row>
    <row r="816" ht="12.75" customHeight="1">
      <c r="A816" s="65" t="s">
        <v>675</v>
      </c>
      <c r="B816" s="101" t="str">
        <f>CONCATENATE("Sous-Total : ",A796," - ",B796)</f>
        <v>Sous-Total :  - Sonorisation</v>
      </c>
      <c r="C816" s="102"/>
      <c r="D816" s="103"/>
      <c r="E816" s="103"/>
      <c r="F816" s="103"/>
      <c r="G816" s="104">
        <f>SUM(G796:G815)</f>
        <v>2445</v>
      </c>
      <c r="H816" s="4">
        <f t="shared" si="140"/>
        <v>2445</v>
      </c>
      <c r="I816" s="59">
        <f t="shared" si="138"/>
        <v>0.0005630485136</v>
      </c>
      <c r="J816" s="4"/>
      <c r="K816" s="4"/>
      <c r="L816" s="4"/>
      <c r="M816" s="4"/>
      <c r="N816" s="4"/>
      <c r="O816" s="4"/>
      <c r="P816" s="4"/>
      <c r="Q816" s="4"/>
      <c r="R816" s="4"/>
      <c r="S816" s="4"/>
      <c r="T816" s="4"/>
      <c r="U816" s="4"/>
      <c r="V816" s="4"/>
      <c r="W816" s="4"/>
      <c r="X816" s="4"/>
      <c r="Y816" s="4"/>
    </row>
    <row r="817" ht="9.75" customHeight="1">
      <c r="A817" s="65"/>
      <c r="B817" s="105" t="s">
        <v>676</v>
      </c>
      <c r="C817" s="106"/>
      <c r="D817" s="98"/>
      <c r="E817" s="98"/>
      <c r="F817" s="98"/>
      <c r="G817" s="107">
        <f t="shared" ref="G817:G818" si="141">E817*F817</f>
        <v>0</v>
      </c>
      <c r="H817" s="4">
        <f t="shared" si="140"/>
        <v>0</v>
      </c>
      <c r="I817" s="59">
        <f t="shared" si="138"/>
        <v>0</v>
      </c>
      <c r="J817" s="4"/>
      <c r="K817" s="4"/>
      <c r="L817" s="4"/>
      <c r="M817" s="4"/>
      <c r="N817" s="4"/>
      <c r="O817" s="4"/>
      <c r="P817" s="4"/>
      <c r="Q817" s="4"/>
      <c r="R817" s="4"/>
      <c r="S817" s="4"/>
      <c r="T817" s="4"/>
      <c r="U817" s="4"/>
      <c r="V817" s="4"/>
      <c r="W817" s="4"/>
      <c r="X817" s="4"/>
      <c r="Y817" s="4"/>
    </row>
    <row r="818" ht="9.75" customHeight="1">
      <c r="A818" s="162"/>
      <c r="B818" s="134" t="s">
        <v>677</v>
      </c>
      <c r="C818" s="202" t="s">
        <v>34</v>
      </c>
      <c r="D818" s="116"/>
      <c r="E818" s="116">
        <v>1.0</v>
      </c>
      <c r="F818" s="118">
        <v>1400.0</v>
      </c>
      <c r="G818" s="90">
        <f t="shared" si="141"/>
        <v>1400</v>
      </c>
      <c r="H818" s="165"/>
      <c r="I818" s="59">
        <f t="shared" si="138"/>
        <v>0</v>
      </c>
      <c r="J818" s="4"/>
      <c r="K818" s="4"/>
      <c r="L818" s="4"/>
      <c r="M818" s="4"/>
      <c r="N818" s="4"/>
      <c r="O818" s="4"/>
      <c r="P818" s="4"/>
      <c r="Q818" s="4"/>
      <c r="R818" s="4"/>
      <c r="S818" s="4"/>
      <c r="T818" s="4"/>
      <c r="U818" s="4"/>
      <c r="V818" s="4"/>
      <c r="W818" s="4"/>
      <c r="X818" s="4"/>
      <c r="Y818" s="4"/>
    </row>
    <row r="819" ht="12.75" customHeight="1">
      <c r="A819" s="65" t="s">
        <v>678</v>
      </c>
      <c r="B819" s="82" t="str">
        <f>CONCATENATE("Sous-Total : ",A817," - ",B817)</f>
        <v>Sous-Total :  - Vidéo Projecteur Courte focale</v>
      </c>
      <c r="C819" s="83"/>
      <c r="D819" s="84"/>
      <c r="E819" s="84"/>
      <c r="F819" s="84"/>
      <c r="G819" s="109">
        <f>SUM(G817:G818)</f>
        <v>1400</v>
      </c>
      <c r="H819" s="4">
        <f t="shared" ref="H819:H820" si="142">IFERROR(IF(FIND("Sous-",B819,1)&lt;&gt;0,G819,1),0)</f>
        <v>1400</v>
      </c>
      <c r="I819" s="59">
        <f t="shared" si="138"/>
        <v>0.0003223999669</v>
      </c>
      <c r="J819" s="4"/>
      <c r="K819" s="4"/>
      <c r="L819" s="4"/>
      <c r="M819" s="4"/>
      <c r="N819" s="4"/>
      <c r="O819" s="4"/>
      <c r="P819" s="4"/>
      <c r="Q819" s="4"/>
      <c r="R819" s="4"/>
      <c r="S819" s="4"/>
      <c r="T819" s="4"/>
      <c r="U819" s="4"/>
      <c r="V819" s="4"/>
      <c r="W819" s="4"/>
      <c r="X819" s="4"/>
      <c r="Y819" s="4"/>
    </row>
    <row r="820" ht="9.75" customHeight="1">
      <c r="A820" s="65"/>
      <c r="B820" s="105" t="s">
        <v>679</v>
      </c>
      <c r="C820" s="106"/>
      <c r="D820" s="98"/>
      <c r="E820" s="98"/>
      <c r="F820" s="98"/>
      <c r="G820" s="107">
        <f t="shared" ref="G820:G821" si="143">E820*F820</f>
        <v>0</v>
      </c>
      <c r="H820" s="4">
        <f t="shared" si="142"/>
        <v>0</v>
      </c>
      <c r="I820" s="59">
        <f t="shared" si="138"/>
        <v>0</v>
      </c>
      <c r="J820" s="4"/>
      <c r="K820" s="4"/>
      <c r="L820" s="4"/>
      <c r="M820" s="4"/>
      <c r="N820" s="4"/>
      <c r="O820" s="4"/>
      <c r="P820" s="4"/>
      <c r="Q820" s="4"/>
      <c r="R820" s="4"/>
      <c r="S820" s="4"/>
      <c r="T820" s="4"/>
      <c r="U820" s="4"/>
      <c r="V820" s="4"/>
      <c r="W820" s="4"/>
      <c r="X820" s="4"/>
      <c r="Y820" s="4"/>
    </row>
    <row r="821" ht="9.75" customHeight="1">
      <c r="A821" s="162"/>
      <c r="B821" s="134" t="s">
        <v>680</v>
      </c>
      <c r="C821" s="202" t="s">
        <v>34</v>
      </c>
      <c r="D821" s="116"/>
      <c r="E821" s="116">
        <v>1.0</v>
      </c>
      <c r="F821" s="118">
        <v>2600.0</v>
      </c>
      <c r="G821" s="90">
        <f t="shared" si="143"/>
        <v>2600</v>
      </c>
      <c r="H821" s="165"/>
      <c r="I821" s="59">
        <f t="shared" si="138"/>
        <v>0</v>
      </c>
      <c r="J821" s="4"/>
      <c r="K821" s="4"/>
      <c r="L821" s="4"/>
      <c r="M821" s="4"/>
      <c r="N821" s="4"/>
      <c r="O821" s="4"/>
      <c r="P821" s="4"/>
      <c r="Q821" s="4"/>
      <c r="R821" s="4"/>
      <c r="S821" s="4"/>
      <c r="T821" s="4"/>
      <c r="U821" s="4"/>
      <c r="V821" s="4"/>
      <c r="W821" s="4"/>
      <c r="X821" s="4"/>
      <c r="Y821" s="4"/>
    </row>
    <row r="822" ht="12.75" customHeight="1">
      <c r="A822" s="65" t="s">
        <v>681</v>
      </c>
      <c r="B822" s="82" t="str">
        <f>CONCATENATE("Sous-Total : ",A820," - ",B820)</f>
        <v>Sous-Total :  - Tableau Banc Interactif</v>
      </c>
      <c r="C822" s="83"/>
      <c r="D822" s="84"/>
      <c r="E822" s="84"/>
      <c r="F822" s="84"/>
      <c r="G822" s="109">
        <f>SUM(G820:G821)</f>
        <v>2600</v>
      </c>
      <c r="H822" s="4">
        <f t="shared" ref="H822:H823" si="144">IFERROR(IF(FIND("Sous-",B822,1)&lt;&gt;0,G822,1),0)</f>
        <v>2600</v>
      </c>
      <c r="I822" s="59">
        <f t="shared" si="138"/>
        <v>0.0005987427956</v>
      </c>
      <c r="J822" s="4"/>
      <c r="K822" s="4"/>
      <c r="L822" s="4"/>
      <c r="M822" s="4"/>
      <c r="N822" s="4"/>
      <c r="O822" s="4"/>
      <c r="P822" s="4"/>
      <c r="Q822" s="4"/>
      <c r="R822" s="4"/>
      <c r="S822" s="4"/>
      <c r="T822" s="4"/>
      <c r="U822" s="4"/>
      <c r="V822" s="4"/>
      <c r="W822" s="4"/>
      <c r="X822" s="4"/>
      <c r="Y822" s="4"/>
    </row>
    <row r="823" ht="9.75" customHeight="1">
      <c r="A823" s="65"/>
      <c r="B823" s="105" t="s">
        <v>682</v>
      </c>
      <c r="C823" s="106"/>
      <c r="D823" s="98"/>
      <c r="E823" s="98"/>
      <c r="F823" s="98"/>
      <c r="G823" s="107">
        <f t="shared" ref="G823:G825" si="145">E823*F823</f>
        <v>0</v>
      </c>
      <c r="H823" s="4">
        <f t="shared" si="144"/>
        <v>0</v>
      </c>
      <c r="I823" s="59">
        <f t="shared" si="138"/>
        <v>0</v>
      </c>
      <c r="J823" s="4"/>
      <c r="K823" s="4"/>
      <c r="L823" s="4"/>
      <c r="M823" s="4"/>
      <c r="N823" s="4"/>
      <c r="O823" s="4"/>
      <c r="P823" s="4"/>
      <c r="Q823" s="4"/>
      <c r="R823" s="4"/>
      <c r="S823" s="4"/>
      <c r="T823" s="4"/>
      <c r="U823" s="4"/>
      <c r="V823" s="4"/>
      <c r="W823" s="4"/>
      <c r="X823" s="4"/>
      <c r="Y823" s="4"/>
    </row>
    <row r="824" ht="9.75" customHeight="1">
      <c r="A824" s="65"/>
      <c r="B824" s="134" t="s">
        <v>683</v>
      </c>
      <c r="C824" s="87" t="s">
        <v>34</v>
      </c>
      <c r="D824" s="88"/>
      <c r="E824" s="88"/>
      <c r="F824" s="88"/>
      <c r="G824" s="90">
        <f t="shared" si="145"/>
        <v>0</v>
      </c>
      <c r="H824" s="4"/>
      <c r="I824" s="59">
        <f t="shared" si="138"/>
        <v>0</v>
      </c>
      <c r="J824" s="4"/>
      <c r="K824" s="4"/>
      <c r="L824" s="4"/>
      <c r="M824" s="4"/>
      <c r="N824" s="4"/>
      <c r="O824" s="4"/>
      <c r="P824" s="4"/>
      <c r="Q824" s="4"/>
      <c r="R824" s="4"/>
      <c r="S824" s="4"/>
      <c r="T824" s="4"/>
      <c r="U824" s="4"/>
      <c r="V824" s="4"/>
      <c r="W824" s="4"/>
      <c r="X824" s="4"/>
      <c r="Y824" s="4"/>
    </row>
    <row r="825" ht="9.75" customHeight="1">
      <c r="A825" s="162"/>
      <c r="B825" s="134" t="s">
        <v>684</v>
      </c>
      <c r="C825" s="202" t="s">
        <v>34</v>
      </c>
      <c r="D825" s="116"/>
      <c r="E825" s="116">
        <v>1.0</v>
      </c>
      <c r="F825" s="118">
        <v>1400.0</v>
      </c>
      <c r="G825" s="90">
        <f t="shared" si="145"/>
        <v>1400</v>
      </c>
      <c r="H825" s="165"/>
      <c r="I825" s="59">
        <f t="shared" si="138"/>
        <v>0</v>
      </c>
      <c r="J825" s="4"/>
      <c r="K825" s="4"/>
      <c r="L825" s="4"/>
      <c r="M825" s="4"/>
      <c r="N825" s="4"/>
      <c r="O825" s="4"/>
      <c r="P825" s="4"/>
      <c r="Q825" s="4"/>
      <c r="R825" s="4"/>
      <c r="S825" s="4"/>
      <c r="T825" s="4"/>
      <c r="U825" s="4"/>
      <c r="V825" s="4"/>
      <c r="W825" s="4"/>
      <c r="X825" s="4"/>
      <c r="Y825" s="4"/>
    </row>
    <row r="826" ht="12.75" customHeight="1">
      <c r="A826" s="65" t="s">
        <v>685</v>
      </c>
      <c r="B826" s="82" t="str">
        <f>CONCATENATE("Sous-Total : ",A823," - ",B823)</f>
        <v>Sous-Total :  - Panneau d'affichage sportif</v>
      </c>
      <c r="C826" s="83"/>
      <c r="D826" s="84"/>
      <c r="E826" s="84"/>
      <c r="F826" s="84"/>
      <c r="G826" s="109">
        <f>SUM(G823:G825)</f>
        <v>1400</v>
      </c>
      <c r="H826" s="4">
        <f>IFERROR(IF(FIND("Sous-",B826,1)&lt;&gt;0,G826,1),0)</f>
        <v>1400</v>
      </c>
      <c r="I826" s="59">
        <f t="shared" si="138"/>
        <v>0.0003223999669</v>
      </c>
      <c r="J826" s="4"/>
      <c r="K826" s="4"/>
      <c r="L826" s="4"/>
      <c r="M826" s="4"/>
      <c r="N826" s="4"/>
      <c r="O826" s="4"/>
      <c r="P826" s="4"/>
      <c r="Q826" s="4"/>
      <c r="R826" s="4"/>
      <c r="S826" s="4"/>
      <c r="T826" s="4"/>
      <c r="U826" s="4"/>
      <c r="V826" s="4"/>
      <c r="W826" s="4"/>
      <c r="X826" s="4"/>
      <c r="Y826" s="4"/>
    </row>
    <row r="827" ht="9.75" customHeight="1">
      <c r="A827" s="162"/>
      <c r="B827" s="4"/>
      <c r="C827" s="163"/>
      <c r="D827" s="164"/>
      <c r="E827" s="164"/>
      <c r="F827" s="164"/>
      <c r="G827" s="164"/>
      <c r="H827" s="165"/>
      <c r="I827" s="59">
        <f t="shared" si="138"/>
        <v>0</v>
      </c>
      <c r="J827" s="4"/>
      <c r="K827" s="4"/>
      <c r="L827" s="4"/>
      <c r="M827" s="4"/>
      <c r="N827" s="4"/>
      <c r="O827" s="4"/>
      <c r="P827" s="4"/>
      <c r="Q827" s="4"/>
      <c r="R827" s="4"/>
      <c r="S827" s="4"/>
      <c r="T827" s="4"/>
      <c r="U827" s="4"/>
      <c r="V827" s="4"/>
      <c r="W827" s="4"/>
      <c r="X827" s="4"/>
      <c r="Y827" s="4"/>
    </row>
    <row r="828" ht="12.75" customHeight="1">
      <c r="A828" s="211" t="s">
        <v>686</v>
      </c>
      <c r="B828" s="172" t="s">
        <v>687</v>
      </c>
      <c r="C828" s="172"/>
      <c r="D828" s="173"/>
      <c r="E828" s="173"/>
      <c r="F828" s="174"/>
      <c r="G828" s="175">
        <f>SUM(G826,G822,G819,G816,G795,G786,G781,G760,G737,G730,G718,G714,G709,G699,G693,G670,G650,G636,G618,G611,G573,G551,G539)</f>
        <v>332143.718</v>
      </c>
      <c r="H828" s="165"/>
      <c r="I828" s="59">
        <f>IFERROR(G828/$H$6,0)</f>
        <v>0.07648794549</v>
      </c>
      <c r="J828" s="175">
        <f>SUM(H486:H826)</f>
        <v>332145.718</v>
      </c>
      <c r="K828" s="4"/>
      <c r="L828" s="4"/>
      <c r="M828" s="4"/>
      <c r="N828" s="4"/>
      <c r="O828" s="4"/>
      <c r="P828" s="4"/>
      <c r="Q828" s="4"/>
      <c r="R828" s="4"/>
      <c r="S828" s="4"/>
      <c r="T828" s="4"/>
      <c r="U828" s="4"/>
      <c r="V828" s="4"/>
      <c r="W828" s="4"/>
      <c r="X828" s="4"/>
      <c r="Y828" s="4"/>
    </row>
    <row r="829" ht="9.75" customHeight="1">
      <c r="A829" s="4"/>
      <c r="B829" s="4"/>
      <c r="C829" s="4"/>
      <c r="D829" s="165"/>
      <c r="E829" s="165"/>
      <c r="F829" s="165"/>
      <c r="G829" s="165"/>
      <c r="H829" s="165"/>
      <c r="I829" s="4"/>
      <c r="J829" s="4"/>
      <c r="K829" s="4"/>
      <c r="L829" s="4"/>
      <c r="M829" s="4"/>
      <c r="N829" s="4"/>
      <c r="O829" s="4"/>
      <c r="P829" s="4"/>
      <c r="Q829" s="4"/>
      <c r="R829" s="4"/>
      <c r="S829" s="4"/>
      <c r="T829" s="4"/>
      <c r="U829" s="4"/>
      <c r="V829" s="4"/>
      <c r="W829" s="4"/>
      <c r="X829" s="4"/>
      <c r="Y829" s="4"/>
    </row>
    <row r="830" ht="9.75" customHeight="1">
      <c r="A830" s="4"/>
      <c r="B830" s="4"/>
      <c r="C830" s="4"/>
      <c r="D830" s="165"/>
      <c r="E830" s="165"/>
      <c r="F830" s="165"/>
      <c r="G830" s="165"/>
      <c r="H830" s="165"/>
      <c r="I830" s="4"/>
      <c r="J830" s="4"/>
      <c r="K830" s="4"/>
      <c r="L830" s="4"/>
      <c r="M830" s="4"/>
      <c r="N830" s="4"/>
      <c r="O830" s="4"/>
      <c r="P830" s="4"/>
      <c r="Q830" s="4"/>
      <c r="R830" s="4"/>
      <c r="S830" s="4"/>
      <c r="T830" s="4"/>
      <c r="U830" s="4"/>
      <c r="V830" s="4"/>
      <c r="W830" s="4"/>
      <c r="X830" s="4"/>
      <c r="Y830" s="4"/>
    </row>
    <row r="831" ht="9.75" customHeight="1">
      <c r="A831" s="4"/>
      <c r="B831" s="4"/>
      <c r="C831" s="4"/>
      <c r="D831" s="165"/>
      <c r="E831" s="165"/>
      <c r="F831" s="165"/>
      <c r="G831" s="165"/>
      <c r="H831" s="165"/>
      <c r="I831" s="4"/>
      <c r="J831" s="4"/>
      <c r="K831" s="4"/>
      <c r="L831" s="4"/>
      <c r="M831" s="4"/>
      <c r="N831" s="4"/>
      <c r="O831" s="4"/>
      <c r="P831" s="4"/>
      <c r="Q831" s="4"/>
      <c r="R831" s="4"/>
      <c r="S831" s="4"/>
      <c r="T831" s="4"/>
      <c r="U831" s="4"/>
      <c r="V831" s="4"/>
      <c r="W831" s="4"/>
      <c r="X831" s="4"/>
      <c r="Y831" s="4"/>
    </row>
    <row r="832" ht="9.75" customHeight="1">
      <c r="A832" s="4"/>
      <c r="B832" s="4"/>
      <c r="C832" s="4"/>
      <c r="D832" s="165"/>
      <c r="E832" s="165"/>
      <c r="F832" s="165"/>
      <c r="G832" s="165"/>
      <c r="H832" s="165"/>
      <c r="I832" s="4"/>
      <c r="J832" s="4"/>
      <c r="K832" s="4"/>
      <c r="L832" s="4"/>
      <c r="M832" s="4"/>
      <c r="N832" s="4"/>
      <c r="O832" s="4"/>
      <c r="P832" s="4"/>
      <c r="Q832" s="4"/>
      <c r="R832" s="4"/>
      <c r="S832" s="4"/>
      <c r="T832" s="4"/>
      <c r="U832" s="4"/>
      <c r="V832" s="4"/>
      <c r="W832" s="4"/>
      <c r="X832" s="4"/>
      <c r="Y832" s="4"/>
    </row>
    <row r="833" ht="9.75" customHeight="1">
      <c r="A833" s="4"/>
      <c r="B833" s="4"/>
      <c r="C833" s="4"/>
      <c r="D833" s="165"/>
      <c r="E833" s="165"/>
      <c r="F833" s="165"/>
      <c r="G833" s="165"/>
      <c r="H833" s="165"/>
      <c r="I833" s="4"/>
      <c r="J833" s="4"/>
      <c r="K833" s="4"/>
      <c r="L833" s="4"/>
      <c r="M833" s="4"/>
      <c r="N833" s="4"/>
      <c r="O833" s="4"/>
      <c r="P833" s="4"/>
      <c r="Q833" s="4"/>
      <c r="R833" s="4"/>
      <c r="S833" s="4"/>
      <c r="T833" s="4"/>
      <c r="U833" s="4"/>
      <c r="V833" s="4"/>
      <c r="W833" s="4"/>
      <c r="X833" s="4"/>
      <c r="Y833" s="4"/>
    </row>
    <row r="834" ht="9.75" customHeight="1">
      <c r="A834" s="4"/>
      <c r="B834" s="4"/>
      <c r="C834" s="4"/>
      <c r="D834" s="165"/>
      <c r="E834" s="165"/>
      <c r="F834" s="165"/>
      <c r="G834" s="165"/>
      <c r="H834" s="165"/>
      <c r="I834" s="4"/>
      <c r="J834" s="4"/>
      <c r="K834" s="4"/>
      <c r="L834" s="4"/>
      <c r="M834" s="4"/>
      <c r="N834" s="4"/>
      <c r="O834" s="4"/>
      <c r="P834" s="4"/>
      <c r="Q834" s="4"/>
      <c r="R834" s="4"/>
      <c r="S834" s="4"/>
      <c r="T834" s="4"/>
      <c r="U834" s="4"/>
      <c r="V834" s="4"/>
      <c r="W834" s="4"/>
      <c r="X834" s="4"/>
      <c r="Y834" s="4"/>
    </row>
    <row r="835" ht="9.75" customHeight="1">
      <c r="A835" s="4"/>
      <c r="B835" s="4"/>
      <c r="C835" s="4"/>
      <c r="D835" s="165"/>
      <c r="E835" s="165"/>
      <c r="F835" s="165"/>
      <c r="G835" s="165"/>
      <c r="H835" s="165"/>
      <c r="I835" s="4"/>
      <c r="J835" s="4"/>
      <c r="K835" s="4"/>
      <c r="L835" s="4"/>
      <c r="M835" s="4"/>
      <c r="N835" s="4"/>
      <c r="O835" s="4"/>
      <c r="P835" s="4"/>
      <c r="Q835" s="4"/>
      <c r="R835" s="4"/>
      <c r="S835" s="4"/>
      <c r="T835" s="4"/>
      <c r="U835" s="4"/>
      <c r="V835" s="4"/>
      <c r="W835" s="4"/>
      <c r="X835" s="4"/>
      <c r="Y835" s="4"/>
    </row>
    <row r="836" ht="9.75" customHeight="1">
      <c r="A836" s="4"/>
      <c r="B836" s="4"/>
      <c r="C836" s="4"/>
      <c r="D836" s="165"/>
      <c r="E836" s="165"/>
      <c r="F836" s="165"/>
      <c r="G836" s="165"/>
      <c r="H836" s="165"/>
      <c r="I836" s="4"/>
      <c r="J836" s="4"/>
      <c r="K836" s="4"/>
      <c r="L836" s="4"/>
      <c r="M836" s="4"/>
      <c r="N836" s="4"/>
      <c r="O836" s="4"/>
      <c r="P836" s="4"/>
      <c r="Q836" s="4"/>
      <c r="R836" s="4"/>
      <c r="S836" s="4"/>
      <c r="T836" s="4"/>
      <c r="U836" s="4"/>
      <c r="V836" s="4"/>
      <c r="W836" s="4"/>
      <c r="X836" s="4"/>
      <c r="Y836" s="4"/>
    </row>
    <row r="837" ht="9.75" customHeight="1">
      <c r="A837" s="4"/>
      <c r="B837" s="4"/>
      <c r="C837" s="4"/>
      <c r="D837" s="165"/>
      <c r="E837" s="165"/>
      <c r="F837" s="165"/>
      <c r="G837" s="165"/>
      <c r="H837" s="165"/>
      <c r="I837" s="4"/>
      <c r="J837" s="4"/>
      <c r="K837" s="4"/>
      <c r="L837" s="4"/>
      <c r="M837" s="4"/>
      <c r="N837" s="4"/>
      <c r="O837" s="4"/>
      <c r="P837" s="4"/>
      <c r="Q837" s="4"/>
      <c r="R837" s="4"/>
      <c r="S837" s="4"/>
      <c r="T837" s="4"/>
      <c r="U837" s="4"/>
      <c r="V837" s="4"/>
      <c r="W837" s="4"/>
      <c r="X837" s="4"/>
      <c r="Y837" s="4"/>
    </row>
    <row r="838" ht="9.75" customHeight="1">
      <c r="A838" s="4"/>
      <c r="B838" s="4"/>
      <c r="C838" s="4"/>
      <c r="D838" s="165"/>
      <c r="E838" s="165"/>
      <c r="F838" s="165"/>
      <c r="G838" s="165"/>
      <c r="H838" s="165"/>
      <c r="I838" s="4"/>
      <c r="J838" s="4"/>
      <c r="K838" s="4"/>
      <c r="L838" s="4"/>
      <c r="M838" s="4"/>
      <c r="N838" s="4"/>
      <c r="O838" s="4"/>
      <c r="P838" s="4"/>
      <c r="Q838" s="4"/>
      <c r="R838" s="4"/>
      <c r="S838" s="4"/>
      <c r="T838" s="4"/>
      <c r="U838" s="4"/>
      <c r="V838" s="4"/>
      <c r="W838" s="4"/>
      <c r="X838" s="4"/>
      <c r="Y838" s="4"/>
    </row>
    <row r="839" ht="9.75" customHeight="1">
      <c r="A839" s="4"/>
      <c r="B839" s="4"/>
      <c r="C839" s="4"/>
      <c r="D839" s="165"/>
      <c r="E839" s="165"/>
      <c r="F839" s="165"/>
      <c r="G839" s="165"/>
      <c r="H839" s="165"/>
      <c r="I839" s="4"/>
      <c r="J839" s="4"/>
      <c r="K839" s="4"/>
      <c r="L839" s="4"/>
      <c r="M839" s="4"/>
      <c r="N839" s="4"/>
      <c r="O839" s="4"/>
      <c r="P839" s="4"/>
      <c r="Q839" s="4"/>
      <c r="R839" s="4"/>
      <c r="S839" s="4"/>
      <c r="T839" s="4"/>
      <c r="U839" s="4"/>
      <c r="V839" s="4"/>
      <c r="W839" s="4"/>
      <c r="X839" s="4"/>
      <c r="Y839" s="4"/>
    </row>
    <row r="840" ht="9.75" customHeight="1">
      <c r="A840" s="4"/>
      <c r="B840" s="4"/>
      <c r="C840" s="4"/>
      <c r="D840" s="165"/>
      <c r="E840" s="165"/>
      <c r="F840" s="165"/>
      <c r="G840" s="165"/>
      <c r="H840" s="165"/>
      <c r="I840" s="4"/>
      <c r="J840" s="4"/>
      <c r="K840" s="4"/>
      <c r="L840" s="4"/>
      <c r="M840" s="4"/>
      <c r="N840" s="4"/>
      <c r="O840" s="4"/>
      <c r="P840" s="4"/>
      <c r="Q840" s="4"/>
      <c r="R840" s="4"/>
      <c r="S840" s="4"/>
      <c r="T840" s="4"/>
      <c r="U840" s="4"/>
      <c r="V840" s="4"/>
      <c r="W840" s="4"/>
      <c r="X840" s="4"/>
      <c r="Y840" s="4"/>
    </row>
    <row r="841" ht="9.75" customHeight="1">
      <c r="A841" s="4"/>
      <c r="B841" s="4"/>
      <c r="C841" s="4"/>
      <c r="D841" s="165"/>
      <c r="E841" s="165"/>
      <c r="F841" s="165"/>
      <c r="G841" s="165"/>
      <c r="H841" s="165"/>
      <c r="I841" s="4"/>
      <c r="J841" s="4"/>
      <c r="K841" s="4"/>
      <c r="L841" s="4"/>
      <c r="M841" s="4"/>
      <c r="N841" s="4"/>
      <c r="O841" s="4"/>
      <c r="P841" s="4"/>
      <c r="Q841" s="4"/>
      <c r="R841" s="4"/>
      <c r="S841" s="4"/>
      <c r="T841" s="4"/>
      <c r="U841" s="4"/>
      <c r="V841" s="4"/>
      <c r="W841" s="4"/>
      <c r="X841" s="4"/>
      <c r="Y841" s="4"/>
    </row>
    <row r="842" ht="9.75" customHeight="1">
      <c r="A842" s="4"/>
      <c r="B842" s="4"/>
      <c r="C842" s="4"/>
      <c r="D842" s="165"/>
      <c r="E842" s="165"/>
      <c r="F842" s="165"/>
      <c r="G842" s="165"/>
      <c r="H842" s="165"/>
      <c r="I842" s="4"/>
      <c r="J842" s="4"/>
      <c r="K842" s="4"/>
      <c r="L842" s="4"/>
      <c r="M842" s="4"/>
      <c r="N842" s="4"/>
      <c r="O842" s="4"/>
      <c r="P842" s="4"/>
      <c r="Q842" s="4"/>
      <c r="R842" s="4"/>
      <c r="S842" s="4"/>
      <c r="T842" s="4"/>
      <c r="U842" s="4"/>
      <c r="V842" s="4"/>
      <c r="W842" s="4"/>
      <c r="X842" s="4"/>
      <c r="Y842" s="4"/>
    </row>
    <row r="843" ht="9.75" customHeight="1">
      <c r="A843" s="4"/>
      <c r="B843" s="4"/>
      <c r="C843" s="4"/>
      <c r="D843" s="165"/>
      <c r="E843" s="165"/>
      <c r="F843" s="165"/>
      <c r="G843" s="165"/>
      <c r="H843" s="165"/>
      <c r="I843" s="4"/>
      <c r="J843" s="4"/>
      <c r="K843" s="4"/>
      <c r="L843" s="4"/>
      <c r="M843" s="4"/>
      <c r="N843" s="4"/>
      <c r="O843" s="4"/>
      <c r="P843" s="4"/>
      <c r="Q843" s="4"/>
      <c r="R843" s="4"/>
      <c r="S843" s="4"/>
      <c r="T843" s="4"/>
      <c r="U843" s="4"/>
      <c r="V843" s="4"/>
      <c r="W843" s="4"/>
      <c r="X843" s="4"/>
      <c r="Y843" s="4"/>
    </row>
    <row r="844" ht="9.75" customHeight="1">
      <c r="A844" s="4"/>
      <c r="B844" s="4"/>
      <c r="C844" s="4"/>
      <c r="D844" s="165"/>
      <c r="E844" s="165"/>
      <c r="F844" s="165"/>
      <c r="G844" s="165"/>
      <c r="H844" s="165"/>
      <c r="I844" s="4"/>
      <c r="J844" s="4"/>
      <c r="K844" s="4"/>
      <c r="L844" s="4"/>
      <c r="M844" s="4"/>
      <c r="N844" s="4"/>
      <c r="O844" s="4"/>
      <c r="P844" s="4"/>
      <c r="Q844" s="4"/>
      <c r="R844" s="4"/>
      <c r="S844" s="4"/>
      <c r="T844" s="4"/>
      <c r="U844" s="4"/>
      <c r="V844" s="4"/>
      <c r="W844" s="4"/>
      <c r="X844" s="4"/>
      <c r="Y844" s="4"/>
    </row>
    <row r="845" ht="9.75" customHeight="1">
      <c r="A845" s="4"/>
      <c r="B845" s="4"/>
      <c r="C845" s="4"/>
      <c r="D845" s="165"/>
      <c r="E845" s="165"/>
      <c r="F845" s="165"/>
      <c r="G845" s="165"/>
      <c r="H845" s="165"/>
      <c r="I845" s="4"/>
      <c r="J845" s="4"/>
      <c r="K845" s="4"/>
      <c r="L845" s="4"/>
      <c r="M845" s="4"/>
      <c r="N845" s="4"/>
      <c r="O845" s="4"/>
      <c r="P845" s="4"/>
      <c r="Q845" s="4"/>
      <c r="R845" s="4"/>
      <c r="S845" s="4"/>
      <c r="T845" s="4"/>
      <c r="U845" s="4"/>
      <c r="V845" s="4"/>
      <c r="W845" s="4"/>
      <c r="X845" s="4"/>
      <c r="Y845" s="4"/>
    </row>
    <row r="846" ht="9.75" customHeight="1">
      <c r="A846" s="4"/>
      <c r="B846" s="4"/>
      <c r="C846" s="4"/>
      <c r="D846" s="165"/>
      <c r="E846" s="165"/>
      <c r="F846" s="165"/>
      <c r="G846" s="165"/>
      <c r="H846" s="165"/>
      <c r="I846" s="4"/>
      <c r="J846" s="4"/>
      <c r="K846" s="4"/>
      <c r="L846" s="4"/>
      <c r="M846" s="4"/>
      <c r="N846" s="4"/>
      <c r="O846" s="4"/>
      <c r="P846" s="4"/>
      <c r="Q846" s="4"/>
      <c r="R846" s="4"/>
      <c r="S846" s="4"/>
      <c r="T846" s="4"/>
      <c r="U846" s="4"/>
      <c r="V846" s="4"/>
      <c r="W846" s="4"/>
      <c r="X846" s="4"/>
      <c r="Y846" s="4"/>
    </row>
    <row r="847" ht="9.75" customHeight="1">
      <c r="A847" s="4"/>
      <c r="B847" s="4"/>
      <c r="C847" s="4"/>
      <c r="D847" s="165"/>
      <c r="E847" s="165"/>
      <c r="F847" s="165"/>
      <c r="G847" s="165"/>
      <c r="H847" s="165"/>
      <c r="I847" s="4"/>
      <c r="J847" s="4"/>
      <c r="K847" s="4"/>
      <c r="L847" s="4"/>
      <c r="M847" s="4"/>
      <c r="N847" s="4"/>
      <c r="O847" s="4"/>
      <c r="P847" s="4"/>
      <c r="Q847" s="4"/>
      <c r="R847" s="4"/>
      <c r="S847" s="4"/>
      <c r="T847" s="4"/>
      <c r="U847" s="4"/>
      <c r="V847" s="4"/>
      <c r="W847" s="4"/>
      <c r="X847" s="4"/>
      <c r="Y847" s="4"/>
    </row>
    <row r="848" ht="9.75" customHeight="1">
      <c r="A848" s="4"/>
      <c r="B848" s="4"/>
      <c r="C848" s="4"/>
      <c r="D848" s="165"/>
      <c r="E848" s="165"/>
      <c r="F848" s="165"/>
      <c r="G848" s="165"/>
      <c r="H848" s="165"/>
      <c r="I848" s="4"/>
      <c r="J848" s="4"/>
      <c r="K848" s="4"/>
      <c r="L848" s="4"/>
      <c r="M848" s="4"/>
      <c r="N848" s="4"/>
      <c r="O848" s="4"/>
      <c r="P848" s="4"/>
      <c r="Q848" s="4"/>
      <c r="R848" s="4"/>
      <c r="S848" s="4"/>
      <c r="T848" s="4"/>
      <c r="U848" s="4"/>
      <c r="V848" s="4"/>
      <c r="W848" s="4"/>
      <c r="X848" s="4"/>
      <c r="Y848" s="4"/>
    </row>
    <row r="849" ht="9.75" customHeight="1">
      <c r="A849" s="4"/>
      <c r="B849" s="4"/>
      <c r="C849" s="4"/>
      <c r="D849" s="165"/>
      <c r="E849" s="165"/>
      <c r="F849" s="165"/>
      <c r="G849" s="165"/>
      <c r="H849" s="165"/>
      <c r="I849" s="4"/>
      <c r="J849" s="4"/>
      <c r="K849" s="4"/>
      <c r="L849" s="4"/>
      <c r="M849" s="4"/>
      <c r="N849" s="4"/>
      <c r="O849" s="4"/>
      <c r="P849" s="4"/>
      <c r="Q849" s="4"/>
      <c r="R849" s="4"/>
      <c r="S849" s="4"/>
      <c r="T849" s="4"/>
      <c r="U849" s="4"/>
      <c r="V849" s="4"/>
      <c r="W849" s="4"/>
      <c r="X849" s="4"/>
      <c r="Y849" s="4"/>
    </row>
    <row r="850" ht="9.75" customHeight="1">
      <c r="A850" s="4"/>
      <c r="B850" s="4"/>
      <c r="C850" s="4"/>
      <c r="D850" s="165"/>
      <c r="E850" s="165"/>
      <c r="F850" s="165"/>
      <c r="G850" s="165"/>
      <c r="H850" s="165"/>
      <c r="I850" s="4"/>
      <c r="J850" s="4"/>
      <c r="K850" s="4"/>
      <c r="L850" s="4"/>
      <c r="M850" s="4"/>
      <c r="N850" s="4"/>
      <c r="O850" s="4"/>
      <c r="P850" s="4"/>
      <c r="Q850" s="4"/>
      <c r="R850" s="4"/>
      <c r="S850" s="4"/>
      <c r="T850" s="4"/>
      <c r="U850" s="4"/>
      <c r="V850" s="4"/>
      <c r="W850" s="4"/>
      <c r="X850" s="4"/>
      <c r="Y850" s="4"/>
    </row>
    <row r="851" ht="9.75" customHeight="1">
      <c r="A851" s="4"/>
      <c r="B851" s="4"/>
      <c r="C851" s="4"/>
      <c r="D851" s="165"/>
      <c r="E851" s="165"/>
      <c r="F851" s="165"/>
      <c r="G851" s="165"/>
      <c r="H851" s="165"/>
      <c r="I851" s="4"/>
      <c r="J851" s="4"/>
      <c r="K851" s="4"/>
      <c r="L851" s="4"/>
      <c r="M851" s="4"/>
      <c r="N851" s="4"/>
      <c r="O851" s="4"/>
      <c r="P851" s="4"/>
      <c r="Q851" s="4"/>
      <c r="R851" s="4"/>
      <c r="S851" s="4"/>
      <c r="T851" s="4"/>
      <c r="U851" s="4"/>
      <c r="V851" s="4"/>
      <c r="W851" s="4"/>
      <c r="X851" s="4"/>
      <c r="Y851" s="4"/>
    </row>
    <row r="852" ht="9.75" customHeight="1">
      <c r="A852" s="4"/>
      <c r="B852" s="4"/>
      <c r="C852" s="4"/>
      <c r="D852" s="165"/>
      <c r="E852" s="165"/>
      <c r="F852" s="165"/>
      <c r="G852" s="165"/>
      <c r="H852" s="165"/>
      <c r="I852" s="4"/>
      <c r="J852" s="4"/>
      <c r="K852" s="4"/>
      <c r="L852" s="4"/>
      <c r="M852" s="4"/>
      <c r="N852" s="4"/>
      <c r="O852" s="4"/>
      <c r="P852" s="4"/>
      <c r="Q852" s="4"/>
      <c r="R852" s="4"/>
      <c r="S852" s="4"/>
      <c r="T852" s="4"/>
      <c r="U852" s="4"/>
      <c r="V852" s="4"/>
      <c r="W852" s="4"/>
      <c r="X852" s="4"/>
      <c r="Y852" s="4"/>
    </row>
    <row r="853" ht="9.75" customHeight="1">
      <c r="A853" s="4"/>
      <c r="B853" s="4"/>
      <c r="C853" s="4"/>
      <c r="D853" s="165"/>
      <c r="E853" s="165"/>
      <c r="F853" s="165"/>
      <c r="G853" s="165"/>
      <c r="H853" s="165"/>
      <c r="I853" s="4"/>
      <c r="J853" s="4"/>
      <c r="K853" s="4"/>
      <c r="L853" s="4"/>
      <c r="M853" s="4"/>
      <c r="N853" s="4"/>
      <c r="O853" s="4"/>
      <c r="P853" s="4"/>
      <c r="Q853" s="4"/>
      <c r="R853" s="4"/>
      <c r="S853" s="4"/>
      <c r="T853" s="4"/>
      <c r="U853" s="4"/>
      <c r="V853" s="4"/>
      <c r="W853" s="4"/>
      <c r="X853" s="4"/>
      <c r="Y853" s="4"/>
    </row>
    <row r="854" ht="9.75" customHeight="1">
      <c r="A854" s="4"/>
      <c r="B854" s="4"/>
      <c r="C854" s="4"/>
      <c r="D854" s="165"/>
      <c r="E854" s="165"/>
      <c r="F854" s="165"/>
      <c r="G854" s="165"/>
      <c r="H854" s="165"/>
      <c r="I854" s="4"/>
      <c r="J854" s="4"/>
      <c r="K854" s="4"/>
      <c r="L854" s="4"/>
      <c r="M854" s="4"/>
      <c r="N854" s="4"/>
      <c r="O854" s="4"/>
      <c r="P854" s="4"/>
      <c r="Q854" s="4"/>
      <c r="R854" s="4"/>
      <c r="S854" s="4"/>
      <c r="T854" s="4"/>
      <c r="U854" s="4"/>
      <c r="V854" s="4"/>
      <c r="W854" s="4"/>
      <c r="X854" s="4"/>
      <c r="Y854" s="4"/>
    </row>
    <row r="855" ht="9.75" customHeight="1">
      <c r="A855" s="4"/>
      <c r="B855" s="4"/>
      <c r="C855" s="4"/>
      <c r="D855" s="165"/>
      <c r="E855" s="165"/>
      <c r="F855" s="165"/>
      <c r="G855" s="165"/>
      <c r="H855" s="165"/>
      <c r="I855" s="4"/>
      <c r="J855" s="4"/>
      <c r="K855" s="4"/>
      <c r="L855" s="4"/>
      <c r="M855" s="4"/>
      <c r="N855" s="4"/>
      <c r="O855" s="4"/>
      <c r="P855" s="4"/>
      <c r="Q855" s="4"/>
      <c r="R855" s="4"/>
      <c r="S855" s="4"/>
      <c r="T855" s="4"/>
      <c r="U855" s="4"/>
      <c r="V855" s="4"/>
      <c r="W855" s="4"/>
      <c r="X855" s="4"/>
      <c r="Y855" s="4"/>
    </row>
    <row r="856" ht="9.75" customHeight="1">
      <c r="A856" s="4"/>
      <c r="B856" s="4"/>
      <c r="C856" s="4"/>
      <c r="D856" s="165"/>
      <c r="E856" s="165"/>
      <c r="F856" s="165"/>
      <c r="G856" s="165"/>
      <c r="H856" s="165"/>
      <c r="I856" s="4"/>
      <c r="J856" s="4"/>
      <c r="K856" s="4"/>
      <c r="L856" s="4"/>
      <c r="M856" s="4"/>
      <c r="N856" s="4"/>
      <c r="O856" s="4"/>
      <c r="P856" s="4"/>
      <c r="Q856" s="4"/>
      <c r="R856" s="4"/>
      <c r="S856" s="4"/>
      <c r="T856" s="4"/>
      <c r="U856" s="4"/>
      <c r="V856" s="4"/>
      <c r="W856" s="4"/>
      <c r="X856" s="4"/>
      <c r="Y856" s="4"/>
    </row>
    <row r="857" ht="9.75" customHeight="1">
      <c r="A857" s="4"/>
      <c r="B857" s="4"/>
      <c r="C857" s="4"/>
      <c r="D857" s="165"/>
      <c r="E857" s="165"/>
      <c r="F857" s="165"/>
      <c r="G857" s="165"/>
      <c r="H857" s="165"/>
      <c r="I857" s="4"/>
      <c r="J857" s="4"/>
      <c r="K857" s="4"/>
      <c r="L857" s="4"/>
      <c r="M857" s="4"/>
      <c r="N857" s="4"/>
      <c r="O857" s="4"/>
      <c r="P857" s="4"/>
      <c r="Q857" s="4"/>
      <c r="R857" s="4"/>
      <c r="S857" s="4"/>
      <c r="T857" s="4"/>
      <c r="U857" s="4"/>
      <c r="V857" s="4"/>
      <c r="W857" s="4"/>
      <c r="X857" s="4"/>
      <c r="Y857" s="4"/>
    </row>
    <row r="858" ht="9.75" customHeight="1">
      <c r="A858" s="4"/>
      <c r="B858" s="4"/>
      <c r="C858" s="4"/>
      <c r="D858" s="165"/>
      <c r="E858" s="165"/>
      <c r="F858" s="165"/>
      <c r="G858" s="165"/>
      <c r="H858" s="165"/>
      <c r="I858" s="4"/>
      <c r="J858" s="4"/>
      <c r="K858" s="4"/>
      <c r="L858" s="4"/>
      <c r="M858" s="4"/>
      <c r="N858" s="4"/>
      <c r="O858" s="4"/>
      <c r="P858" s="4"/>
      <c r="Q858" s="4"/>
      <c r="R858" s="4"/>
      <c r="S858" s="4"/>
      <c r="T858" s="4"/>
      <c r="U858" s="4"/>
      <c r="V858" s="4"/>
      <c r="W858" s="4"/>
      <c r="X858" s="4"/>
      <c r="Y858" s="4"/>
    </row>
    <row r="859" ht="9.75" customHeight="1">
      <c r="A859" s="4"/>
      <c r="B859" s="4"/>
      <c r="C859" s="4"/>
      <c r="D859" s="165"/>
      <c r="E859" s="165"/>
      <c r="F859" s="165"/>
      <c r="G859" s="165"/>
      <c r="H859" s="165"/>
      <c r="I859" s="4"/>
      <c r="J859" s="4"/>
      <c r="K859" s="4"/>
      <c r="L859" s="4"/>
      <c r="M859" s="4"/>
      <c r="N859" s="4"/>
      <c r="O859" s="4"/>
      <c r="P859" s="4"/>
      <c r="Q859" s="4"/>
      <c r="R859" s="4"/>
      <c r="S859" s="4"/>
      <c r="T859" s="4"/>
      <c r="U859" s="4"/>
      <c r="V859" s="4"/>
      <c r="W859" s="4"/>
      <c r="X859" s="4"/>
      <c r="Y859" s="4"/>
    </row>
    <row r="860" ht="9.75" customHeight="1">
      <c r="A860" s="4"/>
      <c r="B860" s="4"/>
      <c r="C860" s="4"/>
      <c r="D860" s="165"/>
      <c r="E860" s="165"/>
      <c r="F860" s="165"/>
      <c r="G860" s="165"/>
      <c r="H860" s="165"/>
      <c r="I860" s="4"/>
      <c r="J860" s="4"/>
      <c r="K860" s="4"/>
      <c r="L860" s="4"/>
      <c r="M860" s="4"/>
      <c r="N860" s="4"/>
      <c r="O860" s="4"/>
      <c r="P860" s="4"/>
      <c r="Q860" s="4"/>
      <c r="R860" s="4"/>
      <c r="S860" s="4"/>
      <c r="T860" s="4"/>
      <c r="U860" s="4"/>
      <c r="V860" s="4"/>
      <c r="W860" s="4"/>
      <c r="X860" s="4"/>
      <c r="Y860" s="4"/>
    </row>
    <row r="861" ht="9.75" customHeight="1">
      <c r="A861" s="4"/>
      <c r="B861" s="4"/>
      <c r="C861" s="4"/>
      <c r="D861" s="165"/>
      <c r="E861" s="165"/>
      <c r="F861" s="165"/>
      <c r="G861" s="165"/>
      <c r="H861" s="165"/>
      <c r="I861" s="4"/>
      <c r="J861" s="4"/>
      <c r="K861" s="4"/>
      <c r="L861" s="4"/>
      <c r="M861" s="4"/>
      <c r="N861" s="4"/>
      <c r="O861" s="4"/>
      <c r="P861" s="4"/>
      <c r="Q861" s="4"/>
      <c r="R861" s="4"/>
      <c r="S861" s="4"/>
      <c r="T861" s="4"/>
      <c r="U861" s="4"/>
      <c r="V861" s="4"/>
      <c r="W861" s="4"/>
      <c r="X861" s="4"/>
      <c r="Y861" s="4"/>
    </row>
    <row r="862" ht="9.75" customHeight="1">
      <c r="A862" s="4"/>
      <c r="B862" s="4"/>
      <c r="C862" s="4"/>
      <c r="D862" s="165"/>
      <c r="E862" s="165"/>
      <c r="F862" s="165"/>
      <c r="G862" s="165"/>
      <c r="H862" s="165"/>
      <c r="I862" s="4"/>
      <c r="J862" s="4"/>
      <c r="K862" s="4"/>
      <c r="L862" s="4"/>
      <c r="M862" s="4"/>
      <c r="N862" s="4"/>
      <c r="O862" s="4"/>
      <c r="P862" s="4"/>
      <c r="Q862" s="4"/>
      <c r="R862" s="4"/>
      <c r="S862" s="4"/>
      <c r="T862" s="4"/>
      <c r="U862" s="4"/>
      <c r="V862" s="4"/>
      <c r="W862" s="4"/>
      <c r="X862" s="4"/>
      <c r="Y862" s="4"/>
    </row>
    <row r="863" ht="9.75" customHeight="1">
      <c r="A863" s="4"/>
      <c r="B863" s="4"/>
      <c r="C863" s="4"/>
      <c r="D863" s="165"/>
      <c r="E863" s="165"/>
      <c r="F863" s="165"/>
      <c r="G863" s="165"/>
      <c r="H863" s="165"/>
      <c r="I863" s="4"/>
      <c r="J863" s="4"/>
      <c r="K863" s="4"/>
      <c r="L863" s="4"/>
      <c r="M863" s="4"/>
      <c r="N863" s="4"/>
      <c r="O863" s="4"/>
      <c r="P863" s="4"/>
      <c r="Q863" s="4"/>
      <c r="R863" s="4"/>
      <c r="S863" s="4"/>
      <c r="T863" s="4"/>
      <c r="U863" s="4"/>
      <c r="V863" s="4"/>
      <c r="W863" s="4"/>
      <c r="X863" s="4"/>
      <c r="Y863" s="4"/>
    </row>
    <row r="864" ht="9.75" customHeight="1">
      <c r="A864" s="4"/>
      <c r="B864" s="4"/>
      <c r="C864" s="4"/>
      <c r="D864" s="165"/>
      <c r="E864" s="165"/>
      <c r="F864" s="165"/>
      <c r="G864" s="165"/>
      <c r="H864" s="165"/>
      <c r="I864" s="4"/>
      <c r="J864" s="4"/>
      <c r="K864" s="4"/>
      <c r="L864" s="4"/>
      <c r="M864" s="4"/>
      <c r="N864" s="4"/>
      <c r="O864" s="4"/>
      <c r="P864" s="4"/>
      <c r="Q864" s="4"/>
      <c r="R864" s="4"/>
      <c r="S864" s="4"/>
      <c r="T864" s="4"/>
      <c r="U864" s="4"/>
      <c r="V864" s="4"/>
      <c r="W864" s="4"/>
      <c r="X864" s="4"/>
      <c r="Y864" s="4"/>
    </row>
    <row r="865" ht="9.75" customHeight="1">
      <c r="A865" s="4"/>
      <c r="B865" s="4"/>
      <c r="C865" s="4"/>
      <c r="D865" s="165"/>
      <c r="E865" s="165"/>
      <c r="F865" s="165"/>
      <c r="G865" s="165"/>
      <c r="H865" s="165"/>
      <c r="I865" s="4"/>
      <c r="J865" s="4"/>
      <c r="K865" s="4"/>
      <c r="L865" s="4"/>
      <c r="M865" s="4"/>
      <c r="N865" s="4"/>
      <c r="O865" s="4"/>
      <c r="P865" s="4"/>
      <c r="Q865" s="4"/>
      <c r="R865" s="4"/>
      <c r="S865" s="4"/>
      <c r="T865" s="4"/>
      <c r="U865" s="4"/>
      <c r="V865" s="4"/>
      <c r="W865" s="4"/>
      <c r="X865" s="4"/>
      <c r="Y865" s="4"/>
    </row>
    <row r="866" ht="9.75" customHeight="1">
      <c r="A866" s="4"/>
      <c r="B866" s="4"/>
      <c r="C866" s="4"/>
      <c r="D866" s="165"/>
      <c r="E866" s="165"/>
      <c r="F866" s="165"/>
      <c r="G866" s="165"/>
      <c r="H866" s="165"/>
      <c r="I866" s="4"/>
      <c r="J866" s="4"/>
      <c r="K866" s="4"/>
      <c r="L866" s="4"/>
      <c r="M866" s="4"/>
      <c r="N866" s="4"/>
      <c r="O866" s="4"/>
      <c r="P866" s="4"/>
      <c r="Q866" s="4"/>
      <c r="R866" s="4"/>
      <c r="S866" s="4"/>
      <c r="T866" s="4"/>
      <c r="U866" s="4"/>
      <c r="V866" s="4"/>
      <c r="W866" s="4"/>
      <c r="X866" s="4"/>
      <c r="Y866" s="4"/>
    </row>
    <row r="867" ht="9.75" customHeight="1">
      <c r="A867" s="4"/>
      <c r="B867" s="4"/>
      <c r="C867" s="4"/>
      <c r="D867" s="165"/>
      <c r="E867" s="165"/>
      <c r="F867" s="165"/>
      <c r="G867" s="165"/>
      <c r="H867" s="165"/>
      <c r="I867" s="4"/>
      <c r="J867" s="4"/>
      <c r="K867" s="4"/>
      <c r="L867" s="4"/>
      <c r="M867" s="4"/>
      <c r="N867" s="4"/>
      <c r="O867" s="4"/>
      <c r="P867" s="4"/>
      <c r="Q867" s="4"/>
      <c r="R867" s="4"/>
      <c r="S867" s="4"/>
      <c r="T867" s="4"/>
      <c r="U867" s="4"/>
      <c r="V867" s="4"/>
      <c r="W867" s="4"/>
      <c r="X867" s="4"/>
      <c r="Y867" s="4"/>
    </row>
    <row r="868" ht="9.75" customHeight="1">
      <c r="A868" s="4"/>
      <c r="B868" s="4"/>
      <c r="C868" s="4"/>
      <c r="D868" s="165"/>
      <c r="E868" s="165"/>
      <c r="F868" s="165"/>
      <c r="G868" s="165"/>
      <c r="H868" s="165"/>
      <c r="I868" s="4"/>
      <c r="J868" s="4"/>
      <c r="K868" s="4"/>
      <c r="L868" s="4"/>
      <c r="M868" s="4"/>
      <c r="N868" s="4"/>
      <c r="O868" s="4"/>
      <c r="P868" s="4"/>
      <c r="Q868" s="4"/>
      <c r="R868" s="4"/>
      <c r="S868" s="4"/>
      <c r="T868" s="4"/>
      <c r="U868" s="4"/>
      <c r="V868" s="4"/>
      <c r="W868" s="4"/>
      <c r="X868" s="4"/>
      <c r="Y868" s="4"/>
    </row>
    <row r="869" ht="9.75" customHeight="1">
      <c r="A869" s="4"/>
      <c r="B869" s="4"/>
      <c r="C869" s="4"/>
      <c r="D869" s="165"/>
      <c r="E869" s="165"/>
      <c r="F869" s="165"/>
      <c r="G869" s="165"/>
      <c r="H869" s="165"/>
      <c r="I869" s="4"/>
      <c r="J869" s="4"/>
      <c r="K869" s="4"/>
      <c r="L869" s="4"/>
      <c r="M869" s="4"/>
      <c r="N869" s="4"/>
      <c r="O869" s="4"/>
      <c r="P869" s="4"/>
      <c r="Q869" s="4"/>
      <c r="R869" s="4"/>
      <c r="S869" s="4"/>
      <c r="T869" s="4"/>
      <c r="U869" s="4"/>
      <c r="V869" s="4"/>
      <c r="W869" s="4"/>
      <c r="X869" s="4"/>
      <c r="Y869" s="4"/>
    </row>
    <row r="870" ht="9.75" customHeight="1">
      <c r="A870" s="4"/>
      <c r="B870" s="4"/>
      <c r="C870" s="4"/>
      <c r="D870" s="165"/>
      <c r="E870" s="165"/>
      <c r="F870" s="165"/>
      <c r="G870" s="165"/>
      <c r="H870" s="165"/>
      <c r="I870" s="4"/>
      <c r="J870" s="4"/>
      <c r="K870" s="4"/>
      <c r="L870" s="4"/>
      <c r="M870" s="4"/>
      <c r="N870" s="4"/>
      <c r="O870" s="4"/>
      <c r="P870" s="4"/>
      <c r="Q870" s="4"/>
      <c r="R870" s="4"/>
      <c r="S870" s="4"/>
      <c r="T870" s="4"/>
      <c r="U870" s="4"/>
      <c r="V870" s="4"/>
      <c r="W870" s="4"/>
      <c r="X870" s="4"/>
      <c r="Y870" s="4"/>
    </row>
    <row r="871" ht="9.75" customHeight="1">
      <c r="A871" s="4"/>
      <c r="B871" s="4"/>
      <c r="C871" s="4"/>
      <c r="D871" s="165"/>
      <c r="E871" s="165"/>
      <c r="F871" s="165"/>
      <c r="G871" s="165"/>
      <c r="H871" s="165"/>
      <c r="I871" s="4"/>
      <c r="J871" s="4"/>
      <c r="K871" s="4"/>
      <c r="L871" s="4"/>
      <c r="M871" s="4"/>
      <c r="N871" s="4"/>
      <c r="O871" s="4"/>
      <c r="P871" s="4"/>
      <c r="Q871" s="4"/>
      <c r="R871" s="4"/>
      <c r="S871" s="4"/>
      <c r="T871" s="4"/>
      <c r="U871" s="4"/>
      <c r="V871" s="4"/>
      <c r="W871" s="4"/>
      <c r="X871" s="4"/>
      <c r="Y871" s="4"/>
    </row>
    <row r="872" ht="9.75" customHeight="1">
      <c r="A872" s="4"/>
      <c r="B872" s="4"/>
      <c r="C872" s="4"/>
      <c r="D872" s="165"/>
      <c r="E872" s="165"/>
      <c r="F872" s="165"/>
      <c r="G872" s="165"/>
      <c r="H872" s="165"/>
      <c r="I872" s="4"/>
      <c r="J872" s="4"/>
      <c r="K872" s="4"/>
      <c r="L872" s="4"/>
      <c r="M872" s="4"/>
      <c r="N872" s="4"/>
      <c r="O872" s="4"/>
      <c r="P872" s="4"/>
      <c r="Q872" s="4"/>
      <c r="R872" s="4"/>
      <c r="S872" s="4"/>
      <c r="T872" s="4"/>
      <c r="U872" s="4"/>
      <c r="V872" s="4"/>
      <c r="W872" s="4"/>
      <c r="X872" s="4"/>
      <c r="Y872" s="4"/>
    </row>
    <row r="873" ht="9.75" customHeight="1">
      <c r="A873" s="4"/>
      <c r="B873" s="4"/>
      <c r="C873" s="4"/>
      <c r="D873" s="165"/>
      <c r="E873" s="165"/>
      <c r="F873" s="165"/>
      <c r="G873" s="165"/>
      <c r="H873" s="165"/>
      <c r="I873" s="4"/>
      <c r="J873" s="4"/>
      <c r="K873" s="4"/>
      <c r="L873" s="4"/>
      <c r="M873" s="4"/>
      <c r="N873" s="4"/>
      <c r="O873" s="4"/>
      <c r="P873" s="4"/>
      <c r="Q873" s="4"/>
      <c r="R873" s="4"/>
      <c r="S873" s="4"/>
      <c r="T873" s="4"/>
      <c r="U873" s="4"/>
      <c r="V873" s="4"/>
      <c r="W873" s="4"/>
      <c r="X873" s="4"/>
      <c r="Y873" s="4"/>
    </row>
    <row r="874" ht="9.75" customHeight="1">
      <c r="A874" s="4"/>
      <c r="B874" s="4"/>
      <c r="C874" s="4"/>
      <c r="D874" s="165"/>
      <c r="E874" s="165"/>
      <c r="F874" s="165"/>
      <c r="G874" s="165"/>
      <c r="H874" s="165"/>
      <c r="I874" s="4"/>
      <c r="J874" s="4"/>
      <c r="K874" s="4"/>
      <c r="L874" s="4"/>
      <c r="M874" s="4"/>
      <c r="N874" s="4"/>
      <c r="O874" s="4"/>
      <c r="P874" s="4"/>
      <c r="Q874" s="4"/>
      <c r="R874" s="4"/>
      <c r="S874" s="4"/>
      <c r="T874" s="4"/>
      <c r="U874" s="4"/>
      <c r="V874" s="4"/>
      <c r="W874" s="4"/>
      <c r="X874" s="4"/>
      <c r="Y874" s="4"/>
    </row>
    <row r="875" ht="9.75" customHeight="1">
      <c r="A875" s="4"/>
      <c r="B875" s="4"/>
      <c r="C875" s="4"/>
      <c r="D875" s="165"/>
      <c r="E875" s="165"/>
      <c r="F875" s="165"/>
      <c r="G875" s="165"/>
      <c r="H875" s="165"/>
      <c r="I875" s="4"/>
      <c r="J875" s="4"/>
      <c r="K875" s="4"/>
      <c r="L875" s="4"/>
      <c r="M875" s="4"/>
      <c r="N875" s="4"/>
      <c r="O875" s="4"/>
      <c r="P875" s="4"/>
      <c r="Q875" s="4"/>
      <c r="R875" s="4"/>
      <c r="S875" s="4"/>
      <c r="T875" s="4"/>
      <c r="U875" s="4"/>
      <c r="V875" s="4"/>
      <c r="W875" s="4"/>
      <c r="X875" s="4"/>
      <c r="Y875" s="4"/>
    </row>
    <row r="876" ht="9.75" customHeight="1">
      <c r="A876" s="4"/>
      <c r="B876" s="4"/>
      <c r="C876" s="4"/>
      <c r="D876" s="165"/>
      <c r="E876" s="165"/>
      <c r="F876" s="165"/>
      <c r="G876" s="165"/>
      <c r="H876" s="165"/>
      <c r="I876" s="4"/>
      <c r="J876" s="4"/>
      <c r="K876" s="4"/>
      <c r="L876" s="4"/>
      <c r="M876" s="4"/>
      <c r="N876" s="4"/>
      <c r="O876" s="4"/>
      <c r="P876" s="4"/>
      <c r="Q876" s="4"/>
      <c r="R876" s="4"/>
      <c r="S876" s="4"/>
      <c r="T876" s="4"/>
      <c r="U876" s="4"/>
      <c r="V876" s="4"/>
      <c r="W876" s="4"/>
      <c r="X876" s="4"/>
      <c r="Y876" s="4"/>
    </row>
    <row r="877" ht="9.75" customHeight="1">
      <c r="A877" s="4"/>
      <c r="B877" s="4"/>
      <c r="C877" s="4"/>
      <c r="D877" s="165"/>
      <c r="E877" s="165"/>
      <c r="F877" s="165"/>
      <c r="G877" s="165"/>
      <c r="H877" s="165"/>
      <c r="I877" s="4"/>
      <c r="J877" s="4"/>
      <c r="K877" s="4"/>
      <c r="L877" s="4"/>
      <c r="M877" s="4"/>
      <c r="N877" s="4"/>
      <c r="O877" s="4"/>
      <c r="P877" s="4"/>
      <c r="Q877" s="4"/>
      <c r="R877" s="4"/>
      <c r="S877" s="4"/>
      <c r="T877" s="4"/>
      <c r="U877" s="4"/>
      <c r="V877" s="4"/>
      <c r="W877" s="4"/>
      <c r="X877" s="4"/>
      <c r="Y877" s="4"/>
    </row>
    <row r="878" ht="9.75" customHeight="1">
      <c r="A878" s="4"/>
      <c r="B878" s="4"/>
      <c r="C878" s="4"/>
      <c r="D878" s="165"/>
      <c r="E878" s="165"/>
      <c r="F878" s="165"/>
      <c r="G878" s="165"/>
      <c r="H878" s="165"/>
      <c r="I878" s="4"/>
      <c r="J878" s="4"/>
      <c r="K878" s="4"/>
      <c r="L878" s="4"/>
      <c r="M878" s="4"/>
      <c r="N878" s="4"/>
      <c r="O878" s="4"/>
      <c r="P878" s="4"/>
      <c r="Q878" s="4"/>
      <c r="R878" s="4"/>
      <c r="S878" s="4"/>
      <c r="T878" s="4"/>
      <c r="U878" s="4"/>
      <c r="V878" s="4"/>
      <c r="W878" s="4"/>
      <c r="X878" s="4"/>
      <c r="Y878" s="4"/>
    </row>
    <row r="879" ht="9.75" customHeight="1">
      <c r="A879" s="4"/>
      <c r="B879" s="4"/>
      <c r="C879" s="4"/>
      <c r="D879" s="165"/>
      <c r="E879" s="165"/>
      <c r="F879" s="165"/>
      <c r="G879" s="165"/>
      <c r="H879" s="165"/>
      <c r="I879" s="4"/>
      <c r="J879" s="4"/>
      <c r="K879" s="4"/>
      <c r="L879" s="4"/>
      <c r="M879" s="4"/>
      <c r="N879" s="4"/>
      <c r="O879" s="4"/>
      <c r="P879" s="4"/>
      <c r="Q879" s="4"/>
      <c r="R879" s="4"/>
      <c r="S879" s="4"/>
      <c r="T879" s="4"/>
      <c r="U879" s="4"/>
      <c r="V879" s="4"/>
      <c r="W879" s="4"/>
      <c r="X879" s="4"/>
      <c r="Y879" s="4"/>
    </row>
    <row r="880" ht="9.75" customHeight="1">
      <c r="A880" s="4"/>
      <c r="B880" s="4"/>
      <c r="C880" s="4"/>
      <c r="D880" s="165"/>
      <c r="E880" s="165"/>
      <c r="F880" s="165"/>
      <c r="G880" s="165"/>
      <c r="H880" s="165"/>
      <c r="I880" s="4"/>
      <c r="J880" s="4"/>
      <c r="K880" s="4"/>
      <c r="L880" s="4"/>
      <c r="M880" s="4"/>
      <c r="N880" s="4"/>
      <c r="O880" s="4"/>
      <c r="P880" s="4"/>
      <c r="Q880" s="4"/>
      <c r="R880" s="4"/>
      <c r="S880" s="4"/>
      <c r="T880" s="4"/>
      <c r="U880" s="4"/>
      <c r="V880" s="4"/>
      <c r="W880" s="4"/>
      <c r="X880" s="4"/>
      <c r="Y880" s="4"/>
    </row>
    <row r="881" ht="9.75" customHeight="1">
      <c r="A881" s="4"/>
      <c r="B881" s="4"/>
      <c r="C881" s="4"/>
      <c r="D881" s="165"/>
      <c r="E881" s="165"/>
      <c r="F881" s="165"/>
      <c r="G881" s="165"/>
      <c r="H881" s="165"/>
      <c r="I881" s="4"/>
      <c r="J881" s="4"/>
      <c r="K881" s="4"/>
      <c r="L881" s="4"/>
      <c r="M881" s="4"/>
      <c r="N881" s="4"/>
      <c r="O881" s="4"/>
      <c r="P881" s="4"/>
      <c r="Q881" s="4"/>
      <c r="R881" s="4"/>
      <c r="S881" s="4"/>
      <c r="T881" s="4"/>
      <c r="U881" s="4"/>
      <c r="V881" s="4"/>
      <c r="W881" s="4"/>
      <c r="X881" s="4"/>
      <c r="Y881" s="4"/>
    </row>
    <row r="882" ht="9.75" customHeight="1">
      <c r="A882" s="4"/>
      <c r="B882" s="4"/>
      <c r="C882" s="4"/>
      <c r="D882" s="165"/>
      <c r="E882" s="165"/>
      <c r="F882" s="165"/>
      <c r="G882" s="165"/>
      <c r="H882" s="165"/>
      <c r="I882" s="4"/>
      <c r="J882" s="4"/>
      <c r="K882" s="4"/>
      <c r="L882" s="4"/>
      <c r="M882" s="4"/>
      <c r="N882" s="4"/>
      <c r="O882" s="4"/>
      <c r="P882" s="4"/>
      <c r="Q882" s="4"/>
      <c r="R882" s="4"/>
      <c r="S882" s="4"/>
      <c r="T882" s="4"/>
      <c r="U882" s="4"/>
      <c r="V882" s="4"/>
      <c r="W882" s="4"/>
      <c r="X882" s="4"/>
      <c r="Y882" s="4"/>
    </row>
    <row r="883" ht="9.75" customHeight="1">
      <c r="A883" s="4"/>
      <c r="B883" s="4"/>
      <c r="C883" s="4"/>
      <c r="D883" s="165"/>
      <c r="E883" s="165"/>
      <c r="F883" s="165"/>
      <c r="G883" s="165"/>
      <c r="H883" s="165"/>
      <c r="I883" s="4"/>
      <c r="J883" s="4"/>
      <c r="K883" s="4"/>
      <c r="L883" s="4"/>
      <c r="M883" s="4"/>
      <c r="N883" s="4"/>
      <c r="O883" s="4"/>
      <c r="P883" s="4"/>
      <c r="Q883" s="4"/>
      <c r="R883" s="4"/>
      <c r="S883" s="4"/>
      <c r="T883" s="4"/>
      <c r="U883" s="4"/>
      <c r="V883" s="4"/>
      <c r="W883" s="4"/>
      <c r="X883" s="4"/>
      <c r="Y883" s="4"/>
    </row>
    <row r="884" ht="9.75" customHeight="1">
      <c r="A884" s="4"/>
      <c r="B884" s="4"/>
      <c r="C884" s="4"/>
      <c r="D884" s="165"/>
      <c r="E884" s="165"/>
      <c r="F884" s="165"/>
      <c r="G884" s="165"/>
      <c r="H884" s="165"/>
      <c r="I884" s="4"/>
      <c r="J884" s="4"/>
      <c r="K884" s="4"/>
      <c r="L884" s="4"/>
      <c r="M884" s="4"/>
      <c r="N884" s="4"/>
      <c r="O884" s="4"/>
      <c r="P884" s="4"/>
      <c r="Q884" s="4"/>
      <c r="R884" s="4"/>
      <c r="S884" s="4"/>
      <c r="T884" s="4"/>
      <c r="U884" s="4"/>
      <c r="V884" s="4"/>
      <c r="W884" s="4"/>
      <c r="X884" s="4"/>
      <c r="Y884" s="4"/>
    </row>
    <row r="885" ht="9.75" customHeight="1">
      <c r="A885" s="4"/>
      <c r="B885" s="4"/>
      <c r="C885" s="4"/>
      <c r="D885" s="165"/>
      <c r="E885" s="165"/>
      <c r="F885" s="165"/>
      <c r="G885" s="165"/>
      <c r="H885" s="165"/>
      <c r="I885" s="4"/>
      <c r="J885" s="4"/>
      <c r="K885" s="4"/>
      <c r="L885" s="4"/>
      <c r="M885" s="4"/>
      <c r="N885" s="4"/>
      <c r="O885" s="4"/>
      <c r="P885" s="4"/>
      <c r="Q885" s="4"/>
      <c r="R885" s="4"/>
      <c r="S885" s="4"/>
      <c r="T885" s="4"/>
      <c r="U885" s="4"/>
      <c r="V885" s="4"/>
      <c r="W885" s="4"/>
      <c r="X885" s="4"/>
      <c r="Y885" s="4"/>
    </row>
    <row r="886" ht="9.75" customHeight="1">
      <c r="A886" s="4"/>
      <c r="B886" s="4"/>
      <c r="C886" s="4"/>
      <c r="D886" s="165"/>
      <c r="E886" s="165"/>
      <c r="F886" s="165"/>
      <c r="G886" s="165"/>
      <c r="H886" s="165"/>
      <c r="I886" s="4"/>
      <c r="J886" s="4"/>
      <c r="K886" s="4"/>
      <c r="L886" s="4"/>
      <c r="M886" s="4"/>
      <c r="N886" s="4"/>
      <c r="O886" s="4"/>
      <c r="P886" s="4"/>
      <c r="Q886" s="4"/>
      <c r="R886" s="4"/>
      <c r="S886" s="4"/>
      <c r="T886" s="4"/>
      <c r="U886" s="4"/>
      <c r="V886" s="4"/>
      <c r="W886" s="4"/>
      <c r="X886" s="4"/>
      <c r="Y886" s="4"/>
    </row>
    <row r="887" ht="9.75" customHeight="1">
      <c r="A887" s="4"/>
      <c r="B887" s="4"/>
      <c r="C887" s="4"/>
      <c r="D887" s="165"/>
      <c r="E887" s="165"/>
      <c r="F887" s="165"/>
      <c r="G887" s="165"/>
      <c r="H887" s="165"/>
      <c r="I887" s="4"/>
      <c r="J887" s="4"/>
      <c r="K887" s="4"/>
      <c r="L887" s="4"/>
      <c r="M887" s="4"/>
      <c r="N887" s="4"/>
      <c r="O887" s="4"/>
      <c r="P887" s="4"/>
      <c r="Q887" s="4"/>
      <c r="R887" s="4"/>
      <c r="S887" s="4"/>
      <c r="T887" s="4"/>
      <c r="U887" s="4"/>
      <c r="V887" s="4"/>
      <c r="W887" s="4"/>
      <c r="X887" s="4"/>
      <c r="Y887" s="4"/>
    </row>
    <row r="888" ht="9.75" customHeight="1">
      <c r="A888" s="4"/>
      <c r="B888" s="4"/>
      <c r="C888" s="4"/>
      <c r="D888" s="165"/>
      <c r="E888" s="165"/>
      <c r="F888" s="165"/>
      <c r="G888" s="165"/>
      <c r="H888" s="165"/>
      <c r="I888" s="4"/>
      <c r="J888" s="4"/>
      <c r="K888" s="4"/>
      <c r="L888" s="4"/>
      <c r="M888" s="4"/>
      <c r="N888" s="4"/>
      <c r="O888" s="4"/>
      <c r="P888" s="4"/>
      <c r="Q888" s="4"/>
      <c r="R888" s="4"/>
      <c r="S888" s="4"/>
      <c r="T888" s="4"/>
      <c r="U888" s="4"/>
      <c r="V888" s="4"/>
      <c r="W888" s="4"/>
      <c r="X888" s="4"/>
      <c r="Y888" s="4"/>
    </row>
    <row r="889" ht="9.75" customHeight="1">
      <c r="A889" s="4"/>
      <c r="B889" s="4"/>
      <c r="C889" s="4"/>
      <c r="D889" s="165"/>
      <c r="E889" s="165"/>
      <c r="F889" s="165"/>
      <c r="G889" s="165"/>
      <c r="H889" s="165"/>
      <c r="I889" s="4"/>
      <c r="J889" s="4"/>
      <c r="K889" s="4"/>
      <c r="L889" s="4"/>
      <c r="M889" s="4"/>
      <c r="N889" s="4"/>
      <c r="O889" s="4"/>
      <c r="P889" s="4"/>
      <c r="Q889" s="4"/>
      <c r="R889" s="4"/>
      <c r="S889" s="4"/>
      <c r="T889" s="4"/>
      <c r="U889" s="4"/>
      <c r="V889" s="4"/>
      <c r="W889" s="4"/>
      <c r="X889" s="4"/>
      <c r="Y889" s="4"/>
    </row>
    <row r="890" ht="9.75" customHeight="1">
      <c r="A890" s="4"/>
      <c r="B890" s="4"/>
      <c r="C890" s="4"/>
      <c r="D890" s="165"/>
      <c r="E890" s="165"/>
      <c r="F890" s="165"/>
      <c r="G890" s="165"/>
      <c r="H890" s="165"/>
      <c r="I890" s="4"/>
      <c r="J890" s="4"/>
      <c r="K890" s="4"/>
      <c r="L890" s="4"/>
      <c r="M890" s="4"/>
      <c r="N890" s="4"/>
      <c r="O890" s="4"/>
      <c r="P890" s="4"/>
      <c r="Q890" s="4"/>
      <c r="R890" s="4"/>
      <c r="S890" s="4"/>
      <c r="T890" s="4"/>
      <c r="U890" s="4"/>
      <c r="V890" s="4"/>
      <c r="W890" s="4"/>
      <c r="X890" s="4"/>
      <c r="Y890" s="4"/>
    </row>
    <row r="891" ht="9.75" customHeight="1">
      <c r="A891" s="4"/>
      <c r="B891" s="4"/>
      <c r="C891" s="4"/>
      <c r="D891" s="165"/>
      <c r="E891" s="165"/>
      <c r="F891" s="165"/>
      <c r="G891" s="165"/>
      <c r="H891" s="165"/>
      <c r="I891" s="4"/>
      <c r="J891" s="4"/>
      <c r="K891" s="4"/>
      <c r="L891" s="4"/>
      <c r="M891" s="4"/>
      <c r="N891" s="4"/>
      <c r="O891" s="4"/>
      <c r="P891" s="4"/>
      <c r="Q891" s="4"/>
      <c r="R891" s="4"/>
      <c r="S891" s="4"/>
      <c r="T891" s="4"/>
      <c r="U891" s="4"/>
      <c r="V891" s="4"/>
      <c r="W891" s="4"/>
      <c r="X891" s="4"/>
      <c r="Y891" s="4"/>
    </row>
    <row r="892" ht="9.75" customHeight="1">
      <c r="A892" s="4"/>
      <c r="B892" s="4"/>
      <c r="C892" s="4"/>
      <c r="D892" s="165"/>
      <c r="E892" s="165"/>
      <c r="F892" s="165"/>
      <c r="G892" s="165"/>
      <c r="H892" s="165"/>
      <c r="I892" s="4"/>
      <c r="J892" s="4"/>
      <c r="K892" s="4"/>
      <c r="L892" s="4"/>
      <c r="M892" s="4"/>
      <c r="N892" s="4"/>
      <c r="O892" s="4"/>
      <c r="P892" s="4"/>
      <c r="Q892" s="4"/>
      <c r="R892" s="4"/>
      <c r="S892" s="4"/>
      <c r="T892" s="4"/>
      <c r="U892" s="4"/>
      <c r="V892" s="4"/>
      <c r="W892" s="4"/>
      <c r="X892" s="4"/>
      <c r="Y892" s="4"/>
    </row>
    <row r="893" ht="9.75" customHeight="1">
      <c r="A893" s="4"/>
      <c r="B893" s="4"/>
      <c r="C893" s="4"/>
      <c r="D893" s="165"/>
      <c r="E893" s="165"/>
      <c r="F893" s="165"/>
      <c r="G893" s="165"/>
      <c r="H893" s="165"/>
      <c r="I893" s="4"/>
      <c r="J893" s="4"/>
      <c r="K893" s="4"/>
      <c r="L893" s="4"/>
      <c r="M893" s="4"/>
      <c r="N893" s="4"/>
      <c r="O893" s="4"/>
      <c r="P893" s="4"/>
      <c r="Q893" s="4"/>
      <c r="R893" s="4"/>
      <c r="S893" s="4"/>
      <c r="T893" s="4"/>
      <c r="U893" s="4"/>
      <c r="V893" s="4"/>
      <c r="W893" s="4"/>
      <c r="X893" s="4"/>
      <c r="Y893" s="4"/>
    </row>
    <row r="894" ht="9.75" customHeight="1">
      <c r="A894" s="4"/>
      <c r="B894" s="4"/>
      <c r="C894" s="4"/>
      <c r="D894" s="165"/>
      <c r="E894" s="165"/>
      <c r="F894" s="165"/>
      <c r="G894" s="165"/>
      <c r="H894" s="165"/>
      <c r="I894" s="4"/>
      <c r="J894" s="4"/>
      <c r="K894" s="4"/>
      <c r="L894" s="4"/>
      <c r="M894" s="4"/>
      <c r="N894" s="4"/>
      <c r="O894" s="4"/>
      <c r="P894" s="4"/>
      <c r="Q894" s="4"/>
      <c r="R894" s="4"/>
      <c r="S894" s="4"/>
      <c r="T894" s="4"/>
      <c r="U894" s="4"/>
      <c r="V894" s="4"/>
      <c r="W894" s="4"/>
      <c r="X894" s="4"/>
      <c r="Y894" s="4"/>
    </row>
    <row r="895" ht="9.75" customHeight="1">
      <c r="A895" s="4"/>
      <c r="B895" s="4"/>
      <c r="C895" s="4"/>
      <c r="D895" s="165"/>
      <c r="E895" s="165"/>
      <c r="F895" s="165"/>
      <c r="G895" s="165"/>
      <c r="H895" s="165"/>
      <c r="I895" s="4"/>
      <c r="J895" s="4"/>
      <c r="K895" s="4"/>
      <c r="L895" s="4"/>
      <c r="M895" s="4"/>
      <c r="N895" s="4"/>
      <c r="O895" s="4"/>
      <c r="P895" s="4"/>
      <c r="Q895" s="4"/>
      <c r="R895" s="4"/>
      <c r="S895" s="4"/>
      <c r="T895" s="4"/>
      <c r="U895" s="4"/>
      <c r="V895" s="4"/>
      <c r="W895" s="4"/>
      <c r="X895" s="4"/>
      <c r="Y895" s="4"/>
    </row>
    <row r="896" ht="9.75" customHeight="1">
      <c r="A896" s="4"/>
      <c r="B896" s="4"/>
      <c r="C896" s="4"/>
      <c r="D896" s="165"/>
      <c r="E896" s="165"/>
      <c r="F896" s="165"/>
      <c r="G896" s="165"/>
      <c r="H896" s="165"/>
      <c r="I896" s="4"/>
      <c r="J896" s="4"/>
      <c r="K896" s="4"/>
      <c r="L896" s="4"/>
      <c r="M896" s="4"/>
      <c r="N896" s="4"/>
      <c r="O896" s="4"/>
      <c r="P896" s="4"/>
      <c r="Q896" s="4"/>
      <c r="R896" s="4"/>
      <c r="S896" s="4"/>
      <c r="T896" s="4"/>
      <c r="U896" s="4"/>
      <c r="V896" s="4"/>
      <c r="W896" s="4"/>
      <c r="X896" s="4"/>
      <c r="Y896" s="4"/>
    </row>
    <row r="897" ht="9.75" customHeight="1">
      <c r="A897" s="4"/>
      <c r="B897" s="4"/>
      <c r="C897" s="4"/>
      <c r="D897" s="165"/>
      <c r="E897" s="165"/>
      <c r="F897" s="165"/>
      <c r="G897" s="165"/>
      <c r="H897" s="165"/>
      <c r="I897" s="4"/>
      <c r="J897" s="4"/>
      <c r="K897" s="4"/>
      <c r="L897" s="4"/>
      <c r="M897" s="4"/>
      <c r="N897" s="4"/>
      <c r="O897" s="4"/>
      <c r="P897" s="4"/>
      <c r="Q897" s="4"/>
      <c r="R897" s="4"/>
      <c r="S897" s="4"/>
      <c r="T897" s="4"/>
      <c r="U897" s="4"/>
      <c r="V897" s="4"/>
      <c r="W897" s="4"/>
      <c r="X897" s="4"/>
      <c r="Y897" s="4"/>
    </row>
    <row r="898" ht="9.75" customHeight="1">
      <c r="A898" s="4"/>
      <c r="B898" s="4"/>
      <c r="C898" s="4"/>
      <c r="D898" s="165"/>
      <c r="E898" s="165"/>
      <c r="F898" s="165"/>
      <c r="G898" s="165"/>
      <c r="H898" s="165"/>
      <c r="I898" s="4"/>
      <c r="J898" s="4"/>
      <c r="K898" s="4"/>
      <c r="L898" s="4"/>
      <c r="M898" s="4"/>
      <c r="N898" s="4"/>
      <c r="O898" s="4"/>
      <c r="P898" s="4"/>
      <c r="Q898" s="4"/>
      <c r="R898" s="4"/>
      <c r="S898" s="4"/>
      <c r="T898" s="4"/>
      <c r="U898" s="4"/>
      <c r="V898" s="4"/>
      <c r="W898" s="4"/>
      <c r="X898" s="4"/>
      <c r="Y898" s="4"/>
    </row>
    <row r="899" ht="9.75" customHeight="1">
      <c r="A899" s="4"/>
      <c r="B899" s="4"/>
      <c r="C899" s="4"/>
      <c r="D899" s="165"/>
      <c r="E899" s="165"/>
      <c r="F899" s="165"/>
      <c r="G899" s="165"/>
      <c r="H899" s="165"/>
      <c r="I899" s="4"/>
      <c r="J899" s="4"/>
      <c r="K899" s="4"/>
      <c r="L899" s="4"/>
      <c r="M899" s="4"/>
      <c r="N899" s="4"/>
      <c r="O899" s="4"/>
      <c r="P899" s="4"/>
      <c r="Q899" s="4"/>
      <c r="R899" s="4"/>
      <c r="S899" s="4"/>
      <c r="T899" s="4"/>
      <c r="U899" s="4"/>
      <c r="V899" s="4"/>
      <c r="W899" s="4"/>
      <c r="X899" s="4"/>
      <c r="Y899" s="4"/>
    </row>
    <row r="900" ht="9.75" customHeight="1">
      <c r="A900" s="4"/>
      <c r="B900" s="4"/>
      <c r="C900" s="4"/>
      <c r="D900" s="165"/>
      <c r="E900" s="165"/>
      <c r="F900" s="165"/>
      <c r="G900" s="165"/>
      <c r="H900" s="165"/>
      <c r="I900" s="4"/>
      <c r="J900" s="4"/>
      <c r="K900" s="4"/>
      <c r="L900" s="4"/>
      <c r="M900" s="4"/>
      <c r="N900" s="4"/>
      <c r="O900" s="4"/>
      <c r="P900" s="4"/>
      <c r="Q900" s="4"/>
      <c r="R900" s="4"/>
      <c r="S900" s="4"/>
      <c r="T900" s="4"/>
      <c r="U900" s="4"/>
      <c r="V900" s="4"/>
      <c r="W900" s="4"/>
      <c r="X900" s="4"/>
      <c r="Y900" s="4"/>
    </row>
    <row r="901" ht="9.75" customHeight="1">
      <c r="A901" s="4"/>
      <c r="B901" s="4"/>
      <c r="C901" s="4"/>
      <c r="D901" s="165"/>
      <c r="E901" s="165"/>
      <c r="F901" s="165"/>
      <c r="G901" s="165"/>
      <c r="H901" s="165"/>
      <c r="I901" s="4"/>
      <c r="J901" s="4"/>
      <c r="K901" s="4"/>
      <c r="L901" s="4"/>
      <c r="M901" s="4"/>
      <c r="N901" s="4"/>
      <c r="O901" s="4"/>
      <c r="P901" s="4"/>
      <c r="Q901" s="4"/>
      <c r="R901" s="4"/>
      <c r="S901" s="4"/>
      <c r="T901" s="4"/>
      <c r="U901" s="4"/>
      <c r="V901" s="4"/>
      <c r="W901" s="4"/>
      <c r="X901" s="4"/>
      <c r="Y901" s="4"/>
    </row>
    <row r="902" ht="9.75" customHeight="1">
      <c r="A902" s="4"/>
      <c r="B902" s="4"/>
      <c r="C902" s="4"/>
      <c r="D902" s="165"/>
      <c r="E902" s="165"/>
      <c r="F902" s="165"/>
      <c r="G902" s="165"/>
      <c r="H902" s="165"/>
      <c r="I902" s="4"/>
      <c r="J902" s="4"/>
      <c r="K902" s="4"/>
      <c r="L902" s="4"/>
      <c r="M902" s="4"/>
      <c r="N902" s="4"/>
      <c r="O902" s="4"/>
      <c r="P902" s="4"/>
      <c r="Q902" s="4"/>
      <c r="R902" s="4"/>
      <c r="S902" s="4"/>
      <c r="T902" s="4"/>
      <c r="U902" s="4"/>
      <c r="V902" s="4"/>
      <c r="W902" s="4"/>
      <c r="X902" s="4"/>
      <c r="Y902" s="4"/>
    </row>
    <row r="903" ht="9.75" customHeight="1">
      <c r="A903" s="4"/>
      <c r="B903" s="4"/>
      <c r="C903" s="4"/>
      <c r="D903" s="165"/>
      <c r="E903" s="165"/>
      <c r="F903" s="165"/>
      <c r="G903" s="165"/>
      <c r="H903" s="165"/>
      <c r="I903" s="4"/>
      <c r="J903" s="4"/>
      <c r="K903" s="4"/>
      <c r="L903" s="4"/>
      <c r="M903" s="4"/>
      <c r="N903" s="4"/>
      <c r="O903" s="4"/>
      <c r="P903" s="4"/>
      <c r="Q903" s="4"/>
      <c r="R903" s="4"/>
      <c r="S903" s="4"/>
      <c r="T903" s="4"/>
      <c r="U903" s="4"/>
      <c r="V903" s="4"/>
      <c r="W903" s="4"/>
      <c r="X903" s="4"/>
      <c r="Y903" s="4"/>
    </row>
    <row r="904" ht="9.75" customHeight="1">
      <c r="A904" s="4"/>
      <c r="B904" s="4"/>
      <c r="C904" s="4"/>
      <c r="D904" s="165"/>
      <c r="E904" s="165"/>
      <c r="F904" s="165"/>
      <c r="G904" s="165"/>
      <c r="H904" s="165"/>
      <c r="I904" s="4"/>
      <c r="J904" s="4"/>
      <c r="K904" s="4"/>
      <c r="L904" s="4"/>
      <c r="M904" s="4"/>
      <c r="N904" s="4"/>
      <c r="O904" s="4"/>
      <c r="P904" s="4"/>
      <c r="Q904" s="4"/>
      <c r="R904" s="4"/>
      <c r="S904" s="4"/>
      <c r="T904" s="4"/>
      <c r="U904" s="4"/>
      <c r="V904" s="4"/>
      <c r="W904" s="4"/>
      <c r="X904" s="4"/>
      <c r="Y904" s="4"/>
    </row>
    <row r="905" ht="9.75" customHeight="1">
      <c r="A905" s="4"/>
      <c r="B905" s="4"/>
      <c r="C905" s="4"/>
      <c r="D905" s="165"/>
      <c r="E905" s="165"/>
      <c r="F905" s="165"/>
      <c r="G905" s="165"/>
      <c r="H905" s="165"/>
      <c r="I905" s="4"/>
      <c r="J905" s="4"/>
      <c r="K905" s="4"/>
      <c r="L905" s="4"/>
      <c r="M905" s="4"/>
      <c r="N905" s="4"/>
      <c r="O905" s="4"/>
      <c r="P905" s="4"/>
      <c r="Q905" s="4"/>
      <c r="R905" s="4"/>
      <c r="S905" s="4"/>
      <c r="T905" s="4"/>
      <c r="U905" s="4"/>
      <c r="V905" s="4"/>
      <c r="W905" s="4"/>
      <c r="X905" s="4"/>
      <c r="Y905" s="4"/>
    </row>
    <row r="906" ht="9.75" customHeight="1">
      <c r="A906" s="4"/>
      <c r="B906" s="4"/>
      <c r="C906" s="4"/>
      <c r="D906" s="165"/>
      <c r="E906" s="165"/>
      <c r="F906" s="165"/>
      <c r="G906" s="165"/>
      <c r="H906" s="165"/>
      <c r="I906" s="4"/>
      <c r="J906" s="4"/>
      <c r="K906" s="4"/>
      <c r="L906" s="4"/>
      <c r="M906" s="4"/>
      <c r="N906" s="4"/>
      <c r="O906" s="4"/>
      <c r="P906" s="4"/>
      <c r="Q906" s="4"/>
      <c r="R906" s="4"/>
      <c r="S906" s="4"/>
      <c r="T906" s="4"/>
      <c r="U906" s="4"/>
      <c r="V906" s="4"/>
      <c r="W906" s="4"/>
      <c r="X906" s="4"/>
      <c r="Y906" s="4"/>
    </row>
    <row r="907" ht="9.75" customHeight="1">
      <c r="A907" s="4"/>
      <c r="B907" s="4"/>
      <c r="C907" s="4"/>
      <c r="D907" s="165"/>
      <c r="E907" s="165"/>
      <c r="F907" s="165"/>
      <c r="G907" s="165"/>
      <c r="H907" s="165"/>
      <c r="I907" s="4"/>
      <c r="J907" s="4"/>
      <c r="K907" s="4"/>
      <c r="L907" s="4"/>
      <c r="M907" s="4"/>
      <c r="N907" s="4"/>
      <c r="O907" s="4"/>
      <c r="P907" s="4"/>
      <c r="Q907" s="4"/>
      <c r="R907" s="4"/>
      <c r="S907" s="4"/>
      <c r="T907" s="4"/>
      <c r="U907" s="4"/>
      <c r="V907" s="4"/>
      <c r="W907" s="4"/>
      <c r="X907" s="4"/>
      <c r="Y907" s="4"/>
    </row>
    <row r="908" ht="9.75" customHeight="1">
      <c r="A908" s="4"/>
      <c r="B908" s="4"/>
      <c r="C908" s="4"/>
      <c r="D908" s="165"/>
      <c r="E908" s="165"/>
      <c r="F908" s="165"/>
      <c r="G908" s="165"/>
      <c r="H908" s="165"/>
      <c r="I908" s="4"/>
      <c r="J908" s="4"/>
      <c r="K908" s="4"/>
      <c r="L908" s="4"/>
      <c r="M908" s="4"/>
      <c r="N908" s="4"/>
      <c r="O908" s="4"/>
      <c r="P908" s="4"/>
      <c r="Q908" s="4"/>
      <c r="R908" s="4"/>
      <c r="S908" s="4"/>
      <c r="T908" s="4"/>
      <c r="U908" s="4"/>
      <c r="V908" s="4"/>
      <c r="W908" s="4"/>
      <c r="X908" s="4"/>
      <c r="Y908" s="4"/>
    </row>
    <row r="909" ht="9.75" customHeight="1">
      <c r="A909" s="4"/>
      <c r="B909" s="4"/>
      <c r="C909" s="4"/>
      <c r="D909" s="165"/>
      <c r="E909" s="165"/>
      <c r="F909" s="165"/>
      <c r="G909" s="165"/>
      <c r="H909" s="165"/>
      <c r="I909" s="4"/>
      <c r="J909" s="4"/>
      <c r="K909" s="4"/>
      <c r="L909" s="4"/>
      <c r="M909" s="4"/>
      <c r="N909" s="4"/>
      <c r="O909" s="4"/>
      <c r="P909" s="4"/>
      <c r="Q909" s="4"/>
      <c r="R909" s="4"/>
      <c r="S909" s="4"/>
      <c r="T909" s="4"/>
      <c r="U909" s="4"/>
      <c r="V909" s="4"/>
      <c r="W909" s="4"/>
      <c r="X909" s="4"/>
      <c r="Y909" s="4"/>
    </row>
    <row r="910" ht="9.75" customHeight="1">
      <c r="A910" s="4"/>
      <c r="B910" s="4"/>
      <c r="C910" s="4"/>
      <c r="D910" s="165"/>
      <c r="E910" s="165"/>
      <c r="F910" s="165"/>
      <c r="G910" s="165"/>
      <c r="H910" s="165"/>
      <c r="I910" s="4"/>
      <c r="J910" s="4"/>
      <c r="K910" s="4"/>
      <c r="L910" s="4"/>
      <c r="M910" s="4"/>
      <c r="N910" s="4"/>
      <c r="O910" s="4"/>
      <c r="P910" s="4"/>
      <c r="Q910" s="4"/>
      <c r="R910" s="4"/>
      <c r="S910" s="4"/>
      <c r="T910" s="4"/>
      <c r="U910" s="4"/>
      <c r="V910" s="4"/>
      <c r="W910" s="4"/>
      <c r="X910" s="4"/>
      <c r="Y910" s="4"/>
    </row>
    <row r="911" ht="9.75" customHeight="1">
      <c r="A911" s="4"/>
      <c r="B911" s="4"/>
      <c r="C911" s="4"/>
      <c r="D911" s="165"/>
      <c r="E911" s="165"/>
      <c r="F911" s="165"/>
      <c r="G911" s="165"/>
      <c r="H911" s="165"/>
      <c r="I911" s="4"/>
      <c r="J911" s="4"/>
      <c r="K911" s="4"/>
      <c r="L911" s="4"/>
      <c r="M911" s="4"/>
      <c r="N911" s="4"/>
      <c r="O911" s="4"/>
      <c r="P911" s="4"/>
      <c r="Q911" s="4"/>
      <c r="R911" s="4"/>
      <c r="S911" s="4"/>
      <c r="T911" s="4"/>
      <c r="U911" s="4"/>
      <c r="V911" s="4"/>
      <c r="W911" s="4"/>
      <c r="X911" s="4"/>
      <c r="Y911" s="4"/>
    </row>
    <row r="912" ht="9.75" customHeight="1">
      <c r="A912" s="4"/>
      <c r="B912" s="4"/>
      <c r="C912" s="4"/>
      <c r="D912" s="165"/>
      <c r="E912" s="165"/>
      <c r="F912" s="165"/>
      <c r="G912" s="165"/>
      <c r="H912" s="165"/>
      <c r="I912" s="4"/>
      <c r="J912" s="4"/>
      <c r="K912" s="4"/>
      <c r="L912" s="4"/>
      <c r="M912" s="4"/>
      <c r="N912" s="4"/>
      <c r="O912" s="4"/>
      <c r="P912" s="4"/>
      <c r="Q912" s="4"/>
      <c r="R912" s="4"/>
      <c r="S912" s="4"/>
      <c r="T912" s="4"/>
      <c r="U912" s="4"/>
      <c r="V912" s="4"/>
      <c r="W912" s="4"/>
      <c r="X912" s="4"/>
      <c r="Y912" s="4"/>
    </row>
    <row r="913" ht="9.75" customHeight="1">
      <c r="A913" s="4"/>
      <c r="B913" s="4"/>
      <c r="C913" s="4"/>
      <c r="D913" s="165"/>
      <c r="E913" s="165"/>
      <c r="F913" s="165"/>
      <c r="G913" s="165"/>
      <c r="H913" s="165"/>
      <c r="I913" s="4"/>
      <c r="J913" s="4"/>
      <c r="K913" s="4"/>
      <c r="L913" s="4"/>
      <c r="M913" s="4"/>
      <c r="N913" s="4"/>
      <c r="O913" s="4"/>
      <c r="P913" s="4"/>
      <c r="Q913" s="4"/>
      <c r="R913" s="4"/>
      <c r="S913" s="4"/>
      <c r="T913" s="4"/>
      <c r="U913" s="4"/>
      <c r="V913" s="4"/>
      <c r="W913" s="4"/>
      <c r="X913" s="4"/>
      <c r="Y913" s="4"/>
    </row>
    <row r="914" ht="9.75" customHeight="1">
      <c r="A914" s="4"/>
      <c r="B914" s="4"/>
      <c r="C914" s="4"/>
      <c r="D914" s="165"/>
      <c r="E914" s="165"/>
      <c r="F914" s="165"/>
      <c r="G914" s="165"/>
      <c r="H914" s="165"/>
      <c r="I914" s="4"/>
      <c r="J914" s="4"/>
      <c r="K914" s="4"/>
      <c r="L914" s="4"/>
      <c r="M914" s="4"/>
      <c r="N914" s="4"/>
      <c r="O914" s="4"/>
      <c r="P914" s="4"/>
      <c r="Q914" s="4"/>
      <c r="R914" s="4"/>
      <c r="S914" s="4"/>
      <c r="T914" s="4"/>
      <c r="U914" s="4"/>
      <c r="V914" s="4"/>
      <c r="W914" s="4"/>
      <c r="X914" s="4"/>
      <c r="Y914" s="4"/>
    </row>
    <row r="915" ht="9.75" customHeight="1">
      <c r="A915" s="4"/>
      <c r="B915" s="4"/>
      <c r="C915" s="4"/>
      <c r="D915" s="165"/>
      <c r="E915" s="165"/>
      <c r="F915" s="165"/>
      <c r="G915" s="165"/>
      <c r="H915" s="165"/>
      <c r="I915" s="4"/>
      <c r="J915" s="4"/>
      <c r="K915" s="4"/>
      <c r="L915" s="4"/>
      <c r="M915" s="4"/>
      <c r="N915" s="4"/>
      <c r="O915" s="4"/>
      <c r="P915" s="4"/>
      <c r="Q915" s="4"/>
      <c r="R915" s="4"/>
      <c r="S915" s="4"/>
      <c r="T915" s="4"/>
      <c r="U915" s="4"/>
      <c r="V915" s="4"/>
      <c r="W915" s="4"/>
      <c r="X915" s="4"/>
      <c r="Y915" s="4"/>
    </row>
    <row r="916" ht="9.75" customHeight="1">
      <c r="A916" s="4"/>
      <c r="B916" s="4"/>
      <c r="C916" s="4"/>
      <c r="D916" s="165"/>
      <c r="E916" s="165"/>
      <c r="F916" s="165"/>
      <c r="G916" s="165"/>
      <c r="H916" s="165"/>
      <c r="I916" s="4"/>
      <c r="J916" s="4"/>
      <c r="K916" s="4"/>
      <c r="L916" s="4"/>
      <c r="M916" s="4"/>
      <c r="N916" s="4"/>
      <c r="O916" s="4"/>
      <c r="P916" s="4"/>
      <c r="Q916" s="4"/>
      <c r="R916" s="4"/>
      <c r="S916" s="4"/>
      <c r="T916" s="4"/>
      <c r="U916" s="4"/>
      <c r="V916" s="4"/>
      <c r="W916" s="4"/>
      <c r="X916" s="4"/>
      <c r="Y916" s="4"/>
    </row>
    <row r="917" ht="9.75" customHeight="1">
      <c r="A917" s="4"/>
      <c r="B917" s="4"/>
      <c r="C917" s="4"/>
      <c r="D917" s="165"/>
      <c r="E917" s="165"/>
      <c r="F917" s="165"/>
      <c r="G917" s="165"/>
      <c r="H917" s="165"/>
      <c r="I917" s="4"/>
      <c r="J917" s="4"/>
      <c r="K917" s="4"/>
      <c r="L917" s="4"/>
      <c r="M917" s="4"/>
      <c r="N917" s="4"/>
      <c r="O917" s="4"/>
      <c r="P917" s="4"/>
      <c r="Q917" s="4"/>
      <c r="R917" s="4"/>
      <c r="S917" s="4"/>
      <c r="T917" s="4"/>
      <c r="U917" s="4"/>
      <c r="V917" s="4"/>
      <c r="W917" s="4"/>
      <c r="X917" s="4"/>
      <c r="Y917" s="4"/>
    </row>
    <row r="918" ht="9.75" customHeight="1">
      <c r="A918" s="4"/>
      <c r="B918" s="4"/>
      <c r="C918" s="4"/>
      <c r="D918" s="165"/>
      <c r="E918" s="165"/>
      <c r="F918" s="165"/>
      <c r="G918" s="165"/>
      <c r="H918" s="165"/>
      <c r="I918" s="4"/>
      <c r="J918" s="4"/>
      <c r="K918" s="4"/>
      <c r="L918" s="4"/>
      <c r="M918" s="4"/>
      <c r="N918" s="4"/>
      <c r="O918" s="4"/>
      <c r="P918" s="4"/>
      <c r="Q918" s="4"/>
      <c r="R918" s="4"/>
      <c r="S918" s="4"/>
      <c r="T918" s="4"/>
      <c r="U918" s="4"/>
      <c r="V918" s="4"/>
      <c r="W918" s="4"/>
      <c r="X918" s="4"/>
      <c r="Y918" s="4"/>
    </row>
    <row r="919" ht="9.75" customHeight="1">
      <c r="A919" s="4"/>
      <c r="B919" s="4"/>
      <c r="C919" s="4"/>
      <c r="D919" s="165"/>
      <c r="E919" s="165"/>
      <c r="F919" s="165"/>
      <c r="G919" s="165"/>
      <c r="H919" s="165"/>
      <c r="I919" s="4"/>
      <c r="J919" s="4"/>
      <c r="K919" s="4"/>
      <c r="L919" s="4"/>
      <c r="M919" s="4"/>
      <c r="N919" s="4"/>
      <c r="O919" s="4"/>
      <c r="P919" s="4"/>
      <c r="Q919" s="4"/>
      <c r="R919" s="4"/>
      <c r="S919" s="4"/>
      <c r="T919" s="4"/>
      <c r="U919" s="4"/>
      <c r="V919" s="4"/>
      <c r="W919" s="4"/>
      <c r="X919" s="4"/>
      <c r="Y919" s="4"/>
    </row>
    <row r="920" ht="9.75" customHeight="1">
      <c r="A920" s="4"/>
      <c r="B920" s="4"/>
      <c r="C920" s="4"/>
      <c r="D920" s="165"/>
      <c r="E920" s="165"/>
      <c r="F920" s="165"/>
      <c r="G920" s="165"/>
      <c r="H920" s="165"/>
      <c r="I920" s="4"/>
      <c r="J920" s="4"/>
      <c r="K920" s="4"/>
      <c r="L920" s="4"/>
      <c r="M920" s="4"/>
      <c r="N920" s="4"/>
      <c r="O920" s="4"/>
      <c r="P920" s="4"/>
      <c r="Q920" s="4"/>
      <c r="R920" s="4"/>
      <c r="S920" s="4"/>
      <c r="T920" s="4"/>
      <c r="U920" s="4"/>
      <c r="V920" s="4"/>
      <c r="W920" s="4"/>
      <c r="X920" s="4"/>
      <c r="Y920" s="4"/>
    </row>
    <row r="921" ht="9.75" customHeight="1">
      <c r="A921" s="4"/>
      <c r="B921" s="4"/>
      <c r="C921" s="4"/>
      <c r="D921" s="165"/>
      <c r="E921" s="165"/>
      <c r="F921" s="165"/>
      <c r="G921" s="165"/>
      <c r="H921" s="165"/>
      <c r="I921" s="4"/>
      <c r="J921" s="4"/>
      <c r="K921" s="4"/>
      <c r="L921" s="4"/>
      <c r="M921" s="4"/>
      <c r="N921" s="4"/>
      <c r="O921" s="4"/>
      <c r="P921" s="4"/>
      <c r="Q921" s="4"/>
      <c r="R921" s="4"/>
      <c r="S921" s="4"/>
      <c r="T921" s="4"/>
      <c r="U921" s="4"/>
      <c r="V921" s="4"/>
      <c r="W921" s="4"/>
      <c r="X921" s="4"/>
      <c r="Y921" s="4"/>
    </row>
    <row r="922" ht="9.75" customHeight="1">
      <c r="A922" s="4"/>
      <c r="B922" s="4"/>
      <c r="C922" s="4"/>
      <c r="D922" s="165"/>
      <c r="E922" s="165"/>
      <c r="F922" s="165"/>
      <c r="G922" s="165"/>
      <c r="H922" s="165"/>
      <c r="I922" s="4"/>
      <c r="J922" s="4"/>
      <c r="K922" s="4"/>
      <c r="L922" s="4"/>
      <c r="M922" s="4"/>
      <c r="N922" s="4"/>
      <c r="O922" s="4"/>
      <c r="P922" s="4"/>
      <c r="Q922" s="4"/>
      <c r="R922" s="4"/>
      <c r="S922" s="4"/>
      <c r="T922" s="4"/>
      <c r="U922" s="4"/>
      <c r="V922" s="4"/>
      <c r="W922" s="4"/>
      <c r="X922" s="4"/>
      <c r="Y922" s="4"/>
    </row>
    <row r="923" ht="9.75" customHeight="1">
      <c r="A923" s="4"/>
      <c r="B923" s="4"/>
      <c r="C923" s="4"/>
      <c r="D923" s="165"/>
      <c r="E923" s="165"/>
      <c r="F923" s="165"/>
      <c r="G923" s="165"/>
      <c r="H923" s="165"/>
      <c r="I923" s="4"/>
      <c r="J923" s="4"/>
      <c r="K923" s="4"/>
      <c r="L923" s="4"/>
      <c r="M923" s="4"/>
      <c r="N923" s="4"/>
      <c r="O923" s="4"/>
      <c r="P923" s="4"/>
      <c r="Q923" s="4"/>
      <c r="R923" s="4"/>
      <c r="S923" s="4"/>
      <c r="T923" s="4"/>
      <c r="U923" s="4"/>
      <c r="V923" s="4"/>
      <c r="W923" s="4"/>
      <c r="X923" s="4"/>
      <c r="Y923" s="4"/>
    </row>
    <row r="924" ht="9.75" customHeight="1">
      <c r="A924" s="4"/>
      <c r="B924" s="4"/>
      <c r="C924" s="4"/>
      <c r="D924" s="165"/>
      <c r="E924" s="165"/>
      <c r="F924" s="165"/>
      <c r="G924" s="165"/>
      <c r="H924" s="165"/>
      <c r="I924" s="4"/>
      <c r="J924" s="4"/>
      <c r="K924" s="4"/>
      <c r="L924" s="4"/>
      <c r="M924" s="4"/>
      <c r="N924" s="4"/>
      <c r="O924" s="4"/>
      <c r="P924" s="4"/>
      <c r="Q924" s="4"/>
      <c r="R924" s="4"/>
      <c r="S924" s="4"/>
      <c r="T924" s="4"/>
      <c r="U924" s="4"/>
      <c r="V924" s="4"/>
      <c r="W924" s="4"/>
      <c r="X924" s="4"/>
      <c r="Y924" s="4"/>
    </row>
    <row r="925" ht="9.75" customHeight="1">
      <c r="A925" s="4"/>
      <c r="B925" s="4"/>
      <c r="C925" s="4"/>
      <c r="D925" s="165"/>
      <c r="E925" s="165"/>
      <c r="F925" s="165"/>
      <c r="G925" s="165"/>
      <c r="H925" s="165"/>
      <c r="I925" s="4"/>
      <c r="J925" s="4"/>
      <c r="K925" s="4"/>
      <c r="L925" s="4"/>
      <c r="M925" s="4"/>
      <c r="N925" s="4"/>
      <c r="O925" s="4"/>
      <c r="P925" s="4"/>
      <c r="Q925" s="4"/>
      <c r="R925" s="4"/>
      <c r="S925" s="4"/>
      <c r="T925" s="4"/>
      <c r="U925" s="4"/>
      <c r="V925" s="4"/>
      <c r="W925" s="4"/>
      <c r="X925" s="4"/>
      <c r="Y925" s="4"/>
    </row>
    <row r="926" ht="9.75" customHeight="1">
      <c r="A926" s="4"/>
      <c r="B926" s="4"/>
      <c r="C926" s="4"/>
      <c r="D926" s="165"/>
      <c r="E926" s="165"/>
      <c r="F926" s="165"/>
      <c r="G926" s="165"/>
      <c r="H926" s="165"/>
      <c r="I926" s="4"/>
      <c r="J926" s="4"/>
      <c r="K926" s="4"/>
      <c r="L926" s="4"/>
      <c r="M926" s="4"/>
      <c r="N926" s="4"/>
      <c r="O926" s="4"/>
      <c r="P926" s="4"/>
      <c r="Q926" s="4"/>
      <c r="R926" s="4"/>
      <c r="S926" s="4"/>
      <c r="T926" s="4"/>
      <c r="U926" s="4"/>
      <c r="V926" s="4"/>
      <c r="W926" s="4"/>
      <c r="X926" s="4"/>
      <c r="Y926" s="4"/>
    </row>
    <row r="927" ht="9.75" customHeight="1">
      <c r="A927" s="4"/>
      <c r="B927" s="4"/>
      <c r="C927" s="4"/>
      <c r="D927" s="165"/>
      <c r="E927" s="165"/>
      <c r="F927" s="165"/>
      <c r="G927" s="165"/>
      <c r="H927" s="165"/>
      <c r="I927" s="4"/>
      <c r="J927" s="4"/>
      <c r="K927" s="4"/>
      <c r="L927" s="4"/>
      <c r="M927" s="4"/>
      <c r="N927" s="4"/>
      <c r="O927" s="4"/>
      <c r="P927" s="4"/>
      <c r="Q927" s="4"/>
      <c r="R927" s="4"/>
      <c r="S927" s="4"/>
      <c r="T927" s="4"/>
      <c r="U927" s="4"/>
      <c r="V927" s="4"/>
      <c r="W927" s="4"/>
      <c r="X927" s="4"/>
      <c r="Y927" s="4"/>
    </row>
    <row r="928" ht="9.75" customHeight="1">
      <c r="A928" s="4"/>
      <c r="B928" s="4"/>
      <c r="C928" s="4"/>
      <c r="D928" s="165"/>
      <c r="E928" s="165"/>
      <c r="F928" s="165"/>
      <c r="G928" s="165"/>
      <c r="H928" s="165"/>
      <c r="I928" s="4"/>
      <c r="J928" s="4"/>
      <c r="K928" s="4"/>
      <c r="L928" s="4"/>
      <c r="M928" s="4"/>
      <c r="N928" s="4"/>
      <c r="O928" s="4"/>
      <c r="P928" s="4"/>
      <c r="Q928" s="4"/>
      <c r="R928" s="4"/>
      <c r="S928" s="4"/>
      <c r="T928" s="4"/>
      <c r="U928" s="4"/>
      <c r="V928" s="4"/>
      <c r="W928" s="4"/>
      <c r="X928" s="4"/>
      <c r="Y928" s="4"/>
    </row>
    <row r="929" ht="9.75" customHeight="1">
      <c r="A929" s="4"/>
      <c r="B929" s="4"/>
      <c r="C929" s="4"/>
      <c r="D929" s="165"/>
      <c r="E929" s="165"/>
      <c r="F929" s="165"/>
      <c r="G929" s="165"/>
      <c r="H929" s="165"/>
      <c r="I929" s="4"/>
      <c r="J929" s="4"/>
      <c r="K929" s="4"/>
      <c r="L929" s="4"/>
      <c r="M929" s="4"/>
      <c r="N929" s="4"/>
      <c r="O929" s="4"/>
      <c r="P929" s="4"/>
      <c r="Q929" s="4"/>
      <c r="R929" s="4"/>
      <c r="S929" s="4"/>
      <c r="T929" s="4"/>
      <c r="U929" s="4"/>
      <c r="V929" s="4"/>
      <c r="W929" s="4"/>
      <c r="X929" s="4"/>
      <c r="Y929" s="4"/>
    </row>
    <row r="930" ht="9.75" customHeight="1">
      <c r="A930" s="4"/>
      <c r="B930" s="4"/>
      <c r="C930" s="4"/>
      <c r="D930" s="165"/>
      <c r="E930" s="165"/>
      <c r="F930" s="165"/>
      <c r="G930" s="165"/>
      <c r="H930" s="165"/>
      <c r="I930" s="4"/>
      <c r="J930" s="4"/>
      <c r="K930" s="4"/>
      <c r="L930" s="4"/>
      <c r="M930" s="4"/>
      <c r="N930" s="4"/>
      <c r="O930" s="4"/>
      <c r="P930" s="4"/>
      <c r="Q930" s="4"/>
      <c r="R930" s="4"/>
      <c r="S930" s="4"/>
      <c r="T930" s="4"/>
      <c r="U930" s="4"/>
      <c r="V930" s="4"/>
      <c r="W930" s="4"/>
      <c r="X930" s="4"/>
      <c r="Y930" s="4"/>
    </row>
    <row r="931" ht="9.75" customHeight="1">
      <c r="A931" s="4"/>
      <c r="B931" s="4"/>
      <c r="C931" s="4"/>
      <c r="D931" s="165"/>
      <c r="E931" s="165"/>
      <c r="F931" s="165"/>
      <c r="G931" s="165"/>
      <c r="H931" s="165"/>
      <c r="I931" s="4"/>
      <c r="J931" s="4"/>
      <c r="K931" s="4"/>
      <c r="L931" s="4"/>
      <c r="M931" s="4"/>
      <c r="N931" s="4"/>
      <c r="O931" s="4"/>
      <c r="P931" s="4"/>
      <c r="Q931" s="4"/>
      <c r="R931" s="4"/>
      <c r="S931" s="4"/>
      <c r="T931" s="4"/>
      <c r="U931" s="4"/>
      <c r="V931" s="4"/>
      <c r="W931" s="4"/>
      <c r="X931" s="4"/>
      <c r="Y931" s="4"/>
    </row>
    <row r="932" ht="9.75" customHeight="1">
      <c r="A932" s="4"/>
      <c r="B932" s="4"/>
      <c r="C932" s="4"/>
      <c r="D932" s="165"/>
      <c r="E932" s="165"/>
      <c r="F932" s="165"/>
      <c r="G932" s="165"/>
      <c r="H932" s="165"/>
      <c r="I932" s="4"/>
      <c r="J932" s="4"/>
      <c r="K932" s="4"/>
      <c r="L932" s="4"/>
      <c r="M932" s="4"/>
      <c r="N932" s="4"/>
      <c r="O932" s="4"/>
      <c r="P932" s="4"/>
      <c r="Q932" s="4"/>
      <c r="R932" s="4"/>
      <c r="S932" s="4"/>
      <c r="T932" s="4"/>
      <c r="U932" s="4"/>
      <c r="V932" s="4"/>
      <c r="W932" s="4"/>
      <c r="X932" s="4"/>
      <c r="Y932" s="4"/>
    </row>
    <row r="933" ht="9.75" customHeight="1">
      <c r="A933" s="4"/>
      <c r="B933" s="4"/>
      <c r="C933" s="4"/>
      <c r="D933" s="165"/>
      <c r="E933" s="165"/>
      <c r="F933" s="165"/>
      <c r="G933" s="165"/>
      <c r="H933" s="165"/>
      <c r="I933" s="4"/>
      <c r="J933" s="4"/>
      <c r="K933" s="4"/>
      <c r="L933" s="4"/>
      <c r="M933" s="4"/>
      <c r="N933" s="4"/>
      <c r="O933" s="4"/>
      <c r="P933" s="4"/>
      <c r="Q933" s="4"/>
      <c r="R933" s="4"/>
      <c r="S933" s="4"/>
      <c r="T933" s="4"/>
      <c r="U933" s="4"/>
      <c r="V933" s="4"/>
      <c r="W933" s="4"/>
      <c r="X933" s="4"/>
      <c r="Y933" s="4"/>
    </row>
    <row r="934" ht="9.75" customHeight="1">
      <c r="A934" s="4"/>
      <c r="B934" s="4"/>
      <c r="C934" s="4"/>
      <c r="D934" s="165"/>
      <c r="E934" s="165"/>
      <c r="F934" s="165"/>
      <c r="G934" s="165"/>
      <c r="H934" s="165"/>
      <c r="I934" s="4"/>
      <c r="J934" s="4"/>
      <c r="K934" s="4"/>
      <c r="L934" s="4"/>
      <c r="M934" s="4"/>
      <c r="N934" s="4"/>
      <c r="O934" s="4"/>
      <c r="P934" s="4"/>
      <c r="Q934" s="4"/>
      <c r="R934" s="4"/>
      <c r="S934" s="4"/>
      <c r="T934" s="4"/>
      <c r="U934" s="4"/>
      <c r="V934" s="4"/>
      <c r="W934" s="4"/>
      <c r="X934" s="4"/>
      <c r="Y934" s="4"/>
    </row>
    <row r="935" ht="9.75" customHeight="1">
      <c r="A935" s="4"/>
      <c r="B935" s="4"/>
      <c r="C935" s="4"/>
      <c r="D935" s="165"/>
      <c r="E935" s="165"/>
      <c r="F935" s="165"/>
      <c r="G935" s="165"/>
      <c r="H935" s="165"/>
      <c r="I935" s="4"/>
      <c r="J935" s="4"/>
      <c r="K935" s="4"/>
      <c r="L935" s="4"/>
      <c r="M935" s="4"/>
      <c r="N935" s="4"/>
      <c r="O935" s="4"/>
      <c r="P935" s="4"/>
      <c r="Q935" s="4"/>
      <c r="R935" s="4"/>
      <c r="S935" s="4"/>
      <c r="T935" s="4"/>
      <c r="U935" s="4"/>
      <c r="V935" s="4"/>
      <c r="W935" s="4"/>
      <c r="X935" s="4"/>
      <c r="Y935" s="4"/>
    </row>
    <row r="936" ht="9.75" customHeight="1">
      <c r="A936" s="4"/>
      <c r="B936" s="4"/>
      <c r="C936" s="4"/>
      <c r="D936" s="165"/>
      <c r="E936" s="165"/>
      <c r="F936" s="165"/>
      <c r="G936" s="165"/>
      <c r="H936" s="165"/>
      <c r="I936" s="4"/>
      <c r="J936" s="4"/>
      <c r="K936" s="4"/>
      <c r="L936" s="4"/>
      <c r="M936" s="4"/>
      <c r="N936" s="4"/>
      <c r="O936" s="4"/>
      <c r="P936" s="4"/>
      <c r="Q936" s="4"/>
      <c r="R936" s="4"/>
      <c r="S936" s="4"/>
      <c r="T936" s="4"/>
      <c r="U936" s="4"/>
      <c r="V936" s="4"/>
      <c r="W936" s="4"/>
      <c r="X936" s="4"/>
      <c r="Y936" s="4"/>
    </row>
    <row r="937" ht="9.75" customHeight="1">
      <c r="A937" s="4"/>
      <c r="B937" s="4"/>
      <c r="C937" s="4"/>
      <c r="D937" s="165"/>
      <c r="E937" s="165"/>
      <c r="F937" s="165"/>
      <c r="G937" s="165"/>
      <c r="H937" s="165"/>
      <c r="I937" s="4"/>
      <c r="J937" s="4"/>
      <c r="K937" s="4"/>
      <c r="L937" s="4"/>
      <c r="M937" s="4"/>
      <c r="N937" s="4"/>
      <c r="O937" s="4"/>
      <c r="P937" s="4"/>
      <c r="Q937" s="4"/>
      <c r="R937" s="4"/>
      <c r="S937" s="4"/>
      <c r="T937" s="4"/>
      <c r="U937" s="4"/>
      <c r="V937" s="4"/>
      <c r="W937" s="4"/>
      <c r="X937" s="4"/>
      <c r="Y937" s="4"/>
    </row>
    <row r="938" ht="9.75" customHeight="1">
      <c r="A938" s="4"/>
      <c r="B938" s="4"/>
      <c r="C938" s="4"/>
      <c r="D938" s="165"/>
      <c r="E938" s="165"/>
      <c r="F938" s="165"/>
      <c r="G938" s="165"/>
      <c r="H938" s="165"/>
      <c r="I938" s="4"/>
      <c r="J938" s="4"/>
      <c r="K938" s="4"/>
      <c r="L938" s="4"/>
      <c r="M938" s="4"/>
      <c r="N938" s="4"/>
      <c r="O938" s="4"/>
      <c r="P938" s="4"/>
      <c r="Q938" s="4"/>
      <c r="R938" s="4"/>
      <c r="S938" s="4"/>
      <c r="T938" s="4"/>
      <c r="U938" s="4"/>
      <c r="V938" s="4"/>
      <c r="W938" s="4"/>
      <c r="X938" s="4"/>
      <c r="Y938" s="4"/>
    </row>
    <row r="939" ht="9.75" customHeight="1">
      <c r="A939" s="4"/>
      <c r="B939" s="4"/>
      <c r="C939" s="4"/>
      <c r="D939" s="165"/>
      <c r="E939" s="165"/>
      <c r="F939" s="165"/>
      <c r="G939" s="165"/>
      <c r="H939" s="165"/>
      <c r="I939" s="4"/>
      <c r="J939" s="4"/>
      <c r="K939" s="4"/>
      <c r="L939" s="4"/>
      <c r="M939" s="4"/>
      <c r="N939" s="4"/>
      <c r="O939" s="4"/>
      <c r="P939" s="4"/>
      <c r="Q939" s="4"/>
      <c r="R939" s="4"/>
      <c r="S939" s="4"/>
      <c r="T939" s="4"/>
      <c r="U939" s="4"/>
      <c r="V939" s="4"/>
      <c r="W939" s="4"/>
      <c r="X939" s="4"/>
      <c r="Y939" s="4"/>
    </row>
    <row r="940" ht="9.75" customHeight="1">
      <c r="A940" s="4"/>
      <c r="B940" s="4"/>
      <c r="C940" s="4"/>
      <c r="D940" s="165"/>
      <c r="E940" s="165"/>
      <c r="F940" s="165"/>
      <c r="G940" s="165"/>
      <c r="H940" s="165"/>
      <c r="I940" s="4"/>
      <c r="J940" s="4"/>
      <c r="K940" s="4"/>
      <c r="L940" s="4"/>
      <c r="M940" s="4"/>
      <c r="N940" s="4"/>
      <c r="O940" s="4"/>
      <c r="P940" s="4"/>
      <c r="Q940" s="4"/>
      <c r="R940" s="4"/>
      <c r="S940" s="4"/>
      <c r="T940" s="4"/>
      <c r="U940" s="4"/>
      <c r="V940" s="4"/>
      <c r="W940" s="4"/>
      <c r="X940" s="4"/>
      <c r="Y940" s="4"/>
    </row>
    <row r="941" ht="9.75" customHeight="1">
      <c r="A941" s="4"/>
      <c r="B941" s="4"/>
      <c r="C941" s="4"/>
      <c r="D941" s="165"/>
      <c r="E941" s="165"/>
      <c r="F941" s="165"/>
      <c r="G941" s="165"/>
      <c r="H941" s="165"/>
      <c r="I941" s="4"/>
      <c r="J941" s="4"/>
      <c r="K941" s="4"/>
      <c r="L941" s="4"/>
      <c r="M941" s="4"/>
      <c r="N941" s="4"/>
      <c r="O941" s="4"/>
      <c r="P941" s="4"/>
      <c r="Q941" s="4"/>
      <c r="R941" s="4"/>
      <c r="S941" s="4"/>
      <c r="T941" s="4"/>
      <c r="U941" s="4"/>
      <c r="V941" s="4"/>
      <c r="W941" s="4"/>
      <c r="X941" s="4"/>
      <c r="Y941" s="4"/>
    </row>
    <row r="942" ht="9.75" customHeight="1">
      <c r="A942" s="4"/>
      <c r="B942" s="4"/>
      <c r="C942" s="4"/>
      <c r="D942" s="165"/>
      <c r="E942" s="165"/>
      <c r="F942" s="165"/>
      <c r="G942" s="165"/>
      <c r="H942" s="165"/>
      <c r="I942" s="4"/>
      <c r="J942" s="4"/>
      <c r="K942" s="4"/>
      <c r="L942" s="4"/>
      <c r="M942" s="4"/>
      <c r="N942" s="4"/>
      <c r="O942" s="4"/>
      <c r="P942" s="4"/>
      <c r="Q942" s="4"/>
      <c r="R942" s="4"/>
      <c r="S942" s="4"/>
      <c r="T942" s="4"/>
      <c r="U942" s="4"/>
      <c r="V942" s="4"/>
      <c r="W942" s="4"/>
      <c r="X942" s="4"/>
      <c r="Y942" s="4"/>
    </row>
    <row r="943" ht="9.75" customHeight="1">
      <c r="A943" s="4"/>
      <c r="B943" s="4"/>
      <c r="C943" s="4"/>
      <c r="D943" s="165"/>
      <c r="E943" s="165"/>
      <c r="F943" s="165"/>
      <c r="G943" s="165"/>
      <c r="H943" s="165"/>
      <c r="I943" s="4"/>
      <c r="J943" s="4"/>
      <c r="K943" s="4"/>
      <c r="L943" s="4"/>
      <c r="M943" s="4"/>
      <c r="N943" s="4"/>
      <c r="O943" s="4"/>
      <c r="P943" s="4"/>
      <c r="Q943" s="4"/>
      <c r="R943" s="4"/>
      <c r="S943" s="4"/>
      <c r="T943" s="4"/>
      <c r="U943" s="4"/>
      <c r="V943" s="4"/>
      <c r="W943" s="4"/>
      <c r="X943" s="4"/>
      <c r="Y943" s="4"/>
    </row>
    <row r="944" ht="9.75" customHeight="1">
      <c r="A944" s="4"/>
      <c r="B944" s="4"/>
      <c r="C944" s="4"/>
      <c r="D944" s="165"/>
      <c r="E944" s="165"/>
      <c r="F944" s="165"/>
      <c r="G944" s="165"/>
      <c r="H944" s="165"/>
      <c r="I944" s="4"/>
      <c r="J944" s="4"/>
      <c r="K944" s="4"/>
      <c r="L944" s="4"/>
      <c r="M944" s="4"/>
      <c r="N944" s="4"/>
      <c r="O944" s="4"/>
      <c r="P944" s="4"/>
      <c r="Q944" s="4"/>
      <c r="R944" s="4"/>
      <c r="S944" s="4"/>
      <c r="T944" s="4"/>
      <c r="U944" s="4"/>
      <c r="V944" s="4"/>
      <c r="W944" s="4"/>
      <c r="X944" s="4"/>
      <c r="Y944" s="4"/>
    </row>
    <row r="945" ht="9.75" customHeight="1">
      <c r="A945" s="4"/>
      <c r="B945" s="4"/>
      <c r="C945" s="4"/>
      <c r="D945" s="165"/>
      <c r="E945" s="165"/>
      <c r="F945" s="165"/>
      <c r="G945" s="165"/>
      <c r="H945" s="165"/>
      <c r="I945" s="4"/>
      <c r="J945" s="4"/>
      <c r="K945" s="4"/>
      <c r="L945" s="4"/>
      <c r="M945" s="4"/>
      <c r="N945" s="4"/>
      <c r="O945" s="4"/>
      <c r="P945" s="4"/>
      <c r="Q945" s="4"/>
      <c r="R945" s="4"/>
      <c r="S945" s="4"/>
      <c r="T945" s="4"/>
      <c r="U945" s="4"/>
      <c r="V945" s="4"/>
      <c r="W945" s="4"/>
      <c r="X945" s="4"/>
      <c r="Y945" s="4"/>
    </row>
    <row r="946" ht="9.75" customHeight="1">
      <c r="A946" s="4"/>
      <c r="B946" s="4"/>
      <c r="C946" s="4"/>
      <c r="D946" s="165"/>
      <c r="E946" s="165"/>
      <c r="F946" s="165"/>
      <c r="G946" s="165"/>
      <c r="H946" s="165"/>
      <c r="I946" s="4"/>
      <c r="J946" s="4"/>
      <c r="K946" s="4"/>
      <c r="L946" s="4"/>
      <c r="M946" s="4"/>
      <c r="N946" s="4"/>
      <c r="O946" s="4"/>
      <c r="P946" s="4"/>
      <c r="Q946" s="4"/>
      <c r="R946" s="4"/>
      <c r="S946" s="4"/>
      <c r="T946" s="4"/>
      <c r="U946" s="4"/>
      <c r="V946" s="4"/>
      <c r="W946" s="4"/>
      <c r="X946" s="4"/>
      <c r="Y946" s="4"/>
    </row>
    <row r="947" ht="9.75" customHeight="1">
      <c r="A947" s="4"/>
      <c r="B947" s="4"/>
      <c r="C947" s="4"/>
      <c r="D947" s="165"/>
      <c r="E947" s="165"/>
      <c r="F947" s="165"/>
      <c r="G947" s="165"/>
      <c r="H947" s="165"/>
      <c r="I947" s="4"/>
      <c r="J947" s="4"/>
      <c r="K947" s="4"/>
      <c r="L947" s="4"/>
      <c r="M947" s="4"/>
      <c r="N947" s="4"/>
      <c r="O947" s="4"/>
      <c r="P947" s="4"/>
      <c r="Q947" s="4"/>
      <c r="R947" s="4"/>
      <c r="S947" s="4"/>
      <c r="T947" s="4"/>
      <c r="U947" s="4"/>
      <c r="V947" s="4"/>
      <c r="W947" s="4"/>
      <c r="X947" s="4"/>
      <c r="Y947" s="4"/>
    </row>
    <row r="948" ht="9.75" customHeight="1">
      <c r="A948" s="4"/>
      <c r="B948" s="4"/>
      <c r="C948" s="4"/>
      <c r="D948" s="165"/>
      <c r="E948" s="165"/>
      <c r="F948" s="165"/>
      <c r="G948" s="165"/>
      <c r="H948" s="165"/>
      <c r="I948" s="4"/>
      <c r="J948" s="4"/>
      <c r="K948" s="4"/>
      <c r="L948" s="4"/>
      <c r="M948" s="4"/>
      <c r="N948" s="4"/>
      <c r="O948" s="4"/>
      <c r="P948" s="4"/>
      <c r="Q948" s="4"/>
      <c r="R948" s="4"/>
      <c r="S948" s="4"/>
      <c r="T948" s="4"/>
      <c r="U948" s="4"/>
      <c r="V948" s="4"/>
      <c r="W948" s="4"/>
      <c r="X948" s="4"/>
      <c r="Y948" s="4"/>
    </row>
    <row r="949" ht="9.75" customHeight="1">
      <c r="A949" s="4"/>
      <c r="B949" s="4"/>
      <c r="C949" s="4"/>
      <c r="D949" s="165"/>
      <c r="E949" s="165"/>
      <c r="F949" s="165"/>
      <c r="G949" s="165"/>
      <c r="H949" s="165"/>
      <c r="I949" s="4"/>
      <c r="J949" s="4"/>
      <c r="K949" s="4"/>
      <c r="L949" s="4"/>
      <c r="M949" s="4"/>
      <c r="N949" s="4"/>
      <c r="O949" s="4"/>
      <c r="P949" s="4"/>
      <c r="Q949" s="4"/>
      <c r="R949" s="4"/>
      <c r="S949" s="4"/>
      <c r="T949" s="4"/>
      <c r="U949" s="4"/>
      <c r="V949" s="4"/>
      <c r="W949" s="4"/>
      <c r="X949" s="4"/>
      <c r="Y949" s="4"/>
    </row>
    <row r="950" ht="9.75" customHeight="1">
      <c r="A950" s="4"/>
      <c r="B950" s="4"/>
      <c r="C950" s="4"/>
      <c r="D950" s="165"/>
      <c r="E950" s="165"/>
      <c r="F950" s="165"/>
      <c r="G950" s="165"/>
      <c r="H950" s="165"/>
      <c r="I950" s="4"/>
      <c r="J950" s="4"/>
      <c r="K950" s="4"/>
      <c r="L950" s="4"/>
      <c r="M950" s="4"/>
      <c r="N950" s="4"/>
      <c r="O950" s="4"/>
      <c r="P950" s="4"/>
      <c r="Q950" s="4"/>
      <c r="R950" s="4"/>
      <c r="S950" s="4"/>
      <c r="T950" s="4"/>
      <c r="U950" s="4"/>
      <c r="V950" s="4"/>
      <c r="W950" s="4"/>
      <c r="X950" s="4"/>
      <c r="Y950" s="4"/>
    </row>
    <row r="951" ht="9.75" customHeight="1">
      <c r="A951" s="4"/>
      <c r="B951" s="4"/>
      <c r="C951" s="4"/>
      <c r="D951" s="165"/>
      <c r="E951" s="165"/>
      <c r="F951" s="165"/>
      <c r="G951" s="165"/>
      <c r="H951" s="165"/>
      <c r="I951" s="4"/>
      <c r="J951" s="4"/>
      <c r="K951" s="4"/>
      <c r="L951" s="4"/>
      <c r="M951" s="4"/>
      <c r="N951" s="4"/>
      <c r="O951" s="4"/>
      <c r="P951" s="4"/>
      <c r="Q951" s="4"/>
      <c r="R951" s="4"/>
      <c r="S951" s="4"/>
      <c r="T951" s="4"/>
      <c r="U951" s="4"/>
      <c r="V951" s="4"/>
      <c r="W951" s="4"/>
      <c r="X951" s="4"/>
      <c r="Y951" s="4"/>
    </row>
    <row r="952" ht="9.75" customHeight="1">
      <c r="A952" s="4"/>
      <c r="B952" s="4"/>
      <c r="C952" s="4"/>
      <c r="D952" s="165"/>
      <c r="E952" s="165"/>
      <c r="F952" s="165"/>
      <c r="G952" s="165"/>
      <c r="H952" s="165"/>
      <c r="I952" s="4"/>
      <c r="J952" s="4"/>
      <c r="K952" s="4"/>
      <c r="L952" s="4"/>
      <c r="M952" s="4"/>
      <c r="N952" s="4"/>
      <c r="O952" s="4"/>
      <c r="P952" s="4"/>
      <c r="Q952" s="4"/>
      <c r="R952" s="4"/>
      <c r="S952" s="4"/>
      <c r="T952" s="4"/>
      <c r="U952" s="4"/>
      <c r="V952" s="4"/>
      <c r="W952" s="4"/>
      <c r="X952" s="4"/>
      <c r="Y952" s="4"/>
    </row>
    <row r="953" ht="9.75" customHeight="1">
      <c r="A953" s="4"/>
      <c r="B953" s="4"/>
      <c r="C953" s="4"/>
      <c r="D953" s="165"/>
      <c r="E953" s="165"/>
      <c r="F953" s="165"/>
      <c r="G953" s="165"/>
      <c r="H953" s="165"/>
      <c r="I953" s="4"/>
      <c r="J953" s="4"/>
      <c r="K953" s="4"/>
      <c r="L953" s="4"/>
      <c r="M953" s="4"/>
      <c r="N953" s="4"/>
      <c r="O953" s="4"/>
      <c r="P953" s="4"/>
      <c r="Q953" s="4"/>
      <c r="R953" s="4"/>
      <c r="S953" s="4"/>
      <c r="T953" s="4"/>
      <c r="U953" s="4"/>
      <c r="V953" s="4"/>
      <c r="W953" s="4"/>
      <c r="X953" s="4"/>
      <c r="Y953" s="4"/>
    </row>
    <row r="954" ht="9.75" customHeight="1">
      <c r="A954" s="4"/>
      <c r="B954" s="4"/>
      <c r="C954" s="4"/>
      <c r="D954" s="165"/>
      <c r="E954" s="165"/>
      <c r="F954" s="165"/>
      <c r="G954" s="165"/>
      <c r="H954" s="165"/>
      <c r="I954" s="4"/>
      <c r="J954" s="4"/>
      <c r="K954" s="4"/>
      <c r="L954" s="4"/>
      <c r="M954" s="4"/>
      <c r="N954" s="4"/>
      <c r="O954" s="4"/>
      <c r="P954" s="4"/>
      <c r="Q954" s="4"/>
      <c r="R954" s="4"/>
      <c r="S954" s="4"/>
      <c r="T954" s="4"/>
      <c r="U954" s="4"/>
      <c r="V954" s="4"/>
      <c r="W954" s="4"/>
      <c r="X954" s="4"/>
      <c r="Y954" s="4"/>
    </row>
    <row r="955" ht="9.75" customHeight="1">
      <c r="A955" s="4"/>
      <c r="B955" s="4"/>
      <c r="C955" s="4"/>
      <c r="D955" s="165"/>
      <c r="E955" s="165"/>
      <c r="F955" s="165"/>
      <c r="G955" s="165"/>
      <c r="H955" s="165"/>
      <c r="I955" s="4"/>
      <c r="J955" s="4"/>
      <c r="K955" s="4"/>
      <c r="L955" s="4"/>
      <c r="M955" s="4"/>
      <c r="N955" s="4"/>
      <c r="O955" s="4"/>
      <c r="P955" s="4"/>
      <c r="Q955" s="4"/>
      <c r="R955" s="4"/>
      <c r="S955" s="4"/>
      <c r="T955" s="4"/>
      <c r="U955" s="4"/>
      <c r="V955" s="4"/>
      <c r="W955" s="4"/>
      <c r="X955" s="4"/>
      <c r="Y955" s="4"/>
    </row>
    <row r="956" ht="9.75" customHeight="1">
      <c r="A956" s="4"/>
      <c r="B956" s="4"/>
      <c r="C956" s="4"/>
      <c r="D956" s="165"/>
      <c r="E956" s="165"/>
      <c r="F956" s="165"/>
      <c r="G956" s="165"/>
      <c r="H956" s="165"/>
      <c r="I956" s="4"/>
      <c r="J956" s="4"/>
      <c r="K956" s="4"/>
      <c r="L956" s="4"/>
      <c r="M956" s="4"/>
      <c r="N956" s="4"/>
      <c r="O956" s="4"/>
      <c r="P956" s="4"/>
      <c r="Q956" s="4"/>
      <c r="R956" s="4"/>
      <c r="S956" s="4"/>
      <c r="T956" s="4"/>
      <c r="U956" s="4"/>
      <c r="V956" s="4"/>
      <c r="W956" s="4"/>
      <c r="X956" s="4"/>
      <c r="Y956" s="4"/>
    </row>
    <row r="957" ht="9.75" customHeight="1">
      <c r="A957" s="4"/>
      <c r="B957" s="4"/>
      <c r="C957" s="4"/>
      <c r="D957" s="165"/>
      <c r="E957" s="165"/>
      <c r="F957" s="165"/>
      <c r="G957" s="165"/>
      <c r="H957" s="165"/>
      <c r="I957" s="4"/>
      <c r="J957" s="4"/>
      <c r="K957" s="4"/>
      <c r="L957" s="4"/>
      <c r="M957" s="4"/>
      <c r="N957" s="4"/>
      <c r="O957" s="4"/>
      <c r="P957" s="4"/>
      <c r="Q957" s="4"/>
      <c r="R957" s="4"/>
      <c r="S957" s="4"/>
      <c r="T957" s="4"/>
      <c r="U957" s="4"/>
      <c r="V957" s="4"/>
      <c r="W957" s="4"/>
      <c r="X957" s="4"/>
      <c r="Y957" s="4"/>
    </row>
    <row r="958" ht="9.75" customHeight="1">
      <c r="A958" s="4"/>
      <c r="B958" s="4"/>
      <c r="C958" s="4"/>
      <c r="D958" s="165"/>
      <c r="E958" s="165"/>
      <c r="F958" s="165"/>
      <c r="G958" s="165"/>
      <c r="H958" s="165"/>
      <c r="I958" s="4"/>
      <c r="J958" s="4"/>
      <c r="K958" s="4"/>
      <c r="L958" s="4"/>
      <c r="M958" s="4"/>
      <c r="N958" s="4"/>
      <c r="O958" s="4"/>
      <c r="P958" s="4"/>
      <c r="Q958" s="4"/>
      <c r="R958" s="4"/>
      <c r="S958" s="4"/>
      <c r="T958" s="4"/>
      <c r="U958" s="4"/>
      <c r="V958" s="4"/>
      <c r="W958" s="4"/>
      <c r="X958" s="4"/>
      <c r="Y958" s="4"/>
    </row>
    <row r="959" ht="9.75" customHeight="1">
      <c r="A959" s="4"/>
      <c r="B959" s="4"/>
      <c r="C959" s="4"/>
      <c r="D959" s="165"/>
      <c r="E959" s="165"/>
      <c r="F959" s="165"/>
      <c r="G959" s="165"/>
      <c r="H959" s="165"/>
      <c r="I959" s="4"/>
      <c r="J959" s="4"/>
      <c r="K959" s="4"/>
      <c r="L959" s="4"/>
      <c r="M959" s="4"/>
      <c r="N959" s="4"/>
      <c r="O959" s="4"/>
      <c r="P959" s="4"/>
      <c r="Q959" s="4"/>
      <c r="R959" s="4"/>
      <c r="S959" s="4"/>
      <c r="T959" s="4"/>
      <c r="U959" s="4"/>
      <c r="V959" s="4"/>
      <c r="W959" s="4"/>
      <c r="X959" s="4"/>
      <c r="Y959" s="4"/>
    </row>
    <row r="960" ht="9.75" customHeight="1">
      <c r="A960" s="4"/>
      <c r="B960" s="4"/>
      <c r="C960" s="4"/>
      <c r="D960" s="165"/>
      <c r="E960" s="165"/>
      <c r="F960" s="165"/>
      <c r="G960" s="165"/>
      <c r="H960" s="165"/>
      <c r="I960" s="4"/>
      <c r="J960" s="4"/>
      <c r="K960" s="4"/>
      <c r="L960" s="4"/>
      <c r="M960" s="4"/>
      <c r="N960" s="4"/>
      <c r="O960" s="4"/>
      <c r="P960" s="4"/>
      <c r="Q960" s="4"/>
      <c r="R960" s="4"/>
      <c r="S960" s="4"/>
      <c r="T960" s="4"/>
      <c r="U960" s="4"/>
      <c r="V960" s="4"/>
      <c r="W960" s="4"/>
      <c r="X960" s="4"/>
      <c r="Y960" s="4"/>
    </row>
    <row r="961" ht="9.75" customHeight="1">
      <c r="A961" s="4"/>
      <c r="B961" s="4"/>
      <c r="C961" s="4"/>
      <c r="D961" s="165"/>
      <c r="E961" s="165"/>
      <c r="F961" s="165"/>
      <c r="G961" s="165"/>
      <c r="H961" s="165"/>
      <c r="I961" s="4"/>
      <c r="J961" s="4"/>
      <c r="K961" s="4"/>
      <c r="L961" s="4"/>
      <c r="M961" s="4"/>
      <c r="N961" s="4"/>
      <c r="O961" s="4"/>
      <c r="P961" s="4"/>
      <c r="Q961" s="4"/>
      <c r="R961" s="4"/>
      <c r="S961" s="4"/>
      <c r="T961" s="4"/>
      <c r="U961" s="4"/>
      <c r="V961" s="4"/>
      <c r="W961" s="4"/>
      <c r="X961" s="4"/>
      <c r="Y961" s="4"/>
    </row>
    <row r="962" ht="9.75" customHeight="1">
      <c r="A962" s="4"/>
      <c r="B962" s="4"/>
      <c r="C962" s="4"/>
      <c r="D962" s="165"/>
      <c r="E962" s="165"/>
      <c r="F962" s="165"/>
      <c r="G962" s="165"/>
      <c r="H962" s="165"/>
      <c r="I962" s="4"/>
      <c r="J962" s="4"/>
      <c r="K962" s="4"/>
      <c r="L962" s="4"/>
      <c r="M962" s="4"/>
      <c r="N962" s="4"/>
      <c r="O962" s="4"/>
      <c r="P962" s="4"/>
      <c r="Q962" s="4"/>
      <c r="R962" s="4"/>
      <c r="S962" s="4"/>
      <c r="T962" s="4"/>
      <c r="U962" s="4"/>
      <c r="V962" s="4"/>
      <c r="W962" s="4"/>
      <c r="X962" s="4"/>
      <c r="Y962" s="4"/>
    </row>
    <row r="963" ht="9.75" customHeight="1">
      <c r="A963" s="4"/>
      <c r="B963" s="4"/>
      <c r="C963" s="4"/>
      <c r="D963" s="165"/>
      <c r="E963" s="165"/>
      <c r="F963" s="165"/>
      <c r="G963" s="165"/>
      <c r="H963" s="165"/>
      <c r="I963" s="4"/>
      <c r="J963" s="4"/>
      <c r="K963" s="4"/>
      <c r="L963" s="4"/>
      <c r="M963" s="4"/>
      <c r="N963" s="4"/>
      <c r="O963" s="4"/>
      <c r="P963" s="4"/>
      <c r="Q963" s="4"/>
      <c r="R963" s="4"/>
      <c r="S963" s="4"/>
      <c r="T963" s="4"/>
      <c r="U963" s="4"/>
      <c r="V963" s="4"/>
      <c r="W963" s="4"/>
      <c r="X963" s="4"/>
      <c r="Y963" s="4"/>
    </row>
    <row r="964" ht="9.75" customHeight="1">
      <c r="A964" s="4"/>
      <c r="B964" s="4"/>
      <c r="C964" s="4"/>
      <c r="D964" s="165"/>
      <c r="E964" s="165"/>
      <c r="F964" s="165"/>
      <c r="G964" s="165"/>
      <c r="H964" s="165"/>
      <c r="I964" s="4"/>
      <c r="J964" s="4"/>
      <c r="K964" s="4"/>
      <c r="L964" s="4"/>
      <c r="M964" s="4"/>
      <c r="N964" s="4"/>
      <c r="O964" s="4"/>
      <c r="P964" s="4"/>
      <c r="Q964" s="4"/>
      <c r="R964" s="4"/>
      <c r="S964" s="4"/>
      <c r="T964" s="4"/>
      <c r="U964" s="4"/>
      <c r="V964" s="4"/>
      <c r="W964" s="4"/>
      <c r="X964" s="4"/>
      <c r="Y964" s="4"/>
    </row>
    <row r="965" ht="9.75" customHeight="1">
      <c r="A965" s="4"/>
      <c r="B965" s="4"/>
      <c r="C965" s="4"/>
      <c r="D965" s="165"/>
      <c r="E965" s="165"/>
      <c r="F965" s="165"/>
      <c r="G965" s="165"/>
      <c r="H965" s="165"/>
      <c r="I965" s="4"/>
      <c r="J965" s="4"/>
      <c r="K965" s="4"/>
      <c r="L965" s="4"/>
      <c r="M965" s="4"/>
      <c r="N965" s="4"/>
      <c r="O965" s="4"/>
      <c r="P965" s="4"/>
      <c r="Q965" s="4"/>
      <c r="R965" s="4"/>
      <c r="S965" s="4"/>
      <c r="T965" s="4"/>
      <c r="U965" s="4"/>
      <c r="V965" s="4"/>
      <c r="W965" s="4"/>
      <c r="X965" s="4"/>
      <c r="Y965" s="4"/>
    </row>
    <row r="966" ht="9.75" customHeight="1">
      <c r="A966" s="4"/>
      <c r="B966" s="4"/>
      <c r="C966" s="4"/>
      <c r="D966" s="165"/>
      <c r="E966" s="165"/>
      <c r="F966" s="165"/>
      <c r="G966" s="165"/>
      <c r="H966" s="165"/>
      <c r="I966" s="4"/>
      <c r="J966" s="4"/>
      <c r="K966" s="4"/>
      <c r="L966" s="4"/>
      <c r="M966" s="4"/>
      <c r="N966" s="4"/>
      <c r="O966" s="4"/>
      <c r="P966" s="4"/>
      <c r="Q966" s="4"/>
      <c r="R966" s="4"/>
      <c r="S966" s="4"/>
      <c r="T966" s="4"/>
      <c r="U966" s="4"/>
      <c r="V966" s="4"/>
      <c r="W966" s="4"/>
      <c r="X966" s="4"/>
      <c r="Y966" s="4"/>
    </row>
    <row r="967" ht="9.75" customHeight="1">
      <c r="A967" s="4"/>
      <c r="B967" s="4"/>
      <c r="C967" s="4"/>
      <c r="D967" s="165"/>
      <c r="E967" s="165"/>
      <c r="F967" s="165"/>
      <c r="G967" s="165"/>
      <c r="H967" s="165"/>
      <c r="I967" s="4"/>
      <c r="J967" s="4"/>
      <c r="K967" s="4"/>
      <c r="L967" s="4"/>
      <c r="M967" s="4"/>
      <c r="N967" s="4"/>
      <c r="O967" s="4"/>
      <c r="P967" s="4"/>
      <c r="Q967" s="4"/>
      <c r="R967" s="4"/>
      <c r="S967" s="4"/>
      <c r="T967" s="4"/>
      <c r="U967" s="4"/>
      <c r="V967" s="4"/>
      <c r="W967" s="4"/>
      <c r="X967" s="4"/>
      <c r="Y967" s="4"/>
    </row>
    <row r="968" ht="9.75" customHeight="1">
      <c r="A968" s="4"/>
      <c r="B968" s="4"/>
      <c r="C968" s="4"/>
      <c r="D968" s="165"/>
      <c r="E968" s="165"/>
      <c r="F968" s="165"/>
      <c r="G968" s="165"/>
      <c r="H968" s="165"/>
      <c r="I968" s="4"/>
      <c r="J968" s="4"/>
      <c r="K968" s="4"/>
      <c r="L968" s="4"/>
      <c r="M968" s="4"/>
      <c r="N968" s="4"/>
      <c r="O968" s="4"/>
      <c r="P968" s="4"/>
      <c r="Q968" s="4"/>
      <c r="R968" s="4"/>
      <c r="S968" s="4"/>
      <c r="T968" s="4"/>
      <c r="U968" s="4"/>
      <c r="V968" s="4"/>
      <c r="W968" s="4"/>
      <c r="X968" s="4"/>
      <c r="Y968" s="4"/>
    </row>
    <row r="969" ht="9.75" customHeight="1">
      <c r="A969" s="4"/>
      <c r="B969" s="4"/>
      <c r="C969" s="4"/>
      <c r="D969" s="165"/>
      <c r="E969" s="165"/>
      <c r="F969" s="165"/>
      <c r="G969" s="165"/>
      <c r="H969" s="165"/>
      <c r="I969" s="4"/>
      <c r="J969" s="4"/>
      <c r="K969" s="4"/>
      <c r="L969" s="4"/>
      <c r="M969" s="4"/>
      <c r="N969" s="4"/>
      <c r="O969" s="4"/>
      <c r="P969" s="4"/>
      <c r="Q969" s="4"/>
      <c r="R969" s="4"/>
      <c r="S969" s="4"/>
      <c r="T969" s="4"/>
      <c r="U969" s="4"/>
      <c r="V969" s="4"/>
      <c r="W969" s="4"/>
      <c r="X969" s="4"/>
      <c r="Y969" s="4"/>
    </row>
    <row r="970" ht="9.75" customHeight="1">
      <c r="A970" s="4"/>
      <c r="B970" s="4"/>
      <c r="C970" s="4"/>
      <c r="D970" s="165"/>
      <c r="E970" s="165"/>
      <c r="F970" s="165"/>
      <c r="G970" s="165"/>
      <c r="H970" s="165"/>
      <c r="I970" s="4"/>
      <c r="J970" s="4"/>
      <c r="K970" s="4"/>
      <c r="L970" s="4"/>
      <c r="M970" s="4"/>
      <c r="N970" s="4"/>
      <c r="O970" s="4"/>
      <c r="P970" s="4"/>
      <c r="Q970" s="4"/>
      <c r="R970" s="4"/>
      <c r="S970" s="4"/>
      <c r="T970" s="4"/>
      <c r="U970" s="4"/>
      <c r="V970" s="4"/>
      <c r="W970" s="4"/>
      <c r="X970" s="4"/>
      <c r="Y970" s="4"/>
    </row>
    <row r="971" ht="9.75" customHeight="1">
      <c r="A971" s="4"/>
      <c r="B971" s="4"/>
      <c r="C971" s="4"/>
      <c r="D971" s="165"/>
      <c r="E971" s="165"/>
      <c r="F971" s="165"/>
      <c r="G971" s="165"/>
      <c r="H971" s="165"/>
      <c r="I971" s="4"/>
      <c r="J971" s="4"/>
      <c r="K971" s="4"/>
      <c r="L971" s="4"/>
      <c r="M971" s="4"/>
      <c r="N971" s="4"/>
      <c r="O971" s="4"/>
      <c r="P971" s="4"/>
      <c r="Q971" s="4"/>
      <c r="R971" s="4"/>
      <c r="S971" s="4"/>
      <c r="T971" s="4"/>
      <c r="U971" s="4"/>
      <c r="V971" s="4"/>
      <c r="W971" s="4"/>
      <c r="X971" s="4"/>
      <c r="Y971" s="4"/>
    </row>
    <row r="972" ht="9.75" customHeight="1">
      <c r="A972" s="4"/>
      <c r="B972" s="4"/>
      <c r="C972" s="4"/>
      <c r="D972" s="165"/>
      <c r="E972" s="165"/>
      <c r="F972" s="165"/>
      <c r="G972" s="165"/>
      <c r="H972" s="165"/>
      <c r="I972" s="4"/>
      <c r="J972" s="4"/>
      <c r="K972" s="4"/>
      <c r="L972" s="4"/>
      <c r="M972" s="4"/>
      <c r="N972" s="4"/>
      <c r="O972" s="4"/>
      <c r="P972" s="4"/>
      <c r="Q972" s="4"/>
      <c r="R972" s="4"/>
      <c r="S972" s="4"/>
      <c r="T972" s="4"/>
      <c r="U972" s="4"/>
      <c r="V972" s="4"/>
      <c r="W972" s="4"/>
      <c r="X972" s="4"/>
      <c r="Y972" s="4"/>
    </row>
    <row r="973" ht="9.75" customHeight="1">
      <c r="A973" s="4"/>
      <c r="B973" s="4"/>
      <c r="C973" s="4"/>
      <c r="D973" s="165"/>
      <c r="E973" s="165"/>
      <c r="F973" s="165"/>
      <c r="G973" s="165"/>
      <c r="H973" s="165"/>
      <c r="I973" s="4"/>
      <c r="J973" s="4"/>
      <c r="K973" s="4"/>
      <c r="L973" s="4"/>
      <c r="M973" s="4"/>
      <c r="N973" s="4"/>
      <c r="O973" s="4"/>
      <c r="P973" s="4"/>
      <c r="Q973" s="4"/>
      <c r="R973" s="4"/>
      <c r="S973" s="4"/>
      <c r="T973" s="4"/>
      <c r="U973" s="4"/>
      <c r="V973" s="4"/>
      <c r="W973" s="4"/>
      <c r="X973" s="4"/>
      <c r="Y973" s="4"/>
    </row>
    <row r="974" ht="9.75" customHeight="1">
      <c r="A974" s="4"/>
      <c r="B974" s="4"/>
      <c r="C974" s="4"/>
      <c r="D974" s="165"/>
      <c r="E974" s="165"/>
      <c r="F974" s="165"/>
      <c r="G974" s="165"/>
      <c r="H974" s="165"/>
      <c r="I974" s="4"/>
      <c r="J974" s="4"/>
      <c r="K974" s="4"/>
      <c r="L974" s="4"/>
      <c r="M974" s="4"/>
      <c r="N974" s="4"/>
      <c r="O974" s="4"/>
      <c r="P974" s="4"/>
      <c r="Q974" s="4"/>
      <c r="R974" s="4"/>
      <c r="S974" s="4"/>
      <c r="T974" s="4"/>
      <c r="U974" s="4"/>
      <c r="V974" s="4"/>
      <c r="W974" s="4"/>
      <c r="X974" s="4"/>
      <c r="Y974" s="4"/>
    </row>
    <row r="975" ht="9.75" customHeight="1">
      <c r="A975" s="4"/>
      <c r="B975" s="4"/>
      <c r="C975" s="4"/>
      <c r="D975" s="165"/>
      <c r="E975" s="165"/>
      <c r="F975" s="165"/>
      <c r="G975" s="165"/>
      <c r="H975" s="165"/>
      <c r="I975" s="4"/>
      <c r="J975" s="4"/>
      <c r="K975" s="4"/>
      <c r="L975" s="4"/>
      <c r="M975" s="4"/>
      <c r="N975" s="4"/>
      <c r="O975" s="4"/>
      <c r="P975" s="4"/>
      <c r="Q975" s="4"/>
      <c r="R975" s="4"/>
      <c r="S975" s="4"/>
      <c r="T975" s="4"/>
      <c r="U975" s="4"/>
      <c r="V975" s="4"/>
      <c r="W975" s="4"/>
      <c r="X975" s="4"/>
      <c r="Y975" s="4"/>
    </row>
    <row r="976" ht="9.75" customHeight="1">
      <c r="A976" s="4"/>
      <c r="B976" s="4"/>
      <c r="C976" s="4"/>
      <c r="D976" s="165"/>
      <c r="E976" s="165"/>
      <c r="F976" s="165"/>
      <c r="G976" s="165"/>
      <c r="H976" s="165"/>
      <c r="I976" s="4"/>
      <c r="J976" s="4"/>
      <c r="K976" s="4"/>
      <c r="L976" s="4"/>
      <c r="M976" s="4"/>
      <c r="N976" s="4"/>
      <c r="O976" s="4"/>
      <c r="P976" s="4"/>
      <c r="Q976" s="4"/>
      <c r="R976" s="4"/>
      <c r="S976" s="4"/>
      <c r="T976" s="4"/>
      <c r="U976" s="4"/>
      <c r="V976" s="4"/>
      <c r="W976" s="4"/>
      <c r="X976" s="4"/>
      <c r="Y976" s="4"/>
    </row>
    <row r="977" ht="9.75" customHeight="1">
      <c r="A977" s="4"/>
      <c r="B977" s="4"/>
      <c r="C977" s="4"/>
      <c r="D977" s="165"/>
      <c r="E977" s="165"/>
      <c r="F977" s="165"/>
      <c r="G977" s="165"/>
      <c r="H977" s="165"/>
      <c r="I977" s="4"/>
      <c r="J977" s="4"/>
      <c r="K977" s="4"/>
      <c r="L977" s="4"/>
      <c r="M977" s="4"/>
      <c r="N977" s="4"/>
      <c r="O977" s="4"/>
      <c r="P977" s="4"/>
      <c r="Q977" s="4"/>
      <c r="R977" s="4"/>
      <c r="S977" s="4"/>
      <c r="T977" s="4"/>
      <c r="U977" s="4"/>
      <c r="V977" s="4"/>
      <c r="W977" s="4"/>
      <c r="X977" s="4"/>
      <c r="Y977" s="4"/>
    </row>
    <row r="978" ht="9.75" customHeight="1">
      <c r="A978" s="4"/>
      <c r="B978" s="4"/>
      <c r="C978" s="4"/>
      <c r="D978" s="165"/>
      <c r="E978" s="165"/>
      <c r="F978" s="165"/>
      <c r="G978" s="165"/>
      <c r="H978" s="165"/>
      <c r="I978" s="4"/>
      <c r="J978" s="4"/>
      <c r="K978" s="4"/>
      <c r="L978" s="4"/>
      <c r="M978" s="4"/>
      <c r="N978" s="4"/>
      <c r="O978" s="4"/>
      <c r="P978" s="4"/>
      <c r="Q978" s="4"/>
      <c r="R978" s="4"/>
      <c r="S978" s="4"/>
      <c r="T978" s="4"/>
      <c r="U978" s="4"/>
      <c r="V978" s="4"/>
      <c r="W978" s="4"/>
      <c r="X978" s="4"/>
      <c r="Y978" s="4"/>
    </row>
    <row r="979" ht="9.75" customHeight="1">
      <c r="A979" s="4"/>
      <c r="B979" s="4"/>
      <c r="C979" s="4"/>
      <c r="D979" s="165"/>
      <c r="E979" s="165"/>
      <c r="F979" s="165"/>
      <c r="G979" s="165"/>
      <c r="H979" s="165"/>
      <c r="I979" s="4"/>
      <c r="J979" s="4"/>
      <c r="K979" s="4"/>
      <c r="L979" s="4"/>
      <c r="M979" s="4"/>
      <c r="N979" s="4"/>
      <c r="O979" s="4"/>
      <c r="P979" s="4"/>
      <c r="Q979" s="4"/>
      <c r="R979" s="4"/>
      <c r="S979" s="4"/>
      <c r="T979" s="4"/>
      <c r="U979" s="4"/>
      <c r="V979" s="4"/>
      <c r="W979" s="4"/>
      <c r="X979" s="4"/>
      <c r="Y979" s="4"/>
    </row>
    <row r="980" ht="9.75" customHeight="1">
      <c r="A980" s="4"/>
      <c r="B980" s="4"/>
      <c r="C980" s="4"/>
      <c r="D980" s="165"/>
      <c r="E980" s="165"/>
      <c r="F980" s="165"/>
      <c r="G980" s="165"/>
      <c r="H980" s="165"/>
      <c r="I980" s="4"/>
      <c r="J980" s="4"/>
      <c r="K980" s="4"/>
      <c r="L980" s="4"/>
      <c r="M980" s="4"/>
      <c r="N980" s="4"/>
      <c r="O980" s="4"/>
      <c r="P980" s="4"/>
      <c r="Q980" s="4"/>
      <c r="R980" s="4"/>
      <c r="S980" s="4"/>
      <c r="T980" s="4"/>
      <c r="U980" s="4"/>
      <c r="V980" s="4"/>
      <c r="W980" s="4"/>
      <c r="X980" s="4"/>
      <c r="Y980" s="4"/>
    </row>
    <row r="981" ht="9.75" customHeight="1">
      <c r="A981" s="4"/>
      <c r="B981" s="4"/>
      <c r="C981" s="4"/>
      <c r="D981" s="165"/>
      <c r="E981" s="165"/>
      <c r="F981" s="165"/>
      <c r="G981" s="165"/>
      <c r="H981" s="165"/>
      <c r="I981" s="4"/>
      <c r="J981" s="4"/>
      <c r="K981" s="4"/>
      <c r="L981" s="4"/>
      <c r="M981" s="4"/>
      <c r="N981" s="4"/>
      <c r="O981" s="4"/>
      <c r="P981" s="4"/>
      <c r="Q981" s="4"/>
      <c r="R981" s="4"/>
      <c r="S981" s="4"/>
      <c r="T981" s="4"/>
      <c r="U981" s="4"/>
      <c r="V981" s="4"/>
      <c r="W981" s="4"/>
      <c r="X981" s="4"/>
      <c r="Y981" s="4"/>
    </row>
    <row r="982" ht="9.75" customHeight="1">
      <c r="A982" s="4"/>
      <c r="B982" s="4"/>
      <c r="C982" s="4"/>
      <c r="D982" s="165"/>
      <c r="E982" s="165"/>
      <c r="F982" s="165"/>
      <c r="G982" s="165"/>
      <c r="H982" s="165"/>
      <c r="I982" s="4"/>
      <c r="J982" s="4"/>
      <c r="K982" s="4"/>
      <c r="L982" s="4"/>
      <c r="M982" s="4"/>
      <c r="N982" s="4"/>
      <c r="O982" s="4"/>
      <c r="P982" s="4"/>
      <c r="Q982" s="4"/>
      <c r="R982" s="4"/>
      <c r="S982" s="4"/>
      <c r="T982" s="4"/>
      <c r="U982" s="4"/>
      <c r="V982" s="4"/>
      <c r="W982" s="4"/>
      <c r="X982" s="4"/>
      <c r="Y982" s="4"/>
    </row>
    <row r="983" ht="9.75" customHeight="1">
      <c r="A983" s="4"/>
      <c r="B983" s="4"/>
      <c r="C983" s="4"/>
      <c r="D983" s="165"/>
      <c r="E983" s="165"/>
      <c r="F983" s="165"/>
      <c r="G983" s="165"/>
      <c r="H983" s="165"/>
      <c r="I983" s="4"/>
      <c r="J983" s="4"/>
      <c r="K983" s="4"/>
      <c r="L983" s="4"/>
      <c r="M983" s="4"/>
      <c r="N983" s="4"/>
      <c r="O983" s="4"/>
      <c r="P983" s="4"/>
      <c r="Q983" s="4"/>
      <c r="R983" s="4"/>
      <c r="S983" s="4"/>
      <c r="T983" s="4"/>
      <c r="U983" s="4"/>
      <c r="V983" s="4"/>
      <c r="W983" s="4"/>
      <c r="X983" s="4"/>
      <c r="Y983" s="4"/>
    </row>
    <row r="984" ht="9.75" customHeight="1">
      <c r="A984" s="4"/>
      <c r="B984" s="4"/>
      <c r="C984" s="4"/>
      <c r="D984" s="165"/>
      <c r="E984" s="165"/>
      <c r="F984" s="165"/>
      <c r="G984" s="165"/>
      <c r="H984" s="165"/>
      <c r="I984" s="4"/>
      <c r="J984" s="4"/>
      <c r="K984" s="4"/>
      <c r="L984" s="4"/>
      <c r="M984" s="4"/>
      <c r="N984" s="4"/>
      <c r="O984" s="4"/>
      <c r="P984" s="4"/>
      <c r="Q984" s="4"/>
      <c r="R984" s="4"/>
      <c r="S984" s="4"/>
      <c r="T984" s="4"/>
      <c r="U984" s="4"/>
      <c r="V984" s="4"/>
      <c r="W984" s="4"/>
      <c r="X984" s="4"/>
      <c r="Y984" s="4"/>
    </row>
    <row r="985" ht="9.75" customHeight="1">
      <c r="A985" s="4"/>
      <c r="B985" s="4"/>
      <c r="C985" s="4"/>
      <c r="D985" s="165"/>
      <c r="E985" s="165"/>
      <c r="F985" s="165"/>
      <c r="G985" s="165"/>
      <c r="H985" s="165"/>
      <c r="I985" s="4"/>
      <c r="J985" s="4"/>
      <c r="K985" s="4"/>
      <c r="L985" s="4"/>
      <c r="M985" s="4"/>
      <c r="N985" s="4"/>
      <c r="O985" s="4"/>
      <c r="P985" s="4"/>
      <c r="Q985" s="4"/>
      <c r="R985" s="4"/>
      <c r="S985" s="4"/>
      <c r="T985" s="4"/>
      <c r="U985" s="4"/>
      <c r="V985" s="4"/>
      <c r="W985" s="4"/>
      <c r="X985" s="4"/>
      <c r="Y985" s="4"/>
    </row>
    <row r="986" ht="9.75" customHeight="1">
      <c r="A986" s="4"/>
      <c r="B986" s="4"/>
      <c r="C986" s="4"/>
      <c r="D986" s="165"/>
      <c r="E986" s="165"/>
      <c r="F986" s="165"/>
      <c r="G986" s="165"/>
      <c r="H986" s="165"/>
      <c r="I986" s="4"/>
      <c r="J986" s="4"/>
      <c r="K986" s="4"/>
      <c r="L986" s="4"/>
      <c r="M986" s="4"/>
      <c r="N986" s="4"/>
      <c r="O986" s="4"/>
      <c r="P986" s="4"/>
      <c r="Q986" s="4"/>
      <c r="R986" s="4"/>
      <c r="S986" s="4"/>
      <c r="T986" s="4"/>
      <c r="U986" s="4"/>
      <c r="V986" s="4"/>
      <c r="W986" s="4"/>
      <c r="X986" s="4"/>
      <c r="Y986" s="4"/>
    </row>
    <row r="987" ht="9.75" customHeight="1">
      <c r="A987" s="4"/>
      <c r="B987" s="4"/>
      <c r="C987" s="4"/>
      <c r="D987" s="165"/>
      <c r="E987" s="165"/>
      <c r="F987" s="165"/>
      <c r="G987" s="165"/>
      <c r="H987" s="165"/>
      <c r="I987" s="4"/>
      <c r="J987" s="4"/>
      <c r="K987" s="4"/>
      <c r="L987" s="4"/>
      <c r="M987" s="4"/>
      <c r="N987" s="4"/>
      <c r="O987" s="4"/>
      <c r="P987" s="4"/>
      <c r="Q987" s="4"/>
      <c r="R987" s="4"/>
      <c r="S987" s="4"/>
      <c r="T987" s="4"/>
      <c r="U987" s="4"/>
      <c r="V987" s="4"/>
      <c r="W987" s="4"/>
      <c r="X987" s="4"/>
      <c r="Y987" s="4"/>
    </row>
    <row r="988" ht="9.75" customHeight="1">
      <c r="A988" s="4"/>
      <c r="B988" s="4"/>
      <c r="C988" s="4"/>
      <c r="D988" s="165"/>
      <c r="E988" s="165"/>
      <c r="F988" s="165"/>
      <c r="G988" s="165"/>
      <c r="H988" s="165"/>
      <c r="I988" s="4"/>
      <c r="J988" s="4"/>
      <c r="K988" s="4"/>
      <c r="L988" s="4"/>
      <c r="M988" s="4"/>
      <c r="N988" s="4"/>
      <c r="O988" s="4"/>
      <c r="P988" s="4"/>
      <c r="Q988" s="4"/>
      <c r="R988" s="4"/>
      <c r="S988" s="4"/>
      <c r="T988" s="4"/>
      <c r="U988" s="4"/>
      <c r="V988" s="4"/>
      <c r="W988" s="4"/>
      <c r="X988" s="4"/>
      <c r="Y988" s="4"/>
    </row>
    <row r="989" ht="9.75" customHeight="1">
      <c r="A989" s="4"/>
      <c r="B989" s="4"/>
      <c r="C989" s="4"/>
      <c r="D989" s="165"/>
      <c r="E989" s="165"/>
      <c r="F989" s="165"/>
      <c r="G989" s="165"/>
      <c r="H989" s="165"/>
      <c r="I989" s="4"/>
      <c r="J989" s="4"/>
      <c r="K989" s="4"/>
      <c r="L989" s="4"/>
      <c r="M989" s="4"/>
      <c r="N989" s="4"/>
      <c r="O989" s="4"/>
      <c r="P989" s="4"/>
      <c r="Q989" s="4"/>
      <c r="R989" s="4"/>
      <c r="S989" s="4"/>
      <c r="T989" s="4"/>
      <c r="U989" s="4"/>
      <c r="V989" s="4"/>
      <c r="W989" s="4"/>
      <c r="X989" s="4"/>
      <c r="Y989" s="4"/>
    </row>
    <row r="990" ht="9.75" customHeight="1">
      <c r="A990" s="4"/>
      <c r="B990" s="4"/>
      <c r="C990" s="4"/>
      <c r="D990" s="165"/>
      <c r="E990" s="165"/>
      <c r="F990" s="165"/>
      <c r="G990" s="165"/>
      <c r="H990" s="165"/>
      <c r="I990" s="4"/>
      <c r="J990" s="4"/>
      <c r="K990" s="4"/>
      <c r="L990" s="4"/>
      <c r="M990" s="4"/>
      <c r="N990" s="4"/>
      <c r="O990" s="4"/>
      <c r="P990" s="4"/>
      <c r="Q990" s="4"/>
      <c r="R990" s="4"/>
      <c r="S990" s="4"/>
      <c r="T990" s="4"/>
      <c r="U990" s="4"/>
      <c r="V990" s="4"/>
      <c r="W990" s="4"/>
      <c r="X990" s="4"/>
      <c r="Y990" s="4"/>
    </row>
    <row r="991" ht="9.75" customHeight="1">
      <c r="A991" s="4"/>
      <c r="B991" s="4"/>
      <c r="C991" s="4"/>
      <c r="D991" s="165"/>
      <c r="E991" s="165"/>
      <c r="F991" s="165"/>
      <c r="G991" s="165"/>
      <c r="H991" s="165"/>
      <c r="I991" s="4"/>
      <c r="J991" s="4"/>
      <c r="K991" s="4"/>
      <c r="L991" s="4"/>
      <c r="M991" s="4"/>
      <c r="N991" s="4"/>
      <c r="O991" s="4"/>
      <c r="P991" s="4"/>
      <c r="Q991" s="4"/>
      <c r="R991" s="4"/>
      <c r="S991" s="4"/>
      <c r="T991" s="4"/>
      <c r="U991" s="4"/>
      <c r="V991" s="4"/>
      <c r="W991" s="4"/>
      <c r="X991" s="4"/>
      <c r="Y991" s="4"/>
    </row>
    <row r="992" ht="9.75" customHeight="1">
      <c r="A992" s="4"/>
      <c r="B992" s="4"/>
      <c r="C992" s="4"/>
      <c r="D992" s="165"/>
      <c r="E992" s="165"/>
      <c r="F992" s="165"/>
      <c r="G992" s="165"/>
      <c r="H992" s="165"/>
      <c r="I992" s="4"/>
      <c r="J992" s="4"/>
      <c r="K992" s="4"/>
      <c r="L992" s="4"/>
      <c r="M992" s="4"/>
      <c r="N992" s="4"/>
      <c r="O992" s="4"/>
      <c r="P992" s="4"/>
      <c r="Q992" s="4"/>
      <c r="R992" s="4"/>
      <c r="S992" s="4"/>
      <c r="T992" s="4"/>
      <c r="U992" s="4"/>
      <c r="V992" s="4"/>
      <c r="W992" s="4"/>
      <c r="X992" s="4"/>
      <c r="Y992" s="4"/>
    </row>
    <row r="993" ht="9.75" customHeight="1">
      <c r="A993" s="4"/>
      <c r="B993" s="4"/>
      <c r="C993" s="4"/>
      <c r="D993" s="165"/>
      <c r="E993" s="165"/>
      <c r="F993" s="165"/>
      <c r="G993" s="165"/>
      <c r="H993" s="165"/>
      <c r="I993" s="4"/>
      <c r="J993" s="4"/>
      <c r="K993" s="4"/>
      <c r="L993" s="4"/>
      <c r="M993" s="4"/>
      <c r="N993" s="4"/>
      <c r="O993" s="4"/>
      <c r="P993" s="4"/>
      <c r="Q993" s="4"/>
      <c r="R993" s="4"/>
      <c r="S993" s="4"/>
      <c r="T993" s="4"/>
      <c r="U993" s="4"/>
      <c r="V993" s="4"/>
      <c r="W993" s="4"/>
      <c r="X993" s="4"/>
      <c r="Y993" s="4"/>
    </row>
    <row r="994" ht="9.75" customHeight="1">
      <c r="A994" s="4"/>
      <c r="B994" s="4"/>
      <c r="C994" s="4"/>
      <c r="D994" s="165"/>
      <c r="E994" s="165"/>
      <c r="F994" s="165"/>
      <c r="G994" s="165"/>
      <c r="H994" s="165"/>
      <c r="I994" s="4"/>
      <c r="J994" s="4"/>
      <c r="K994" s="4"/>
      <c r="L994" s="4"/>
      <c r="M994" s="4"/>
      <c r="N994" s="4"/>
      <c r="O994" s="4"/>
      <c r="P994" s="4"/>
      <c r="Q994" s="4"/>
      <c r="R994" s="4"/>
      <c r="S994" s="4"/>
      <c r="T994" s="4"/>
      <c r="U994" s="4"/>
      <c r="V994" s="4"/>
      <c r="W994" s="4"/>
      <c r="X994" s="4"/>
      <c r="Y994" s="4"/>
    </row>
    <row r="995" ht="9.75" customHeight="1">
      <c r="A995" s="4"/>
      <c r="B995" s="4"/>
      <c r="C995" s="4"/>
      <c r="D995" s="165"/>
      <c r="E995" s="165"/>
      <c r="F995" s="165"/>
      <c r="G995" s="165"/>
      <c r="H995" s="165"/>
      <c r="I995" s="4"/>
      <c r="J995" s="4"/>
      <c r="K995" s="4"/>
      <c r="L995" s="4"/>
      <c r="M995" s="4"/>
      <c r="N995" s="4"/>
      <c r="O995" s="4"/>
      <c r="P995" s="4"/>
      <c r="Q995" s="4"/>
      <c r="R995" s="4"/>
      <c r="S995" s="4"/>
      <c r="T995" s="4"/>
      <c r="U995" s="4"/>
      <c r="V995" s="4"/>
      <c r="W995" s="4"/>
      <c r="X995" s="4"/>
      <c r="Y995" s="4"/>
    </row>
    <row r="996" ht="9.75" customHeight="1">
      <c r="A996" s="4"/>
      <c r="B996" s="4"/>
      <c r="C996" s="4"/>
      <c r="D996" s="165"/>
      <c r="E996" s="165"/>
      <c r="F996" s="165"/>
      <c r="G996" s="165"/>
      <c r="H996" s="165"/>
      <c r="I996" s="4"/>
      <c r="J996" s="4"/>
      <c r="K996" s="4"/>
      <c r="L996" s="4"/>
      <c r="M996" s="4"/>
      <c r="N996" s="4"/>
      <c r="O996" s="4"/>
      <c r="P996" s="4"/>
      <c r="Q996" s="4"/>
      <c r="R996" s="4"/>
      <c r="S996" s="4"/>
      <c r="T996" s="4"/>
      <c r="U996" s="4"/>
      <c r="V996" s="4"/>
      <c r="W996" s="4"/>
      <c r="X996" s="4"/>
      <c r="Y996" s="4"/>
    </row>
    <row r="997" ht="9.75" customHeight="1">
      <c r="A997" s="4"/>
      <c r="B997" s="4"/>
      <c r="C997" s="4"/>
      <c r="D997" s="165"/>
      <c r="E997" s="165"/>
      <c r="F997" s="165"/>
      <c r="G997" s="165"/>
      <c r="H997" s="165"/>
      <c r="I997" s="4"/>
      <c r="J997" s="4"/>
      <c r="K997" s="4"/>
      <c r="L997" s="4"/>
      <c r="M997" s="4"/>
      <c r="N997" s="4"/>
      <c r="O997" s="4"/>
      <c r="P997" s="4"/>
      <c r="Q997" s="4"/>
      <c r="R997" s="4"/>
      <c r="S997" s="4"/>
      <c r="T997" s="4"/>
      <c r="U997" s="4"/>
      <c r="V997" s="4"/>
      <c r="W997" s="4"/>
      <c r="X997" s="4"/>
      <c r="Y997" s="4"/>
    </row>
    <row r="998" ht="9.75" customHeight="1">
      <c r="A998" s="4"/>
      <c r="B998" s="4"/>
      <c r="C998" s="4"/>
      <c r="D998" s="165"/>
      <c r="E998" s="165"/>
      <c r="F998" s="165"/>
      <c r="G998" s="165"/>
      <c r="H998" s="165"/>
      <c r="I998" s="4"/>
      <c r="J998" s="4"/>
      <c r="K998" s="4"/>
      <c r="L998" s="4"/>
      <c r="M998" s="4"/>
      <c r="N998" s="4"/>
      <c r="O998" s="4"/>
      <c r="P998" s="4"/>
      <c r="Q998" s="4"/>
      <c r="R998" s="4"/>
      <c r="S998" s="4"/>
      <c r="T998" s="4"/>
      <c r="U998" s="4"/>
      <c r="V998" s="4"/>
      <c r="W998" s="4"/>
      <c r="X998" s="4"/>
      <c r="Y998" s="4"/>
    </row>
    <row r="999" ht="9.75" customHeight="1">
      <c r="A999" s="4"/>
      <c r="B999" s="4"/>
      <c r="C999" s="4"/>
      <c r="D999" s="165"/>
      <c r="E999" s="165"/>
      <c r="F999" s="165"/>
      <c r="G999" s="165"/>
      <c r="H999" s="165"/>
      <c r="I999" s="4"/>
      <c r="J999" s="4"/>
      <c r="K999" s="4"/>
      <c r="L999" s="4"/>
      <c r="M999" s="4"/>
      <c r="N999" s="4"/>
      <c r="O999" s="4"/>
      <c r="P999" s="4"/>
      <c r="Q999" s="4"/>
      <c r="R999" s="4"/>
      <c r="S999" s="4"/>
      <c r="T999" s="4"/>
      <c r="U999" s="4"/>
      <c r="V999" s="4"/>
      <c r="W999" s="4"/>
      <c r="X999" s="4"/>
      <c r="Y999" s="4"/>
    </row>
    <row r="1000" ht="9.75" customHeight="1">
      <c r="A1000" s="4"/>
      <c r="B1000" s="4"/>
      <c r="C1000" s="4"/>
      <c r="D1000" s="165"/>
      <c r="E1000" s="165"/>
      <c r="F1000" s="165"/>
      <c r="G1000" s="165"/>
      <c r="H1000" s="165"/>
      <c r="I1000" s="4"/>
      <c r="J1000" s="4"/>
      <c r="K1000" s="4"/>
      <c r="L1000" s="4"/>
      <c r="M1000" s="4"/>
      <c r="N1000" s="4"/>
      <c r="O1000" s="4"/>
      <c r="P1000" s="4"/>
      <c r="Q1000" s="4"/>
      <c r="R1000" s="4"/>
      <c r="S1000" s="4"/>
      <c r="T1000" s="4"/>
      <c r="U1000" s="4"/>
      <c r="V1000" s="4"/>
      <c r="W1000" s="4"/>
      <c r="X1000" s="4"/>
      <c r="Y1000" s="4"/>
    </row>
  </sheetData>
  <mergeCells count="7">
    <mergeCell ref="H4:H5"/>
    <mergeCell ref="I4:I5"/>
    <mergeCell ref="A1:G1"/>
    <mergeCell ref="C11:E11"/>
    <mergeCell ref="A14:G14"/>
    <mergeCell ref="B485:G485"/>
    <mergeCell ref="B503:G503"/>
  </mergeCells>
  <printOptions/>
  <pageMargins bottom="0.75" footer="0.0" header="0.0" left="0.7" right="0.7" top="0.75"/>
  <pageSetup paperSize="9" orientation="portrait"/>
  <headerFooter>
    <oddFooter>&amp;L_x000D_#000000 Data sensitivity - Restricted</oddFooter>
  </headerFooter>
  <rowBreaks count="4" manualBreakCount="4">
    <brk id="209" man="1"/>
    <brk id="370" man="1"/>
    <brk id="484" man="1"/>
    <brk id="636" man="1"/>
  </rowBreaks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 outlineLevelCol="1" outlineLevelRow="1"/>
  <cols>
    <col customWidth="1" min="1" max="1" width="4.86"/>
    <col customWidth="1" min="2" max="2" width="38.29"/>
    <col customWidth="1" min="3" max="6" width="11.43"/>
    <col customWidth="1" min="7" max="7" width="8.86"/>
    <col customWidth="1" min="8" max="9" width="9.43" outlineLevel="1"/>
    <col customWidth="1" min="10" max="10" width="0.71"/>
    <col customWidth="1" min="11" max="12" width="9.43" outlineLevel="1"/>
    <col customWidth="1" min="13" max="26" width="11.43"/>
  </cols>
  <sheetData>
    <row r="1" ht="23.25" customHeight="1">
      <c r="A1" s="4"/>
      <c r="B1" s="212" t="s">
        <v>688</v>
      </c>
      <c r="C1" s="213"/>
      <c r="D1" s="213"/>
      <c r="E1" s="213"/>
      <c r="F1" s="214"/>
      <c r="G1" s="215" t="s">
        <v>689</v>
      </c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</row>
    <row r="2" ht="30.0" customHeight="1">
      <c r="A2" s="4"/>
      <c r="B2" s="216" t="s">
        <v>690</v>
      </c>
      <c r="C2" s="217" t="s">
        <v>691</v>
      </c>
      <c r="D2" s="218"/>
      <c r="E2" s="219"/>
      <c r="F2" s="220">
        <f>SUM(F9:F523)/2</f>
        <v>3746951.5</v>
      </c>
      <c r="G2" s="221">
        <f>SUM(G9:G523)</f>
        <v>3746951.5</v>
      </c>
      <c r="H2" s="222" t="s">
        <v>692</v>
      </c>
      <c r="I2" s="223"/>
      <c r="J2" s="4"/>
      <c r="K2" s="222" t="s">
        <v>693</v>
      </c>
      <c r="L2" s="223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</row>
    <row r="3" ht="12.75" customHeight="1" outlineLevel="1">
      <c r="A3" s="4"/>
      <c r="B3" s="224" t="s">
        <v>694</v>
      </c>
      <c r="C3" s="225" t="s">
        <v>10</v>
      </c>
      <c r="D3" s="58"/>
      <c r="E3" s="219">
        <v>0.0</v>
      </c>
      <c r="F3" s="226">
        <f t="shared" ref="F3:F6" si="1">F2+(E3*F2)</f>
        <v>3746951.5</v>
      </c>
      <c r="G3" s="227"/>
      <c r="H3" s="228"/>
      <c r="I3" s="229"/>
      <c r="J3" s="4"/>
      <c r="K3" s="228"/>
      <c r="L3" s="229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</row>
    <row r="4" ht="24.0" customHeight="1" outlineLevel="1">
      <c r="A4" s="4"/>
      <c r="B4" s="230"/>
      <c r="C4" s="225" t="s">
        <v>11</v>
      </c>
      <c r="D4" s="58"/>
      <c r="E4" s="219">
        <v>0.0</v>
      </c>
      <c r="F4" s="226">
        <f t="shared" si="1"/>
        <v>3746951.5</v>
      </c>
      <c r="G4" s="227"/>
      <c r="H4" s="228"/>
      <c r="I4" s="229"/>
      <c r="J4" s="4"/>
      <c r="K4" s="228"/>
      <c r="L4" s="229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</row>
    <row r="5" ht="36.75" customHeight="1" outlineLevel="1">
      <c r="A5" s="4"/>
      <c r="B5" s="230" t="s">
        <v>695</v>
      </c>
      <c r="C5" s="225" t="s">
        <v>696</v>
      </c>
      <c r="D5" s="58"/>
      <c r="E5" s="219">
        <v>0.03</v>
      </c>
      <c r="F5" s="226">
        <f t="shared" si="1"/>
        <v>3859360.045</v>
      </c>
      <c r="G5" s="227">
        <v>8.0</v>
      </c>
      <c r="H5" s="228"/>
      <c r="I5" s="229"/>
      <c r="J5" s="4"/>
      <c r="K5" s="228"/>
      <c r="L5" s="229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</row>
    <row r="6" ht="24.0" customHeight="1" outlineLevel="1">
      <c r="A6" s="4"/>
      <c r="B6" s="230" t="s">
        <v>697</v>
      </c>
      <c r="C6" s="231" t="s">
        <v>698</v>
      </c>
      <c r="D6" s="232"/>
      <c r="E6" s="233"/>
      <c r="F6" s="234">
        <f t="shared" si="1"/>
        <v>3859360.045</v>
      </c>
      <c r="G6" s="227">
        <v>5.0</v>
      </c>
      <c r="H6" s="228"/>
      <c r="I6" s="229"/>
      <c r="J6" s="4"/>
      <c r="K6" s="228"/>
      <c r="L6" s="229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</row>
    <row r="7" ht="9.75" customHeight="1" outlineLevel="1">
      <c r="A7" s="4"/>
      <c r="B7" s="230" t="s">
        <v>699</v>
      </c>
      <c r="C7" s="235" t="s">
        <v>700</v>
      </c>
      <c r="D7" s="236"/>
      <c r="E7" s="237"/>
      <c r="F7" s="238">
        <f>F6</f>
        <v>3859360.045</v>
      </c>
      <c r="G7" s="227"/>
      <c r="H7" s="228"/>
      <c r="I7" s="229"/>
      <c r="J7" s="4"/>
      <c r="K7" s="228"/>
      <c r="L7" s="229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</row>
    <row r="8" ht="9.75" customHeight="1" outlineLevel="1">
      <c r="A8" s="4"/>
      <c r="B8" s="239" t="s">
        <v>701</v>
      </c>
      <c r="C8" s="240" t="s">
        <v>702</v>
      </c>
      <c r="D8" s="241"/>
      <c r="E8" s="242"/>
      <c r="F8" s="243">
        <f>F7/D10</f>
        <v>538.2649993</v>
      </c>
      <c r="G8" s="244"/>
      <c r="H8" s="228"/>
      <c r="I8" s="229"/>
      <c r="J8" s="4"/>
      <c r="K8" s="228"/>
      <c r="L8" s="229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</row>
    <row r="9" ht="9.75" customHeight="1">
      <c r="A9" s="4"/>
      <c r="B9" s="245"/>
      <c r="C9" s="246"/>
      <c r="D9" s="247"/>
      <c r="E9" s="246"/>
      <c r="F9" s="248"/>
      <c r="G9" s="244"/>
      <c r="H9" s="249">
        <v>43525.0</v>
      </c>
      <c r="I9" s="250">
        <v>92000.0</v>
      </c>
      <c r="J9" s="4"/>
      <c r="K9" s="249">
        <v>44256.0</v>
      </c>
      <c r="L9" s="250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</row>
    <row r="10" ht="9.75" customHeight="1">
      <c r="A10" s="4"/>
      <c r="B10" s="251" t="s">
        <v>703</v>
      </c>
      <c r="C10" s="236"/>
      <c r="D10" s="252">
        <v>7170.0</v>
      </c>
      <c r="E10" s="246"/>
      <c r="F10" s="248"/>
      <c r="G10" s="244"/>
      <c r="H10" s="253" t="s">
        <v>704</v>
      </c>
      <c r="I10" s="254"/>
      <c r="J10" s="4"/>
      <c r="K10" s="253" t="s">
        <v>704</v>
      </c>
      <c r="L10" s="25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</row>
    <row r="11" ht="20.25" customHeight="1">
      <c r="A11" s="4"/>
      <c r="B11" s="255"/>
      <c r="C11" s="256"/>
      <c r="D11" s="256"/>
      <c r="E11" s="256"/>
      <c r="F11" s="257"/>
      <c r="G11" s="244"/>
      <c r="H11" s="258">
        <v>16000.0</v>
      </c>
      <c r="I11" s="259"/>
      <c r="J11" s="4"/>
      <c r="K11" s="258">
        <f>6860+310</f>
        <v>7170</v>
      </c>
      <c r="L11" s="259">
        <f>L9/K11</f>
        <v>0</v>
      </c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</row>
    <row r="12" ht="25.5" customHeight="1">
      <c r="A12" s="260" t="s">
        <v>705</v>
      </c>
      <c r="B12" s="261" t="s">
        <v>706</v>
      </c>
      <c r="C12" s="46" t="s">
        <v>17</v>
      </c>
      <c r="D12" s="46" t="s">
        <v>707</v>
      </c>
      <c r="E12" s="262" t="s">
        <v>708</v>
      </c>
      <c r="F12" s="263" t="s">
        <v>709</v>
      </c>
      <c r="G12" s="264"/>
      <c r="H12" s="265" t="s">
        <v>710</v>
      </c>
      <c r="I12" s="266" t="s">
        <v>711</v>
      </c>
      <c r="J12" s="4"/>
      <c r="K12" s="265" t="s">
        <v>710</v>
      </c>
      <c r="L12" s="266" t="s">
        <v>711</v>
      </c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</row>
    <row r="13" ht="9.75" customHeight="1">
      <c r="A13" s="267"/>
      <c r="B13" s="268" t="s">
        <v>712</v>
      </c>
      <c r="C13" s="269"/>
      <c r="D13" s="269"/>
      <c r="E13" s="270"/>
      <c r="F13" s="271"/>
      <c r="G13" s="272">
        <f t="shared" ref="G13:G55" si="2">IF($B13="Sous total",$F13,0)</f>
        <v>0</v>
      </c>
      <c r="H13" s="273"/>
      <c r="I13" s="274"/>
      <c r="J13" s="4"/>
      <c r="K13" s="273"/>
      <c r="L13" s="275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</row>
    <row r="14" ht="9.75" customHeight="1">
      <c r="A14" s="276" t="str">
        <f>B14</f>
        <v>Etudes, Plans, DOE</v>
      </c>
      <c r="B14" s="194" t="s">
        <v>25</v>
      </c>
      <c r="C14" s="277"/>
      <c r="D14" s="277"/>
      <c r="E14" s="278"/>
      <c r="F14" s="279"/>
      <c r="G14" s="272">
        <f t="shared" si="2"/>
        <v>0</v>
      </c>
      <c r="H14" s="273"/>
      <c r="I14" s="274"/>
      <c r="J14" s="4"/>
      <c r="K14" s="273"/>
      <c r="L14" s="275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</row>
    <row r="15" ht="9.75" customHeight="1">
      <c r="A15" s="280"/>
      <c r="B15" s="146" t="s">
        <v>26</v>
      </c>
      <c r="C15" s="281" t="s">
        <v>27</v>
      </c>
      <c r="D15" s="282">
        <f>D10</f>
        <v>7170</v>
      </c>
      <c r="E15" s="283">
        <v>0.8</v>
      </c>
      <c r="F15" s="284">
        <f t="shared" ref="F15:F16" si="3">D15*E15</f>
        <v>5736</v>
      </c>
      <c r="G15" s="272">
        <f t="shared" si="2"/>
        <v>0</v>
      </c>
      <c r="H15" s="273"/>
      <c r="I15" s="274"/>
      <c r="J15" s="4"/>
      <c r="K15" s="285"/>
      <c r="L15" s="275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</row>
    <row r="16" ht="9.75" customHeight="1">
      <c r="A16" s="280"/>
      <c r="B16" s="115"/>
      <c r="C16" s="277"/>
      <c r="D16" s="277"/>
      <c r="E16" s="278"/>
      <c r="F16" s="279">
        <f t="shared" si="3"/>
        <v>0</v>
      </c>
      <c r="G16" s="272">
        <f t="shared" si="2"/>
        <v>0</v>
      </c>
      <c r="H16" s="273"/>
      <c r="I16" s="274"/>
      <c r="J16" s="4"/>
      <c r="K16" s="273"/>
      <c r="L16" s="275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</row>
    <row r="17" ht="9.75" customHeight="1">
      <c r="A17" s="286" t="str">
        <f t="shared" ref="A17:A18" si="4">B17</f>
        <v>Sous total</v>
      </c>
      <c r="B17" s="287" t="s">
        <v>713</v>
      </c>
      <c r="C17" s="288"/>
      <c r="D17" s="288"/>
      <c r="E17" s="289"/>
      <c r="F17" s="290">
        <f>SUM(F15:F16)</f>
        <v>5736</v>
      </c>
      <c r="G17" s="272">
        <f t="shared" si="2"/>
        <v>5736</v>
      </c>
      <c r="H17" s="273"/>
      <c r="I17" s="274"/>
      <c r="J17" s="4"/>
      <c r="K17" s="285">
        <v>83901.0</v>
      </c>
      <c r="L17" s="275">
        <f>K17/$K$11</f>
        <v>11.70167364</v>
      </c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</row>
    <row r="18" ht="9.75" customHeight="1">
      <c r="A18" s="276" t="str">
        <f t="shared" si="4"/>
        <v>Essais, mise en service</v>
      </c>
      <c r="B18" s="194" t="s">
        <v>29</v>
      </c>
      <c r="C18" s="277"/>
      <c r="D18" s="277"/>
      <c r="E18" s="278"/>
      <c r="F18" s="279"/>
      <c r="G18" s="272">
        <f t="shared" si="2"/>
        <v>0</v>
      </c>
      <c r="H18" s="273"/>
      <c r="I18" s="274"/>
      <c r="J18" s="4"/>
      <c r="K18" s="273"/>
      <c r="L18" s="275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</row>
    <row r="19" ht="9.75" customHeight="1">
      <c r="A19" s="280"/>
      <c r="B19" s="146" t="s">
        <v>30</v>
      </c>
      <c r="C19" s="281" t="s">
        <v>27</v>
      </c>
      <c r="D19" s="282">
        <f>D10</f>
        <v>7170</v>
      </c>
      <c r="E19" s="283">
        <v>0.8</v>
      </c>
      <c r="F19" s="284">
        <f t="shared" ref="F19:F22" si="5">D19*E19</f>
        <v>5736</v>
      </c>
      <c r="G19" s="272">
        <f t="shared" si="2"/>
        <v>0</v>
      </c>
      <c r="H19" s="273"/>
      <c r="I19" s="274"/>
      <c r="J19" s="4"/>
      <c r="K19" s="273"/>
      <c r="L19" s="275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</row>
    <row r="20" ht="9.75" customHeight="1">
      <c r="A20" s="280"/>
      <c r="B20" s="115" t="s">
        <v>33</v>
      </c>
      <c r="C20" s="277" t="s">
        <v>34</v>
      </c>
      <c r="D20" s="277"/>
      <c r="E20" s="278">
        <v>180.0</v>
      </c>
      <c r="F20" s="284">
        <f t="shared" si="5"/>
        <v>0</v>
      </c>
      <c r="G20" s="272">
        <f t="shared" si="2"/>
        <v>0</v>
      </c>
      <c r="H20" s="273"/>
      <c r="I20" s="274"/>
      <c r="J20" s="4"/>
      <c r="K20" s="273"/>
      <c r="L20" s="275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</row>
    <row r="21" ht="9.75" customHeight="1">
      <c r="A21" s="280"/>
      <c r="B21" s="115" t="s">
        <v>714</v>
      </c>
      <c r="C21" s="277" t="s">
        <v>32</v>
      </c>
      <c r="D21" s="277"/>
      <c r="E21" s="278">
        <v>1250.0</v>
      </c>
      <c r="F21" s="284">
        <f t="shared" si="5"/>
        <v>0</v>
      </c>
      <c r="G21" s="272">
        <f t="shared" si="2"/>
        <v>0</v>
      </c>
      <c r="H21" s="273"/>
      <c r="I21" s="274"/>
      <c r="J21" s="4"/>
      <c r="K21" s="273"/>
      <c r="L21" s="275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</row>
    <row r="22" ht="9.75" customHeight="1">
      <c r="A22" s="280"/>
      <c r="B22" s="115" t="s">
        <v>715</v>
      </c>
      <c r="C22" s="277" t="s">
        <v>32</v>
      </c>
      <c r="D22" s="277"/>
      <c r="E22" s="278">
        <v>500.0</v>
      </c>
      <c r="F22" s="284">
        <f t="shared" si="5"/>
        <v>0</v>
      </c>
      <c r="G22" s="272">
        <f t="shared" si="2"/>
        <v>0</v>
      </c>
      <c r="H22" s="273"/>
      <c r="I22" s="274"/>
      <c r="J22" s="4"/>
      <c r="K22" s="273"/>
      <c r="L22" s="275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</row>
    <row r="23" ht="9.75" customHeight="1">
      <c r="A23" s="286" t="str">
        <f t="shared" ref="A23:A24" si="6">B23</f>
        <v>Sous total</v>
      </c>
      <c r="B23" s="287" t="s">
        <v>713</v>
      </c>
      <c r="C23" s="288"/>
      <c r="D23" s="288"/>
      <c r="E23" s="289"/>
      <c r="F23" s="290">
        <f>SUM(F19:F22)</f>
        <v>5736</v>
      </c>
      <c r="G23" s="272">
        <f t="shared" si="2"/>
        <v>5736</v>
      </c>
      <c r="H23" s="273"/>
      <c r="I23" s="274"/>
      <c r="J23" s="4"/>
      <c r="K23" s="285">
        <v>11706.0</v>
      </c>
      <c r="L23" s="275">
        <f>K23/$K$11</f>
        <v>1.632635983</v>
      </c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</row>
    <row r="24" ht="9.75" customHeight="1">
      <c r="A24" s="276" t="str">
        <f t="shared" si="6"/>
        <v>Installation de chantier</v>
      </c>
      <c r="B24" s="194" t="s">
        <v>38</v>
      </c>
      <c r="C24" s="277"/>
      <c r="D24" s="277"/>
      <c r="E24" s="278"/>
      <c r="F24" s="279"/>
      <c r="G24" s="272">
        <f t="shared" si="2"/>
        <v>0</v>
      </c>
      <c r="H24" s="273"/>
      <c r="I24" s="274"/>
      <c r="J24" s="4"/>
      <c r="K24" s="273"/>
      <c r="L24" s="275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</row>
    <row r="25" ht="9.75" customHeight="1">
      <c r="A25" s="280"/>
      <c r="B25" s="146" t="s">
        <v>39</v>
      </c>
      <c r="C25" s="281" t="s">
        <v>27</v>
      </c>
      <c r="D25" s="282">
        <f>$D$10</f>
        <v>7170</v>
      </c>
      <c r="E25" s="283">
        <v>0.5</v>
      </c>
      <c r="F25" s="284">
        <f t="shared" ref="F25:F30" si="7">D25*E25</f>
        <v>3585</v>
      </c>
      <c r="G25" s="272">
        <f t="shared" si="2"/>
        <v>0</v>
      </c>
      <c r="H25" s="273">
        <v>43525.0</v>
      </c>
      <c r="I25" s="274">
        <v>0.5</v>
      </c>
      <c r="J25" s="4"/>
      <c r="K25" s="285">
        <v>65215.0</v>
      </c>
      <c r="L25" s="275">
        <f>K25/$K$11</f>
        <v>9.09553696</v>
      </c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</row>
    <row r="26" ht="9.75" customHeight="1">
      <c r="A26" s="280"/>
      <c r="B26" s="291"/>
      <c r="C26" s="277"/>
      <c r="D26" s="292"/>
      <c r="E26" s="278"/>
      <c r="F26" s="284">
        <f t="shared" si="7"/>
        <v>0</v>
      </c>
      <c r="G26" s="272">
        <f t="shared" si="2"/>
        <v>0</v>
      </c>
      <c r="H26" s="273"/>
      <c r="I26" s="274"/>
      <c r="J26" s="4"/>
      <c r="K26" s="273"/>
      <c r="L26" s="275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</row>
    <row r="27" ht="9.75" customHeight="1">
      <c r="A27" s="280"/>
      <c r="B27" s="146" t="s">
        <v>246</v>
      </c>
      <c r="C27" s="281" t="s">
        <v>496</v>
      </c>
      <c r="D27" s="282"/>
      <c r="E27" s="283"/>
      <c r="F27" s="284">
        <f t="shared" si="7"/>
        <v>0</v>
      </c>
      <c r="G27" s="272">
        <f t="shared" si="2"/>
        <v>0</v>
      </c>
      <c r="H27" s="273"/>
      <c r="I27" s="274"/>
      <c r="J27" s="4"/>
      <c r="K27" s="273"/>
      <c r="L27" s="275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</row>
    <row r="28" ht="9.75" customHeight="1">
      <c r="A28" s="280"/>
      <c r="B28" s="291" t="s">
        <v>716</v>
      </c>
      <c r="C28" s="277" t="s">
        <v>34</v>
      </c>
      <c r="D28" s="277"/>
      <c r="E28" s="278"/>
      <c r="F28" s="284">
        <f t="shared" si="7"/>
        <v>0</v>
      </c>
      <c r="G28" s="272">
        <f t="shared" si="2"/>
        <v>0</v>
      </c>
      <c r="H28" s="273"/>
      <c r="I28" s="274"/>
      <c r="J28" s="4"/>
      <c r="K28" s="273"/>
      <c r="L28" s="275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</row>
    <row r="29" ht="9.75" customHeight="1">
      <c r="A29" s="280"/>
      <c r="B29" s="115" t="s">
        <v>41</v>
      </c>
      <c r="C29" s="277" t="s">
        <v>34</v>
      </c>
      <c r="D29" s="277"/>
      <c r="E29" s="278"/>
      <c r="F29" s="284">
        <f t="shared" si="7"/>
        <v>0</v>
      </c>
      <c r="G29" s="272">
        <f t="shared" si="2"/>
        <v>0</v>
      </c>
      <c r="H29" s="273"/>
      <c r="I29" s="274"/>
      <c r="J29" s="4"/>
      <c r="K29" s="273"/>
      <c r="L29" s="275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</row>
    <row r="30" ht="9.75" customHeight="1">
      <c r="A30" s="280"/>
      <c r="B30" s="115" t="s">
        <v>42</v>
      </c>
      <c r="C30" s="277" t="s">
        <v>32</v>
      </c>
      <c r="D30" s="277"/>
      <c r="E30" s="278"/>
      <c r="F30" s="284">
        <f t="shared" si="7"/>
        <v>0</v>
      </c>
      <c r="G30" s="272">
        <f t="shared" si="2"/>
        <v>0</v>
      </c>
      <c r="H30" s="273"/>
      <c r="I30" s="274"/>
      <c r="J30" s="4"/>
      <c r="K30" s="273"/>
      <c r="L30" s="275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</row>
    <row r="31" ht="9.75" customHeight="1">
      <c r="A31" s="286" t="str">
        <f t="shared" ref="A31:A32" si="8">B31</f>
        <v>Sous total</v>
      </c>
      <c r="B31" s="287" t="s">
        <v>713</v>
      </c>
      <c r="C31" s="288"/>
      <c r="D31" s="288"/>
      <c r="E31" s="289"/>
      <c r="F31" s="290">
        <f>SUM(F25:F30)</f>
        <v>3585</v>
      </c>
      <c r="G31" s="272">
        <f t="shared" si="2"/>
        <v>3585</v>
      </c>
      <c r="H31" s="273"/>
      <c r="I31" s="274"/>
      <c r="J31" s="4"/>
      <c r="K31" s="285"/>
      <c r="L31" s="275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</row>
    <row r="32" ht="9.75" customHeight="1">
      <c r="A32" s="276" t="str">
        <f t="shared" si="8"/>
        <v>Installation existantes</v>
      </c>
      <c r="B32" s="194" t="s">
        <v>44</v>
      </c>
      <c r="C32" s="277"/>
      <c r="D32" s="277"/>
      <c r="E32" s="278"/>
      <c r="F32" s="279"/>
      <c r="G32" s="272">
        <f t="shared" si="2"/>
        <v>0</v>
      </c>
      <c r="H32" s="273"/>
      <c r="I32" s="274"/>
      <c r="J32" s="4"/>
      <c r="K32" s="273"/>
      <c r="L32" s="275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</row>
    <row r="33" ht="9.75" customHeight="1">
      <c r="A33" s="280"/>
      <c r="B33" s="146" t="s">
        <v>39</v>
      </c>
      <c r="C33" s="281" t="s">
        <v>27</v>
      </c>
      <c r="D33" s="282"/>
      <c r="E33" s="283">
        <v>1.0</v>
      </c>
      <c r="F33" s="284">
        <f t="shared" ref="F33:F37" si="9">D33*E33</f>
        <v>0</v>
      </c>
      <c r="G33" s="272">
        <f t="shared" si="2"/>
        <v>0</v>
      </c>
      <c r="H33" s="273"/>
      <c r="I33" s="274"/>
      <c r="J33" s="4"/>
      <c r="K33" s="273"/>
      <c r="L33" s="275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</row>
    <row r="34" ht="9.75" customHeight="1">
      <c r="A34" s="280"/>
      <c r="B34" s="291"/>
      <c r="C34" s="277"/>
      <c r="D34" s="292"/>
      <c r="E34" s="278"/>
      <c r="F34" s="284">
        <f t="shared" si="9"/>
        <v>0</v>
      </c>
      <c r="G34" s="272">
        <f t="shared" si="2"/>
        <v>0</v>
      </c>
      <c r="H34" s="273"/>
      <c r="I34" s="274"/>
      <c r="J34" s="4"/>
      <c r="K34" s="273"/>
      <c r="L34" s="275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</row>
    <row r="35" ht="9.75" customHeight="1">
      <c r="A35" s="280"/>
      <c r="B35" s="146" t="s">
        <v>246</v>
      </c>
      <c r="C35" s="281" t="s">
        <v>496</v>
      </c>
      <c r="D35" s="282"/>
      <c r="E35" s="283"/>
      <c r="F35" s="284">
        <f t="shared" si="9"/>
        <v>0</v>
      </c>
      <c r="G35" s="272">
        <f t="shared" si="2"/>
        <v>0</v>
      </c>
      <c r="H35" s="273"/>
      <c r="I35" s="274"/>
      <c r="J35" s="4"/>
      <c r="K35" s="273"/>
      <c r="L35" s="275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</row>
    <row r="36" ht="9.75" customHeight="1">
      <c r="A36" s="280"/>
      <c r="B36" s="115" t="s">
        <v>45</v>
      </c>
      <c r="C36" s="277" t="s">
        <v>32</v>
      </c>
      <c r="D36" s="277"/>
      <c r="E36" s="278"/>
      <c r="F36" s="284">
        <f t="shared" si="9"/>
        <v>0</v>
      </c>
      <c r="G36" s="272">
        <f t="shared" si="2"/>
        <v>0</v>
      </c>
      <c r="H36" s="273"/>
      <c r="I36" s="274"/>
      <c r="J36" s="4"/>
      <c r="K36" s="273"/>
      <c r="L36" s="275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</row>
    <row r="37" ht="9.75" customHeight="1">
      <c r="A37" s="280"/>
      <c r="B37" s="115" t="s">
        <v>46</v>
      </c>
      <c r="C37" s="277" t="s">
        <v>32</v>
      </c>
      <c r="D37" s="277"/>
      <c r="E37" s="278"/>
      <c r="F37" s="284">
        <f t="shared" si="9"/>
        <v>0</v>
      </c>
      <c r="G37" s="272">
        <f t="shared" si="2"/>
        <v>0</v>
      </c>
      <c r="H37" s="273"/>
      <c r="I37" s="274"/>
      <c r="J37" s="4"/>
      <c r="K37" s="273"/>
      <c r="L37" s="275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</row>
    <row r="38" ht="9.75" customHeight="1">
      <c r="A38" s="286" t="str">
        <f t="shared" ref="A38:A39" si="10">B38</f>
        <v>Sous total</v>
      </c>
      <c r="B38" s="287" t="s">
        <v>713</v>
      </c>
      <c r="C38" s="288"/>
      <c r="D38" s="288"/>
      <c r="E38" s="289"/>
      <c r="F38" s="290">
        <f>SUM(F33:F37)</f>
        <v>0</v>
      </c>
      <c r="G38" s="272">
        <f t="shared" si="2"/>
        <v>0</v>
      </c>
      <c r="H38" s="273"/>
      <c r="I38" s="274"/>
      <c r="J38" s="4"/>
      <c r="K38" s="273"/>
      <c r="L38" s="275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</row>
    <row r="39" ht="9.75" customHeight="1">
      <c r="A39" s="276" t="str">
        <f t="shared" si="10"/>
        <v>Réseau de terre</v>
      </c>
      <c r="B39" s="194" t="s">
        <v>49</v>
      </c>
      <c r="C39" s="277"/>
      <c r="D39" s="277"/>
      <c r="E39" s="278"/>
      <c r="F39" s="279"/>
      <c r="G39" s="272">
        <f t="shared" si="2"/>
        <v>0</v>
      </c>
      <c r="H39" s="273"/>
      <c r="I39" s="274"/>
      <c r="J39" s="4"/>
      <c r="K39" s="273"/>
      <c r="L39" s="275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</row>
    <row r="40" ht="9.75" customHeight="1">
      <c r="A40" s="280"/>
      <c r="B40" s="146" t="s">
        <v>39</v>
      </c>
      <c r="C40" s="281" t="s">
        <v>27</v>
      </c>
      <c r="D40" s="282">
        <f>$D$10</f>
        <v>7170</v>
      </c>
      <c r="E40" s="283">
        <v>1.5</v>
      </c>
      <c r="F40" s="284">
        <f t="shared" ref="F40:F46" si="11">D40*E40</f>
        <v>10755</v>
      </c>
      <c r="G40" s="272">
        <f t="shared" si="2"/>
        <v>0</v>
      </c>
      <c r="H40" s="273">
        <v>43525.0</v>
      </c>
      <c r="I40" s="274">
        <v>1.5</v>
      </c>
      <c r="J40" s="4"/>
      <c r="K40" s="285">
        <v>18687.0</v>
      </c>
      <c r="L40" s="275">
        <f>K40/$K$11</f>
        <v>2.606276151</v>
      </c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</row>
    <row r="41" ht="9.75" customHeight="1">
      <c r="A41" s="280"/>
      <c r="B41" s="291"/>
      <c r="C41" s="277"/>
      <c r="D41" s="292"/>
      <c r="E41" s="278"/>
      <c r="F41" s="284">
        <f t="shared" si="11"/>
        <v>0</v>
      </c>
      <c r="G41" s="272">
        <f t="shared" si="2"/>
        <v>0</v>
      </c>
      <c r="H41" s="273"/>
      <c r="I41" s="274"/>
      <c r="J41" s="4"/>
      <c r="K41" s="273"/>
      <c r="L41" s="275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</row>
    <row r="42" ht="9.75" customHeight="1">
      <c r="A42" s="280"/>
      <c r="B42" s="146" t="s">
        <v>246</v>
      </c>
      <c r="C42" s="281" t="s">
        <v>496</v>
      </c>
      <c r="D42" s="282"/>
      <c r="E42" s="283"/>
      <c r="F42" s="284">
        <f t="shared" si="11"/>
        <v>0</v>
      </c>
      <c r="G42" s="272">
        <f t="shared" si="2"/>
        <v>0</v>
      </c>
      <c r="H42" s="273"/>
      <c r="I42" s="274"/>
      <c r="J42" s="4"/>
      <c r="K42" s="273"/>
      <c r="L42" s="275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</row>
    <row r="43" ht="9.75" customHeight="1">
      <c r="A43" s="280"/>
      <c r="B43" s="115" t="s">
        <v>717</v>
      </c>
      <c r="C43" s="277" t="s">
        <v>51</v>
      </c>
      <c r="D43" s="277"/>
      <c r="E43" s="278"/>
      <c r="F43" s="284">
        <f t="shared" si="11"/>
        <v>0</v>
      </c>
      <c r="G43" s="272">
        <f t="shared" si="2"/>
        <v>0</v>
      </c>
      <c r="H43" s="273"/>
      <c r="I43" s="274"/>
      <c r="J43" s="4"/>
      <c r="K43" s="273"/>
      <c r="L43" s="275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</row>
    <row r="44" ht="9.75" customHeight="1">
      <c r="A44" s="280"/>
      <c r="B44" s="115" t="s">
        <v>718</v>
      </c>
      <c r="C44" s="277" t="s">
        <v>34</v>
      </c>
      <c r="D44" s="277"/>
      <c r="E44" s="278"/>
      <c r="F44" s="284">
        <f t="shared" si="11"/>
        <v>0</v>
      </c>
      <c r="G44" s="272">
        <f t="shared" si="2"/>
        <v>0</v>
      </c>
      <c r="H44" s="273"/>
      <c r="I44" s="274"/>
      <c r="J44" s="4"/>
      <c r="K44" s="273"/>
      <c r="L44" s="275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</row>
    <row r="45" ht="9.75" customHeight="1">
      <c r="A45" s="280"/>
      <c r="B45" s="115" t="s">
        <v>719</v>
      </c>
      <c r="C45" s="277" t="s">
        <v>32</v>
      </c>
      <c r="D45" s="277"/>
      <c r="E45" s="278"/>
      <c r="F45" s="284">
        <f t="shared" si="11"/>
        <v>0</v>
      </c>
      <c r="G45" s="272">
        <f t="shared" si="2"/>
        <v>0</v>
      </c>
      <c r="H45" s="273"/>
      <c r="I45" s="274"/>
      <c r="J45" s="4"/>
      <c r="K45" s="273"/>
      <c r="L45" s="275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</row>
    <row r="46" ht="9.75" customHeight="1">
      <c r="A46" s="280"/>
      <c r="B46" s="115" t="s">
        <v>720</v>
      </c>
      <c r="C46" s="277" t="s">
        <v>32</v>
      </c>
      <c r="D46" s="277"/>
      <c r="E46" s="278"/>
      <c r="F46" s="284">
        <f t="shared" si="11"/>
        <v>0</v>
      </c>
      <c r="G46" s="272">
        <f t="shared" si="2"/>
        <v>0</v>
      </c>
      <c r="H46" s="273"/>
      <c r="I46" s="274"/>
      <c r="J46" s="4"/>
      <c r="K46" s="273"/>
      <c r="L46" s="275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</row>
    <row r="47" ht="9.75" customHeight="1">
      <c r="A47" s="286" t="str">
        <f t="shared" ref="A47:A48" si="12">B47</f>
        <v>Sous total</v>
      </c>
      <c r="B47" s="287" t="s">
        <v>713</v>
      </c>
      <c r="C47" s="288"/>
      <c r="D47" s="288"/>
      <c r="E47" s="289"/>
      <c r="F47" s="290">
        <f>SUM(F40:F46)</f>
        <v>10755</v>
      </c>
      <c r="G47" s="272">
        <f t="shared" si="2"/>
        <v>10755</v>
      </c>
      <c r="H47" s="273"/>
      <c r="I47" s="274"/>
      <c r="J47" s="4"/>
      <c r="K47" s="273"/>
      <c r="L47" s="275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</row>
    <row r="48" ht="9.75" customHeight="1">
      <c r="A48" s="276" t="str">
        <f t="shared" si="12"/>
        <v>Poste de transformation</v>
      </c>
      <c r="B48" s="194" t="s">
        <v>63</v>
      </c>
      <c r="C48" s="277"/>
      <c r="D48" s="277"/>
      <c r="E48" s="278"/>
      <c r="F48" s="279"/>
      <c r="G48" s="272">
        <f t="shared" si="2"/>
        <v>0</v>
      </c>
      <c r="H48" s="273"/>
      <c r="I48" s="274"/>
      <c r="J48" s="4"/>
      <c r="K48" s="273"/>
      <c r="L48" s="275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</row>
    <row r="49" ht="9.75" customHeight="1">
      <c r="A49" s="280"/>
      <c r="B49" s="110" t="s">
        <v>64</v>
      </c>
      <c r="C49" s="293"/>
      <c r="D49" s="294"/>
      <c r="E49" s="295"/>
      <c r="F49" s="296"/>
      <c r="G49" s="272">
        <f t="shared" si="2"/>
        <v>0</v>
      </c>
      <c r="H49" s="273"/>
      <c r="I49" s="274"/>
      <c r="J49" s="4"/>
      <c r="K49" s="273"/>
      <c r="L49" s="275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</row>
    <row r="50" ht="9.75" customHeight="1">
      <c r="A50" s="280"/>
      <c r="B50" s="115" t="s">
        <v>65</v>
      </c>
      <c r="C50" s="277" t="s">
        <v>34</v>
      </c>
      <c r="D50" s="277"/>
      <c r="E50" s="278">
        <v>65300.0</v>
      </c>
      <c r="F50" s="284">
        <f t="shared" ref="F50:F55" si="13">D50*E50</f>
        <v>0</v>
      </c>
      <c r="G50" s="272">
        <f t="shared" si="2"/>
        <v>0</v>
      </c>
      <c r="H50" s="273"/>
      <c r="I50" s="274"/>
      <c r="J50" s="4"/>
      <c r="K50" s="273"/>
      <c r="L50" s="275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</row>
    <row r="51" ht="9.75" customHeight="1">
      <c r="A51" s="280"/>
      <c r="B51" s="115" t="s">
        <v>66</v>
      </c>
      <c r="C51" s="277" t="s">
        <v>34</v>
      </c>
      <c r="D51" s="277"/>
      <c r="E51" s="278">
        <v>80100.0</v>
      </c>
      <c r="F51" s="284">
        <f t="shared" si="13"/>
        <v>0</v>
      </c>
      <c r="G51" s="272">
        <f t="shared" si="2"/>
        <v>0</v>
      </c>
      <c r="H51" s="273"/>
      <c r="I51" s="274"/>
      <c r="J51" s="4"/>
      <c r="K51" s="273"/>
      <c r="L51" s="275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</row>
    <row r="52" ht="9.75" customHeight="1">
      <c r="A52" s="280"/>
      <c r="B52" s="115" t="s">
        <v>67</v>
      </c>
      <c r="C52" s="277" t="s">
        <v>34</v>
      </c>
      <c r="D52" s="277"/>
      <c r="E52" s="278">
        <v>94300.0</v>
      </c>
      <c r="F52" s="284">
        <f t="shared" si="13"/>
        <v>0</v>
      </c>
      <c r="G52" s="272">
        <f t="shared" si="2"/>
        <v>0</v>
      </c>
      <c r="H52" s="273"/>
      <c r="I52" s="274"/>
      <c r="J52" s="4"/>
      <c r="K52" s="273"/>
      <c r="L52" s="275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</row>
    <row r="53" ht="9.75" customHeight="1">
      <c r="A53" s="280"/>
      <c r="B53" s="115" t="s">
        <v>68</v>
      </c>
      <c r="C53" s="277" t="s">
        <v>34</v>
      </c>
      <c r="D53" s="277"/>
      <c r="E53" s="278">
        <v>121000.0</v>
      </c>
      <c r="F53" s="284">
        <f t="shared" si="13"/>
        <v>0</v>
      </c>
      <c r="G53" s="272">
        <f t="shared" si="2"/>
        <v>0</v>
      </c>
      <c r="H53" s="273"/>
      <c r="I53" s="274"/>
      <c r="J53" s="4"/>
      <c r="K53" s="273"/>
      <c r="L53" s="275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</row>
    <row r="54" ht="9.75" customHeight="1">
      <c r="A54" s="280"/>
      <c r="B54" s="115" t="s">
        <v>721</v>
      </c>
      <c r="C54" s="277" t="s">
        <v>34</v>
      </c>
      <c r="D54" s="277"/>
      <c r="E54" s="278">
        <v>104000.0</v>
      </c>
      <c r="F54" s="284">
        <f t="shared" si="13"/>
        <v>0</v>
      </c>
      <c r="G54" s="272">
        <f t="shared" si="2"/>
        <v>0</v>
      </c>
      <c r="H54" s="273"/>
      <c r="I54" s="274"/>
      <c r="J54" s="4"/>
      <c r="K54" s="285">
        <v>104000.0</v>
      </c>
      <c r="L54" s="275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</row>
    <row r="55" ht="9.75" customHeight="1">
      <c r="A55" s="280"/>
      <c r="B55" s="115" t="s">
        <v>69</v>
      </c>
      <c r="C55" s="277" t="s">
        <v>34</v>
      </c>
      <c r="D55" s="277"/>
      <c r="E55" s="278">
        <v>124500.0</v>
      </c>
      <c r="F55" s="284">
        <f t="shared" si="13"/>
        <v>0</v>
      </c>
      <c r="G55" s="272">
        <f t="shared" si="2"/>
        <v>0</v>
      </c>
      <c r="H55" s="273"/>
      <c r="I55" s="274"/>
      <c r="J55" s="4"/>
      <c r="K55" s="273"/>
      <c r="L55" s="275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</row>
    <row r="56" ht="9.75" customHeight="1">
      <c r="A56" s="280"/>
      <c r="B56" s="115"/>
      <c r="C56" s="277"/>
      <c r="D56" s="277"/>
      <c r="E56" s="278"/>
      <c r="F56" s="284"/>
      <c r="G56" s="272"/>
      <c r="H56" s="273"/>
      <c r="I56" s="274"/>
      <c r="J56" s="4"/>
      <c r="K56" s="273"/>
      <c r="L56" s="275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</row>
    <row r="57" ht="9.75" customHeight="1">
      <c r="A57" s="280"/>
      <c r="B57" s="115" t="s">
        <v>70</v>
      </c>
      <c r="C57" s="277" t="s">
        <v>34</v>
      </c>
      <c r="D57" s="277"/>
      <c r="E57" s="278">
        <v>169400.0</v>
      </c>
      <c r="F57" s="284">
        <f t="shared" ref="F57:F58" si="14">D57*E57</f>
        <v>0</v>
      </c>
      <c r="G57" s="272">
        <f t="shared" ref="G57:G95" si="15">IF($B57="Sous total",$F57,0)</f>
        <v>0</v>
      </c>
      <c r="H57" s="273"/>
      <c r="I57" s="274"/>
      <c r="J57" s="4"/>
      <c r="K57" s="273"/>
      <c r="L57" s="275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</row>
    <row r="58" ht="9.75" customHeight="1">
      <c r="A58" s="280"/>
      <c r="B58" s="115"/>
      <c r="C58" s="277"/>
      <c r="D58" s="277"/>
      <c r="E58" s="278"/>
      <c r="F58" s="284">
        <f t="shared" si="14"/>
        <v>0</v>
      </c>
      <c r="G58" s="272">
        <f t="shared" si="15"/>
        <v>0</v>
      </c>
      <c r="H58" s="273"/>
      <c r="I58" s="274"/>
      <c r="J58" s="4"/>
      <c r="K58" s="273"/>
      <c r="L58" s="275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</row>
    <row r="59" ht="9.75" customHeight="1">
      <c r="A59" s="280"/>
      <c r="B59" s="110" t="s">
        <v>71</v>
      </c>
      <c r="C59" s="293"/>
      <c r="D59" s="294"/>
      <c r="E59" s="295"/>
      <c r="F59" s="296"/>
      <c r="G59" s="272">
        <f t="shared" si="15"/>
        <v>0</v>
      </c>
      <c r="H59" s="273"/>
      <c r="I59" s="274"/>
      <c r="J59" s="4"/>
      <c r="K59" s="273"/>
      <c r="L59" s="275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</row>
    <row r="60" ht="9.75" customHeight="1">
      <c r="A60" s="280"/>
      <c r="B60" s="115" t="s">
        <v>74</v>
      </c>
      <c r="C60" s="277" t="s">
        <v>34</v>
      </c>
      <c r="D60" s="277">
        <v>1.0</v>
      </c>
      <c r="E60" s="278">
        <v>60000.0</v>
      </c>
      <c r="F60" s="284">
        <f t="shared" ref="F60:F66" si="16">D60*E60</f>
        <v>60000</v>
      </c>
      <c r="G60" s="272">
        <f t="shared" si="15"/>
        <v>0</v>
      </c>
      <c r="H60" s="273"/>
      <c r="I60" s="274"/>
      <c r="J60" s="4"/>
      <c r="K60" s="285"/>
      <c r="L60" s="275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</row>
    <row r="61" ht="9.75" customHeight="1">
      <c r="A61" s="280"/>
      <c r="B61" s="115" t="s">
        <v>722</v>
      </c>
      <c r="C61" s="277" t="s">
        <v>34</v>
      </c>
      <c r="D61" s="277"/>
      <c r="E61" s="278">
        <v>60000.0</v>
      </c>
      <c r="F61" s="284">
        <f t="shared" si="16"/>
        <v>0</v>
      </c>
      <c r="G61" s="272">
        <f t="shared" si="15"/>
        <v>0</v>
      </c>
      <c r="H61" s="273"/>
      <c r="I61" s="274"/>
      <c r="J61" s="4"/>
      <c r="K61" s="285">
        <v>184218.0</v>
      </c>
      <c r="L61" s="275">
        <f>K61/$K$11</f>
        <v>25.69288703</v>
      </c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</row>
    <row r="62" ht="9.75" customHeight="1">
      <c r="A62" s="280"/>
      <c r="B62" s="115" t="s">
        <v>75</v>
      </c>
      <c r="C62" s="277" t="s">
        <v>34</v>
      </c>
      <c r="D62" s="277"/>
      <c r="E62" s="278">
        <v>40500.0</v>
      </c>
      <c r="F62" s="284">
        <f t="shared" si="16"/>
        <v>0</v>
      </c>
      <c r="G62" s="272">
        <f t="shared" si="15"/>
        <v>0</v>
      </c>
      <c r="H62" s="273"/>
      <c r="I62" s="274"/>
      <c r="J62" s="4"/>
      <c r="K62" s="273"/>
      <c r="L62" s="275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</row>
    <row r="63" ht="9.75" customHeight="1">
      <c r="A63" s="280"/>
      <c r="B63" s="115" t="s">
        <v>76</v>
      </c>
      <c r="C63" s="277" t="s">
        <v>32</v>
      </c>
      <c r="D63" s="277"/>
      <c r="E63" s="278">
        <v>60000.0</v>
      </c>
      <c r="F63" s="284">
        <f t="shared" si="16"/>
        <v>0</v>
      </c>
      <c r="G63" s="272">
        <f t="shared" si="15"/>
        <v>0</v>
      </c>
      <c r="H63" s="273"/>
      <c r="I63" s="274"/>
      <c r="J63" s="4"/>
      <c r="K63" s="273"/>
      <c r="L63" s="275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</row>
    <row r="64" ht="9.75" customHeight="1">
      <c r="A64" s="280"/>
      <c r="B64" s="115" t="s">
        <v>77</v>
      </c>
      <c r="C64" s="277" t="s">
        <v>32</v>
      </c>
      <c r="D64" s="277"/>
      <c r="E64" s="278">
        <v>46000.0</v>
      </c>
      <c r="F64" s="284">
        <f t="shared" si="16"/>
        <v>0</v>
      </c>
      <c r="G64" s="272">
        <f t="shared" si="15"/>
        <v>0</v>
      </c>
      <c r="H64" s="273"/>
      <c r="I64" s="274"/>
      <c r="J64" s="4"/>
      <c r="K64" s="273"/>
      <c r="L64" s="275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</row>
    <row r="65" ht="9.75" customHeight="1">
      <c r="A65" s="280"/>
      <c r="B65" s="115" t="s">
        <v>78</v>
      </c>
      <c r="C65" s="277" t="s">
        <v>34</v>
      </c>
      <c r="D65" s="277"/>
      <c r="E65" s="278">
        <v>33000.0</v>
      </c>
      <c r="F65" s="284">
        <f t="shared" si="16"/>
        <v>0</v>
      </c>
      <c r="G65" s="272">
        <f t="shared" si="15"/>
        <v>0</v>
      </c>
      <c r="H65" s="273"/>
      <c r="I65" s="274"/>
      <c r="J65" s="4"/>
      <c r="K65" s="273"/>
      <c r="L65" s="275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</row>
    <row r="66" ht="9.75" customHeight="1">
      <c r="A66" s="280"/>
      <c r="B66" s="115"/>
      <c r="C66" s="277"/>
      <c r="D66" s="277"/>
      <c r="E66" s="278"/>
      <c r="F66" s="284">
        <f t="shared" si="16"/>
        <v>0</v>
      </c>
      <c r="G66" s="272">
        <f t="shared" si="15"/>
        <v>0</v>
      </c>
      <c r="H66" s="273"/>
      <c r="I66" s="274"/>
      <c r="J66" s="4"/>
      <c r="K66" s="273"/>
      <c r="L66" s="275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</row>
    <row r="67" ht="9.75" customHeight="1">
      <c r="A67" s="280"/>
      <c r="B67" s="110" t="s">
        <v>79</v>
      </c>
      <c r="C67" s="293"/>
      <c r="D67" s="294"/>
      <c r="E67" s="295"/>
      <c r="F67" s="296"/>
      <c r="G67" s="272">
        <f t="shared" si="15"/>
        <v>0</v>
      </c>
      <c r="H67" s="273"/>
      <c r="I67" s="274"/>
      <c r="J67" s="4"/>
      <c r="K67" s="273"/>
      <c r="L67" s="275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</row>
    <row r="68" ht="9.75" customHeight="1">
      <c r="A68" s="280"/>
      <c r="B68" s="115" t="s">
        <v>80</v>
      </c>
      <c r="C68" s="277" t="s">
        <v>34</v>
      </c>
      <c r="D68" s="277"/>
      <c r="E68" s="278">
        <v>15100.0</v>
      </c>
      <c r="F68" s="284">
        <f t="shared" ref="F68:F75" si="17">D68*E68</f>
        <v>0</v>
      </c>
      <c r="G68" s="272">
        <f t="shared" si="15"/>
        <v>0</v>
      </c>
      <c r="H68" s="273"/>
      <c r="I68" s="274"/>
      <c r="J68" s="4"/>
      <c r="K68" s="273"/>
      <c r="L68" s="275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</row>
    <row r="69" ht="9.75" customHeight="1">
      <c r="A69" s="280"/>
      <c r="B69" s="115" t="s">
        <v>81</v>
      </c>
      <c r="C69" s="277" t="s">
        <v>34</v>
      </c>
      <c r="D69" s="277"/>
      <c r="E69" s="278">
        <v>14000.0</v>
      </c>
      <c r="F69" s="284">
        <f t="shared" si="17"/>
        <v>0</v>
      </c>
      <c r="G69" s="272">
        <f t="shared" si="15"/>
        <v>0</v>
      </c>
      <c r="H69" s="273"/>
      <c r="I69" s="274"/>
      <c r="J69" s="4"/>
      <c r="K69" s="273"/>
      <c r="L69" s="275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</row>
    <row r="70" ht="9.75" customHeight="1">
      <c r="A70" s="280"/>
      <c r="B70" s="115" t="s">
        <v>83</v>
      </c>
      <c r="C70" s="277" t="s">
        <v>34</v>
      </c>
      <c r="D70" s="277"/>
      <c r="E70" s="278">
        <v>17300.0</v>
      </c>
      <c r="F70" s="284">
        <f t="shared" si="17"/>
        <v>0</v>
      </c>
      <c r="G70" s="272">
        <f t="shared" si="15"/>
        <v>0</v>
      </c>
      <c r="H70" s="273">
        <v>43525.0</v>
      </c>
      <c r="I70" s="274">
        <v>23000.0</v>
      </c>
      <c r="J70" s="4"/>
      <c r="K70" s="273"/>
      <c r="L70" s="275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</row>
    <row r="71" ht="9.75" customHeight="1">
      <c r="A71" s="280"/>
      <c r="B71" s="115" t="s">
        <v>84</v>
      </c>
      <c r="C71" s="277" t="s">
        <v>34</v>
      </c>
      <c r="D71" s="277"/>
      <c r="E71" s="278">
        <v>18400.0</v>
      </c>
      <c r="F71" s="284">
        <f t="shared" si="17"/>
        <v>0</v>
      </c>
      <c r="G71" s="272">
        <f t="shared" si="15"/>
        <v>0</v>
      </c>
      <c r="H71" s="273"/>
      <c r="I71" s="274"/>
      <c r="J71" s="4"/>
      <c r="K71" s="273"/>
      <c r="L71" s="275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</row>
    <row r="72" ht="9.75" customHeight="1">
      <c r="A72" s="280"/>
      <c r="B72" s="115" t="s">
        <v>85</v>
      </c>
      <c r="C72" s="277" t="s">
        <v>34</v>
      </c>
      <c r="D72" s="277"/>
      <c r="E72" s="278">
        <v>25000.0</v>
      </c>
      <c r="F72" s="284">
        <f t="shared" si="17"/>
        <v>0</v>
      </c>
      <c r="G72" s="272">
        <f t="shared" si="15"/>
        <v>0</v>
      </c>
      <c r="H72" s="273"/>
      <c r="I72" s="274"/>
      <c r="J72" s="4"/>
      <c r="K72" s="273"/>
      <c r="L72" s="275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</row>
    <row r="73" ht="9.75" customHeight="1">
      <c r="A73" s="280"/>
      <c r="B73" s="115" t="s">
        <v>86</v>
      </c>
      <c r="C73" s="277" t="s">
        <v>34</v>
      </c>
      <c r="D73" s="277">
        <v>3.0</v>
      </c>
      <c r="E73" s="278">
        <v>27000.0</v>
      </c>
      <c r="F73" s="284">
        <f t="shared" si="17"/>
        <v>81000</v>
      </c>
      <c r="G73" s="272">
        <f t="shared" si="15"/>
        <v>0</v>
      </c>
      <c r="H73" s="273">
        <v>43525.0</v>
      </c>
      <c r="I73" s="274">
        <v>31500.0</v>
      </c>
      <c r="J73" s="4"/>
      <c r="K73" s="273"/>
      <c r="L73" s="275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</row>
    <row r="74" ht="9.75" customHeight="1">
      <c r="A74" s="280"/>
      <c r="B74" s="115" t="s">
        <v>87</v>
      </c>
      <c r="C74" s="277" t="s">
        <v>34</v>
      </c>
      <c r="D74" s="277"/>
      <c r="E74" s="278">
        <v>40000.0</v>
      </c>
      <c r="F74" s="284">
        <f t="shared" si="17"/>
        <v>0</v>
      </c>
      <c r="G74" s="272">
        <f t="shared" si="15"/>
        <v>0</v>
      </c>
      <c r="H74" s="273"/>
      <c r="I74" s="274"/>
      <c r="J74" s="4"/>
      <c r="K74" s="273"/>
      <c r="L74" s="275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</row>
    <row r="75" ht="9.75" customHeight="1">
      <c r="A75" s="280"/>
      <c r="B75" s="115"/>
      <c r="C75" s="277"/>
      <c r="D75" s="277"/>
      <c r="E75" s="278"/>
      <c r="F75" s="284">
        <f t="shared" si="17"/>
        <v>0</v>
      </c>
      <c r="G75" s="272">
        <f t="shared" si="15"/>
        <v>0</v>
      </c>
      <c r="H75" s="273"/>
      <c r="I75" s="274"/>
      <c r="J75" s="4"/>
      <c r="K75" s="273"/>
      <c r="L75" s="275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</row>
    <row r="76" ht="9.75" customHeight="1">
      <c r="A76" s="280"/>
      <c r="B76" s="110" t="s">
        <v>89</v>
      </c>
      <c r="C76" s="293"/>
      <c r="D76" s="294"/>
      <c r="E76" s="295"/>
      <c r="F76" s="296"/>
      <c r="G76" s="272">
        <f t="shared" si="15"/>
        <v>0</v>
      </c>
      <c r="H76" s="273"/>
      <c r="I76" s="274"/>
      <c r="J76" s="4"/>
      <c r="K76" s="273"/>
      <c r="L76" s="275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</row>
    <row r="77" ht="9.75" customHeight="1">
      <c r="A77" s="280"/>
      <c r="B77" s="115" t="s">
        <v>90</v>
      </c>
      <c r="C77" s="277" t="s">
        <v>34</v>
      </c>
      <c r="D77" s="277">
        <v>2.0</v>
      </c>
      <c r="E77" s="278">
        <v>11000.0</v>
      </c>
      <c r="F77" s="284">
        <f t="shared" ref="F77:F84" si="18">D77*E77</f>
        <v>22000</v>
      </c>
      <c r="G77" s="272">
        <f t="shared" si="15"/>
        <v>0</v>
      </c>
      <c r="H77" s="273">
        <v>43525.0</v>
      </c>
      <c r="I77" s="274">
        <v>8000.0</v>
      </c>
      <c r="J77" s="4"/>
      <c r="K77" s="273"/>
      <c r="L77" s="275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</row>
    <row r="78" ht="9.75" customHeight="1">
      <c r="A78" s="280"/>
      <c r="B78" s="115" t="s">
        <v>91</v>
      </c>
      <c r="C78" s="277" t="s">
        <v>34</v>
      </c>
      <c r="D78" s="277">
        <v>3.0</v>
      </c>
      <c r="E78" s="278">
        <v>10000.0</v>
      </c>
      <c r="F78" s="284">
        <f t="shared" si="18"/>
        <v>30000</v>
      </c>
      <c r="G78" s="272">
        <f t="shared" si="15"/>
        <v>0</v>
      </c>
      <c r="H78" s="273">
        <v>43525.0</v>
      </c>
      <c r="I78" s="274">
        <v>8000.0</v>
      </c>
      <c r="J78" s="4"/>
      <c r="K78" s="273"/>
      <c r="L78" s="275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</row>
    <row r="79" ht="9.75" customHeight="1">
      <c r="A79" s="280"/>
      <c r="B79" s="115" t="s">
        <v>92</v>
      </c>
      <c r="C79" s="277" t="s">
        <v>34</v>
      </c>
      <c r="D79" s="277"/>
      <c r="E79" s="278">
        <v>35000.0</v>
      </c>
      <c r="F79" s="284">
        <f t="shared" si="18"/>
        <v>0</v>
      </c>
      <c r="G79" s="272">
        <f t="shared" si="15"/>
        <v>0</v>
      </c>
      <c r="H79" s="273"/>
      <c r="I79" s="274"/>
      <c r="J79" s="4"/>
      <c r="K79" s="273"/>
      <c r="L79" s="275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</row>
    <row r="80" ht="9.75" customHeight="1">
      <c r="A80" s="280"/>
      <c r="B80" s="115" t="s">
        <v>93</v>
      </c>
      <c r="C80" s="277" t="s">
        <v>34</v>
      </c>
      <c r="D80" s="277"/>
      <c r="E80" s="278">
        <v>26000.0</v>
      </c>
      <c r="F80" s="284">
        <f t="shared" si="18"/>
        <v>0</v>
      </c>
      <c r="G80" s="272">
        <f t="shared" si="15"/>
        <v>0</v>
      </c>
      <c r="H80" s="273"/>
      <c r="I80" s="274"/>
      <c r="J80" s="4"/>
      <c r="K80" s="273"/>
      <c r="L80" s="275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</row>
    <row r="81" ht="9.75" customHeight="1">
      <c r="A81" s="280"/>
      <c r="B81" s="115" t="s">
        <v>94</v>
      </c>
      <c r="C81" s="277" t="s">
        <v>34</v>
      </c>
      <c r="D81" s="277"/>
      <c r="E81" s="278">
        <v>8000.0</v>
      </c>
      <c r="F81" s="284">
        <f t="shared" si="18"/>
        <v>0</v>
      </c>
      <c r="G81" s="272">
        <f t="shared" si="15"/>
        <v>0</v>
      </c>
      <c r="H81" s="273"/>
      <c r="I81" s="274"/>
      <c r="J81" s="4"/>
      <c r="K81" s="273"/>
      <c r="L81" s="275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</row>
    <row r="82" ht="9.75" customHeight="1">
      <c r="A82" s="280"/>
      <c r="B82" s="115" t="s">
        <v>95</v>
      </c>
      <c r="C82" s="277" t="s">
        <v>34</v>
      </c>
      <c r="D82" s="277"/>
      <c r="E82" s="278">
        <v>11000.0</v>
      </c>
      <c r="F82" s="284">
        <f t="shared" si="18"/>
        <v>0</v>
      </c>
      <c r="G82" s="272">
        <f t="shared" si="15"/>
        <v>0</v>
      </c>
      <c r="H82" s="273"/>
      <c r="I82" s="274"/>
      <c r="J82" s="4"/>
      <c r="K82" s="273"/>
      <c r="L82" s="275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</row>
    <row r="83" ht="9.75" customHeight="1">
      <c r="A83" s="280"/>
      <c r="B83" s="115" t="s">
        <v>96</v>
      </c>
      <c r="C83" s="277" t="s">
        <v>34</v>
      </c>
      <c r="D83" s="277"/>
      <c r="E83" s="278">
        <v>25000.0</v>
      </c>
      <c r="F83" s="284">
        <f t="shared" si="18"/>
        <v>0</v>
      </c>
      <c r="G83" s="272">
        <f t="shared" si="15"/>
        <v>0</v>
      </c>
      <c r="H83" s="273"/>
      <c r="I83" s="274"/>
      <c r="J83" s="4"/>
      <c r="K83" s="273"/>
      <c r="L83" s="275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</row>
    <row r="84" ht="9.75" customHeight="1">
      <c r="A84" s="280"/>
      <c r="B84" s="115"/>
      <c r="C84" s="277"/>
      <c r="D84" s="277"/>
      <c r="E84" s="278"/>
      <c r="F84" s="284">
        <f t="shared" si="18"/>
        <v>0</v>
      </c>
      <c r="G84" s="272">
        <f t="shared" si="15"/>
        <v>0</v>
      </c>
      <c r="H84" s="273"/>
      <c r="I84" s="274"/>
      <c r="J84" s="4"/>
      <c r="K84" s="273"/>
      <c r="L84" s="275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</row>
    <row r="85" ht="9.75" customHeight="1">
      <c r="A85" s="280"/>
      <c r="B85" s="110" t="s">
        <v>97</v>
      </c>
      <c r="C85" s="293"/>
      <c r="D85" s="294"/>
      <c r="E85" s="295"/>
      <c r="F85" s="296"/>
      <c r="G85" s="272">
        <f t="shared" si="15"/>
        <v>0</v>
      </c>
      <c r="H85" s="273"/>
      <c r="I85" s="274"/>
      <c r="J85" s="4"/>
      <c r="K85" s="273"/>
      <c r="L85" s="275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</row>
    <row r="86" ht="9.75" customHeight="1">
      <c r="A86" s="280"/>
      <c r="B86" s="115" t="s">
        <v>98</v>
      </c>
      <c r="C86" s="277" t="s">
        <v>34</v>
      </c>
      <c r="D86" s="277"/>
      <c r="E86" s="278">
        <v>2500.0</v>
      </c>
      <c r="F86" s="284">
        <f t="shared" ref="F86:F95" si="19">D86*E86</f>
        <v>0</v>
      </c>
      <c r="G86" s="272">
        <f t="shared" si="15"/>
        <v>0</v>
      </c>
      <c r="H86" s="273"/>
      <c r="I86" s="274"/>
      <c r="J86" s="4"/>
      <c r="K86" s="273"/>
      <c r="L86" s="275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</row>
    <row r="87" ht="9.75" customHeight="1">
      <c r="A87" s="280"/>
      <c r="B87" s="115" t="s">
        <v>99</v>
      </c>
      <c r="C87" s="277" t="s">
        <v>34</v>
      </c>
      <c r="D87" s="277"/>
      <c r="E87" s="278">
        <v>700.0</v>
      </c>
      <c r="F87" s="284">
        <f t="shared" si="19"/>
        <v>0</v>
      </c>
      <c r="G87" s="272">
        <f t="shared" si="15"/>
        <v>0</v>
      </c>
      <c r="H87" s="273"/>
      <c r="I87" s="274"/>
      <c r="J87" s="4"/>
      <c r="K87" s="273"/>
      <c r="L87" s="275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</row>
    <row r="88" ht="9.75" customHeight="1">
      <c r="A88" s="280"/>
      <c r="B88" s="115" t="s">
        <v>100</v>
      </c>
      <c r="C88" s="277" t="s">
        <v>51</v>
      </c>
      <c r="D88" s="277"/>
      <c r="E88" s="278">
        <v>150.0</v>
      </c>
      <c r="F88" s="284">
        <f t="shared" si="19"/>
        <v>0</v>
      </c>
      <c r="G88" s="272">
        <f t="shared" si="15"/>
        <v>0</v>
      </c>
      <c r="H88" s="273"/>
      <c r="I88" s="274"/>
      <c r="J88" s="4"/>
      <c r="K88" s="273"/>
      <c r="L88" s="275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</row>
    <row r="89" ht="9.75" customHeight="1">
      <c r="A89" s="280"/>
      <c r="B89" s="115" t="s">
        <v>723</v>
      </c>
      <c r="C89" s="277" t="s">
        <v>51</v>
      </c>
      <c r="D89" s="277"/>
      <c r="E89" s="278">
        <v>165.0</v>
      </c>
      <c r="F89" s="284">
        <f t="shared" si="19"/>
        <v>0</v>
      </c>
      <c r="G89" s="272">
        <f t="shared" si="15"/>
        <v>0</v>
      </c>
      <c r="H89" s="273">
        <v>43525.0</v>
      </c>
      <c r="I89" s="274">
        <v>165.0</v>
      </c>
      <c r="J89" s="4"/>
      <c r="K89" s="273"/>
      <c r="L89" s="275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</row>
    <row r="90" ht="9.75" customHeight="1">
      <c r="A90" s="280"/>
      <c r="B90" s="115" t="s">
        <v>724</v>
      </c>
      <c r="C90" s="277" t="s">
        <v>51</v>
      </c>
      <c r="D90" s="277">
        <v>30.0</v>
      </c>
      <c r="E90" s="278">
        <v>680.0</v>
      </c>
      <c r="F90" s="284">
        <f t="shared" si="19"/>
        <v>20400</v>
      </c>
      <c r="G90" s="272">
        <f t="shared" si="15"/>
        <v>0</v>
      </c>
      <c r="H90" s="273">
        <v>43525.0</v>
      </c>
      <c r="I90" s="274">
        <v>680.0</v>
      </c>
      <c r="J90" s="4"/>
      <c r="K90" s="273"/>
      <c r="L90" s="275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</row>
    <row r="91" ht="9.75" customHeight="1">
      <c r="A91" s="280"/>
      <c r="B91" s="115" t="s">
        <v>101</v>
      </c>
      <c r="C91" s="277" t="s">
        <v>32</v>
      </c>
      <c r="D91" s="277"/>
      <c r="E91" s="278">
        <v>2484.0</v>
      </c>
      <c r="F91" s="284">
        <f t="shared" si="19"/>
        <v>0</v>
      </c>
      <c r="G91" s="272">
        <f t="shared" si="15"/>
        <v>0</v>
      </c>
      <c r="H91" s="273"/>
      <c r="I91" s="274"/>
      <c r="J91" s="4"/>
      <c r="K91" s="273"/>
      <c r="L91" s="275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</row>
    <row r="92" ht="9.75" customHeight="1">
      <c r="A92" s="280"/>
      <c r="B92" s="115" t="s">
        <v>102</v>
      </c>
      <c r="C92" s="277" t="s">
        <v>32</v>
      </c>
      <c r="D92" s="277"/>
      <c r="E92" s="278">
        <v>2700.0</v>
      </c>
      <c r="F92" s="284">
        <f t="shared" si="19"/>
        <v>0</v>
      </c>
      <c r="G92" s="272">
        <f t="shared" si="15"/>
        <v>0</v>
      </c>
      <c r="H92" s="273"/>
      <c r="I92" s="274"/>
      <c r="J92" s="4"/>
      <c r="K92" s="273"/>
      <c r="L92" s="275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</row>
    <row r="93" ht="9.75" customHeight="1">
      <c r="A93" s="280"/>
      <c r="B93" s="115" t="s">
        <v>103</v>
      </c>
      <c r="C93" s="277" t="s">
        <v>32</v>
      </c>
      <c r="D93" s="277"/>
      <c r="E93" s="278">
        <v>500.0</v>
      </c>
      <c r="F93" s="284">
        <f t="shared" si="19"/>
        <v>0</v>
      </c>
      <c r="G93" s="272">
        <f t="shared" si="15"/>
        <v>0</v>
      </c>
      <c r="H93" s="273"/>
      <c r="I93" s="274"/>
      <c r="J93" s="4"/>
      <c r="K93" s="273"/>
      <c r="L93" s="275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</row>
    <row r="94" ht="9.75" customHeight="1">
      <c r="A94" s="280"/>
      <c r="B94" s="115" t="s">
        <v>104</v>
      </c>
      <c r="C94" s="277" t="s">
        <v>51</v>
      </c>
      <c r="D94" s="277"/>
      <c r="E94" s="278">
        <v>40.0</v>
      </c>
      <c r="F94" s="284">
        <f t="shared" si="19"/>
        <v>0</v>
      </c>
      <c r="G94" s="272">
        <f t="shared" si="15"/>
        <v>0</v>
      </c>
      <c r="H94" s="273">
        <v>43525.0</v>
      </c>
      <c r="I94" s="274">
        <v>20.0</v>
      </c>
      <c r="J94" s="4"/>
      <c r="K94" s="273"/>
      <c r="L94" s="275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</row>
    <row r="95" ht="9.75" customHeight="1">
      <c r="A95" s="280"/>
      <c r="B95" s="115" t="s">
        <v>105</v>
      </c>
      <c r="C95" s="277" t="s">
        <v>32</v>
      </c>
      <c r="D95" s="277"/>
      <c r="E95" s="278">
        <v>900.0</v>
      </c>
      <c r="F95" s="284">
        <f t="shared" si="19"/>
        <v>0</v>
      </c>
      <c r="G95" s="272">
        <f t="shared" si="15"/>
        <v>0</v>
      </c>
      <c r="H95" s="273"/>
      <c r="I95" s="274"/>
      <c r="J95" s="4"/>
      <c r="K95" s="273"/>
      <c r="L95" s="275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</row>
    <row r="96" ht="9.75" customHeight="1">
      <c r="A96" s="280"/>
      <c r="B96" s="110" t="s">
        <v>725</v>
      </c>
      <c r="C96" s="293"/>
      <c r="D96" s="294"/>
      <c r="E96" s="295"/>
      <c r="F96" s="296"/>
      <c r="G96" s="272"/>
      <c r="H96" s="273"/>
      <c r="I96" s="274"/>
      <c r="J96" s="4"/>
      <c r="K96" s="273"/>
      <c r="L96" s="275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</row>
    <row r="97" ht="9.75" customHeight="1">
      <c r="A97" s="280"/>
      <c r="B97" s="115" t="s">
        <v>726</v>
      </c>
      <c r="C97" s="277" t="s">
        <v>51</v>
      </c>
      <c r="D97" s="277">
        <v>1300.0</v>
      </c>
      <c r="E97" s="278">
        <v>29.0</v>
      </c>
      <c r="F97" s="284">
        <f t="shared" ref="F97:F98" si="20">D97*E97</f>
        <v>37700</v>
      </c>
      <c r="G97" s="272"/>
      <c r="H97" s="273"/>
      <c r="I97" s="274"/>
      <c r="J97" s="4"/>
      <c r="K97" s="285">
        <v>37700.0</v>
      </c>
      <c r="L97" s="275">
        <v>29.0</v>
      </c>
      <c r="M97" s="4" t="s">
        <v>727</v>
      </c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</row>
    <row r="98" ht="9.75" customHeight="1">
      <c r="A98" s="280"/>
      <c r="B98" s="115"/>
      <c r="C98" s="277"/>
      <c r="D98" s="277"/>
      <c r="E98" s="278"/>
      <c r="F98" s="284">
        <f t="shared" si="20"/>
        <v>0</v>
      </c>
      <c r="G98" s="272">
        <f t="shared" ref="G98:G131" si="21">IF($B98="Sous total",$F98,0)</f>
        <v>0</v>
      </c>
      <c r="H98" s="273"/>
      <c r="I98" s="274"/>
      <c r="J98" s="4"/>
      <c r="K98" s="273"/>
      <c r="L98" s="275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</row>
    <row r="99" ht="9.75" customHeight="1">
      <c r="A99" s="280"/>
      <c r="B99" s="110" t="s">
        <v>121</v>
      </c>
      <c r="C99" s="293"/>
      <c r="D99" s="294"/>
      <c r="E99" s="295"/>
      <c r="F99" s="296"/>
      <c r="G99" s="272">
        <f t="shared" si="21"/>
        <v>0</v>
      </c>
      <c r="H99" s="273"/>
      <c r="I99" s="274"/>
      <c r="J99" s="4"/>
      <c r="K99" s="273"/>
      <c r="L99" s="275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</row>
    <row r="100" ht="9.75" customHeight="1">
      <c r="A100" s="280"/>
      <c r="B100" s="115" t="s">
        <v>122</v>
      </c>
      <c r="C100" s="277" t="s">
        <v>34</v>
      </c>
      <c r="D100" s="277">
        <v>4.0</v>
      </c>
      <c r="E100" s="278">
        <v>8200.0</v>
      </c>
      <c r="F100" s="284">
        <f t="shared" ref="F100:F105" si="22">D100*E100</f>
        <v>32800</v>
      </c>
      <c r="G100" s="272">
        <f t="shared" si="21"/>
        <v>0</v>
      </c>
      <c r="H100" s="273"/>
      <c r="I100" s="274"/>
      <c r="J100" s="4"/>
      <c r="K100" s="273"/>
      <c r="L100" s="275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</row>
    <row r="101" ht="9.75" customHeight="1">
      <c r="A101" s="280"/>
      <c r="B101" s="115" t="s">
        <v>123</v>
      </c>
      <c r="C101" s="277" t="s">
        <v>34</v>
      </c>
      <c r="D101" s="277">
        <v>3.0</v>
      </c>
      <c r="E101" s="278">
        <v>1400.0</v>
      </c>
      <c r="F101" s="284">
        <f t="shared" si="22"/>
        <v>4200</v>
      </c>
      <c r="G101" s="272">
        <f t="shared" si="21"/>
        <v>0</v>
      </c>
      <c r="H101" s="273"/>
      <c r="I101" s="274"/>
      <c r="J101" s="4"/>
      <c r="K101" s="273"/>
      <c r="L101" s="275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</row>
    <row r="102" ht="9.75" customHeight="1">
      <c r="A102" s="280"/>
      <c r="B102" s="115" t="s">
        <v>124</v>
      </c>
      <c r="C102" s="277" t="s">
        <v>34</v>
      </c>
      <c r="D102" s="277">
        <v>1.0</v>
      </c>
      <c r="E102" s="278">
        <v>18000.0</v>
      </c>
      <c r="F102" s="284">
        <f t="shared" si="22"/>
        <v>18000</v>
      </c>
      <c r="G102" s="272">
        <f t="shared" si="21"/>
        <v>0</v>
      </c>
      <c r="H102" s="273"/>
      <c r="I102" s="274"/>
      <c r="J102" s="4"/>
      <c r="K102" s="273"/>
      <c r="L102" s="275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</row>
    <row r="103" ht="9.75" customHeight="1">
      <c r="A103" s="280"/>
      <c r="B103" s="115" t="s">
        <v>125</v>
      </c>
      <c r="C103" s="277" t="s">
        <v>34</v>
      </c>
      <c r="D103" s="277">
        <v>1.0</v>
      </c>
      <c r="E103" s="278">
        <v>6500.0</v>
      </c>
      <c r="F103" s="284">
        <f t="shared" si="22"/>
        <v>6500</v>
      </c>
      <c r="G103" s="272">
        <f t="shared" si="21"/>
        <v>0</v>
      </c>
      <c r="H103" s="273"/>
      <c r="I103" s="274"/>
      <c r="J103" s="4"/>
      <c r="K103" s="273"/>
      <c r="L103" s="275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</row>
    <row r="104" ht="9.75" customHeight="1">
      <c r="A104" s="280"/>
      <c r="B104" s="115" t="s">
        <v>126</v>
      </c>
      <c r="C104" s="277" t="s">
        <v>34</v>
      </c>
      <c r="D104" s="277">
        <v>3.0</v>
      </c>
      <c r="E104" s="278">
        <v>5500.0</v>
      </c>
      <c r="F104" s="284">
        <f t="shared" si="22"/>
        <v>16500</v>
      </c>
      <c r="G104" s="272">
        <f t="shared" si="21"/>
        <v>0</v>
      </c>
      <c r="H104" s="273"/>
      <c r="I104" s="274"/>
      <c r="J104" s="4"/>
      <c r="K104" s="273"/>
      <c r="L104" s="275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</row>
    <row r="105" ht="9.75" customHeight="1">
      <c r="A105" s="280"/>
      <c r="B105" s="115" t="s">
        <v>127</v>
      </c>
      <c r="C105" s="277" t="s">
        <v>34</v>
      </c>
      <c r="D105" s="277">
        <v>1.0</v>
      </c>
      <c r="E105" s="278">
        <v>15000.0</v>
      </c>
      <c r="F105" s="284">
        <f t="shared" si="22"/>
        <v>15000</v>
      </c>
      <c r="G105" s="272">
        <f t="shared" si="21"/>
        <v>0</v>
      </c>
      <c r="H105" s="273"/>
      <c r="I105" s="274"/>
      <c r="J105" s="4"/>
      <c r="K105" s="273"/>
      <c r="L105" s="275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</row>
    <row r="106" ht="9.75" customHeight="1">
      <c r="A106" s="286" t="str">
        <f t="shared" ref="A106:A107" si="23">B106</f>
        <v>Sous total</v>
      </c>
      <c r="B106" s="287" t="s">
        <v>713</v>
      </c>
      <c r="C106" s="288"/>
      <c r="D106" s="288"/>
      <c r="E106" s="289"/>
      <c r="F106" s="290">
        <f>SUM(F49:F105)</f>
        <v>344100</v>
      </c>
      <c r="G106" s="272">
        <f t="shared" si="21"/>
        <v>344100</v>
      </c>
      <c r="H106" s="273"/>
      <c r="I106" s="274"/>
      <c r="J106" s="4"/>
      <c r="K106" s="285">
        <v>189700.0</v>
      </c>
      <c r="L106" s="275"/>
      <c r="M106" s="4" t="s">
        <v>728</v>
      </c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</row>
    <row r="107" ht="9.75" customHeight="1">
      <c r="A107" s="276" t="str">
        <f t="shared" si="23"/>
        <v>Comptages</v>
      </c>
      <c r="B107" s="194" t="s">
        <v>729</v>
      </c>
      <c r="C107" s="297"/>
      <c r="D107" s="297"/>
      <c r="E107" s="298"/>
      <c r="F107" s="284">
        <f t="shared" ref="F107:F113" si="24">D107*E107</f>
        <v>0</v>
      </c>
      <c r="G107" s="272">
        <f t="shared" si="21"/>
        <v>0</v>
      </c>
      <c r="H107" s="273"/>
      <c r="I107" s="274"/>
      <c r="J107" s="4"/>
      <c r="K107" s="273"/>
      <c r="L107" s="275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</row>
    <row r="108" ht="9.75" customHeight="1">
      <c r="A108" s="280"/>
      <c r="B108" s="110" t="s">
        <v>130</v>
      </c>
      <c r="C108" s="293"/>
      <c r="D108" s="294"/>
      <c r="E108" s="295"/>
      <c r="F108" s="284">
        <f t="shared" si="24"/>
        <v>0</v>
      </c>
      <c r="G108" s="272">
        <f t="shared" si="21"/>
        <v>0</v>
      </c>
      <c r="H108" s="273"/>
      <c r="I108" s="274"/>
      <c r="J108" s="4"/>
      <c r="K108" s="273"/>
      <c r="L108" s="275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</row>
    <row r="109" ht="9.75" customHeight="1">
      <c r="A109" s="280"/>
      <c r="B109" s="115" t="s">
        <v>131</v>
      </c>
      <c r="C109" s="277" t="s">
        <v>34</v>
      </c>
      <c r="D109" s="277"/>
      <c r="E109" s="278">
        <v>7050.0</v>
      </c>
      <c r="F109" s="284">
        <f t="shared" si="24"/>
        <v>0</v>
      </c>
      <c r="G109" s="272">
        <f t="shared" si="21"/>
        <v>0</v>
      </c>
      <c r="H109" s="273"/>
      <c r="I109" s="274"/>
      <c r="J109" s="4"/>
      <c r="K109" s="273"/>
      <c r="L109" s="275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</row>
    <row r="110" ht="9.75" customHeight="1">
      <c r="A110" s="280"/>
      <c r="B110" s="115" t="s">
        <v>132</v>
      </c>
      <c r="C110" s="277" t="s">
        <v>34</v>
      </c>
      <c r="D110" s="277"/>
      <c r="E110" s="278">
        <v>6000.0</v>
      </c>
      <c r="F110" s="284">
        <f t="shared" si="24"/>
        <v>0</v>
      </c>
      <c r="G110" s="272">
        <f t="shared" si="21"/>
        <v>0</v>
      </c>
      <c r="H110" s="273"/>
      <c r="I110" s="274"/>
      <c r="J110" s="4"/>
      <c r="K110" s="273"/>
      <c r="L110" s="275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</row>
    <row r="111" ht="9.75" customHeight="1">
      <c r="A111" s="280"/>
      <c r="B111" s="115" t="s">
        <v>133</v>
      </c>
      <c r="C111" s="277" t="s">
        <v>34</v>
      </c>
      <c r="D111" s="277"/>
      <c r="E111" s="278">
        <v>4000.0</v>
      </c>
      <c r="F111" s="284">
        <f t="shared" si="24"/>
        <v>0</v>
      </c>
      <c r="G111" s="272">
        <f t="shared" si="21"/>
        <v>0</v>
      </c>
      <c r="H111" s="273"/>
      <c r="I111" s="274"/>
      <c r="J111" s="4"/>
      <c r="K111" s="273"/>
      <c r="L111" s="275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</row>
    <row r="112" ht="9.75" customHeight="1">
      <c r="A112" s="280"/>
      <c r="B112" s="110" t="s">
        <v>134</v>
      </c>
      <c r="C112" s="293"/>
      <c r="D112" s="294"/>
      <c r="E112" s="295"/>
      <c r="F112" s="284">
        <f t="shared" si="24"/>
        <v>0</v>
      </c>
      <c r="G112" s="272">
        <f t="shared" si="21"/>
        <v>0</v>
      </c>
      <c r="H112" s="273"/>
      <c r="I112" s="274"/>
      <c r="J112" s="4"/>
      <c r="K112" s="273"/>
      <c r="L112" s="275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</row>
    <row r="113" ht="9.75" customHeight="1">
      <c r="A113" s="280"/>
      <c r="B113" s="134" t="s">
        <v>135</v>
      </c>
      <c r="C113" s="277" t="s">
        <v>34</v>
      </c>
      <c r="D113" s="277"/>
      <c r="E113" s="278">
        <v>1900.0</v>
      </c>
      <c r="F113" s="284">
        <f t="shared" si="24"/>
        <v>0</v>
      </c>
      <c r="G113" s="272">
        <f t="shared" si="21"/>
        <v>0</v>
      </c>
      <c r="H113" s="273"/>
      <c r="I113" s="274"/>
      <c r="J113" s="4"/>
      <c r="K113" s="273"/>
      <c r="L113" s="275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</row>
    <row r="114" ht="9.75" customHeight="1">
      <c r="A114" s="286" t="str">
        <f t="shared" ref="A114:A115" si="25">B114</f>
        <v>Sous total</v>
      </c>
      <c r="B114" s="287" t="s">
        <v>713</v>
      </c>
      <c r="C114" s="288"/>
      <c r="D114" s="288"/>
      <c r="E114" s="289"/>
      <c r="F114" s="290">
        <f>SUM(F109:F113)</f>
        <v>0</v>
      </c>
      <c r="G114" s="272">
        <f t="shared" si="21"/>
        <v>0</v>
      </c>
      <c r="H114" s="273"/>
      <c r="I114" s="274"/>
      <c r="J114" s="4"/>
      <c r="K114" s="273"/>
      <c r="L114" s="275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</row>
    <row r="115" ht="9.75" customHeight="1">
      <c r="A115" s="276" t="str">
        <f t="shared" si="25"/>
        <v>Groupe électrogène</v>
      </c>
      <c r="B115" s="194" t="s">
        <v>143</v>
      </c>
      <c r="C115" s="277"/>
      <c r="D115" s="277"/>
      <c r="E115" s="278"/>
      <c r="F115" s="279">
        <f>E115*D115</f>
        <v>0</v>
      </c>
      <c r="G115" s="272">
        <f t="shared" si="21"/>
        <v>0</v>
      </c>
      <c r="H115" s="273"/>
      <c r="I115" s="274"/>
      <c r="J115" s="4"/>
      <c r="K115" s="273"/>
      <c r="L115" s="275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</row>
    <row r="116" ht="9.75" customHeight="1">
      <c r="A116" s="280"/>
      <c r="B116" s="110" t="s">
        <v>144</v>
      </c>
      <c r="C116" s="293"/>
      <c r="D116" s="294"/>
      <c r="E116" s="295"/>
      <c r="F116" s="296"/>
      <c r="G116" s="272">
        <f t="shared" si="21"/>
        <v>0</v>
      </c>
      <c r="H116" s="273"/>
      <c r="I116" s="274"/>
      <c r="J116" s="4"/>
      <c r="K116" s="273"/>
      <c r="L116" s="275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</row>
    <row r="117" ht="9.75" customHeight="1">
      <c r="A117" s="280"/>
      <c r="B117" s="138" t="s">
        <v>145</v>
      </c>
      <c r="C117" s="277"/>
      <c r="D117" s="277"/>
      <c r="E117" s="278"/>
      <c r="F117" s="284">
        <f t="shared" ref="F117:F129" si="26">D117*E117</f>
        <v>0</v>
      </c>
      <c r="G117" s="272">
        <f t="shared" si="21"/>
        <v>0</v>
      </c>
      <c r="H117" s="273"/>
      <c r="I117" s="274"/>
      <c r="J117" s="4"/>
      <c r="K117" s="273"/>
      <c r="L117" s="275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</row>
    <row r="118" ht="9.75" customHeight="1">
      <c r="A118" s="280"/>
      <c r="B118" s="115" t="s">
        <v>146</v>
      </c>
      <c r="C118" s="277" t="s">
        <v>27</v>
      </c>
      <c r="D118" s="277"/>
      <c r="E118" s="278">
        <v>171.59</v>
      </c>
      <c r="F118" s="284">
        <f t="shared" si="26"/>
        <v>0</v>
      </c>
      <c r="G118" s="272">
        <f t="shared" si="21"/>
        <v>0</v>
      </c>
      <c r="H118" s="273"/>
      <c r="I118" s="274"/>
      <c r="J118" s="4"/>
      <c r="K118" s="273"/>
      <c r="L118" s="275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</row>
    <row r="119" ht="9.75" customHeight="1">
      <c r="A119" s="280"/>
      <c r="B119" s="115" t="s">
        <v>147</v>
      </c>
      <c r="C119" s="277" t="s">
        <v>34</v>
      </c>
      <c r="D119" s="277"/>
      <c r="E119" s="278">
        <v>571.98</v>
      </c>
      <c r="F119" s="284">
        <f t="shared" si="26"/>
        <v>0</v>
      </c>
      <c r="G119" s="272">
        <f t="shared" si="21"/>
        <v>0</v>
      </c>
      <c r="H119" s="273"/>
      <c r="I119" s="274"/>
      <c r="J119" s="4"/>
      <c r="K119" s="273"/>
      <c r="L119" s="275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</row>
    <row r="120" ht="9.75" customHeight="1">
      <c r="A120" s="280"/>
      <c r="B120" s="138" t="s">
        <v>56</v>
      </c>
      <c r="C120" s="277"/>
      <c r="D120" s="277"/>
      <c r="E120" s="278">
        <v>0.0</v>
      </c>
      <c r="F120" s="284">
        <f t="shared" si="26"/>
        <v>0</v>
      </c>
      <c r="G120" s="272">
        <f t="shared" si="21"/>
        <v>0</v>
      </c>
      <c r="H120" s="273"/>
      <c r="I120" s="274"/>
      <c r="J120" s="4"/>
      <c r="K120" s="273"/>
      <c r="L120" s="275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</row>
    <row r="121" ht="9.75" customHeight="1">
      <c r="A121" s="280"/>
      <c r="B121" s="115" t="s">
        <v>148</v>
      </c>
      <c r="C121" s="277" t="s">
        <v>51</v>
      </c>
      <c r="D121" s="277"/>
      <c r="E121" s="278">
        <v>24.02</v>
      </c>
      <c r="F121" s="284">
        <f t="shared" si="26"/>
        <v>0</v>
      </c>
      <c r="G121" s="272">
        <f t="shared" si="21"/>
        <v>0</v>
      </c>
      <c r="H121" s="273"/>
      <c r="I121" s="274"/>
      <c r="J121" s="4"/>
      <c r="K121" s="273"/>
      <c r="L121" s="275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</row>
    <row r="122" ht="9.75" customHeight="1">
      <c r="A122" s="280"/>
      <c r="B122" s="115" t="s">
        <v>149</v>
      </c>
      <c r="C122" s="277" t="s">
        <v>51</v>
      </c>
      <c r="D122" s="277"/>
      <c r="E122" s="278">
        <v>11.44</v>
      </c>
      <c r="F122" s="284">
        <f t="shared" si="26"/>
        <v>0</v>
      </c>
      <c r="G122" s="272">
        <f t="shared" si="21"/>
        <v>0</v>
      </c>
      <c r="H122" s="273"/>
      <c r="I122" s="274"/>
      <c r="J122" s="4"/>
      <c r="K122" s="273"/>
      <c r="L122" s="275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</row>
    <row r="123" ht="9.75" customHeight="1">
      <c r="A123" s="280"/>
      <c r="B123" s="115" t="s">
        <v>150</v>
      </c>
      <c r="C123" s="277" t="s">
        <v>34</v>
      </c>
      <c r="D123" s="277"/>
      <c r="E123" s="278">
        <v>571.98</v>
      </c>
      <c r="F123" s="284">
        <f t="shared" si="26"/>
        <v>0</v>
      </c>
      <c r="G123" s="272">
        <f t="shared" si="21"/>
        <v>0</v>
      </c>
      <c r="H123" s="273"/>
      <c r="I123" s="274"/>
      <c r="J123" s="4"/>
      <c r="K123" s="273"/>
      <c r="L123" s="275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</row>
    <row r="124" ht="9.75" customHeight="1">
      <c r="A124" s="280"/>
      <c r="B124" s="138" t="s">
        <v>151</v>
      </c>
      <c r="C124" s="277"/>
      <c r="D124" s="277"/>
      <c r="E124" s="278">
        <v>0.0</v>
      </c>
      <c r="F124" s="284">
        <f t="shared" si="26"/>
        <v>0</v>
      </c>
      <c r="G124" s="272">
        <f t="shared" si="21"/>
        <v>0</v>
      </c>
      <c r="H124" s="273"/>
      <c r="I124" s="274"/>
      <c r="J124" s="4"/>
      <c r="K124" s="273"/>
      <c r="L124" s="275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</row>
    <row r="125" ht="9.75" customHeight="1">
      <c r="A125" s="280"/>
      <c r="B125" s="115" t="s">
        <v>152</v>
      </c>
      <c r="C125" s="277" t="s">
        <v>34</v>
      </c>
      <c r="D125" s="277">
        <v>2.0</v>
      </c>
      <c r="E125" s="278">
        <v>200000.0</v>
      </c>
      <c r="F125" s="284">
        <f t="shared" si="26"/>
        <v>400000</v>
      </c>
      <c r="G125" s="272">
        <f t="shared" si="21"/>
        <v>0</v>
      </c>
      <c r="H125" s="273"/>
      <c r="I125" s="274"/>
      <c r="J125" s="4"/>
      <c r="K125" s="273"/>
      <c r="L125" s="275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</row>
    <row r="126" ht="9.75" customHeight="1">
      <c r="A126" s="280"/>
      <c r="B126" s="115" t="s">
        <v>153</v>
      </c>
      <c r="C126" s="277" t="s">
        <v>51</v>
      </c>
      <c r="D126" s="277"/>
      <c r="E126" s="278">
        <v>16.24</v>
      </c>
      <c r="F126" s="284">
        <f t="shared" si="26"/>
        <v>0</v>
      </c>
      <c r="G126" s="272">
        <f t="shared" si="21"/>
        <v>0</v>
      </c>
      <c r="H126" s="273"/>
      <c r="I126" s="274"/>
      <c r="J126" s="4"/>
      <c r="K126" s="273"/>
      <c r="L126" s="275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  <c r="Z126" s="4"/>
    </row>
    <row r="127" ht="9.75" customHeight="1">
      <c r="A127" s="280"/>
      <c r="B127" s="115" t="s">
        <v>154</v>
      </c>
      <c r="C127" s="277" t="s">
        <v>155</v>
      </c>
      <c r="D127" s="277"/>
      <c r="E127" s="278">
        <v>48.05</v>
      </c>
      <c r="F127" s="284">
        <f t="shared" si="26"/>
        <v>0</v>
      </c>
      <c r="G127" s="272">
        <f t="shared" si="21"/>
        <v>0</v>
      </c>
      <c r="H127" s="273"/>
      <c r="I127" s="274"/>
      <c r="J127" s="4"/>
      <c r="K127" s="273"/>
      <c r="L127" s="275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</row>
    <row r="128" ht="9.75" customHeight="1">
      <c r="A128" s="280"/>
      <c r="B128" s="115" t="s">
        <v>156</v>
      </c>
      <c r="C128" s="277" t="s">
        <v>32</v>
      </c>
      <c r="D128" s="277"/>
      <c r="E128" s="278">
        <v>11302.33</v>
      </c>
      <c r="F128" s="284">
        <f t="shared" si="26"/>
        <v>0</v>
      </c>
      <c r="G128" s="272">
        <f t="shared" si="21"/>
        <v>0</v>
      </c>
      <c r="H128" s="273"/>
      <c r="I128" s="274"/>
      <c r="J128" s="4"/>
      <c r="K128" s="273"/>
      <c r="L128" s="275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</row>
    <row r="129" ht="9.75" customHeight="1">
      <c r="A129" s="280"/>
      <c r="B129" s="115" t="s">
        <v>157</v>
      </c>
      <c r="C129" s="277" t="s">
        <v>158</v>
      </c>
      <c r="D129" s="277"/>
      <c r="E129" s="278">
        <v>3795.0</v>
      </c>
      <c r="F129" s="284">
        <f t="shared" si="26"/>
        <v>0</v>
      </c>
      <c r="G129" s="272">
        <f t="shared" si="21"/>
        <v>0</v>
      </c>
      <c r="H129" s="273"/>
      <c r="I129" s="274"/>
      <c r="J129" s="4"/>
      <c r="K129" s="273"/>
      <c r="L129" s="275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</row>
    <row r="130" ht="9.75" customHeight="1">
      <c r="A130" s="280"/>
      <c r="B130" s="110" t="s">
        <v>159</v>
      </c>
      <c r="C130" s="293"/>
      <c r="D130" s="294"/>
      <c r="E130" s="295"/>
      <c r="F130" s="296"/>
      <c r="G130" s="272">
        <f t="shared" si="21"/>
        <v>0</v>
      </c>
      <c r="H130" s="273"/>
      <c r="I130" s="274"/>
      <c r="J130" s="4"/>
      <c r="K130" s="273"/>
      <c r="L130" s="275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</row>
    <row r="131" ht="9.75" customHeight="1">
      <c r="A131" s="280"/>
      <c r="B131" s="138" t="s">
        <v>730</v>
      </c>
      <c r="C131" s="277"/>
      <c r="D131" s="277"/>
      <c r="E131" s="278"/>
      <c r="F131" s="284">
        <f t="shared" ref="F131:F158" si="27">D131*E131</f>
        <v>0</v>
      </c>
      <c r="G131" s="272">
        <f t="shared" si="21"/>
        <v>0</v>
      </c>
      <c r="H131" s="273"/>
      <c r="I131" s="274"/>
      <c r="J131" s="4"/>
      <c r="K131" s="285"/>
      <c r="L131" s="275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</row>
    <row r="132" ht="9.75" customHeight="1">
      <c r="A132" s="280"/>
      <c r="B132" s="115" t="s">
        <v>161</v>
      </c>
      <c r="C132" s="277" t="s">
        <v>34</v>
      </c>
      <c r="D132" s="277">
        <v>1.0</v>
      </c>
      <c r="E132" s="278">
        <v>170000.0</v>
      </c>
      <c r="F132" s="284">
        <f t="shared" si="27"/>
        <v>170000</v>
      </c>
      <c r="G132" s="272"/>
      <c r="H132" s="273"/>
      <c r="I132" s="274"/>
      <c r="J132" s="4"/>
      <c r="K132" s="285">
        <v>170000.0</v>
      </c>
      <c r="L132" s="275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</row>
    <row r="133" ht="9.75" customHeight="1">
      <c r="A133" s="280"/>
      <c r="B133" s="115" t="s">
        <v>731</v>
      </c>
      <c r="C133" s="277" t="s">
        <v>34</v>
      </c>
      <c r="D133" s="277">
        <v>1.0</v>
      </c>
      <c r="E133" s="278">
        <f>63400+2200</f>
        <v>65600</v>
      </c>
      <c r="F133" s="284">
        <f t="shared" si="27"/>
        <v>65600</v>
      </c>
      <c r="G133" s="272"/>
      <c r="H133" s="273"/>
      <c r="I133" s="274"/>
      <c r="J133" s="4"/>
      <c r="K133" s="285">
        <v>65600.0</v>
      </c>
      <c r="L133" s="275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</row>
    <row r="134" ht="9.75" customHeight="1">
      <c r="A134" s="280"/>
      <c r="B134" s="115" t="s">
        <v>732</v>
      </c>
      <c r="C134" s="277" t="s">
        <v>34</v>
      </c>
      <c r="D134" s="277">
        <v>1.0</v>
      </c>
      <c r="E134" s="278">
        <v>20200.0</v>
      </c>
      <c r="F134" s="284">
        <f t="shared" si="27"/>
        <v>20200</v>
      </c>
      <c r="G134" s="272"/>
      <c r="H134" s="273"/>
      <c r="I134" s="274"/>
      <c r="J134" s="4"/>
      <c r="K134" s="285">
        <v>20200.0</v>
      </c>
      <c r="L134" s="275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</row>
    <row r="135" ht="9.75" customHeight="1">
      <c r="A135" s="280"/>
      <c r="B135" s="115" t="s">
        <v>733</v>
      </c>
      <c r="C135" s="277" t="s">
        <v>34</v>
      </c>
      <c r="D135" s="277">
        <v>1.0</v>
      </c>
      <c r="E135" s="278">
        <v>3500.0</v>
      </c>
      <c r="F135" s="284">
        <f t="shared" si="27"/>
        <v>3500</v>
      </c>
      <c r="G135" s="272"/>
      <c r="H135" s="273"/>
      <c r="I135" s="274"/>
      <c r="J135" s="4"/>
      <c r="K135" s="285">
        <v>3500.0</v>
      </c>
      <c r="L135" s="275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</row>
    <row r="136" ht="9.75" customHeight="1">
      <c r="A136" s="280"/>
      <c r="B136" s="115" t="s">
        <v>734</v>
      </c>
      <c r="C136" s="277" t="s">
        <v>34</v>
      </c>
      <c r="D136" s="277">
        <v>1.0</v>
      </c>
      <c r="E136" s="278">
        <v>48400.0</v>
      </c>
      <c r="F136" s="284">
        <f t="shared" si="27"/>
        <v>48400</v>
      </c>
      <c r="G136" s="272"/>
      <c r="H136" s="273"/>
      <c r="I136" s="274"/>
      <c r="J136" s="4"/>
      <c r="K136" s="285">
        <v>48400.0</v>
      </c>
      <c r="L136" s="275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</row>
    <row r="137" ht="9.75" customHeight="1">
      <c r="A137" s="280"/>
      <c r="B137" s="115" t="s">
        <v>735</v>
      </c>
      <c r="C137" s="277" t="s">
        <v>34</v>
      </c>
      <c r="D137" s="277">
        <v>1.0</v>
      </c>
      <c r="E137" s="278">
        <v>19000.0</v>
      </c>
      <c r="F137" s="284">
        <f t="shared" si="27"/>
        <v>19000</v>
      </c>
      <c r="G137" s="272"/>
      <c r="H137" s="273"/>
      <c r="I137" s="274"/>
      <c r="J137" s="4"/>
      <c r="K137" s="285">
        <v>19000.0</v>
      </c>
      <c r="L137" s="275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</row>
    <row r="138" ht="9.75" customHeight="1">
      <c r="A138" s="280"/>
      <c r="B138" s="115" t="s">
        <v>736</v>
      </c>
      <c r="C138" s="277" t="s">
        <v>34</v>
      </c>
      <c r="D138" s="277">
        <v>1.0</v>
      </c>
      <c r="E138" s="278">
        <v>19000.0</v>
      </c>
      <c r="F138" s="284">
        <f t="shared" si="27"/>
        <v>19000</v>
      </c>
      <c r="G138" s="272"/>
      <c r="H138" s="273"/>
      <c r="I138" s="274"/>
      <c r="J138" s="4"/>
      <c r="K138" s="285">
        <v>19000.0</v>
      </c>
      <c r="L138" s="275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</row>
    <row r="139" ht="9.75" customHeight="1">
      <c r="A139" s="280"/>
      <c r="B139" s="115" t="s">
        <v>166</v>
      </c>
      <c r="C139" s="277" t="s">
        <v>34</v>
      </c>
      <c r="D139" s="277">
        <v>1.0</v>
      </c>
      <c r="E139" s="278">
        <v>7000.0</v>
      </c>
      <c r="F139" s="284">
        <f t="shared" si="27"/>
        <v>7000</v>
      </c>
      <c r="G139" s="272"/>
      <c r="H139" s="273"/>
      <c r="I139" s="274"/>
      <c r="J139" s="4"/>
      <c r="K139" s="285">
        <v>7000.0</v>
      </c>
      <c r="L139" s="275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</row>
    <row r="140" ht="9.75" customHeight="1">
      <c r="A140" s="280"/>
      <c r="B140" s="115" t="s">
        <v>737</v>
      </c>
      <c r="C140" s="277" t="s">
        <v>34</v>
      </c>
      <c r="D140" s="277">
        <v>1.0</v>
      </c>
      <c r="E140" s="278">
        <f>393500-352700</f>
        <v>40800</v>
      </c>
      <c r="F140" s="284">
        <f t="shared" si="27"/>
        <v>40800</v>
      </c>
      <c r="G140" s="272"/>
      <c r="H140" s="273"/>
      <c r="I140" s="274"/>
      <c r="J140" s="4"/>
      <c r="K140" s="285">
        <v>40800.0</v>
      </c>
      <c r="L140" s="275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</row>
    <row r="141" ht="9.75" customHeight="1">
      <c r="A141" s="280"/>
      <c r="B141" s="138" t="s">
        <v>160</v>
      </c>
      <c r="C141" s="277"/>
      <c r="D141" s="277"/>
      <c r="E141" s="278"/>
      <c r="F141" s="284">
        <f t="shared" si="27"/>
        <v>0</v>
      </c>
      <c r="G141" s="272">
        <f>IF($B141="Sous total",$F141,0)</f>
        <v>0</v>
      </c>
      <c r="H141" s="273" t="s">
        <v>738</v>
      </c>
      <c r="I141" s="274"/>
      <c r="J141" s="4"/>
      <c r="K141" s="273"/>
      <c r="L141" s="275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</row>
    <row r="142" ht="9.75" customHeight="1">
      <c r="A142" s="280"/>
      <c r="B142" s="115" t="s">
        <v>161</v>
      </c>
      <c r="C142" s="277" t="s">
        <v>34</v>
      </c>
      <c r="D142" s="277">
        <v>2.0</v>
      </c>
      <c r="E142" s="278">
        <v>168000.0</v>
      </c>
      <c r="F142" s="284">
        <f t="shared" si="27"/>
        <v>336000</v>
      </c>
      <c r="G142" s="272"/>
      <c r="H142" s="273"/>
      <c r="I142" s="274"/>
      <c r="J142" s="4"/>
      <c r="K142" s="273"/>
      <c r="L142" s="275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</row>
    <row r="143" ht="9.75" customHeight="1">
      <c r="A143" s="280"/>
      <c r="B143" s="115" t="s">
        <v>162</v>
      </c>
      <c r="C143" s="277" t="s">
        <v>32</v>
      </c>
      <c r="D143" s="277">
        <v>1.0</v>
      </c>
      <c r="E143" s="278">
        <v>46000.0</v>
      </c>
      <c r="F143" s="284">
        <f t="shared" si="27"/>
        <v>46000</v>
      </c>
      <c r="G143" s="272"/>
      <c r="H143" s="273"/>
      <c r="I143" s="274"/>
      <c r="J143" s="4"/>
      <c r="K143" s="273"/>
      <c r="L143" s="275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</row>
    <row r="144" ht="9.75" customHeight="1">
      <c r="A144" s="280"/>
      <c r="B144" s="115" t="s">
        <v>163</v>
      </c>
      <c r="C144" s="277"/>
      <c r="D144" s="277">
        <v>1.0</v>
      </c>
      <c r="E144" s="278">
        <v>85000.0</v>
      </c>
      <c r="F144" s="284">
        <f t="shared" si="27"/>
        <v>85000</v>
      </c>
      <c r="G144" s="272"/>
      <c r="H144" s="273"/>
      <c r="I144" s="274"/>
      <c r="J144" s="4"/>
      <c r="K144" s="273"/>
      <c r="L144" s="275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</row>
    <row r="145" ht="9.75" customHeight="1">
      <c r="A145" s="280"/>
      <c r="B145" s="115" t="s">
        <v>164</v>
      </c>
      <c r="C145" s="277"/>
      <c r="D145" s="277">
        <v>1.0</v>
      </c>
      <c r="E145" s="278">
        <v>162000.0</v>
      </c>
      <c r="F145" s="284">
        <f t="shared" si="27"/>
        <v>162000</v>
      </c>
      <c r="G145" s="272"/>
      <c r="H145" s="273"/>
      <c r="I145" s="274"/>
      <c r="J145" s="4"/>
      <c r="K145" s="273"/>
      <c r="L145" s="275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</row>
    <row r="146" ht="9.75" customHeight="1">
      <c r="A146" s="280"/>
      <c r="B146" s="115" t="s">
        <v>165</v>
      </c>
      <c r="C146" s="277"/>
      <c r="D146" s="277">
        <v>1.0</v>
      </c>
      <c r="E146" s="278">
        <v>25000.0</v>
      </c>
      <c r="F146" s="284">
        <f t="shared" si="27"/>
        <v>25000</v>
      </c>
      <c r="G146" s="272"/>
      <c r="H146" s="273"/>
      <c r="I146" s="274"/>
      <c r="J146" s="4"/>
      <c r="K146" s="273"/>
      <c r="L146" s="275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</row>
    <row r="147" ht="9.75" customHeight="1">
      <c r="A147" s="280"/>
      <c r="B147" s="115" t="s">
        <v>166</v>
      </c>
      <c r="C147" s="277"/>
      <c r="D147" s="277">
        <v>1.0</v>
      </c>
      <c r="E147" s="278">
        <v>4500.0</v>
      </c>
      <c r="F147" s="284">
        <f t="shared" si="27"/>
        <v>4500</v>
      </c>
      <c r="G147" s="272"/>
      <c r="H147" s="273"/>
      <c r="I147" s="274"/>
      <c r="J147" s="4"/>
      <c r="K147" s="273"/>
      <c r="L147" s="275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</row>
    <row r="148" ht="9.75" customHeight="1">
      <c r="A148" s="280"/>
      <c r="B148" s="138" t="s">
        <v>167</v>
      </c>
      <c r="C148" s="277"/>
      <c r="D148" s="277"/>
      <c r="E148" s="278"/>
      <c r="F148" s="284">
        <f t="shared" si="27"/>
        <v>0</v>
      </c>
      <c r="G148" s="272">
        <f>IF($B148="Sous total",$F148,0)</f>
        <v>0</v>
      </c>
      <c r="H148" s="273" t="s">
        <v>738</v>
      </c>
      <c r="I148" s="274"/>
      <c r="J148" s="4"/>
      <c r="K148" s="273"/>
      <c r="L148" s="275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</row>
    <row r="149" ht="9.75" customHeight="1">
      <c r="A149" s="280"/>
      <c r="B149" s="115" t="s">
        <v>168</v>
      </c>
      <c r="C149" s="277" t="s">
        <v>34</v>
      </c>
      <c r="D149" s="277">
        <v>2.0</v>
      </c>
      <c r="E149" s="278">
        <v>282000.0</v>
      </c>
      <c r="F149" s="284">
        <f t="shared" si="27"/>
        <v>564000</v>
      </c>
      <c r="G149" s="272"/>
      <c r="H149" s="273"/>
      <c r="I149" s="274"/>
      <c r="J149" s="4"/>
      <c r="K149" s="273"/>
      <c r="L149" s="275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4"/>
    </row>
    <row r="150" ht="9.75" customHeight="1">
      <c r="A150" s="280"/>
      <c r="B150" s="115" t="s">
        <v>162</v>
      </c>
      <c r="C150" s="277" t="s">
        <v>32</v>
      </c>
      <c r="D150" s="277">
        <v>1.0</v>
      </c>
      <c r="E150" s="278">
        <v>46000.0</v>
      </c>
      <c r="F150" s="284">
        <f t="shared" si="27"/>
        <v>46000</v>
      </c>
      <c r="G150" s="272"/>
      <c r="H150" s="273"/>
      <c r="I150" s="274"/>
      <c r="J150" s="4"/>
      <c r="K150" s="273"/>
      <c r="L150" s="275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</row>
    <row r="151" ht="9.75" customHeight="1">
      <c r="A151" s="280"/>
      <c r="B151" s="115" t="s">
        <v>169</v>
      </c>
      <c r="C151" s="277"/>
      <c r="D151" s="277">
        <v>1.0</v>
      </c>
      <c r="E151" s="278">
        <v>95000.0</v>
      </c>
      <c r="F151" s="284">
        <f t="shared" si="27"/>
        <v>95000</v>
      </c>
      <c r="G151" s="272"/>
      <c r="H151" s="273"/>
      <c r="I151" s="274"/>
      <c r="J151" s="4"/>
      <c r="K151" s="273"/>
      <c r="L151" s="275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</row>
    <row r="152" ht="9.75" customHeight="1">
      <c r="A152" s="280"/>
      <c r="B152" s="115" t="s">
        <v>164</v>
      </c>
      <c r="C152" s="277"/>
      <c r="D152" s="277">
        <v>1.0</v>
      </c>
      <c r="E152" s="278">
        <v>181000.0</v>
      </c>
      <c r="F152" s="284">
        <f t="shared" si="27"/>
        <v>181000</v>
      </c>
      <c r="G152" s="272"/>
      <c r="H152" s="273"/>
      <c r="I152" s="274"/>
      <c r="J152" s="4"/>
      <c r="K152" s="273"/>
      <c r="L152" s="275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</row>
    <row r="153" ht="9.75" customHeight="1">
      <c r="A153" s="280"/>
      <c r="B153" s="115" t="s">
        <v>165</v>
      </c>
      <c r="C153" s="277"/>
      <c r="D153" s="277">
        <v>1.0</v>
      </c>
      <c r="E153" s="278">
        <v>25000.0</v>
      </c>
      <c r="F153" s="284">
        <f t="shared" si="27"/>
        <v>25000</v>
      </c>
      <c r="G153" s="272"/>
      <c r="H153" s="273"/>
      <c r="I153" s="274"/>
      <c r="J153" s="4"/>
      <c r="K153" s="273"/>
      <c r="L153" s="275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</row>
    <row r="154" ht="9.75" customHeight="1">
      <c r="A154" s="280"/>
      <c r="B154" s="115" t="s">
        <v>166</v>
      </c>
      <c r="C154" s="277"/>
      <c r="D154" s="277">
        <v>1.0</v>
      </c>
      <c r="E154" s="278">
        <v>4500.0</v>
      </c>
      <c r="F154" s="284">
        <f t="shared" si="27"/>
        <v>4500</v>
      </c>
      <c r="G154" s="272"/>
      <c r="H154" s="273"/>
      <c r="I154" s="274"/>
      <c r="J154" s="4"/>
      <c r="K154" s="273"/>
      <c r="L154" s="275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</row>
    <row r="155" ht="9.75" customHeight="1">
      <c r="A155" s="280"/>
      <c r="B155" s="138" t="s">
        <v>170</v>
      </c>
      <c r="C155" s="277"/>
      <c r="D155" s="277"/>
      <c r="E155" s="278"/>
      <c r="F155" s="284">
        <f t="shared" si="27"/>
        <v>0</v>
      </c>
      <c r="G155" s="272"/>
      <c r="H155" s="273"/>
      <c r="I155" s="274"/>
      <c r="J155" s="4"/>
      <c r="K155" s="273"/>
      <c r="L155" s="275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/>
    </row>
    <row r="156" ht="9.75" customHeight="1">
      <c r="A156" s="280"/>
      <c r="B156" s="115" t="s">
        <v>171</v>
      </c>
      <c r="C156" s="277" t="s">
        <v>32</v>
      </c>
      <c r="D156" s="277"/>
      <c r="E156" s="278">
        <v>21800.0</v>
      </c>
      <c r="F156" s="284">
        <f t="shared" si="27"/>
        <v>0</v>
      </c>
      <c r="G156" s="272">
        <f t="shared" ref="G156:G195" si="28">IF($B156="Sous total",$F156,0)</f>
        <v>0</v>
      </c>
      <c r="H156" s="273"/>
      <c r="I156" s="274"/>
      <c r="J156" s="4"/>
      <c r="K156" s="273"/>
      <c r="L156" s="275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</row>
    <row r="157" ht="9.75" customHeight="1">
      <c r="A157" s="280"/>
      <c r="B157" s="115" t="s">
        <v>172</v>
      </c>
      <c r="C157" s="277" t="s">
        <v>32</v>
      </c>
      <c r="D157" s="277"/>
      <c r="E157" s="278">
        <v>75300.0</v>
      </c>
      <c r="F157" s="284">
        <f t="shared" si="27"/>
        <v>0</v>
      </c>
      <c r="G157" s="272">
        <f t="shared" si="28"/>
        <v>0</v>
      </c>
      <c r="H157" s="273"/>
      <c r="I157" s="274"/>
      <c r="J157" s="4"/>
      <c r="K157" s="273"/>
      <c r="L157" s="275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</row>
    <row r="158" ht="9.75" customHeight="1">
      <c r="A158" s="280"/>
      <c r="B158" s="115" t="s">
        <v>173</v>
      </c>
      <c r="C158" s="277" t="s">
        <v>32</v>
      </c>
      <c r="D158" s="277"/>
      <c r="E158" s="278">
        <v>122500.0</v>
      </c>
      <c r="F158" s="284">
        <f t="shared" si="27"/>
        <v>0</v>
      </c>
      <c r="G158" s="272">
        <f t="shared" si="28"/>
        <v>0</v>
      </c>
      <c r="H158" s="273"/>
      <c r="I158" s="274"/>
      <c r="J158" s="4"/>
      <c r="K158" s="273"/>
      <c r="L158" s="275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</row>
    <row r="159" ht="9.75" customHeight="1">
      <c r="A159" s="280"/>
      <c r="B159" s="110" t="s">
        <v>174</v>
      </c>
      <c r="C159" s="293"/>
      <c r="D159" s="294"/>
      <c r="E159" s="295"/>
      <c r="F159" s="296"/>
      <c r="G159" s="272">
        <f t="shared" si="28"/>
        <v>0</v>
      </c>
      <c r="H159" s="273"/>
      <c r="I159" s="274"/>
      <c r="J159" s="4"/>
      <c r="K159" s="273"/>
      <c r="L159" s="275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</row>
    <row r="160" ht="9.75" customHeight="1">
      <c r="A160" s="280"/>
      <c r="B160" s="115" t="s">
        <v>175</v>
      </c>
      <c r="C160" s="277"/>
      <c r="D160" s="277"/>
      <c r="E160" s="278">
        <v>60000.0</v>
      </c>
      <c r="F160" s="284">
        <f t="shared" ref="F160:F166" si="29">D160*E160</f>
        <v>0</v>
      </c>
      <c r="G160" s="272">
        <f t="shared" si="28"/>
        <v>0</v>
      </c>
      <c r="H160" s="273"/>
      <c r="I160" s="274"/>
      <c r="J160" s="4"/>
      <c r="K160" s="273"/>
      <c r="L160" s="275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</row>
    <row r="161" ht="9.75" customHeight="1">
      <c r="A161" s="280"/>
      <c r="B161" s="115" t="s">
        <v>176</v>
      </c>
      <c r="C161" s="277"/>
      <c r="D161" s="277"/>
      <c r="E161" s="278">
        <v>12000.0</v>
      </c>
      <c r="F161" s="284">
        <f t="shared" si="29"/>
        <v>0</v>
      </c>
      <c r="G161" s="272">
        <f t="shared" si="28"/>
        <v>0</v>
      </c>
      <c r="H161" s="273"/>
      <c r="I161" s="274"/>
      <c r="J161" s="4"/>
      <c r="K161" s="273"/>
      <c r="L161" s="275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  <c r="Z161" s="4"/>
    </row>
    <row r="162" ht="9.75" customHeight="1">
      <c r="A162" s="280"/>
      <c r="B162" s="115" t="s">
        <v>177</v>
      </c>
      <c r="C162" s="277"/>
      <c r="D162" s="277"/>
      <c r="E162" s="278">
        <v>5500.0</v>
      </c>
      <c r="F162" s="284">
        <f t="shared" si="29"/>
        <v>0</v>
      </c>
      <c r="G162" s="272">
        <f t="shared" si="28"/>
        <v>0</v>
      </c>
      <c r="H162" s="273"/>
      <c r="I162" s="274"/>
      <c r="J162" s="4"/>
      <c r="K162" s="273"/>
      <c r="L162" s="275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</row>
    <row r="163" ht="9.75" customHeight="1">
      <c r="A163" s="280"/>
      <c r="B163" s="115" t="s">
        <v>178</v>
      </c>
      <c r="C163" s="277"/>
      <c r="D163" s="277"/>
      <c r="E163" s="278">
        <v>4000.0</v>
      </c>
      <c r="F163" s="284">
        <f t="shared" si="29"/>
        <v>0</v>
      </c>
      <c r="G163" s="272">
        <f t="shared" si="28"/>
        <v>0</v>
      </c>
      <c r="H163" s="273"/>
      <c r="I163" s="274"/>
      <c r="J163" s="4"/>
      <c r="K163" s="273"/>
      <c r="L163" s="275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</row>
    <row r="164" ht="9.75" customHeight="1">
      <c r="A164" s="280"/>
      <c r="B164" s="115" t="s">
        <v>179</v>
      </c>
      <c r="C164" s="277"/>
      <c r="D164" s="277"/>
      <c r="E164" s="278">
        <v>4000.0</v>
      </c>
      <c r="F164" s="284">
        <f t="shared" si="29"/>
        <v>0</v>
      </c>
      <c r="G164" s="272">
        <f t="shared" si="28"/>
        <v>0</v>
      </c>
      <c r="H164" s="273"/>
      <c r="I164" s="274"/>
      <c r="J164" s="4"/>
      <c r="K164" s="273"/>
      <c r="L164" s="275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</row>
    <row r="165" ht="9.75" customHeight="1">
      <c r="A165" s="280"/>
      <c r="B165" s="115" t="s">
        <v>180</v>
      </c>
      <c r="C165" s="277"/>
      <c r="D165" s="277"/>
      <c r="E165" s="278">
        <v>14000.0</v>
      </c>
      <c r="F165" s="284">
        <f t="shared" si="29"/>
        <v>0</v>
      </c>
      <c r="G165" s="272">
        <f t="shared" si="28"/>
        <v>0</v>
      </c>
      <c r="H165" s="273"/>
      <c r="I165" s="274"/>
      <c r="J165" s="4"/>
      <c r="K165" s="273"/>
      <c r="L165" s="275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</row>
    <row r="166" ht="9.75" customHeight="1">
      <c r="A166" s="280"/>
      <c r="B166" s="115" t="s">
        <v>181</v>
      </c>
      <c r="C166" s="277"/>
      <c r="D166" s="277"/>
      <c r="E166" s="278">
        <v>3500.0</v>
      </c>
      <c r="F166" s="284">
        <f t="shared" si="29"/>
        <v>0</v>
      </c>
      <c r="G166" s="272">
        <f t="shared" si="28"/>
        <v>0</v>
      </c>
      <c r="H166" s="273"/>
      <c r="I166" s="274"/>
      <c r="J166" s="4"/>
      <c r="K166" s="273"/>
      <c r="L166" s="275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</row>
    <row r="167" ht="9.75" customHeight="1">
      <c r="A167" s="280"/>
      <c r="B167" s="110" t="s">
        <v>182</v>
      </c>
      <c r="C167" s="293"/>
      <c r="D167" s="294"/>
      <c r="E167" s="295"/>
      <c r="F167" s="296"/>
      <c r="G167" s="272">
        <f t="shared" si="28"/>
        <v>0</v>
      </c>
      <c r="H167" s="273"/>
      <c r="I167" s="274"/>
      <c r="J167" s="4"/>
      <c r="K167" s="273"/>
      <c r="L167" s="275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  <c r="Z167" s="4"/>
    </row>
    <row r="168" ht="9.75" customHeight="1">
      <c r="A168" s="280"/>
      <c r="B168" s="115" t="s">
        <v>84</v>
      </c>
      <c r="C168" s="277"/>
      <c r="D168" s="277">
        <v>2.0</v>
      </c>
      <c r="E168" s="278">
        <v>18400.0</v>
      </c>
      <c r="F168" s="284">
        <f t="shared" ref="F168:F176" si="30">D168*E168</f>
        <v>36800</v>
      </c>
      <c r="G168" s="272">
        <f t="shared" si="28"/>
        <v>0</v>
      </c>
      <c r="H168" s="273"/>
      <c r="I168" s="274"/>
      <c r="J168" s="4"/>
      <c r="K168" s="273"/>
      <c r="L168" s="275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</row>
    <row r="169" ht="9.75" customHeight="1">
      <c r="A169" s="280"/>
      <c r="B169" s="115" t="s">
        <v>184</v>
      </c>
      <c r="C169" s="277"/>
      <c r="D169" s="277">
        <v>2.0</v>
      </c>
      <c r="E169" s="278">
        <v>2000.0</v>
      </c>
      <c r="F169" s="284">
        <f t="shared" si="30"/>
        <v>4000</v>
      </c>
      <c r="G169" s="272">
        <f t="shared" si="28"/>
        <v>0</v>
      </c>
      <c r="H169" s="273"/>
      <c r="I169" s="274"/>
      <c r="J169" s="4"/>
      <c r="K169" s="273"/>
      <c r="L169" s="275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</row>
    <row r="170" ht="9.75" customHeight="1">
      <c r="A170" s="280"/>
      <c r="B170" s="115" t="s">
        <v>103</v>
      </c>
      <c r="C170" s="277"/>
      <c r="D170" s="277">
        <v>30.0</v>
      </c>
      <c r="E170" s="278">
        <v>30.0</v>
      </c>
      <c r="F170" s="284">
        <f t="shared" si="30"/>
        <v>900</v>
      </c>
      <c r="G170" s="272">
        <f t="shared" si="28"/>
        <v>0</v>
      </c>
      <c r="H170" s="273"/>
      <c r="I170" s="274"/>
      <c r="J170" s="4"/>
      <c r="K170" s="273"/>
      <c r="L170" s="275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</row>
    <row r="171" ht="9.75" customHeight="1">
      <c r="A171" s="280"/>
      <c r="B171" s="115" t="s">
        <v>185</v>
      </c>
      <c r="C171" s="277"/>
      <c r="D171" s="277">
        <v>2.0</v>
      </c>
      <c r="E171" s="278">
        <v>11000.0</v>
      </c>
      <c r="F171" s="284">
        <f t="shared" si="30"/>
        <v>22000</v>
      </c>
      <c r="G171" s="272">
        <f t="shared" si="28"/>
        <v>0</v>
      </c>
      <c r="H171" s="273"/>
      <c r="I171" s="274"/>
      <c r="J171" s="4"/>
      <c r="K171" s="273"/>
      <c r="L171" s="275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</row>
    <row r="172" ht="9.75" customHeight="1">
      <c r="A172" s="280"/>
      <c r="B172" s="115" t="s">
        <v>186</v>
      </c>
      <c r="C172" s="277"/>
      <c r="D172" s="277">
        <v>1.0</v>
      </c>
      <c r="E172" s="278">
        <v>11000.0</v>
      </c>
      <c r="F172" s="284">
        <f t="shared" si="30"/>
        <v>11000</v>
      </c>
      <c r="G172" s="272">
        <f t="shared" si="28"/>
        <v>0</v>
      </c>
      <c r="H172" s="273"/>
      <c r="I172" s="274"/>
      <c r="J172" s="4"/>
      <c r="K172" s="273"/>
      <c r="L172" s="275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</row>
    <row r="173" ht="9.75" customHeight="1">
      <c r="A173" s="280"/>
      <c r="B173" s="115" t="s">
        <v>187</v>
      </c>
      <c r="C173" s="277"/>
      <c r="D173" s="277">
        <v>1.0</v>
      </c>
      <c r="E173" s="278">
        <v>12000.0</v>
      </c>
      <c r="F173" s="284">
        <f t="shared" si="30"/>
        <v>12000</v>
      </c>
      <c r="G173" s="272">
        <f t="shared" si="28"/>
        <v>0</v>
      </c>
      <c r="H173" s="273"/>
      <c r="I173" s="274"/>
      <c r="J173" s="4"/>
      <c r="K173" s="273"/>
      <c r="L173" s="275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4"/>
      <c r="Y173" s="4"/>
      <c r="Z173" s="4"/>
    </row>
    <row r="174" ht="9.75" customHeight="1">
      <c r="A174" s="280"/>
      <c r="B174" s="115" t="s">
        <v>188</v>
      </c>
      <c r="C174" s="277"/>
      <c r="D174" s="277">
        <v>1.0</v>
      </c>
      <c r="E174" s="278">
        <v>11000.0</v>
      </c>
      <c r="F174" s="284">
        <f t="shared" si="30"/>
        <v>11000</v>
      </c>
      <c r="G174" s="272">
        <f t="shared" si="28"/>
        <v>0</v>
      </c>
      <c r="H174" s="273"/>
      <c r="I174" s="274"/>
      <c r="J174" s="4"/>
      <c r="K174" s="273"/>
      <c r="L174" s="275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  <c r="Z174" s="4"/>
    </row>
    <row r="175" ht="9.75" customHeight="1">
      <c r="A175" s="280"/>
      <c r="B175" s="115" t="s">
        <v>189</v>
      </c>
      <c r="C175" s="277"/>
      <c r="D175" s="277">
        <v>1.0</v>
      </c>
      <c r="E175" s="278">
        <v>11000.0</v>
      </c>
      <c r="F175" s="284">
        <f t="shared" si="30"/>
        <v>11000</v>
      </c>
      <c r="G175" s="272">
        <f t="shared" si="28"/>
        <v>0</v>
      </c>
      <c r="H175" s="273"/>
      <c r="I175" s="274"/>
      <c r="J175" s="4"/>
      <c r="K175" s="273"/>
      <c r="L175" s="275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</row>
    <row r="176" ht="9.75" customHeight="1">
      <c r="A176" s="280"/>
      <c r="B176" s="115" t="s">
        <v>96</v>
      </c>
      <c r="C176" s="277"/>
      <c r="D176" s="277">
        <v>1.0</v>
      </c>
      <c r="E176" s="278">
        <v>2500.0</v>
      </c>
      <c r="F176" s="284">
        <f t="shared" si="30"/>
        <v>2500</v>
      </c>
      <c r="G176" s="272">
        <f t="shared" si="28"/>
        <v>0</v>
      </c>
      <c r="H176" s="273"/>
      <c r="I176" s="274"/>
      <c r="J176" s="4"/>
      <c r="K176" s="273"/>
      <c r="L176" s="275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</row>
    <row r="177" ht="9.75" customHeight="1">
      <c r="A177" s="286" t="str">
        <f t="shared" ref="A177:A178" si="31">B177</f>
        <v>Sous total</v>
      </c>
      <c r="B177" s="287" t="s">
        <v>713</v>
      </c>
      <c r="C177" s="288"/>
      <c r="D177" s="288"/>
      <c r="E177" s="289"/>
      <c r="F177" s="290">
        <f>SUM(F117:F176)</f>
        <v>2478700</v>
      </c>
      <c r="G177" s="272">
        <f t="shared" si="28"/>
        <v>2478700</v>
      </c>
      <c r="H177" s="273"/>
      <c r="I177" s="274"/>
      <c r="J177" s="4"/>
      <c r="K177" s="273"/>
      <c r="L177" s="275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</row>
    <row r="178" ht="9.75" customHeight="1">
      <c r="A178" s="276" t="str">
        <f t="shared" si="31"/>
        <v>Protectin contre les effets directs de la foudre</v>
      </c>
      <c r="B178" s="194" t="s">
        <v>739</v>
      </c>
      <c r="C178" s="277"/>
      <c r="D178" s="277"/>
      <c r="E178" s="278"/>
      <c r="F178" s="284">
        <f t="shared" ref="F178:F181" si="32">D178*E178</f>
        <v>0</v>
      </c>
      <c r="G178" s="272">
        <f t="shared" si="28"/>
        <v>0</v>
      </c>
      <c r="H178" s="273"/>
      <c r="I178" s="274"/>
      <c r="J178" s="4"/>
      <c r="K178" s="273"/>
      <c r="L178" s="275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</row>
    <row r="179" ht="9.75" customHeight="1">
      <c r="A179" s="276"/>
      <c r="B179" s="146" t="s">
        <v>740</v>
      </c>
      <c r="C179" s="281" t="s">
        <v>27</v>
      </c>
      <c r="D179" s="282">
        <f>D10</f>
        <v>7170</v>
      </c>
      <c r="E179" s="283">
        <v>1.5</v>
      </c>
      <c r="F179" s="284">
        <f t="shared" si="32"/>
        <v>10755</v>
      </c>
      <c r="G179" s="272">
        <f t="shared" si="28"/>
        <v>0</v>
      </c>
      <c r="H179" s="273">
        <v>43525.0</v>
      </c>
      <c r="I179" s="274">
        <v>1.5</v>
      </c>
      <c r="J179" s="4"/>
      <c r="K179" s="273"/>
      <c r="L179" s="275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4"/>
      <c r="Y179" s="4"/>
      <c r="Z179" s="4"/>
    </row>
    <row r="180" ht="9.75" customHeight="1">
      <c r="A180" s="280"/>
      <c r="B180" s="115" t="s">
        <v>741</v>
      </c>
      <c r="C180" s="277" t="s">
        <v>34</v>
      </c>
      <c r="D180" s="277"/>
      <c r="E180" s="278">
        <v>7700.0</v>
      </c>
      <c r="F180" s="284">
        <f t="shared" si="32"/>
        <v>0</v>
      </c>
      <c r="G180" s="272">
        <f t="shared" si="28"/>
        <v>0</v>
      </c>
      <c r="H180" s="273"/>
      <c r="I180" s="274"/>
      <c r="J180" s="4"/>
      <c r="K180" s="273"/>
      <c r="L180" s="275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</row>
    <row r="181" ht="9.75" customHeight="1">
      <c r="A181" s="280"/>
      <c r="B181" s="115" t="s">
        <v>742</v>
      </c>
      <c r="C181" s="277" t="s">
        <v>51</v>
      </c>
      <c r="D181" s="277"/>
      <c r="E181" s="278">
        <v>5.0</v>
      </c>
      <c r="F181" s="284">
        <f t="shared" si="32"/>
        <v>0</v>
      </c>
      <c r="G181" s="272">
        <f t="shared" si="28"/>
        <v>0</v>
      </c>
      <c r="H181" s="273"/>
      <c r="I181" s="274"/>
      <c r="J181" s="4"/>
      <c r="K181" s="273"/>
      <c r="L181" s="275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</row>
    <row r="182" ht="9.75" customHeight="1">
      <c r="A182" s="286" t="str">
        <f t="shared" ref="A182:A183" si="33">B182</f>
        <v>Sous total</v>
      </c>
      <c r="B182" s="287" t="s">
        <v>713</v>
      </c>
      <c r="C182" s="288"/>
      <c r="D182" s="288"/>
      <c r="E182" s="289"/>
      <c r="F182" s="290">
        <f>SUM(F178:F181)</f>
        <v>10755</v>
      </c>
      <c r="G182" s="272">
        <f t="shared" si="28"/>
        <v>10755</v>
      </c>
      <c r="H182" s="273"/>
      <c r="I182" s="274"/>
      <c r="J182" s="4"/>
      <c r="K182" s="273"/>
      <c r="L182" s="275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</row>
    <row r="183" ht="9.75" customHeight="1">
      <c r="A183" s="276" t="str">
        <f t="shared" si="33"/>
        <v>Protection contre les effets indirects de la foudre</v>
      </c>
      <c r="B183" s="194" t="s">
        <v>216</v>
      </c>
      <c r="C183" s="277"/>
      <c r="D183" s="277"/>
      <c r="E183" s="278"/>
      <c r="F183" s="284">
        <f t="shared" ref="F183:F184" si="34">D183*E183</f>
        <v>0</v>
      </c>
      <c r="G183" s="272">
        <f t="shared" si="28"/>
        <v>0</v>
      </c>
      <c r="H183" s="273"/>
      <c r="I183" s="274"/>
      <c r="J183" s="4"/>
      <c r="K183" s="273"/>
      <c r="L183" s="275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</row>
    <row r="184" ht="9.75" customHeight="1">
      <c r="A184" s="280"/>
      <c r="B184" s="115" t="s">
        <v>743</v>
      </c>
      <c r="C184" s="277" t="s">
        <v>34</v>
      </c>
      <c r="D184" s="277"/>
      <c r="E184" s="278">
        <v>864.0</v>
      </c>
      <c r="F184" s="284">
        <f t="shared" si="34"/>
        <v>0</v>
      </c>
      <c r="G184" s="272">
        <f t="shared" si="28"/>
        <v>0</v>
      </c>
      <c r="H184" s="273"/>
      <c r="I184" s="274"/>
      <c r="J184" s="4"/>
      <c r="K184" s="273"/>
      <c r="L184" s="275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</row>
    <row r="185" ht="9.75" customHeight="1">
      <c r="A185" s="286" t="str">
        <f t="shared" ref="A185:A186" si="35">B185</f>
        <v>Sous total</v>
      </c>
      <c r="B185" s="287" t="s">
        <v>713</v>
      </c>
      <c r="C185" s="288"/>
      <c r="D185" s="288"/>
      <c r="E185" s="289"/>
      <c r="F185" s="290">
        <f>SUM(F184)</f>
        <v>0</v>
      </c>
      <c r="G185" s="272">
        <f t="shared" si="28"/>
        <v>0</v>
      </c>
      <c r="H185" s="273"/>
      <c r="I185" s="274"/>
      <c r="J185" s="4"/>
      <c r="K185" s="273"/>
      <c r="L185" s="275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4"/>
      <c r="Y185" s="4"/>
      <c r="Z185" s="4"/>
    </row>
    <row r="186" ht="9.75" customHeight="1">
      <c r="A186" s="276" t="str">
        <f t="shared" si="35"/>
        <v>Batterie de Condensateurs</v>
      </c>
      <c r="B186" s="194" t="s">
        <v>744</v>
      </c>
      <c r="C186" s="277"/>
      <c r="D186" s="277"/>
      <c r="E186" s="278"/>
      <c r="F186" s="284">
        <f t="shared" ref="F186:F189" si="36">D186*E186</f>
        <v>0</v>
      </c>
      <c r="G186" s="272">
        <f t="shared" si="28"/>
        <v>0</v>
      </c>
      <c r="H186" s="273"/>
      <c r="I186" s="274"/>
      <c r="J186" s="4"/>
      <c r="K186" s="273"/>
      <c r="L186" s="275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</row>
    <row r="187" ht="9.75" customHeight="1">
      <c r="A187" s="280"/>
      <c r="B187" s="115" t="s">
        <v>235</v>
      </c>
      <c r="C187" s="277" t="s">
        <v>34</v>
      </c>
      <c r="D187" s="277"/>
      <c r="E187" s="278">
        <v>2200.0</v>
      </c>
      <c r="F187" s="284">
        <f t="shared" si="36"/>
        <v>0</v>
      </c>
      <c r="G187" s="272">
        <f t="shared" si="28"/>
        <v>0</v>
      </c>
      <c r="H187" s="273"/>
      <c r="I187" s="274"/>
      <c r="J187" s="4"/>
      <c r="K187" s="273"/>
      <c r="L187" s="275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</row>
    <row r="188" ht="9.75" customHeight="1">
      <c r="A188" s="280"/>
      <c r="B188" s="115" t="s">
        <v>236</v>
      </c>
      <c r="C188" s="277" t="s">
        <v>34</v>
      </c>
      <c r="D188" s="277">
        <v>1.0</v>
      </c>
      <c r="E188" s="278">
        <v>11000.0</v>
      </c>
      <c r="F188" s="284">
        <f t="shared" si="36"/>
        <v>11000</v>
      </c>
      <c r="G188" s="272">
        <f t="shared" si="28"/>
        <v>0</v>
      </c>
      <c r="H188" s="273">
        <v>43525.0</v>
      </c>
      <c r="I188" s="274">
        <v>11000.0</v>
      </c>
      <c r="J188" s="4"/>
      <c r="K188" s="285"/>
      <c r="L188" s="275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</row>
    <row r="189" ht="9.75" customHeight="1">
      <c r="A189" s="280"/>
      <c r="B189" s="115" t="s">
        <v>237</v>
      </c>
      <c r="C189" s="277" t="s">
        <v>34</v>
      </c>
      <c r="D189" s="277"/>
      <c r="E189" s="278">
        <v>5400.0</v>
      </c>
      <c r="F189" s="284">
        <f t="shared" si="36"/>
        <v>0</v>
      </c>
      <c r="G189" s="272">
        <f t="shared" si="28"/>
        <v>0</v>
      </c>
      <c r="H189" s="273"/>
      <c r="I189" s="274"/>
      <c r="J189" s="4"/>
      <c r="K189" s="285">
        <v>8450.0</v>
      </c>
      <c r="L189" s="275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</row>
    <row r="190" ht="9.75" customHeight="1">
      <c r="A190" s="286" t="str">
        <f t="shared" ref="A190:A191" si="37">B190</f>
        <v>Sous total</v>
      </c>
      <c r="B190" s="287" t="s">
        <v>713</v>
      </c>
      <c r="C190" s="288"/>
      <c r="D190" s="288"/>
      <c r="E190" s="289"/>
      <c r="F190" s="290">
        <f>SUM(F187:F189)</f>
        <v>11000</v>
      </c>
      <c r="G190" s="272">
        <f t="shared" si="28"/>
        <v>11000</v>
      </c>
      <c r="H190" s="273"/>
      <c r="I190" s="274"/>
      <c r="J190" s="4"/>
      <c r="K190" s="273"/>
      <c r="L190" s="275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</row>
    <row r="191" ht="9.75" customHeight="1">
      <c r="A191" s="276" t="str">
        <f t="shared" si="37"/>
        <v>Onduleurs</v>
      </c>
      <c r="B191" s="194" t="s">
        <v>745</v>
      </c>
      <c r="C191" s="277"/>
      <c r="D191" s="277"/>
      <c r="E191" s="278"/>
      <c r="F191" s="284">
        <f t="shared" ref="F191:F203" si="38">D191*E191</f>
        <v>0</v>
      </c>
      <c r="G191" s="272">
        <f t="shared" si="28"/>
        <v>0</v>
      </c>
      <c r="H191" s="273"/>
      <c r="I191" s="274"/>
      <c r="J191" s="4"/>
      <c r="K191" s="273"/>
      <c r="L191" s="275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4"/>
      <c r="Y191" s="4"/>
      <c r="Z191" s="4"/>
    </row>
    <row r="192" ht="9.75" customHeight="1">
      <c r="A192" s="280"/>
      <c r="B192" s="115" t="s">
        <v>192</v>
      </c>
      <c r="C192" s="277" t="s">
        <v>34</v>
      </c>
      <c r="D192" s="277"/>
      <c r="E192" s="278">
        <v>3500.0</v>
      </c>
      <c r="F192" s="284">
        <f t="shared" si="38"/>
        <v>0</v>
      </c>
      <c r="G192" s="272">
        <f t="shared" si="28"/>
        <v>0</v>
      </c>
      <c r="H192" s="273"/>
      <c r="I192" s="274"/>
      <c r="J192" s="4"/>
      <c r="K192" s="273"/>
      <c r="L192" s="275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</row>
    <row r="193" ht="9.75" customHeight="1">
      <c r="A193" s="280"/>
      <c r="B193" s="115" t="s">
        <v>193</v>
      </c>
      <c r="C193" s="277" t="s">
        <v>34</v>
      </c>
      <c r="D193" s="277"/>
      <c r="E193" s="278">
        <v>4960.0</v>
      </c>
      <c r="F193" s="284">
        <f t="shared" si="38"/>
        <v>0</v>
      </c>
      <c r="G193" s="272">
        <f t="shared" si="28"/>
        <v>0</v>
      </c>
      <c r="H193" s="273"/>
      <c r="I193" s="274"/>
      <c r="J193" s="4"/>
      <c r="K193" s="273"/>
      <c r="L193" s="275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</row>
    <row r="194" ht="9.75" customHeight="1">
      <c r="A194" s="280"/>
      <c r="B194" s="115" t="s">
        <v>194</v>
      </c>
      <c r="C194" s="277" t="s">
        <v>34</v>
      </c>
      <c r="D194" s="277"/>
      <c r="E194" s="278">
        <v>8680.0</v>
      </c>
      <c r="F194" s="284">
        <f t="shared" si="38"/>
        <v>0</v>
      </c>
      <c r="G194" s="272">
        <f t="shared" si="28"/>
        <v>0</v>
      </c>
      <c r="H194" s="273"/>
      <c r="I194" s="274"/>
      <c r="J194" s="4"/>
      <c r="K194" s="273"/>
      <c r="L194" s="275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</row>
    <row r="195" ht="9.75" customHeight="1">
      <c r="A195" s="280"/>
      <c r="B195" s="115" t="s">
        <v>195</v>
      </c>
      <c r="C195" s="277" t="s">
        <v>34</v>
      </c>
      <c r="D195" s="277"/>
      <c r="E195" s="278">
        <v>12960.0</v>
      </c>
      <c r="F195" s="284">
        <f t="shared" si="38"/>
        <v>0</v>
      </c>
      <c r="G195" s="272">
        <f t="shared" si="28"/>
        <v>0</v>
      </c>
      <c r="H195" s="273"/>
      <c r="I195" s="274"/>
      <c r="J195" s="4"/>
      <c r="K195" s="273"/>
      <c r="L195" s="275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</row>
    <row r="196" ht="9.75" customHeight="1">
      <c r="A196" s="280"/>
      <c r="B196" s="115" t="s">
        <v>746</v>
      </c>
      <c r="C196" s="277" t="s">
        <v>34</v>
      </c>
      <c r="D196" s="277"/>
      <c r="E196" s="278"/>
      <c r="F196" s="284">
        <f t="shared" si="38"/>
        <v>0</v>
      </c>
      <c r="G196" s="272"/>
      <c r="H196" s="273">
        <v>43525.0</v>
      </c>
      <c r="I196" s="274"/>
      <c r="J196" s="4"/>
      <c r="K196" s="273"/>
      <c r="L196" s="275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</row>
    <row r="197" ht="9.75" customHeight="1">
      <c r="A197" s="280"/>
      <c r="B197" s="115" t="s">
        <v>196</v>
      </c>
      <c r="C197" s="277" t="s">
        <v>34</v>
      </c>
      <c r="D197" s="277"/>
      <c r="E197" s="278">
        <v>43200.0</v>
      </c>
      <c r="F197" s="284">
        <f t="shared" si="38"/>
        <v>0</v>
      </c>
      <c r="G197" s="272">
        <f t="shared" ref="G197:G251" si="39">IF($B197="Sous total",$F197,0)</f>
        <v>0</v>
      </c>
      <c r="H197" s="273"/>
      <c r="I197" s="274"/>
      <c r="J197" s="4"/>
      <c r="K197" s="273"/>
      <c r="L197" s="275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  <c r="Z197" s="4"/>
    </row>
    <row r="198" ht="9.75" customHeight="1">
      <c r="A198" s="280"/>
      <c r="B198" s="115" t="s">
        <v>197</v>
      </c>
      <c r="C198" s="277" t="s">
        <v>34</v>
      </c>
      <c r="D198" s="277"/>
      <c r="E198" s="278">
        <v>21500.0</v>
      </c>
      <c r="F198" s="284">
        <f t="shared" si="38"/>
        <v>0</v>
      </c>
      <c r="G198" s="272">
        <f t="shared" si="39"/>
        <v>0</v>
      </c>
      <c r="H198" s="273"/>
      <c r="I198" s="274"/>
      <c r="J198" s="4"/>
      <c r="K198" s="273"/>
      <c r="L198" s="275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</row>
    <row r="199" ht="9.75" customHeight="1">
      <c r="A199" s="280"/>
      <c r="B199" s="115" t="s">
        <v>198</v>
      </c>
      <c r="C199" s="277" t="s">
        <v>34</v>
      </c>
      <c r="D199" s="277"/>
      <c r="E199" s="278">
        <v>67000.0</v>
      </c>
      <c r="F199" s="284">
        <f t="shared" si="38"/>
        <v>0</v>
      </c>
      <c r="G199" s="272">
        <f t="shared" si="39"/>
        <v>0</v>
      </c>
      <c r="H199" s="273"/>
      <c r="I199" s="274"/>
      <c r="J199" s="4"/>
      <c r="K199" s="273"/>
      <c r="L199" s="275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</row>
    <row r="200" ht="9.75" customHeight="1">
      <c r="A200" s="280"/>
      <c r="B200" s="115"/>
      <c r="C200" s="277"/>
      <c r="D200" s="277"/>
      <c r="E200" s="278">
        <v>0.0</v>
      </c>
      <c r="F200" s="284">
        <f t="shared" si="38"/>
        <v>0</v>
      </c>
      <c r="G200" s="272">
        <f t="shared" si="39"/>
        <v>0</v>
      </c>
      <c r="H200" s="273"/>
      <c r="I200" s="274"/>
      <c r="J200" s="4"/>
      <c r="K200" s="273"/>
      <c r="L200" s="275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</row>
    <row r="201" ht="9.75" customHeight="1">
      <c r="A201" s="280"/>
      <c r="B201" s="115" t="s">
        <v>199</v>
      </c>
      <c r="C201" s="277" t="s">
        <v>32</v>
      </c>
      <c r="D201" s="277"/>
      <c r="E201" s="278">
        <v>384.0</v>
      </c>
      <c r="F201" s="284">
        <f t="shared" si="38"/>
        <v>0</v>
      </c>
      <c r="G201" s="272">
        <f t="shared" si="39"/>
        <v>0</v>
      </c>
      <c r="H201" s="273"/>
      <c r="I201" s="274"/>
      <c r="J201" s="4"/>
      <c r="K201" s="273"/>
      <c r="L201" s="275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</row>
    <row r="202" ht="9.75" customHeight="1">
      <c r="A202" s="280"/>
      <c r="B202" s="115"/>
      <c r="C202" s="277"/>
      <c r="D202" s="277"/>
      <c r="E202" s="278"/>
      <c r="F202" s="284">
        <f t="shared" si="38"/>
        <v>0</v>
      </c>
      <c r="G202" s="272">
        <f t="shared" si="39"/>
        <v>0</v>
      </c>
      <c r="H202" s="273"/>
      <c r="I202" s="274"/>
      <c r="J202" s="4"/>
      <c r="K202" s="273"/>
      <c r="L202" s="275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4"/>
      <c r="Y202" s="4"/>
      <c r="Z202" s="4"/>
    </row>
    <row r="203" ht="9.75" customHeight="1">
      <c r="A203" s="280"/>
      <c r="B203" s="115" t="s">
        <v>200</v>
      </c>
      <c r="C203" s="277" t="s">
        <v>32</v>
      </c>
      <c r="D203" s="277"/>
      <c r="E203" s="278">
        <v>2680.0</v>
      </c>
      <c r="F203" s="284">
        <f t="shared" si="38"/>
        <v>0</v>
      </c>
      <c r="G203" s="272">
        <f t="shared" si="39"/>
        <v>0</v>
      </c>
      <c r="H203" s="273"/>
      <c r="I203" s="274"/>
      <c r="J203" s="4"/>
      <c r="K203" s="273"/>
      <c r="L203" s="275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</row>
    <row r="204" ht="9.75" customHeight="1">
      <c r="A204" s="286" t="str">
        <f t="shared" ref="A204:A205" si="40">B204</f>
        <v>Sous total</v>
      </c>
      <c r="B204" s="287" t="s">
        <v>713</v>
      </c>
      <c r="C204" s="288"/>
      <c r="D204" s="288"/>
      <c r="E204" s="289"/>
      <c r="F204" s="290">
        <f>SUM(F192:F203)</f>
        <v>0</v>
      </c>
      <c r="G204" s="272">
        <f t="shared" si="39"/>
        <v>0</v>
      </c>
      <c r="H204" s="273"/>
      <c r="I204" s="274"/>
      <c r="J204" s="4"/>
      <c r="K204" s="273"/>
      <c r="L204" s="275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</row>
    <row r="205" ht="9.75" customHeight="1">
      <c r="A205" s="276" t="str">
        <f t="shared" si="40"/>
        <v>Transformateur Basse Tension</v>
      </c>
      <c r="B205" s="194" t="s">
        <v>203</v>
      </c>
      <c r="C205" s="297"/>
      <c r="D205" s="297"/>
      <c r="E205" s="298"/>
      <c r="F205" s="284">
        <f t="shared" ref="F205:F207" si="41">D205*E205</f>
        <v>0</v>
      </c>
      <c r="G205" s="272">
        <f t="shared" si="39"/>
        <v>0</v>
      </c>
      <c r="H205" s="273"/>
      <c r="I205" s="274"/>
      <c r="J205" s="4"/>
      <c r="K205" s="273"/>
      <c r="L205" s="275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</row>
    <row r="206" ht="9.75" customHeight="1">
      <c r="A206" s="280"/>
      <c r="B206" s="115" t="s">
        <v>204</v>
      </c>
      <c r="C206" s="277" t="s">
        <v>32</v>
      </c>
      <c r="D206" s="277"/>
      <c r="E206" s="278">
        <v>14000.0</v>
      </c>
      <c r="F206" s="284">
        <f t="shared" si="41"/>
        <v>0</v>
      </c>
      <c r="G206" s="272">
        <f t="shared" si="39"/>
        <v>0</v>
      </c>
      <c r="H206" s="273"/>
      <c r="I206" s="274"/>
      <c r="J206" s="4"/>
      <c r="K206" s="273"/>
      <c r="L206" s="275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</row>
    <row r="207" ht="9.75" customHeight="1">
      <c r="A207" s="280"/>
      <c r="B207" s="299"/>
      <c r="C207" s="297"/>
      <c r="D207" s="297"/>
      <c r="E207" s="298"/>
      <c r="F207" s="284">
        <f t="shared" si="41"/>
        <v>0</v>
      </c>
      <c r="G207" s="272">
        <f t="shared" si="39"/>
        <v>0</v>
      </c>
      <c r="H207" s="273"/>
      <c r="I207" s="274"/>
      <c r="J207" s="4"/>
      <c r="K207" s="273"/>
      <c r="L207" s="275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</row>
    <row r="208" ht="9.75" customHeight="1">
      <c r="A208" s="286" t="str">
        <f t="shared" ref="A208:A209" si="42">B208</f>
        <v>Sous total</v>
      </c>
      <c r="B208" s="287" t="s">
        <v>713</v>
      </c>
      <c r="C208" s="288"/>
      <c r="D208" s="288"/>
      <c r="E208" s="289"/>
      <c r="F208" s="290">
        <f>SUM(F197:F207)</f>
        <v>0</v>
      </c>
      <c r="G208" s="272">
        <f t="shared" si="39"/>
        <v>0</v>
      </c>
      <c r="H208" s="273"/>
      <c r="I208" s="274"/>
      <c r="J208" s="4"/>
      <c r="K208" s="273"/>
      <c r="L208" s="275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  <c r="Z208" s="4"/>
    </row>
    <row r="209" ht="9.75" customHeight="1">
      <c r="A209" s="276" t="str">
        <f t="shared" si="42"/>
        <v>Tableaux électriques</v>
      </c>
      <c r="B209" s="194" t="s">
        <v>747</v>
      </c>
      <c r="C209" s="277"/>
      <c r="D209" s="277"/>
      <c r="E209" s="278"/>
      <c r="F209" s="279">
        <f>E209*D209</f>
        <v>0</v>
      </c>
      <c r="G209" s="272">
        <f t="shared" si="39"/>
        <v>0</v>
      </c>
      <c r="H209" s="273"/>
      <c r="I209" s="274"/>
      <c r="J209" s="4"/>
      <c r="K209" s="273"/>
      <c r="L209" s="275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</row>
    <row r="210" ht="9.75" customHeight="1">
      <c r="A210" s="280"/>
      <c r="B210" s="110" t="s">
        <v>748</v>
      </c>
      <c r="C210" s="293"/>
      <c r="D210" s="294"/>
      <c r="E210" s="295"/>
      <c r="F210" s="296"/>
      <c r="G210" s="272">
        <f t="shared" si="39"/>
        <v>0</v>
      </c>
      <c r="H210" s="273"/>
      <c r="I210" s="274"/>
      <c r="J210" s="4"/>
      <c r="K210" s="273"/>
      <c r="L210" s="275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</row>
    <row r="211" ht="9.75" customHeight="1">
      <c r="A211" s="280"/>
      <c r="B211" s="115" t="s">
        <v>749</v>
      </c>
      <c r="C211" s="277" t="s">
        <v>34</v>
      </c>
      <c r="D211" s="277"/>
      <c r="E211" s="278">
        <v>40000.0</v>
      </c>
      <c r="F211" s="284">
        <f t="shared" ref="F211:F220" si="43">D211*E211</f>
        <v>0</v>
      </c>
      <c r="G211" s="272">
        <f t="shared" si="39"/>
        <v>0</v>
      </c>
      <c r="H211" s="273">
        <v>43525.0</v>
      </c>
      <c r="I211" s="274">
        <v>165000.0</v>
      </c>
      <c r="J211" s="4"/>
      <c r="K211" s="273"/>
      <c r="L211" s="275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</row>
    <row r="212" ht="9.75" customHeight="1">
      <c r="A212" s="280"/>
      <c r="B212" s="115" t="s">
        <v>750</v>
      </c>
      <c r="C212" s="277" t="s">
        <v>34</v>
      </c>
      <c r="D212" s="277">
        <v>1.0</v>
      </c>
      <c r="E212" s="278">
        <v>165000.0</v>
      </c>
      <c r="F212" s="284">
        <f t="shared" si="43"/>
        <v>165000</v>
      </c>
      <c r="G212" s="272">
        <f t="shared" si="39"/>
        <v>0</v>
      </c>
      <c r="H212" s="273">
        <v>43525.0</v>
      </c>
      <c r="I212" s="274">
        <v>165000.0</v>
      </c>
      <c r="J212" s="4"/>
      <c r="K212" s="273"/>
      <c r="L212" s="275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</row>
    <row r="213" ht="9.75" customHeight="1">
      <c r="A213" s="280"/>
      <c r="B213" s="115" t="s">
        <v>223</v>
      </c>
      <c r="C213" s="277" t="s">
        <v>34</v>
      </c>
      <c r="D213" s="277"/>
      <c r="E213" s="278">
        <v>270000.0</v>
      </c>
      <c r="F213" s="284">
        <f t="shared" si="43"/>
        <v>0</v>
      </c>
      <c r="G213" s="272">
        <f t="shared" si="39"/>
        <v>0</v>
      </c>
      <c r="H213" s="273"/>
      <c r="I213" s="274"/>
      <c r="J213" s="4"/>
      <c r="K213" s="273"/>
      <c r="L213" s="275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</row>
    <row r="214" ht="9.75" customHeight="1">
      <c r="A214" s="280"/>
      <c r="B214" s="115" t="s">
        <v>751</v>
      </c>
      <c r="C214" s="277" t="s">
        <v>34</v>
      </c>
      <c r="D214" s="277"/>
      <c r="E214" s="278">
        <v>39000.0</v>
      </c>
      <c r="F214" s="284">
        <f t="shared" si="43"/>
        <v>0</v>
      </c>
      <c r="G214" s="272">
        <f t="shared" si="39"/>
        <v>0</v>
      </c>
      <c r="H214" s="273">
        <v>43525.0</v>
      </c>
      <c r="I214" s="274">
        <v>39000.0</v>
      </c>
      <c r="J214" s="4"/>
      <c r="K214" s="273"/>
      <c r="L214" s="275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4"/>
      <c r="Y214" s="4"/>
      <c r="Z214" s="4"/>
    </row>
    <row r="215" ht="9.75" customHeight="1">
      <c r="A215" s="280"/>
      <c r="B215" s="115" t="s">
        <v>225</v>
      </c>
      <c r="C215" s="277" t="s">
        <v>34</v>
      </c>
      <c r="D215" s="277"/>
      <c r="E215" s="278">
        <v>42120.0</v>
      </c>
      <c r="F215" s="284">
        <f t="shared" si="43"/>
        <v>0</v>
      </c>
      <c r="G215" s="272">
        <f t="shared" si="39"/>
        <v>0</v>
      </c>
      <c r="H215" s="273"/>
      <c r="I215" s="274"/>
      <c r="J215" s="4"/>
      <c r="K215" s="273"/>
      <c r="L215" s="275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4"/>
    </row>
    <row r="216" ht="9.75" customHeight="1">
      <c r="A216" s="280"/>
      <c r="B216" s="115" t="s">
        <v>226</v>
      </c>
      <c r="C216" s="277" t="s">
        <v>34</v>
      </c>
      <c r="D216" s="277"/>
      <c r="E216" s="278">
        <v>10044.0</v>
      </c>
      <c r="F216" s="284">
        <f t="shared" si="43"/>
        <v>0</v>
      </c>
      <c r="G216" s="272">
        <f t="shared" si="39"/>
        <v>0</v>
      </c>
      <c r="H216" s="273"/>
      <c r="I216" s="274"/>
      <c r="J216" s="4"/>
      <c r="K216" s="273"/>
      <c r="L216" s="275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</row>
    <row r="217" ht="9.75" customHeight="1">
      <c r="A217" s="280"/>
      <c r="B217" s="115" t="s">
        <v>227</v>
      </c>
      <c r="C217" s="277" t="s">
        <v>34</v>
      </c>
      <c r="D217" s="277"/>
      <c r="E217" s="278">
        <v>4608.0</v>
      </c>
      <c r="F217" s="284">
        <f t="shared" si="43"/>
        <v>0</v>
      </c>
      <c r="G217" s="272">
        <f t="shared" si="39"/>
        <v>0</v>
      </c>
      <c r="H217" s="273"/>
      <c r="I217" s="274"/>
      <c r="J217" s="4"/>
      <c r="K217" s="273"/>
      <c r="L217" s="275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</row>
    <row r="218" ht="9.75" customHeight="1">
      <c r="A218" s="280"/>
      <c r="B218" s="115" t="s">
        <v>228</v>
      </c>
      <c r="C218" s="277" t="s">
        <v>34</v>
      </c>
      <c r="D218" s="277"/>
      <c r="E218" s="278">
        <v>3968.0</v>
      </c>
      <c r="F218" s="284">
        <f t="shared" si="43"/>
        <v>0</v>
      </c>
      <c r="G218" s="272">
        <f t="shared" si="39"/>
        <v>0</v>
      </c>
      <c r="H218" s="273"/>
      <c r="I218" s="274"/>
      <c r="J218" s="4"/>
      <c r="K218" s="273"/>
      <c r="L218" s="275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</row>
    <row r="219" ht="9.75" customHeight="1">
      <c r="A219" s="280"/>
      <c r="B219" s="115" t="s">
        <v>229</v>
      </c>
      <c r="C219" s="277" t="s">
        <v>34</v>
      </c>
      <c r="D219" s="277"/>
      <c r="E219" s="278">
        <v>3200.0</v>
      </c>
      <c r="F219" s="284">
        <f t="shared" si="43"/>
        <v>0</v>
      </c>
      <c r="G219" s="272">
        <f t="shared" si="39"/>
        <v>0</v>
      </c>
      <c r="H219" s="273"/>
      <c r="I219" s="274"/>
      <c r="J219" s="4"/>
      <c r="K219" s="273"/>
      <c r="L219" s="275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</row>
    <row r="220" ht="9.75" customHeight="1">
      <c r="A220" s="280"/>
      <c r="B220" s="115" t="s">
        <v>230</v>
      </c>
      <c r="C220" s="277" t="s">
        <v>34</v>
      </c>
      <c r="D220" s="277"/>
      <c r="E220" s="278">
        <v>40000.0</v>
      </c>
      <c r="F220" s="284">
        <f t="shared" si="43"/>
        <v>0</v>
      </c>
      <c r="G220" s="272">
        <f t="shared" si="39"/>
        <v>0</v>
      </c>
      <c r="H220" s="273"/>
      <c r="I220" s="274"/>
      <c r="J220" s="4"/>
      <c r="K220" s="273"/>
      <c r="L220" s="275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4"/>
      <c r="Y220" s="4"/>
      <c r="Z220" s="4"/>
    </row>
    <row r="221" ht="9.75" customHeight="1">
      <c r="A221" s="280"/>
      <c r="B221" s="110" t="s">
        <v>752</v>
      </c>
      <c r="C221" s="293"/>
      <c r="D221" s="294"/>
      <c r="E221" s="295"/>
      <c r="F221" s="296"/>
      <c r="G221" s="272">
        <f t="shared" si="39"/>
        <v>0</v>
      </c>
      <c r="H221" s="273"/>
      <c r="I221" s="274"/>
      <c r="J221" s="4"/>
      <c r="K221" s="273"/>
      <c r="L221" s="275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</row>
    <row r="222" ht="9.75" customHeight="1">
      <c r="A222" s="280"/>
      <c r="B222" s="115" t="s">
        <v>753</v>
      </c>
      <c r="C222" s="277" t="s">
        <v>34</v>
      </c>
      <c r="D222" s="277"/>
      <c r="E222" s="278">
        <v>68000.0</v>
      </c>
      <c r="F222" s="284"/>
      <c r="G222" s="272">
        <f t="shared" si="39"/>
        <v>0</v>
      </c>
      <c r="H222" s="273">
        <v>40179.0</v>
      </c>
      <c r="I222" s="274"/>
      <c r="J222" s="4"/>
      <c r="K222" s="273"/>
      <c r="L222" s="275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</row>
    <row r="223" ht="9.75" customHeight="1">
      <c r="A223" s="280"/>
      <c r="B223" s="115" t="s">
        <v>754</v>
      </c>
      <c r="C223" s="277" t="s">
        <v>34</v>
      </c>
      <c r="D223" s="277"/>
      <c r="E223" s="278">
        <v>160000.0</v>
      </c>
      <c r="F223" s="284"/>
      <c r="G223" s="272">
        <f t="shared" si="39"/>
        <v>0</v>
      </c>
      <c r="H223" s="273"/>
      <c r="I223" s="274"/>
      <c r="J223" s="4"/>
      <c r="K223" s="285">
        <v>160000.0</v>
      </c>
      <c r="L223" s="275">
        <f>K223/6</f>
        <v>26666.66667</v>
      </c>
      <c r="M223" s="4" t="s">
        <v>755</v>
      </c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</row>
    <row r="224" ht="9.75" customHeight="1">
      <c r="A224" s="280"/>
      <c r="B224" s="115" t="s">
        <v>756</v>
      </c>
      <c r="C224" s="277" t="s">
        <v>34</v>
      </c>
      <c r="D224" s="277"/>
      <c r="E224" s="278">
        <v>104000.0</v>
      </c>
      <c r="F224" s="284"/>
      <c r="G224" s="272">
        <f t="shared" si="39"/>
        <v>0</v>
      </c>
      <c r="H224" s="273"/>
      <c r="I224" s="274"/>
      <c r="J224" s="4"/>
      <c r="K224" s="285">
        <v>104000.0</v>
      </c>
      <c r="L224" s="275">
        <f>K224/4</f>
        <v>26000</v>
      </c>
      <c r="M224" s="4" t="s">
        <v>755</v>
      </c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</row>
    <row r="225" ht="9.75" customHeight="1">
      <c r="A225" s="280"/>
      <c r="B225" s="110" t="s">
        <v>231</v>
      </c>
      <c r="C225" s="293"/>
      <c r="D225" s="294"/>
      <c r="E225" s="295"/>
      <c r="F225" s="296"/>
      <c r="G225" s="272">
        <f t="shared" si="39"/>
        <v>0</v>
      </c>
      <c r="H225" s="273"/>
      <c r="I225" s="274"/>
      <c r="J225" s="4"/>
      <c r="K225" s="273"/>
      <c r="L225" s="275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</row>
    <row r="226" ht="9.75" customHeight="1">
      <c r="A226" s="280"/>
      <c r="B226" s="146" t="s">
        <v>232</v>
      </c>
      <c r="C226" s="281" t="s">
        <v>27</v>
      </c>
      <c r="D226" s="282"/>
      <c r="E226" s="283">
        <v>1.4</v>
      </c>
      <c r="F226" s="284">
        <f>E226*D226</f>
        <v>0</v>
      </c>
      <c r="G226" s="272">
        <f t="shared" si="39"/>
        <v>0</v>
      </c>
      <c r="H226" s="273"/>
      <c r="I226" s="274"/>
      <c r="J226" s="4"/>
      <c r="K226" s="273"/>
      <c r="L226" s="275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4"/>
      <c r="Y226" s="4"/>
      <c r="Z226" s="4"/>
    </row>
    <row r="227" ht="9.75" customHeight="1">
      <c r="A227" s="280"/>
      <c r="B227" s="110" t="s">
        <v>241</v>
      </c>
      <c r="C227" s="293"/>
      <c r="D227" s="294"/>
      <c r="E227" s="295"/>
      <c r="F227" s="296"/>
      <c r="G227" s="272">
        <f t="shared" si="39"/>
        <v>0</v>
      </c>
      <c r="H227" s="273"/>
      <c r="I227" s="274"/>
      <c r="J227" s="4"/>
      <c r="K227" s="273"/>
      <c r="L227" s="275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</row>
    <row r="228" ht="9.75" customHeight="1">
      <c r="A228" s="280"/>
      <c r="B228" s="115" t="s">
        <v>242</v>
      </c>
      <c r="C228" s="277" t="s">
        <v>34</v>
      </c>
      <c r="D228" s="277"/>
      <c r="E228" s="278">
        <v>15000.0</v>
      </c>
      <c r="F228" s="284">
        <f>D228*E228</f>
        <v>0</v>
      </c>
      <c r="G228" s="272">
        <f t="shared" si="39"/>
        <v>0</v>
      </c>
      <c r="H228" s="273"/>
      <c r="I228" s="274"/>
      <c r="J228" s="4"/>
      <c r="K228" s="273"/>
      <c r="L228" s="275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4"/>
    </row>
    <row r="229" ht="9.75" customHeight="1">
      <c r="A229" s="280"/>
      <c r="B229" s="110" t="s">
        <v>243</v>
      </c>
      <c r="C229" s="293"/>
      <c r="D229" s="294"/>
      <c r="E229" s="295"/>
      <c r="F229" s="296"/>
      <c r="G229" s="272">
        <f t="shared" si="39"/>
        <v>0</v>
      </c>
      <c r="H229" s="273"/>
      <c r="I229" s="274"/>
      <c r="J229" s="4"/>
      <c r="K229" s="273"/>
      <c r="L229" s="275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  <c r="Z229" s="4"/>
    </row>
    <row r="230" ht="9.75" customHeight="1">
      <c r="A230" s="280"/>
      <c r="B230" s="146" t="s">
        <v>39</v>
      </c>
      <c r="C230" s="281" t="s">
        <v>27</v>
      </c>
      <c r="D230" s="282">
        <f>$D$10</f>
        <v>7170</v>
      </c>
      <c r="E230" s="283">
        <v>5.8</v>
      </c>
      <c r="F230" s="284">
        <f t="shared" ref="F230:F237" si="44">D230*E230</f>
        <v>41586</v>
      </c>
      <c r="G230" s="272">
        <f t="shared" si="39"/>
        <v>0</v>
      </c>
      <c r="H230" s="273">
        <v>43525.0</v>
      </c>
      <c r="I230" s="274">
        <v>5.8</v>
      </c>
      <c r="J230" s="4"/>
      <c r="K230" s="273"/>
      <c r="L230" s="275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</row>
    <row r="231" ht="9.75" customHeight="1">
      <c r="A231" s="280"/>
      <c r="B231" s="115"/>
      <c r="C231" s="277"/>
      <c r="D231" s="277"/>
      <c r="E231" s="278"/>
      <c r="F231" s="284">
        <f t="shared" si="44"/>
        <v>0</v>
      </c>
      <c r="G231" s="272">
        <f t="shared" si="39"/>
        <v>0</v>
      </c>
      <c r="H231" s="273"/>
      <c r="I231" s="274"/>
      <c r="J231" s="4"/>
      <c r="K231" s="273"/>
      <c r="L231" s="275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</row>
    <row r="232" ht="9.75" customHeight="1">
      <c r="A232" s="280"/>
      <c r="B232" s="146" t="s">
        <v>246</v>
      </c>
      <c r="C232" s="281" t="s">
        <v>496</v>
      </c>
      <c r="D232" s="282"/>
      <c r="E232" s="283"/>
      <c r="F232" s="284">
        <f t="shared" si="44"/>
        <v>0</v>
      </c>
      <c r="G232" s="272">
        <f t="shared" si="39"/>
        <v>0</v>
      </c>
      <c r="H232" s="273"/>
      <c r="I232" s="274"/>
      <c r="J232" s="4"/>
      <c r="K232" s="273"/>
      <c r="L232" s="275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/>
      <c r="X232" s="4"/>
      <c r="Y232" s="4"/>
      <c r="Z232" s="4"/>
    </row>
    <row r="233" ht="9.75" customHeight="1">
      <c r="A233" s="280"/>
      <c r="B233" s="115" t="s">
        <v>247</v>
      </c>
      <c r="C233" s="277" t="s">
        <v>34</v>
      </c>
      <c r="D233" s="277"/>
      <c r="E233" s="278">
        <v>5500.0</v>
      </c>
      <c r="F233" s="284">
        <f t="shared" si="44"/>
        <v>0</v>
      </c>
      <c r="G233" s="272">
        <f t="shared" si="39"/>
        <v>0</v>
      </c>
      <c r="H233" s="273"/>
      <c r="I233" s="274"/>
      <c r="J233" s="4"/>
      <c r="K233" s="285">
        <v>9300.0</v>
      </c>
      <c r="L233" s="275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</row>
    <row r="234" ht="9.75" customHeight="1">
      <c r="A234" s="280"/>
      <c r="B234" s="115" t="s">
        <v>248</v>
      </c>
      <c r="C234" s="277" t="s">
        <v>34</v>
      </c>
      <c r="D234" s="277"/>
      <c r="E234" s="278">
        <v>4500.0</v>
      </c>
      <c r="F234" s="284">
        <f t="shared" si="44"/>
        <v>0</v>
      </c>
      <c r="G234" s="272">
        <f t="shared" si="39"/>
        <v>0</v>
      </c>
      <c r="H234" s="273"/>
      <c r="I234" s="274"/>
      <c r="J234" s="4"/>
      <c r="K234" s="273"/>
      <c r="L234" s="275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</row>
    <row r="235" ht="9.75" customHeight="1">
      <c r="A235" s="280"/>
      <c r="B235" s="115" t="s">
        <v>249</v>
      </c>
      <c r="C235" s="277" t="s">
        <v>34</v>
      </c>
      <c r="D235" s="277"/>
      <c r="E235" s="278">
        <v>1300.0</v>
      </c>
      <c r="F235" s="284">
        <f t="shared" si="44"/>
        <v>0</v>
      </c>
      <c r="G235" s="272">
        <f t="shared" si="39"/>
        <v>0</v>
      </c>
      <c r="H235" s="273"/>
      <c r="I235" s="274"/>
      <c r="J235" s="4"/>
      <c r="K235" s="273"/>
      <c r="L235" s="275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4"/>
    </row>
    <row r="236" ht="9.75" customHeight="1">
      <c r="A236" s="280"/>
      <c r="B236" s="115" t="s">
        <v>250</v>
      </c>
      <c r="C236" s="277" t="s">
        <v>34</v>
      </c>
      <c r="D236" s="277"/>
      <c r="E236" s="278">
        <v>3024.0000000000005</v>
      </c>
      <c r="F236" s="284">
        <f t="shared" si="44"/>
        <v>0</v>
      </c>
      <c r="G236" s="272">
        <f t="shared" si="39"/>
        <v>0</v>
      </c>
      <c r="H236" s="273"/>
      <c r="I236" s="274"/>
      <c r="J236" s="4"/>
      <c r="K236" s="273"/>
      <c r="L236" s="275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/>
    </row>
    <row r="237" ht="9.75" customHeight="1">
      <c r="A237" s="280"/>
      <c r="B237" s="115" t="s">
        <v>251</v>
      </c>
      <c r="C237" s="277" t="s">
        <v>34</v>
      </c>
      <c r="D237" s="277"/>
      <c r="E237" s="278">
        <v>5500.0</v>
      </c>
      <c r="F237" s="284">
        <f t="shared" si="44"/>
        <v>0</v>
      </c>
      <c r="G237" s="272">
        <f t="shared" si="39"/>
        <v>0</v>
      </c>
      <c r="H237" s="273"/>
      <c r="I237" s="274"/>
      <c r="J237" s="4"/>
      <c r="K237" s="273"/>
      <c r="L237" s="275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</row>
    <row r="238" ht="9.75" customHeight="1">
      <c r="A238" s="286" t="str">
        <f t="shared" ref="A238:A239" si="45">B238</f>
        <v>Sous total</v>
      </c>
      <c r="B238" s="287" t="s">
        <v>713</v>
      </c>
      <c r="C238" s="288"/>
      <c r="D238" s="288"/>
      <c r="E238" s="289"/>
      <c r="F238" s="290">
        <f>SUM(F211:F237)</f>
        <v>206586</v>
      </c>
      <c r="G238" s="272">
        <f t="shared" si="39"/>
        <v>206586</v>
      </c>
      <c r="H238" s="273"/>
      <c r="I238" s="274"/>
      <c r="J238" s="4"/>
      <c r="K238" s="273"/>
      <c r="L238" s="275"/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4"/>
      <c r="X238" s="4"/>
      <c r="Y238" s="4"/>
      <c r="Z238" s="4"/>
    </row>
    <row r="239" ht="9.75" customHeight="1">
      <c r="A239" s="276" t="str">
        <f t="shared" si="45"/>
        <v>Système DCU</v>
      </c>
      <c r="B239" s="194" t="s">
        <v>757</v>
      </c>
      <c r="C239" s="277"/>
      <c r="D239" s="277"/>
      <c r="E239" s="278"/>
      <c r="F239" s="279"/>
      <c r="G239" s="272">
        <f t="shared" si="39"/>
        <v>0</v>
      </c>
      <c r="H239" s="273"/>
      <c r="I239" s="274"/>
      <c r="J239" s="4"/>
      <c r="K239" s="273"/>
      <c r="L239" s="275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4"/>
      <c r="Y239" s="4"/>
      <c r="Z239" s="4"/>
    </row>
    <row r="240" ht="9.75" customHeight="1">
      <c r="A240" s="280"/>
      <c r="B240" s="146" t="s">
        <v>758</v>
      </c>
      <c r="C240" s="281" t="s">
        <v>759</v>
      </c>
      <c r="D240" s="282">
        <f>$D$10</f>
        <v>7170</v>
      </c>
      <c r="E240" s="283">
        <v>1.2</v>
      </c>
      <c r="F240" s="284">
        <f>E240*D240</f>
        <v>8604</v>
      </c>
      <c r="G240" s="272">
        <f t="shared" si="39"/>
        <v>0</v>
      </c>
      <c r="H240" s="273"/>
      <c r="I240" s="274"/>
      <c r="J240" s="4"/>
      <c r="K240" s="273"/>
      <c r="L240" s="275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4"/>
      <c r="Y240" s="4"/>
      <c r="Z240" s="4"/>
    </row>
    <row r="241" ht="9.75" customHeight="1">
      <c r="A241" s="286" t="str">
        <f t="shared" ref="A241:A242" si="46">B241</f>
        <v>Sous total</v>
      </c>
      <c r="B241" s="287" t="s">
        <v>713</v>
      </c>
      <c r="C241" s="288"/>
      <c r="D241" s="288"/>
      <c r="E241" s="289"/>
      <c r="F241" s="290">
        <f>SUM(F240)</f>
        <v>8604</v>
      </c>
      <c r="G241" s="272">
        <f t="shared" si="39"/>
        <v>8604</v>
      </c>
      <c r="H241" s="273"/>
      <c r="I241" s="274"/>
      <c r="J241" s="4"/>
      <c r="K241" s="273"/>
      <c r="L241" s="275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4"/>
      <c r="Y241" s="4"/>
      <c r="Z241" s="4"/>
    </row>
    <row r="242" ht="9.75" customHeight="1">
      <c r="A242" s="276" t="str">
        <f t="shared" si="46"/>
        <v>Cheminements</v>
      </c>
      <c r="B242" s="194" t="s">
        <v>424</v>
      </c>
      <c r="C242" s="277"/>
      <c r="D242" s="277"/>
      <c r="E242" s="278"/>
      <c r="F242" s="284">
        <f t="shared" ref="F242:F249" si="47">D242*E242</f>
        <v>0</v>
      </c>
      <c r="G242" s="272">
        <f t="shared" si="39"/>
        <v>0</v>
      </c>
      <c r="H242" s="273"/>
      <c r="I242" s="274"/>
      <c r="J242" s="4"/>
      <c r="K242" s="273"/>
      <c r="L242" s="275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</row>
    <row r="243" ht="9.75" customHeight="1">
      <c r="A243" s="280"/>
      <c r="B243" s="146" t="s">
        <v>760</v>
      </c>
      <c r="C243" s="281" t="s">
        <v>27</v>
      </c>
      <c r="D243" s="282">
        <f>$D$10</f>
        <v>7170</v>
      </c>
      <c r="E243" s="283">
        <v>8.1</v>
      </c>
      <c r="F243" s="284">
        <f t="shared" si="47"/>
        <v>58077</v>
      </c>
      <c r="G243" s="272">
        <f t="shared" si="39"/>
        <v>0</v>
      </c>
      <c r="H243" s="300">
        <v>43525.0</v>
      </c>
      <c r="I243" s="274">
        <v>8.1</v>
      </c>
      <c r="J243" s="4"/>
      <c r="K243" s="285">
        <v>105500.0</v>
      </c>
      <c r="L243" s="275">
        <f>K243/$K$11</f>
        <v>14.71408647</v>
      </c>
      <c r="M243" s="4" t="s">
        <v>761</v>
      </c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  <c r="Z243" s="4"/>
    </row>
    <row r="244" ht="9.75" customHeight="1">
      <c r="A244" s="280"/>
      <c r="B244" s="115" t="s">
        <v>263</v>
      </c>
      <c r="C244" s="277" t="s">
        <v>51</v>
      </c>
      <c r="D244" s="277"/>
      <c r="E244" s="278"/>
      <c r="F244" s="284">
        <f t="shared" si="47"/>
        <v>0</v>
      </c>
      <c r="G244" s="272">
        <f t="shared" si="39"/>
        <v>0</v>
      </c>
      <c r="H244" s="273"/>
      <c r="I244" s="274"/>
      <c r="J244" s="4"/>
      <c r="K244" s="273"/>
      <c r="L244" s="275"/>
      <c r="M244" s="4"/>
      <c r="N244" s="4"/>
      <c r="O244" s="4"/>
      <c r="P244" s="4"/>
      <c r="Q244" s="4"/>
      <c r="R244" s="4"/>
      <c r="S244" s="4"/>
      <c r="T244" s="4"/>
      <c r="U244" s="4"/>
      <c r="V244" s="4"/>
      <c r="W244" s="4"/>
      <c r="X244" s="4"/>
      <c r="Y244" s="4"/>
      <c r="Z244" s="4"/>
    </row>
    <row r="245" ht="9.75" customHeight="1">
      <c r="A245" s="280"/>
      <c r="B245" s="115" t="s">
        <v>264</v>
      </c>
      <c r="C245" s="277" t="s">
        <v>51</v>
      </c>
      <c r="D245" s="277"/>
      <c r="E245" s="278">
        <v>25.0</v>
      </c>
      <c r="F245" s="284">
        <f t="shared" si="47"/>
        <v>0</v>
      </c>
      <c r="G245" s="272">
        <f t="shared" si="39"/>
        <v>0</v>
      </c>
      <c r="H245" s="273"/>
      <c r="I245" s="274"/>
      <c r="J245" s="4"/>
      <c r="K245" s="273"/>
      <c r="L245" s="301">
        <v>44.0</v>
      </c>
      <c r="M245" s="4" t="s">
        <v>51</v>
      </c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4"/>
      <c r="Z245" s="4"/>
    </row>
    <row r="246" ht="9.75" customHeight="1">
      <c r="A246" s="280"/>
      <c r="B246" s="115" t="s">
        <v>265</v>
      </c>
      <c r="C246" s="277" t="s">
        <v>51</v>
      </c>
      <c r="D246" s="277"/>
      <c r="E246" s="278">
        <v>21.0</v>
      </c>
      <c r="F246" s="284">
        <f t="shared" si="47"/>
        <v>0</v>
      </c>
      <c r="G246" s="272">
        <f t="shared" si="39"/>
        <v>0</v>
      </c>
      <c r="H246" s="273"/>
      <c r="I246" s="274"/>
      <c r="J246" s="4"/>
      <c r="K246" s="273"/>
      <c r="L246" s="301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  <c r="Z246" s="4"/>
    </row>
    <row r="247" ht="9.75" customHeight="1">
      <c r="A247" s="280"/>
      <c r="B247" s="115" t="s">
        <v>266</v>
      </c>
      <c r="C247" s="277" t="s">
        <v>51</v>
      </c>
      <c r="D247" s="277"/>
      <c r="E247" s="278">
        <v>19.0</v>
      </c>
      <c r="F247" s="284">
        <f t="shared" si="47"/>
        <v>0</v>
      </c>
      <c r="G247" s="272">
        <f t="shared" si="39"/>
        <v>0</v>
      </c>
      <c r="H247" s="273"/>
      <c r="I247" s="274"/>
      <c r="J247" s="4"/>
      <c r="K247" s="273"/>
      <c r="L247" s="301">
        <v>34.0</v>
      </c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  <c r="Z247" s="4"/>
    </row>
    <row r="248" ht="9.75" customHeight="1">
      <c r="A248" s="280"/>
      <c r="B248" s="115" t="s">
        <v>267</v>
      </c>
      <c r="C248" s="277" t="s">
        <v>51</v>
      </c>
      <c r="D248" s="277"/>
      <c r="E248" s="278">
        <v>15.0</v>
      </c>
      <c r="F248" s="284">
        <f t="shared" si="47"/>
        <v>0</v>
      </c>
      <c r="G248" s="272">
        <f t="shared" si="39"/>
        <v>0</v>
      </c>
      <c r="H248" s="273"/>
      <c r="I248" s="274"/>
      <c r="J248" s="4"/>
      <c r="K248" s="273"/>
      <c r="L248" s="301">
        <v>30.0</v>
      </c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  <c r="Z248" s="4"/>
    </row>
    <row r="249" ht="9.75" customHeight="1">
      <c r="A249" s="280"/>
      <c r="B249" s="115" t="s">
        <v>268</v>
      </c>
      <c r="C249" s="277" t="s">
        <v>51</v>
      </c>
      <c r="D249" s="277"/>
      <c r="E249" s="278">
        <v>13.0</v>
      </c>
      <c r="F249" s="284">
        <f t="shared" si="47"/>
        <v>0</v>
      </c>
      <c r="G249" s="272">
        <f t="shared" si="39"/>
        <v>0</v>
      </c>
      <c r="H249" s="273"/>
      <c r="I249" s="274"/>
      <c r="J249" s="4"/>
      <c r="K249" s="273"/>
      <c r="L249" s="301">
        <v>26.0</v>
      </c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  <c r="Z249" s="4"/>
    </row>
    <row r="250" ht="9.75" customHeight="1">
      <c r="A250" s="286" t="str">
        <f t="shared" ref="A250:A251" si="48">B250</f>
        <v>Sous total</v>
      </c>
      <c r="B250" s="287" t="s">
        <v>713</v>
      </c>
      <c r="C250" s="288"/>
      <c r="D250" s="288"/>
      <c r="E250" s="289"/>
      <c r="F250" s="290">
        <f>SUM(F243:F244)</f>
        <v>58077</v>
      </c>
      <c r="G250" s="272">
        <f t="shared" si="39"/>
        <v>58077</v>
      </c>
      <c r="H250" s="273"/>
      <c r="I250" s="274"/>
      <c r="J250" s="4"/>
      <c r="K250" s="273"/>
      <c r="L250" s="275"/>
      <c r="M250" s="4"/>
      <c r="N250" s="4"/>
      <c r="O250" s="4"/>
      <c r="P250" s="4"/>
      <c r="Q250" s="4"/>
      <c r="R250" s="4"/>
      <c r="S250" s="4"/>
      <c r="T250" s="4"/>
      <c r="U250" s="4"/>
      <c r="V250" s="4"/>
      <c r="W250" s="4"/>
      <c r="X250" s="4"/>
      <c r="Y250" s="4"/>
      <c r="Z250" s="4"/>
    </row>
    <row r="251" ht="9.75" customHeight="1">
      <c r="A251" s="276" t="str">
        <f t="shared" si="48"/>
        <v>Alimentations</v>
      </c>
      <c r="B251" s="194" t="s">
        <v>762</v>
      </c>
      <c r="C251" s="297"/>
      <c r="D251" s="297"/>
      <c r="E251" s="298"/>
      <c r="F251" s="302"/>
      <c r="G251" s="272">
        <f t="shared" si="39"/>
        <v>0</v>
      </c>
      <c r="H251" s="273"/>
      <c r="I251" s="274"/>
      <c r="J251" s="4"/>
      <c r="K251" s="273"/>
      <c r="L251" s="275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4"/>
      <c r="Y251" s="4"/>
      <c r="Z251" s="4"/>
    </row>
    <row r="252" ht="9.75" customHeight="1">
      <c r="A252" s="282"/>
      <c r="B252" s="146" t="s">
        <v>39</v>
      </c>
      <c r="C252" s="281" t="s">
        <v>27</v>
      </c>
      <c r="D252" s="282"/>
      <c r="E252" s="283"/>
      <c r="F252" s="284">
        <f t="shared" ref="F252:F256" si="49">D252*E252</f>
        <v>0</v>
      </c>
      <c r="G252" s="272"/>
      <c r="H252" s="273"/>
      <c r="I252" s="274"/>
      <c r="J252" s="4"/>
      <c r="K252" s="273"/>
      <c r="L252" s="275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4"/>
      <c r="Y252" s="4"/>
      <c r="Z252" s="4"/>
    </row>
    <row r="253" ht="9.75" customHeight="1">
      <c r="A253" s="303"/>
      <c r="B253" s="158" t="s">
        <v>763</v>
      </c>
      <c r="C253" s="304" t="s">
        <v>27</v>
      </c>
      <c r="D253" s="305"/>
      <c r="E253" s="306">
        <v>6.9</v>
      </c>
      <c r="F253" s="284">
        <f t="shared" si="49"/>
        <v>0</v>
      </c>
      <c r="G253" s="272">
        <f t="shared" ref="G253:G256" si="50">IF($B253="Sous total",$F253,0)</f>
        <v>0</v>
      </c>
      <c r="H253" s="273">
        <v>43525.0</v>
      </c>
      <c r="I253" s="274">
        <v>6.9</v>
      </c>
      <c r="J253" s="4"/>
      <c r="K253" s="273"/>
      <c r="L253" s="275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4"/>
      <c r="Y253" s="4"/>
      <c r="Z253" s="4"/>
    </row>
    <row r="254" ht="9.75" customHeight="1">
      <c r="A254" s="303"/>
      <c r="B254" s="158" t="s">
        <v>764</v>
      </c>
      <c r="C254" s="304" t="s">
        <v>27</v>
      </c>
      <c r="D254" s="305"/>
      <c r="E254" s="306">
        <v>3.6</v>
      </c>
      <c r="F254" s="284">
        <f t="shared" si="49"/>
        <v>0</v>
      </c>
      <c r="G254" s="272">
        <f t="shared" si="50"/>
        <v>0</v>
      </c>
      <c r="H254" s="273">
        <v>43525.0</v>
      </c>
      <c r="I254" s="274">
        <v>3.6</v>
      </c>
      <c r="J254" s="4"/>
      <c r="K254" s="273"/>
      <c r="L254" s="275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  <c r="Z254" s="4"/>
    </row>
    <row r="255" ht="9.75" customHeight="1">
      <c r="A255" s="303"/>
      <c r="B255" s="158" t="s">
        <v>254</v>
      </c>
      <c r="C255" s="304" t="s">
        <v>27</v>
      </c>
      <c r="D255" s="305"/>
      <c r="E255" s="306">
        <v>3.6</v>
      </c>
      <c r="F255" s="284">
        <f t="shared" si="49"/>
        <v>0</v>
      </c>
      <c r="G255" s="272">
        <f t="shared" si="50"/>
        <v>0</v>
      </c>
      <c r="H255" s="273"/>
      <c r="I255" s="274"/>
      <c r="J255" s="4"/>
      <c r="K255" s="285">
        <v>32217.0</v>
      </c>
      <c r="L255" s="275">
        <f t="shared" ref="L255:L256" si="51">K255/$K$11</f>
        <v>4.493305439</v>
      </c>
      <c r="M255" s="4" t="s">
        <v>761</v>
      </c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4"/>
      <c r="Y255" s="4"/>
      <c r="Z255" s="4"/>
    </row>
    <row r="256" ht="9.75" customHeight="1">
      <c r="A256" s="303"/>
      <c r="B256" s="158" t="s">
        <v>765</v>
      </c>
      <c r="C256" s="304" t="s">
        <v>27</v>
      </c>
      <c r="D256" s="305"/>
      <c r="E256" s="306">
        <v>14.0</v>
      </c>
      <c r="F256" s="284">
        <f t="shared" si="49"/>
        <v>0</v>
      </c>
      <c r="G256" s="272">
        <f t="shared" si="50"/>
        <v>0</v>
      </c>
      <c r="H256" s="273"/>
      <c r="I256" s="274"/>
      <c r="J256" s="4"/>
      <c r="K256" s="285">
        <f>65000-K255</f>
        <v>32783</v>
      </c>
      <c r="L256" s="275">
        <f t="shared" si="51"/>
        <v>4.572245467</v>
      </c>
      <c r="M256" s="4" t="s">
        <v>761</v>
      </c>
      <c r="N256" s="4"/>
      <c r="O256" s="4"/>
      <c r="P256" s="4"/>
      <c r="Q256" s="4"/>
      <c r="R256" s="4"/>
      <c r="S256" s="4"/>
      <c r="T256" s="4"/>
      <c r="U256" s="4"/>
      <c r="V256" s="4"/>
      <c r="W256" s="4"/>
      <c r="X256" s="4"/>
      <c r="Y256" s="4"/>
      <c r="Z256" s="4"/>
    </row>
    <row r="257" ht="9.75" customHeight="1">
      <c r="A257" s="4"/>
      <c r="B257" s="4"/>
      <c r="C257" s="4"/>
      <c r="D257" s="4"/>
      <c r="E257" s="4"/>
      <c r="F257" s="4"/>
      <c r="G257" s="4"/>
      <c r="H257" s="4"/>
      <c r="I257" s="4"/>
      <c r="J257" s="4"/>
      <c r="K257" s="4"/>
      <c r="L257" s="307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4"/>
      <c r="Y257" s="4"/>
      <c r="Z257" s="4"/>
    </row>
    <row r="258" ht="9.75" customHeight="1">
      <c r="A258" s="303"/>
      <c r="B258" s="158" t="s">
        <v>766</v>
      </c>
      <c r="C258" s="304" t="s">
        <v>27</v>
      </c>
      <c r="D258" s="305"/>
      <c r="E258" s="306">
        <v>7.0</v>
      </c>
      <c r="F258" s="284">
        <f t="shared" ref="F258:F260" si="52">D258*E258</f>
        <v>0</v>
      </c>
      <c r="G258" s="272">
        <f t="shared" ref="G258:G259" si="53">IF($B258="Sous total",$F258,0)</f>
        <v>0</v>
      </c>
      <c r="H258" s="273"/>
      <c r="I258" s="274"/>
      <c r="J258" s="4"/>
      <c r="K258" s="273"/>
      <c r="L258" s="275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  <c r="Z258" s="4"/>
    </row>
    <row r="259" ht="9.75" customHeight="1">
      <c r="A259" s="303"/>
      <c r="B259" s="158" t="s">
        <v>766</v>
      </c>
      <c r="C259" s="304" t="s">
        <v>27</v>
      </c>
      <c r="D259" s="305"/>
      <c r="E259" s="306">
        <v>3.5</v>
      </c>
      <c r="F259" s="284">
        <f t="shared" si="52"/>
        <v>0</v>
      </c>
      <c r="G259" s="272">
        <f t="shared" si="53"/>
        <v>0</v>
      </c>
      <c r="H259" s="273"/>
      <c r="I259" s="274"/>
      <c r="J259" s="4"/>
      <c r="K259" s="273"/>
      <c r="L259" s="275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4"/>
      <c r="Y259" s="4"/>
      <c r="Z259" s="4"/>
    </row>
    <row r="260" ht="9.75" customHeight="1">
      <c r="A260" s="282"/>
      <c r="B260" s="146" t="s">
        <v>246</v>
      </c>
      <c r="C260" s="281"/>
      <c r="D260" s="282"/>
      <c r="E260" s="283"/>
      <c r="F260" s="284">
        <f t="shared" si="52"/>
        <v>0</v>
      </c>
      <c r="G260" s="272"/>
      <c r="H260" s="273"/>
      <c r="I260" s="274"/>
      <c r="J260" s="4"/>
      <c r="K260" s="273"/>
      <c r="L260" s="275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4"/>
      <c r="Y260" s="4"/>
      <c r="Z260" s="4"/>
    </row>
    <row r="261" ht="9.75" customHeight="1">
      <c r="A261" s="293"/>
      <c r="B261" s="110" t="s">
        <v>767</v>
      </c>
      <c r="C261" s="293"/>
      <c r="D261" s="294"/>
      <c r="E261" s="295"/>
      <c r="F261" s="296"/>
      <c r="G261" s="272">
        <f>IF($B261="Sous total",$F261,0)</f>
        <v>0</v>
      </c>
      <c r="H261" s="273"/>
      <c r="I261" s="274"/>
      <c r="J261" s="4"/>
      <c r="K261" s="273"/>
      <c r="L261" s="275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4"/>
      <c r="Y261" s="4"/>
      <c r="Z261" s="4"/>
    </row>
    <row r="262" ht="9.75" customHeight="1">
      <c r="A262" s="280"/>
      <c r="B262" s="120" t="s">
        <v>768</v>
      </c>
      <c r="C262" s="308" t="s">
        <v>51</v>
      </c>
      <c r="D262" s="277"/>
      <c r="E262" s="309">
        <v>40.0</v>
      </c>
      <c r="F262" s="284">
        <f t="shared" ref="F262:F276" si="54">D262*E262</f>
        <v>0</v>
      </c>
      <c r="G262" s="272"/>
      <c r="H262" s="273"/>
      <c r="I262" s="274"/>
      <c r="J262" s="4"/>
      <c r="K262" s="273"/>
      <c r="L262" s="275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4"/>
      <c r="Y262" s="4"/>
      <c r="Z262" s="4"/>
    </row>
    <row r="263" ht="9.75" customHeight="1">
      <c r="A263" s="293"/>
      <c r="B263" s="110" t="s">
        <v>769</v>
      </c>
      <c r="C263" s="293"/>
      <c r="D263" s="294"/>
      <c r="E263" s="295"/>
      <c r="F263" s="284">
        <f t="shared" si="54"/>
        <v>0</v>
      </c>
      <c r="G263" s="272">
        <f>IF($B263="Sous total",$F263,0)</f>
        <v>0</v>
      </c>
      <c r="H263" s="273"/>
      <c r="I263" s="274"/>
      <c r="J263" s="4"/>
      <c r="K263" s="273"/>
      <c r="L263" s="275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4"/>
      <c r="Y263" s="4"/>
      <c r="Z263" s="4"/>
    </row>
    <row r="264" ht="9.75" customHeight="1">
      <c r="A264" s="280"/>
      <c r="B264" s="120" t="s">
        <v>770</v>
      </c>
      <c r="C264" s="308" t="s">
        <v>51</v>
      </c>
      <c r="D264" s="277"/>
      <c r="E264" s="278">
        <v>100.0</v>
      </c>
      <c r="F264" s="284">
        <f t="shared" si="54"/>
        <v>0</v>
      </c>
      <c r="G264" s="272"/>
      <c r="H264" s="273"/>
      <c r="I264" s="274"/>
      <c r="J264" s="4"/>
      <c r="K264" s="273"/>
      <c r="L264" s="275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4"/>
      <c r="Y264" s="4"/>
      <c r="Z264" s="4"/>
    </row>
    <row r="265" ht="9.75" customHeight="1">
      <c r="A265" s="293"/>
      <c r="B265" s="110" t="s">
        <v>771</v>
      </c>
      <c r="C265" s="293"/>
      <c r="D265" s="294"/>
      <c r="E265" s="295"/>
      <c r="F265" s="284">
        <f t="shared" si="54"/>
        <v>0</v>
      </c>
      <c r="G265" s="272">
        <f>IF($B265="Sous total",$F265,0)</f>
        <v>0</v>
      </c>
      <c r="H265" s="273"/>
      <c r="I265" s="274"/>
      <c r="J265" s="4"/>
      <c r="K265" s="273"/>
      <c r="L265" s="275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4"/>
      <c r="Y265" s="4"/>
      <c r="Z265" s="4"/>
    </row>
    <row r="266" ht="9.75" customHeight="1">
      <c r="A266" s="280"/>
      <c r="B266" s="120" t="s">
        <v>772</v>
      </c>
      <c r="C266" s="308" t="s">
        <v>51</v>
      </c>
      <c r="D266" s="277"/>
      <c r="E266" s="278">
        <v>100.0</v>
      </c>
      <c r="F266" s="284">
        <f t="shared" si="54"/>
        <v>0</v>
      </c>
      <c r="G266" s="272">
        <f t="shared" ref="G266:G267" si="55">IF($A266="Sous total",$E266,0)</f>
        <v>0</v>
      </c>
      <c r="H266" s="273"/>
      <c r="I266" s="274"/>
      <c r="J266" s="4"/>
      <c r="K266" s="273"/>
      <c r="L266" s="275"/>
      <c r="M266" s="4"/>
      <c r="N266" s="4"/>
      <c r="O266" s="4"/>
      <c r="P266" s="4"/>
      <c r="Q266" s="4"/>
      <c r="R266" s="4"/>
      <c r="S266" s="4"/>
      <c r="T266" s="4"/>
      <c r="U266" s="4"/>
      <c r="V266" s="4"/>
      <c r="W266" s="4"/>
      <c r="X266" s="4"/>
      <c r="Y266" s="4"/>
      <c r="Z266" s="4"/>
    </row>
    <row r="267" ht="9.75" customHeight="1">
      <c r="A267" s="280"/>
      <c r="B267" s="120" t="s">
        <v>773</v>
      </c>
      <c r="C267" s="308" t="s">
        <v>51</v>
      </c>
      <c r="D267" s="277"/>
      <c r="E267" s="278">
        <v>45.0</v>
      </c>
      <c r="F267" s="284">
        <f t="shared" si="54"/>
        <v>0</v>
      </c>
      <c r="G267" s="272">
        <f t="shared" si="55"/>
        <v>0</v>
      </c>
      <c r="H267" s="273"/>
      <c r="I267" s="274"/>
      <c r="J267" s="4"/>
      <c r="K267" s="273"/>
      <c r="L267" s="275"/>
      <c r="M267" s="4"/>
      <c r="N267" s="4"/>
      <c r="O267" s="4"/>
      <c r="P267" s="4"/>
      <c r="Q267" s="4"/>
      <c r="R267" s="4"/>
      <c r="S267" s="4"/>
      <c r="T267" s="4"/>
      <c r="U267" s="4"/>
      <c r="V267" s="4"/>
      <c r="W267" s="4"/>
      <c r="X267" s="4"/>
      <c r="Y267" s="4"/>
      <c r="Z267" s="4"/>
    </row>
    <row r="268" ht="9.75" customHeight="1">
      <c r="A268" s="276"/>
      <c r="B268" s="120" t="s">
        <v>774</v>
      </c>
      <c r="C268" s="308" t="s">
        <v>51</v>
      </c>
      <c r="D268" s="277"/>
      <c r="E268" s="278">
        <v>20.0</v>
      </c>
      <c r="F268" s="284">
        <f t="shared" si="54"/>
        <v>0</v>
      </c>
      <c r="G268" s="272"/>
      <c r="H268" s="273"/>
      <c r="I268" s="274"/>
      <c r="J268" s="4"/>
      <c r="K268" s="273"/>
      <c r="L268" s="275"/>
      <c r="M268" s="4"/>
      <c r="N268" s="4"/>
      <c r="O268" s="4"/>
      <c r="P268" s="4"/>
      <c r="Q268" s="4"/>
      <c r="R268" s="4"/>
      <c r="S268" s="4"/>
      <c r="T268" s="4"/>
      <c r="U268" s="4"/>
      <c r="V268" s="4"/>
      <c r="W268" s="4"/>
      <c r="X268" s="4"/>
      <c r="Y268" s="4"/>
      <c r="Z268" s="4"/>
    </row>
    <row r="269" ht="9.75" customHeight="1">
      <c r="A269" s="276"/>
      <c r="B269" s="120" t="s">
        <v>775</v>
      </c>
      <c r="C269" s="308" t="s">
        <v>34</v>
      </c>
      <c r="D269" s="277"/>
      <c r="E269" s="278">
        <f>50*15</f>
        <v>750</v>
      </c>
      <c r="F269" s="284">
        <f t="shared" si="54"/>
        <v>0</v>
      </c>
      <c r="G269" s="272"/>
      <c r="H269" s="273"/>
      <c r="I269" s="274"/>
      <c r="J269" s="4"/>
      <c r="K269" s="273"/>
      <c r="L269" s="275"/>
      <c r="M269" s="4"/>
      <c r="N269" s="4"/>
      <c r="O269" s="4"/>
      <c r="P269" s="4"/>
      <c r="Q269" s="4"/>
      <c r="R269" s="4"/>
      <c r="S269" s="4"/>
      <c r="T269" s="4"/>
      <c r="U269" s="4"/>
      <c r="V269" s="4"/>
      <c r="W269" s="4"/>
      <c r="X269" s="4"/>
      <c r="Y269" s="4"/>
      <c r="Z269" s="4"/>
    </row>
    <row r="270" ht="9.75" customHeight="1">
      <c r="A270" s="293"/>
      <c r="B270" s="110" t="s">
        <v>776</v>
      </c>
      <c r="C270" s="293"/>
      <c r="D270" s="294"/>
      <c r="E270" s="295"/>
      <c r="F270" s="284">
        <f t="shared" si="54"/>
        <v>0</v>
      </c>
      <c r="G270" s="272">
        <f>IF($B270="Sous total",$F270,0)</f>
        <v>0</v>
      </c>
      <c r="H270" s="273"/>
      <c r="I270" s="274"/>
      <c r="J270" s="4"/>
      <c r="K270" s="273"/>
      <c r="L270" s="275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  <c r="Y270" s="4"/>
      <c r="Z270" s="4"/>
    </row>
    <row r="271" ht="9.75" customHeight="1">
      <c r="A271" s="280"/>
      <c r="B271" s="120" t="s">
        <v>777</v>
      </c>
      <c r="C271" s="308" t="s">
        <v>51</v>
      </c>
      <c r="D271" s="277"/>
      <c r="E271" s="278">
        <v>45.0</v>
      </c>
      <c r="F271" s="284">
        <f t="shared" si="54"/>
        <v>0</v>
      </c>
      <c r="G271" s="272"/>
      <c r="H271" s="273"/>
      <c r="I271" s="274"/>
      <c r="J271" s="4"/>
      <c r="K271" s="273"/>
      <c r="L271" s="275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4"/>
      <c r="Y271" s="4"/>
      <c r="Z271" s="4"/>
    </row>
    <row r="272" ht="9.75" customHeight="1">
      <c r="A272" s="280"/>
      <c r="B272" s="120" t="s">
        <v>778</v>
      </c>
      <c r="C272" s="308" t="s">
        <v>51</v>
      </c>
      <c r="D272" s="277"/>
      <c r="E272" s="278">
        <v>20.0</v>
      </c>
      <c r="F272" s="284">
        <f t="shared" si="54"/>
        <v>0</v>
      </c>
      <c r="G272" s="272"/>
      <c r="H272" s="273"/>
      <c r="I272" s="274"/>
      <c r="J272" s="4"/>
      <c r="K272" s="273"/>
      <c r="L272" s="275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4"/>
      <c r="Y272" s="4"/>
      <c r="Z272" s="4"/>
    </row>
    <row r="273" ht="9.75" customHeight="1">
      <c r="A273" s="280"/>
      <c r="B273" s="120" t="s">
        <v>779</v>
      </c>
      <c r="C273" s="308" t="s">
        <v>51</v>
      </c>
      <c r="D273" s="277"/>
      <c r="E273" s="278">
        <v>15.0</v>
      </c>
      <c r="F273" s="284">
        <f t="shared" si="54"/>
        <v>0</v>
      </c>
      <c r="G273" s="272"/>
      <c r="H273" s="273"/>
      <c r="I273" s="274"/>
      <c r="J273" s="4"/>
      <c r="K273" s="273"/>
      <c r="L273" s="275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4"/>
      <c r="Y273" s="4"/>
      <c r="Z273" s="4"/>
    </row>
    <row r="274" ht="9.75" customHeight="1">
      <c r="A274" s="293"/>
      <c r="B274" s="110" t="s">
        <v>780</v>
      </c>
      <c r="C274" s="293"/>
      <c r="D274" s="294"/>
      <c r="E274" s="295"/>
      <c r="F274" s="284">
        <f t="shared" si="54"/>
        <v>0</v>
      </c>
      <c r="G274" s="272">
        <f>IF($B274="Sous total",$F274,0)</f>
        <v>0</v>
      </c>
      <c r="H274" s="273"/>
      <c r="I274" s="274"/>
      <c r="J274" s="4"/>
      <c r="K274" s="273"/>
      <c r="L274" s="275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4"/>
      <c r="Y274" s="4"/>
      <c r="Z274" s="4"/>
    </row>
    <row r="275" ht="9.75" customHeight="1">
      <c r="A275" s="276"/>
      <c r="B275" s="120" t="s">
        <v>328</v>
      </c>
      <c r="C275" s="308" t="s">
        <v>51</v>
      </c>
      <c r="D275" s="277"/>
      <c r="E275" s="278"/>
      <c r="F275" s="284">
        <f t="shared" si="54"/>
        <v>0</v>
      </c>
      <c r="G275" s="272"/>
      <c r="H275" s="273"/>
      <c r="I275" s="274"/>
      <c r="J275" s="4"/>
      <c r="K275" s="273"/>
      <c r="L275" s="275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4"/>
      <c r="Y275" s="4"/>
      <c r="Z275" s="4"/>
    </row>
    <row r="276" ht="9.75" customHeight="1">
      <c r="A276" s="276"/>
      <c r="B276" s="120" t="s">
        <v>781</v>
      </c>
      <c r="C276" s="308" t="s">
        <v>34</v>
      </c>
      <c r="D276" s="277"/>
      <c r="E276" s="278">
        <f>7*70</f>
        <v>490</v>
      </c>
      <c r="F276" s="284">
        <f t="shared" si="54"/>
        <v>0</v>
      </c>
      <c r="G276" s="272"/>
      <c r="H276" s="273"/>
      <c r="I276" s="274"/>
      <c r="J276" s="4"/>
      <c r="K276" s="273"/>
      <c r="L276" s="275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4"/>
      <c r="Y276" s="4"/>
      <c r="Z276" s="4"/>
    </row>
    <row r="277" ht="9.75" customHeight="1">
      <c r="A277" s="286" t="str">
        <f t="shared" ref="A277:A278" si="56">B277</f>
        <v>Sous total</v>
      </c>
      <c r="B277" s="287" t="s">
        <v>713</v>
      </c>
      <c r="C277" s="288"/>
      <c r="D277" s="288"/>
      <c r="E277" s="289"/>
      <c r="F277" s="290">
        <f>SUM(F251:F276)</f>
        <v>0</v>
      </c>
      <c r="G277" s="272">
        <f t="shared" ref="G277:G280" si="57">IF($B277="Sous total",$F277,0)</f>
        <v>0</v>
      </c>
      <c r="H277" s="273"/>
      <c r="I277" s="274"/>
      <c r="J277" s="4"/>
      <c r="K277" s="273"/>
      <c r="L277" s="275"/>
      <c r="M277" s="4"/>
      <c r="N277" s="4"/>
      <c r="O277" s="4"/>
      <c r="P277" s="4"/>
      <c r="Q277" s="4"/>
      <c r="R277" s="4"/>
      <c r="S277" s="4"/>
      <c r="T277" s="4"/>
      <c r="U277" s="4"/>
      <c r="V277" s="4"/>
      <c r="W277" s="4"/>
      <c r="X277" s="4"/>
      <c r="Y277" s="4"/>
      <c r="Z277" s="4"/>
    </row>
    <row r="278" ht="9.75" customHeight="1">
      <c r="A278" s="276" t="str">
        <f t="shared" si="56"/>
        <v>Appareillage</v>
      </c>
      <c r="B278" s="194" t="s">
        <v>275</v>
      </c>
      <c r="C278" s="277"/>
      <c r="D278" s="277"/>
      <c r="E278" s="278"/>
      <c r="F278" s="279"/>
      <c r="G278" s="272">
        <f t="shared" si="57"/>
        <v>0</v>
      </c>
      <c r="H278" s="273"/>
      <c r="I278" s="274"/>
      <c r="J278" s="4"/>
      <c r="K278" s="273"/>
      <c r="L278" s="275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4"/>
      <c r="Y278" s="4"/>
      <c r="Z278" s="4"/>
    </row>
    <row r="279" ht="9.75" customHeight="1">
      <c r="A279" s="280"/>
      <c r="B279" s="146" t="s">
        <v>782</v>
      </c>
      <c r="C279" s="281" t="s">
        <v>27</v>
      </c>
      <c r="D279" s="282">
        <f>D10</f>
        <v>7170</v>
      </c>
      <c r="E279" s="283">
        <v>3.1</v>
      </c>
      <c r="F279" s="284">
        <f t="shared" ref="F279:F299" si="58">D279*E279</f>
        <v>22227</v>
      </c>
      <c r="G279" s="272">
        <f t="shared" si="57"/>
        <v>0</v>
      </c>
      <c r="H279" s="273">
        <v>43525.0</v>
      </c>
      <c r="I279" s="274">
        <v>3.1</v>
      </c>
      <c r="J279" s="4"/>
      <c r="K279" s="285">
        <f>51000-24500</f>
        <v>26500</v>
      </c>
      <c r="L279" s="275">
        <f>K279/$K$11</f>
        <v>3.69595537</v>
      </c>
      <c r="M279" s="4" t="s">
        <v>761</v>
      </c>
      <c r="N279" s="4"/>
      <c r="O279" s="4"/>
      <c r="P279" s="4"/>
      <c r="Q279" s="4"/>
      <c r="R279" s="4"/>
      <c r="S279" s="4"/>
      <c r="T279" s="4"/>
      <c r="U279" s="4"/>
      <c r="V279" s="4"/>
      <c r="W279" s="4"/>
      <c r="X279" s="4"/>
      <c r="Y279" s="4"/>
      <c r="Z279" s="4"/>
    </row>
    <row r="280" ht="9.75" customHeight="1">
      <c r="A280" s="280"/>
      <c r="B280" s="115"/>
      <c r="C280" s="277"/>
      <c r="D280" s="277"/>
      <c r="E280" s="278"/>
      <c r="F280" s="284">
        <f t="shared" si="58"/>
        <v>0</v>
      </c>
      <c r="G280" s="272">
        <f t="shared" si="57"/>
        <v>0</v>
      </c>
      <c r="H280" s="273"/>
      <c r="I280" s="274"/>
      <c r="J280" s="4"/>
      <c r="K280" s="273"/>
      <c r="L280" s="275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4"/>
      <c r="Y280" s="4"/>
      <c r="Z280" s="4"/>
    </row>
    <row r="281" ht="9.75" customHeight="1">
      <c r="A281" s="280"/>
      <c r="B281" s="115" t="s">
        <v>783</v>
      </c>
      <c r="C281" s="277" t="s">
        <v>34</v>
      </c>
      <c r="D281" s="277"/>
      <c r="E281" s="278">
        <v>138.0</v>
      </c>
      <c r="F281" s="284">
        <f t="shared" si="58"/>
        <v>0</v>
      </c>
      <c r="G281" s="272"/>
      <c r="H281" s="273"/>
      <c r="I281" s="274"/>
      <c r="J281" s="4"/>
      <c r="K281" s="273"/>
      <c r="L281" s="275"/>
      <c r="M281" s="4"/>
      <c r="N281" s="4"/>
      <c r="O281" s="4"/>
      <c r="P281" s="4"/>
      <c r="Q281" s="4"/>
      <c r="R281" s="4"/>
      <c r="S281" s="4"/>
      <c r="T281" s="4"/>
      <c r="U281" s="4"/>
      <c r="V281" s="4"/>
      <c r="W281" s="4"/>
      <c r="X281" s="4"/>
      <c r="Y281" s="4"/>
      <c r="Z281" s="4"/>
    </row>
    <row r="282" ht="9.75" customHeight="1">
      <c r="A282" s="280"/>
      <c r="B282" s="115" t="s">
        <v>784</v>
      </c>
      <c r="C282" s="277" t="s">
        <v>34</v>
      </c>
      <c r="D282" s="277"/>
      <c r="E282" s="278">
        <v>55.0</v>
      </c>
      <c r="F282" s="284">
        <f t="shared" si="58"/>
        <v>0</v>
      </c>
      <c r="G282" s="272"/>
      <c r="H282" s="273"/>
      <c r="I282" s="274"/>
      <c r="J282" s="4"/>
      <c r="K282" s="273"/>
      <c r="L282" s="275"/>
      <c r="M282" s="4"/>
      <c r="N282" s="4"/>
      <c r="O282" s="4"/>
      <c r="P282" s="4"/>
      <c r="Q282" s="4"/>
      <c r="R282" s="4"/>
      <c r="S282" s="4"/>
      <c r="T282" s="4"/>
      <c r="U282" s="4"/>
      <c r="V282" s="4"/>
      <c r="W282" s="4"/>
      <c r="X282" s="4"/>
      <c r="Y282" s="4"/>
      <c r="Z282" s="4"/>
    </row>
    <row r="283" ht="9.75" customHeight="1">
      <c r="A283" s="280"/>
      <c r="B283" s="115" t="s">
        <v>785</v>
      </c>
      <c r="C283" s="277" t="s">
        <v>34</v>
      </c>
      <c r="D283" s="277"/>
      <c r="E283" s="278">
        <v>55.0</v>
      </c>
      <c r="F283" s="284">
        <f t="shared" si="58"/>
        <v>0</v>
      </c>
      <c r="G283" s="4"/>
      <c r="H283" s="4"/>
      <c r="I283" s="4"/>
      <c r="J283" s="4"/>
      <c r="K283" s="4"/>
      <c r="L283" s="307"/>
      <c r="M283" s="4"/>
      <c r="N283" s="4"/>
      <c r="O283" s="4"/>
      <c r="P283" s="4"/>
      <c r="Q283" s="4"/>
      <c r="R283" s="4"/>
      <c r="S283" s="4"/>
      <c r="T283" s="4"/>
      <c r="U283" s="4"/>
      <c r="V283" s="4"/>
      <c r="W283" s="4"/>
      <c r="X283" s="4"/>
      <c r="Y283" s="4"/>
      <c r="Z283" s="4"/>
    </row>
    <row r="284" ht="9.75" customHeight="1">
      <c r="A284" s="280"/>
      <c r="B284" s="115" t="s">
        <v>786</v>
      </c>
      <c r="C284" s="277" t="s">
        <v>34</v>
      </c>
      <c r="D284" s="277"/>
      <c r="E284" s="278">
        <v>57.0</v>
      </c>
      <c r="F284" s="284">
        <f t="shared" si="58"/>
        <v>0</v>
      </c>
      <c r="G284" s="272"/>
      <c r="H284" s="273"/>
      <c r="I284" s="274"/>
      <c r="J284" s="4"/>
      <c r="K284" s="273"/>
      <c r="L284" s="275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4"/>
      <c r="Y284" s="4"/>
      <c r="Z284" s="4"/>
    </row>
    <row r="285" ht="9.75" customHeight="1">
      <c r="A285" s="280"/>
      <c r="B285" s="115" t="s">
        <v>787</v>
      </c>
      <c r="C285" s="277" t="s">
        <v>34</v>
      </c>
      <c r="D285" s="277"/>
      <c r="E285" s="278">
        <v>120.0</v>
      </c>
      <c r="F285" s="284">
        <f t="shared" si="58"/>
        <v>0</v>
      </c>
      <c r="G285" s="272"/>
      <c r="H285" s="273"/>
      <c r="I285" s="274"/>
      <c r="J285" s="4"/>
      <c r="K285" s="273"/>
      <c r="L285" s="275"/>
      <c r="M285" s="4"/>
      <c r="N285" s="4"/>
      <c r="O285" s="4"/>
      <c r="P285" s="4"/>
      <c r="Q285" s="4"/>
      <c r="R285" s="4"/>
      <c r="S285" s="4"/>
      <c r="T285" s="4"/>
      <c r="U285" s="4"/>
      <c r="V285" s="4"/>
      <c r="W285" s="4"/>
      <c r="X285" s="4"/>
      <c r="Y285" s="4"/>
      <c r="Z285" s="4"/>
    </row>
    <row r="286" ht="9.75" customHeight="1">
      <c r="A286" s="280"/>
      <c r="B286" s="115" t="s">
        <v>788</v>
      </c>
      <c r="C286" s="277" t="s">
        <v>34</v>
      </c>
      <c r="D286" s="277"/>
      <c r="E286" s="278">
        <v>61.0</v>
      </c>
      <c r="F286" s="284">
        <f t="shared" si="58"/>
        <v>0</v>
      </c>
      <c r="G286" s="272"/>
      <c r="H286" s="273"/>
      <c r="I286" s="274"/>
      <c r="J286" s="4"/>
      <c r="K286" s="273"/>
      <c r="L286" s="275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4"/>
      <c r="Y286" s="4"/>
      <c r="Z286" s="4"/>
    </row>
    <row r="287" ht="9.75" customHeight="1">
      <c r="A287" s="280"/>
      <c r="B287" s="115" t="s">
        <v>789</v>
      </c>
      <c r="C287" s="277" t="s">
        <v>34</v>
      </c>
      <c r="D287" s="277"/>
      <c r="E287" s="278">
        <v>74.0</v>
      </c>
      <c r="F287" s="284">
        <f t="shared" si="58"/>
        <v>0</v>
      </c>
      <c r="G287" s="272"/>
      <c r="H287" s="273"/>
      <c r="I287" s="274"/>
      <c r="J287" s="4"/>
      <c r="K287" s="273"/>
      <c r="L287" s="275"/>
      <c r="M287" s="4"/>
      <c r="N287" s="4"/>
      <c r="O287" s="4"/>
      <c r="P287" s="4"/>
      <c r="Q287" s="4"/>
      <c r="R287" s="4"/>
      <c r="S287" s="4"/>
      <c r="T287" s="4"/>
      <c r="U287" s="4"/>
      <c r="V287" s="4"/>
      <c r="W287" s="4"/>
      <c r="X287" s="4"/>
      <c r="Y287" s="4"/>
      <c r="Z287" s="4"/>
    </row>
    <row r="288" ht="9.75" customHeight="1">
      <c r="A288" s="280"/>
      <c r="B288" s="115" t="s">
        <v>790</v>
      </c>
      <c r="C288" s="277" t="s">
        <v>34</v>
      </c>
      <c r="D288" s="277"/>
      <c r="E288" s="278">
        <v>250.0</v>
      </c>
      <c r="F288" s="284">
        <f t="shared" si="58"/>
        <v>0</v>
      </c>
      <c r="G288" s="272"/>
      <c r="H288" s="273"/>
      <c r="I288" s="274"/>
      <c r="J288" s="4"/>
      <c r="K288" s="273"/>
      <c r="L288" s="275"/>
      <c r="M288" s="4"/>
      <c r="N288" s="4"/>
      <c r="O288" s="4"/>
      <c r="P288" s="4"/>
      <c r="Q288" s="4"/>
      <c r="R288" s="4"/>
      <c r="S288" s="4"/>
      <c r="T288" s="4"/>
      <c r="U288" s="4"/>
      <c r="V288" s="4"/>
      <c r="W288" s="4"/>
      <c r="X288" s="4"/>
      <c r="Y288" s="4"/>
      <c r="Z288" s="4"/>
    </row>
    <row r="289" ht="9.75" customHeight="1">
      <c r="A289" s="280"/>
      <c r="B289" s="115" t="s">
        <v>791</v>
      </c>
      <c r="C289" s="277" t="s">
        <v>34</v>
      </c>
      <c r="D289" s="277"/>
      <c r="E289" s="278">
        <v>328.0</v>
      </c>
      <c r="F289" s="284">
        <f t="shared" si="58"/>
        <v>0</v>
      </c>
      <c r="G289" s="272"/>
      <c r="H289" s="273"/>
      <c r="I289" s="274"/>
      <c r="J289" s="4"/>
      <c r="K289" s="273"/>
      <c r="L289" s="275"/>
      <c r="M289" s="4"/>
      <c r="N289" s="4"/>
      <c r="O289" s="4"/>
      <c r="P289" s="4"/>
      <c r="Q289" s="4"/>
      <c r="R289" s="4"/>
      <c r="S289" s="4"/>
      <c r="T289" s="4"/>
      <c r="U289" s="4"/>
      <c r="V289" s="4"/>
      <c r="W289" s="4"/>
      <c r="X289" s="4"/>
      <c r="Y289" s="4"/>
      <c r="Z289" s="4"/>
    </row>
    <row r="290" ht="9.75" customHeight="1">
      <c r="A290" s="280"/>
      <c r="B290" s="115"/>
      <c r="C290" s="277"/>
      <c r="D290" s="277"/>
      <c r="E290" s="278"/>
      <c r="F290" s="284">
        <f t="shared" si="58"/>
        <v>0</v>
      </c>
      <c r="G290" s="272"/>
      <c r="H290" s="273"/>
      <c r="I290" s="274"/>
      <c r="J290" s="4"/>
      <c r="K290" s="273"/>
      <c r="L290" s="275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  <c r="Y290" s="4"/>
      <c r="Z290" s="4"/>
    </row>
    <row r="291" ht="9.75" customHeight="1">
      <c r="A291" s="280"/>
      <c r="B291" s="115" t="s">
        <v>792</v>
      </c>
      <c r="C291" s="277" t="s">
        <v>34</v>
      </c>
      <c r="D291" s="277"/>
      <c r="E291" s="278">
        <v>850.0</v>
      </c>
      <c r="F291" s="284">
        <f t="shared" si="58"/>
        <v>0</v>
      </c>
      <c r="G291" s="272"/>
      <c r="H291" s="273"/>
      <c r="I291" s="274"/>
      <c r="J291" s="4"/>
      <c r="K291" s="273"/>
      <c r="L291" s="275"/>
      <c r="M291" s="4"/>
      <c r="N291" s="4"/>
      <c r="O291" s="4"/>
      <c r="P291" s="4"/>
      <c r="Q291" s="4"/>
      <c r="R291" s="4"/>
      <c r="S291" s="4"/>
      <c r="T291" s="4"/>
      <c r="U291" s="4"/>
      <c r="V291" s="4"/>
      <c r="W291" s="4"/>
      <c r="X291" s="4"/>
      <c r="Y291" s="4"/>
      <c r="Z291" s="4"/>
    </row>
    <row r="292" ht="9.75" customHeight="1">
      <c r="A292" s="280"/>
      <c r="B292" s="115" t="s">
        <v>793</v>
      </c>
      <c r="C292" s="277" t="s">
        <v>34</v>
      </c>
      <c r="D292" s="277"/>
      <c r="E292" s="278">
        <v>500.0</v>
      </c>
      <c r="F292" s="284">
        <f t="shared" si="58"/>
        <v>0</v>
      </c>
      <c r="G292" s="272"/>
      <c r="H292" s="273"/>
      <c r="I292" s="274"/>
      <c r="J292" s="4"/>
      <c r="K292" s="273"/>
      <c r="L292" s="275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4"/>
      <c r="Y292" s="4"/>
      <c r="Z292" s="4"/>
    </row>
    <row r="293" ht="9.75" customHeight="1">
      <c r="A293" s="280"/>
      <c r="B293" s="115" t="s">
        <v>794</v>
      </c>
      <c r="C293" s="277" t="s">
        <v>34</v>
      </c>
      <c r="D293" s="277"/>
      <c r="E293" s="278">
        <v>553.0</v>
      </c>
      <c r="F293" s="284">
        <f t="shared" si="58"/>
        <v>0</v>
      </c>
      <c r="G293" s="272"/>
      <c r="H293" s="273"/>
      <c r="I293" s="274"/>
      <c r="J293" s="4"/>
      <c r="K293" s="273"/>
      <c r="L293" s="275"/>
      <c r="M293" s="4"/>
      <c r="N293" s="4"/>
      <c r="O293" s="4"/>
      <c r="P293" s="4"/>
      <c r="Q293" s="4"/>
      <c r="R293" s="4"/>
      <c r="S293" s="4"/>
      <c r="T293" s="4"/>
      <c r="U293" s="4"/>
      <c r="V293" s="4"/>
      <c r="W293" s="4"/>
      <c r="X293" s="4"/>
      <c r="Y293" s="4"/>
      <c r="Z293" s="4"/>
    </row>
    <row r="294" ht="9.75" customHeight="1">
      <c r="A294" s="280"/>
      <c r="B294" s="115"/>
      <c r="C294" s="277"/>
      <c r="D294" s="277"/>
      <c r="E294" s="278"/>
      <c r="F294" s="284">
        <f t="shared" si="58"/>
        <v>0</v>
      </c>
      <c r="G294" s="272"/>
      <c r="H294" s="273"/>
      <c r="I294" s="274"/>
      <c r="J294" s="4"/>
      <c r="K294" s="273"/>
      <c r="L294" s="275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</row>
    <row r="295" ht="9.75" customHeight="1">
      <c r="A295" s="280"/>
      <c r="B295" s="146" t="s">
        <v>286</v>
      </c>
      <c r="C295" s="281" t="s">
        <v>27</v>
      </c>
      <c r="D295" s="282">
        <f>D10</f>
        <v>7170</v>
      </c>
      <c r="E295" s="283">
        <v>6.0</v>
      </c>
      <c r="F295" s="284">
        <f t="shared" si="58"/>
        <v>43020</v>
      </c>
      <c r="G295" s="272"/>
      <c r="H295" s="273"/>
      <c r="I295" s="274"/>
      <c r="J295" s="4"/>
      <c r="K295" s="285">
        <v>24500.0</v>
      </c>
      <c r="L295" s="275">
        <f>K295/$K$11</f>
        <v>3.417015342</v>
      </c>
      <c r="M295" s="4" t="s">
        <v>761</v>
      </c>
      <c r="N295" s="4"/>
      <c r="O295" s="4"/>
      <c r="P295" s="4"/>
      <c r="Q295" s="4"/>
      <c r="R295" s="4"/>
      <c r="S295" s="4"/>
      <c r="T295" s="4"/>
      <c r="U295" s="4"/>
      <c r="V295" s="4"/>
      <c r="W295" s="4"/>
      <c r="X295" s="4"/>
      <c r="Y295" s="4"/>
      <c r="Z295" s="4"/>
    </row>
    <row r="296" ht="9.75" customHeight="1">
      <c r="A296" s="280"/>
      <c r="B296" s="115"/>
      <c r="C296" s="277"/>
      <c r="D296" s="277"/>
      <c r="E296" s="278"/>
      <c r="F296" s="284">
        <f t="shared" si="58"/>
        <v>0</v>
      </c>
      <c r="G296" s="272"/>
      <c r="H296" s="273"/>
      <c r="I296" s="274"/>
      <c r="J296" s="4"/>
      <c r="K296" s="273"/>
      <c r="L296" s="275"/>
      <c r="M296" s="4"/>
      <c r="N296" s="4"/>
      <c r="O296" s="4"/>
      <c r="P296" s="4"/>
      <c r="Q296" s="4"/>
      <c r="R296" s="4"/>
      <c r="S296" s="4"/>
      <c r="T296" s="4"/>
      <c r="U296" s="4"/>
      <c r="V296" s="4"/>
      <c r="W296" s="4"/>
      <c r="X296" s="4"/>
      <c r="Y296" s="4"/>
      <c r="Z296" s="4"/>
    </row>
    <row r="297" ht="9.75" customHeight="1">
      <c r="A297" s="280"/>
      <c r="B297" s="115"/>
      <c r="C297" s="277"/>
      <c r="D297" s="277"/>
      <c r="E297" s="278"/>
      <c r="F297" s="284">
        <f t="shared" si="58"/>
        <v>0</v>
      </c>
      <c r="G297" s="272"/>
      <c r="H297" s="273"/>
      <c r="I297" s="274"/>
      <c r="J297" s="4"/>
      <c r="K297" s="273"/>
      <c r="L297" s="275"/>
      <c r="M297" s="4"/>
      <c r="N297" s="4"/>
      <c r="O297" s="4"/>
      <c r="P297" s="4"/>
      <c r="Q297" s="4"/>
      <c r="R297" s="4"/>
      <c r="S297" s="4"/>
      <c r="T297" s="4"/>
      <c r="U297" s="4"/>
      <c r="V297" s="4"/>
      <c r="W297" s="4"/>
      <c r="X297" s="4"/>
      <c r="Y297" s="4"/>
      <c r="Z297" s="4"/>
    </row>
    <row r="298" ht="9.75" customHeight="1">
      <c r="A298" s="280"/>
      <c r="B298" s="115" t="s">
        <v>387</v>
      </c>
      <c r="C298" s="277" t="s">
        <v>32</v>
      </c>
      <c r="D298" s="277"/>
      <c r="E298" s="278">
        <f>1400+400</f>
        <v>1800</v>
      </c>
      <c r="F298" s="284">
        <f t="shared" si="58"/>
        <v>0</v>
      </c>
      <c r="G298" s="272">
        <f>IF($A298="Sous total",$E298,0)</f>
        <v>0</v>
      </c>
      <c r="H298" s="273"/>
      <c r="I298" s="274"/>
      <c r="J298" s="4"/>
      <c r="K298" s="273"/>
      <c r="L298" s="275"/>
      <c r="M298" s="4"/>
      <c r="N298" s="4"/>
      <c r="O298" s="4"/>
      <c r="P298" s="4"/>
      <c r="Q298" s="4"/>
      <c r="R298" s="4"/>
      <c r="S298" s="4"/>
      <c r="T298" s="4"/>
      <c r="U298" s="4"/>
      <c r="V298" s="4"/>
      <c r="W298" s="4"/>
      <c r="X298" s="4"/>
      <c r="Y298" s="4"/>
      <c r="Z298" s="4"/>
    </row>
    <row r="299" ht="9.75" customHeight="1">
      <c r="A299" s="280"/>
      <c r="B299" s="115"/>
      <c r="C299" s="277"/>
      <c r="D299" s="277"/>
      <c r="E299" s="278"/>
      <c r="F299" s="284">
        <f t="shared" si="58"/>
        <v>0</v>
      </c>
      <c r="G299" s="272">
        <f t="shared" ref="G299:G317" si="59">IF($B299="Sous total",$F299,0)</f>
        <v>0</v>
      </c>
      <c r="H299" s="273"/>
      <c r="I299" s="274"/>
      <c r="J299" s="4"/>
      <c r="K299" s="273"/>
      <c r="L299" s="275"/>
      <c r="M299" s="4"/>
      <c r="N299" s="4"/>
      <c r="O299" s="4"/>
      <c r="P299" s="4"/>
      <c r="Q299" s="4"/>
      <c r="R299" s="4"/>
      <c r="S299" s="4"/>
      <c r="T299" s="4"/>
      <c r="U299" s="4"/>
      <c r="V299" s="4"/>
      <c r="W299" s="4"/>
      <c r="X299" s="4"/>
      <c r="Y299" s="4"/>
      <c r="Z299" s="4"/>
    </row>
    <row r="300" ht="9.75" customHeight="1">
      <c r="A300" s="286" t="str">
        <f t="shared" ref="A300:A301" si="60">B300</f>
        <v>Sous total</v>
      </c>
      <c r="B300" s="287" t="s">
        <v>713</v>
      </c>
      <c r="C300" s="288"/>
      <c r="D300" s="288"/>
      <c r="E300" s="289"/>
      <c r="F300" s="290">
        <f>SUM(F278:F299)</f>
        <v>65247</v>
      </c>
      <c r="G300" s="272">
        <f t="shared" si="59"/>
        <v>65247</v>
      </c>
      <c r="H300" s="273"/>
      <c r="I300" s="274"/>
      <c r="J300" s="4"/>
      <c r="K300" s="273"/>
      <c r="L300" s="275"/>
      <c r="M300" s="4"/>
      <c r="N300" s="4"/>
      <c r="O300" s="4"/>
      <c r="P300" s="4"/>
      <c r="Q300" s="4"/>
      <c r="R300" s="4"/>
      <c r="S300" s="4"/>
      <c r="T300" s="4"/>
      <c r="U300" s="4"/>
      <c r="V300" s="4"/>
      <c r="W300" s="4"/>
      <c r="X300" s="4"/>
      <c r="Y300" s="4"/>
      <c r="Z300" s="4"/>
    </row>
    <row r="301" ht="9.75" customHeight="1">
      <c r="A301" s="276" t="str">
        <f t="shared" si="60"/>
        <v>Eclairage</v>
      </c>
      <c r="B301" s="194" t="s">
        <v>302</v>
      </c>
      <c r="C301" s="277"/>
      <c r="D301" s="277"/>
      <c r="E301" s="278"/>
      <c r="F301" s="284">
        <f t="shared" ref="F301:F305" si="61">D301*E301</f>
        <v>0</v>
      </c>
      <c r="G301" s="272">
        <f t="shared" si="59"/>
        <v>0</v>
      </c>
      <c r="H301" s="273"/>
      <c r="I301" s="274"/>
      <c r="J301" s="4"/>
      <c r="K301" s="273"/>
      <c r="L301" s="275"/>
      <c r="M301" s="4"/>
      <c r="N301" s="4"/>
      <c r="O301" s="4"/>
      <c r="P301" s="4"/>
      <c r="Q301" s="4"/>
      <c r="R301" s="4"/>
      <c r="S301" s="4"/>
      <c r="T301" s="4"/>
      <c r="U301" s="4"/>
      <c r="V301" s="4"/>
      <c r="W301" s="4"/>
      <c r="X301" s="4"/>
      <c r="Y301" s="4"/>
      <c r="Z301" s="4"/>
    </row>
    <row r="302" ht="9.75" customHeight="1">
      <c r="A302" s="280"/>
      <c r="B302" s="146" t="s">
        <v>303</v>
      </c>
      <c r="C302" s="281" t="s">
        <v>27</v>
      </c>
      <c r="D302" s="282">
        <f>D10</f>
        <v>7170</v>
      </c>
      <c r="E302" s="283">
        <v>27.3</v>
      </c>
      <c r="F302" s="284">
        <f t="shared" si="61"/>
        <v>195741</v>
      </c>
      <c r="G302" s="272">
        <f t="shared" si="59"/>
        <v>0</v>
      </c>
      <c r="H302" s="273">
        <v>43525.0</v>
      </c>
      <c r="I302" s="274">
        <v>27.3</v>
      </c>
      <c r="J302" s="4"/>
      <c r="K302" s="285">
        <f>160000-K305</f>
        <v>135500</v>
      </c>
      <c r="L302" s="275">
        <f>K302/$K$11</f>
        <v>18.89818689</v>
      </c>
      <c r="M302" s="4" t="s">
        <v>761</v>
      </c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</row>
    <row r="303" ht="9.75" customHeight="1">
      <c r="A303" s="280"/>
      <c r="B303" s="115"/>
      <c r="C303" s="277"/>
      <c r="D303" s="277"/>
      <c r="E303" s="278"/>
      <c r="F303" s="284">
        <f t="shared" si="61"/>
        <v>0</v>
      </c>
      <c r="G303" s="272">
        <f t="shared" si="59"/>
        <v>0</v>
      </c>
      <c r="H303" s="273"/>
      <c r="I303" s="274"/>
      <c r="J303" s="4"/>
      <c r="K303" s="273"/>
      <c r="L303" s="275"/>
      <c r="M303" s="4"/>
      <c r="N303" s="4"/>
      <c r="O303" s="4"/>
      <c r="P303" s="4"/>
      <c r="Q303" s="4"/>
      <c r="R303" s="4"/>
      <c r="S303" s="4"/>
      <c r="T303" s="4"/>
      <c r="U303" s="4"/>
      <c r="V303" s="4"/>
      <c r="W303" s="4"/>
      <c r="X303" s="4"/>
      <c r="Y303" s="4"/>
      <c r="Z303" s="4"/>
    </row>
    <row r="304" ht="9.75" customHeight="1">
      <c r="A304" s="280"/>
      <c r="B304" s="115" t="s">
        <v>307</v>
      </c>
      <c r="C304" s="277" t="s">
        <v>34</v>
      </c>
      <c r="D304" s="277"/>
      <c r="E304" s="278">
        <v>3000.0</v>
      </c>
      <c r="F304" s="284">
        <f t="shared" si="61"/>
        <v>0</v>
      </c>
      <c r="G304" s="272">
        <f t="shared" si="59"/>
        <v>0</v>
      </c>
      <c r="H304" s="273"/>
      <c r="I304" s="274"/>
      <c r="J304" s="4"/>
      <c r="K304" s="273"/>
      <c r="L304" s="275"/>
      <c r="M304" s="4"/>
      <c r="N304" s="4"/>
      <c r="O304" s="4"/>
      <c r="P304" s="4"/>
      <c r="Q304" s="4"/>
      <c r="R304" s="4"/>
      <c r="S304" s="4"/>
      <c r="T304" s="4"/>
      <c r="U304" s="4"/>
      <c r="V304" s="4"/>
      <c r="W304" s="4"/>
      <c r="X304" s="4"/>
      <c r="Y304" s="4"/>
      <c r="Z304" s="4"/>
    </row>
    <row r="305" ht="9.75" customHeight="1">
      <c r="A305" s="303"/>
      <c r="B305" s="158" t="s">
        <v>328</v>
      </c>
      <c r="C305" s="304" t="s">
        <v>27</v>
      </c>
      <c r="D305" s="305"/>
      <c r="E305" s="306">
        <v>7.0</v>
      </c>
      <c r="F305" s="284">
        <f t="shared" si="61"/>
        <v>0</v>
      </c>
      <c r="G305" s="272">
        <f t="shared" si="59"/>
        <v>0</v>
      </c>
      <c r="H305" s="273"/>
      <c r="I305" s="274"/>
      <c r="J305" s="4"/>
      <c r="K305" s="285">
        <v>24500.0</v>
      </c>
      <c r="L305" s="275">
        <f>K305/$K$11</f>
        <v>3.417015342</v>
      </c>
      <c r="M305" s="4" t="s">
        <v>761</v>
      </c>
      <c r="N305" s="4"/>
      <c r="O305" s="4"/>
      <c r="P305" s="4"/>
      <c r="Q305" s="4"/>
      <c r="R305" s="4"/>
      <c r="S305" s="4"/>
      <c r="T305" s="4"/>
      <c r="U305" s="4"/>
      <c r="V305" s="4"/>
      <c r="W305" s="4"/>
      <c r="X305" s="4"/>
      <c r="Y305" s="4"/>
      <c r="Z305" s="4"/>
    </row>
    <row r="306" ht="9.75" customHeight="1">
      <c r="A306" s="286" t="str">
        <f t="shared" ref="A306:A307" si="62">B306</f>
        <v>Sous total</v>
      </c>
      <c r="B306" s="287" t="s">
        <v>713</v>
      </c>
      <c r="C306" s="288"/>
      <c r="D306" s="288"/>
      <c r="E306" s="289"/>
      <c r="F306" s="290">
        <f>SUM(F301:F305)</f>
        <v>195741</v>
      </c>
      <c r="G306" s="272">
        <f t="shared" si="59"/>
        <v>195741</v>
      </c>
      <c r="H306" s="273"/>
      <c r="I306" s="274"/>
      <c r="J306" s="4"/>
      <c r="K306" s="273"/>
      <c r="L306" s="275"/>
      <c r="M306" s="4"/>
      <c r="N306" s="4"/>
      <c r="O306" s="4"/>
      <c r="P306" s="4"/>
      <c r="Q306" s="4"/>
      <c r="R306" s="4"/>
      <c r="S306" s="4"/>
      <c r="T306" s="4"/>
      <c r="U306" s="4"/>
      <c r="V306" s="4"/>
      <c r="W306" s="4"/>
      <c r="X306" s="4"/>
      <c r="Y306" s="4"/>
      <c r="Z306" s="4"/>
    </row>
    <row r="307" ht="9.75" customHeight="1">
      <c r="A307" s="276" t="str">
        <f t="shared" si="62"/>
        <v>Eclairage de sécurité</v>
      </c>
      <c r="B307" s="194" t="s">
        <v>330</v>
      </c>
      <c r="C307" s="277"/>
      <c r="D307" s="277"/>
      <c r="E307" s="278"/>
      <c r="F307" s="284">
        <f t="shared" ref="F307:F308" si="63">D307*E307</f>
        <v>0</v>
      </c>
      <c r="G307" s="272">
        <f t="shared" si="59"/>
        <v>0</v>
      </c>
      <c r="H307" s="273"/>
      <c r="I307" s="274"/>
      <c r="J307" s="4"/>
      <c r="K307" s="273"/>
      <c r="L307" s="275"/>
      <c r="M307" s="4"/>
      <c r="N307" s="4"/>
      <c r="O307" s="4"/>
      <c r="P307" s="4"/>
      <c r="Q307" s="4"/>
      <c r="R307" s="4"/>
      <c r="S307" s="4"/>
      <c r="T307" s="4"/>
      <c r="U307" s="4"/>
      <c r="V307" s="4"/>
      <c r="W307" s="4"/>
      <c r="X307" s="4"/>
      <c r="Y307" s="4"/>
      <c r="Z307" s="4"/>
    </row>
    <row r="308" ht="9.75" customHeight="1">
      <c r="A308" s="280"/>
      <c r="B308" s="146" t="s">
        <v>795</v>
      </c>
      <c r="C308" s="281" t="s">
        <v>27</v>
      </c>
      <c r="D308" s="282">
        <f>D10</f>
        <v>7170</v>
      </c>
      <c r="E308" s="283">
        <v>3.9</v>
      </c>
      <c r="F308" s="284">
        <f t="shared" si="63"/>
        <v>27963</v>
      </c>
      <c r="G308" s="272">
        <f t="shared" si="59"/>
        <v>0</v>
      </c>
      <c r="H308" s="273">
        <v>43525.0</v>
      </c>
      <c r="I308" s="274">
        <v>3.9</v>
      </c>
      <c r="J308" s="4"/>
      <c r="K308" s="285">
        <v>18500.0</v>
      </c>
      <c r="L308" s="275">
        <f>K308/$K$11</f>
        <v>2.580195258</v>
      </c>
      <c r="M308" s="4" t="s">
        <v>761</v>
      </c>
      <c r="N308" s="4"/>
      <c r="O308" s="4"/>
      <c r="P308" s="4"/>
      <c r="Q308" s="4"/>
      <c r="R308" s="4"/>
      <c r="S308" s="4"/>
      <c r="T308" s="4"/>
      <c r="U308" s="4"/>
      <c r="V308" s="4"/>
      <c r="W308" s="4"/>
      <c r="X308" s="4"/>
      <c r="Y308" s="4"/>
      <c r="Z308" s="4"/>
    </row>
    <row r="309" ht="9.75" customHeight="1">
      <c r="A309" s="286" t="str">
        <f t="shared" ref="A309:A310" si="64">B309</f>
        <v>Sous total</v>
      </c>
      <c r="B309" s="287" t="s">
        <v>713</v>
      </c>
      <c r="C309" s="288"/>
      <c r="D309" s="288"/>
      <c r="E309" s="289"/>
      <c r="F309" s="290">
        <f>SUM(F308)</f>
        <v>27963</v>
      </c>
      <c r="G309" s="272">
        <f t="shared" si="59"/>
        <v>27963</v>
      </c>
      <c r="H309" s="273"/>
      <c r="I309" s="274"/>
      <c r="J309" s="4"/>
      <c r="K309" s="273"/>
      <c r="L309" s="275"/>
      <c r="M309" s="4"/>
      <c r="N309" s="4"/>
      <c r="O309" s="4"/>
      <c r="P309" s="4"/>
      <c r="Q309" s="4"/>
      <c r="R309" s="4"/>
      <c r="S309" s="4"/>
      <c r="T309" s="4"/>
      <c r="U309" s="4"/>
      <c r="V309" s="4"/>
      <c r="W309" s="4"/>
      <c r="X309" s="4"/>
      <c r="Y309" s="4"/>
      <c r="Z309" s="4"/>
    </row>
    <row r="310" ht="9.75" customHeight="1">
      <c r="A310" s="276" t="str">
        <f t="shared" si="64"/>
        <v>Système GTC</v>
      </c>
      <c r="B310" s="194" t="s">
        <v>796</v>
      </c>
      <c r="C310" s="277"/>
      <c r="D310" s="277"/>
      <c r="E310" s="278"/>
      <c r="F310" s="284">
        <f t="shared" ref="F310:F317" si="65">D310*E310</f>
        <v>0</v>
      </c>
      <c r="G310" s="272">
        <f t="shared" si="59"/>
        <v>0</v>
      </c>
      <c r="H310" s="273"/>
      <c r="I310" s="274"/>
      <c r="J310" s="4"/>
      <c r="K310" s="273"/>
      <c r="L310" s="275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4"/>
      <c r="X310" s="4"/>
      <c r="Y310" s="4"/>
      <c r="Z310" s="4"/>
    </row>
    <row r="311" ht="9.75" customHeight="1">
      <c r="A311" s="280"/>
      <c r="B311" s="146" t="s">
        <v>39</v>
      </c>
      <c r="C311" s="281" t="s">
        <v>27</v>
      </c>
      <c r="D311" s="282"/>
      <c r="E311" s="283">
        <v>1.2</v>
      </c>
      <c r="F311" s="284">
        <f t="shared" si="65"/>
        <v>0</v>
      </c>
      <c r="G311" s="272">
        <f t="shared" si="59"/>
        <v>0</v>
      </c>
      <c r="H311" s="273"/>
      <c r="I311" s="274"/>
      <c r="J311" s="4"/>
      <c r="K311" s="285">
        <v>83000.0</v>
      </c>
      <c r="L311" s="275">
        <f>K311/$K$11</f>
        <v>11.57601116</v>
      </c>
      <c r="M311" s="4" t="s">
        <v>761</v>
      </c>
      <c r="N311" s="4"/>
      <c r="O311" s="4"/>
      <c r="P311" s="4"/>
      <c r="Q311" s="4"/>
      <c r="R311" s="4"/>
      <c r="S311" s="4"/>
      <c r="T311" s="4"/>
      <c r="U311" s="4"/>
      <c r="V311" s="4"/>
      <c r="W311" s="4"/>
      <c r="X311" s="4"/>
      <c r="Y311" s="4"/>
      <c r="Z311" s="4"/>
    </row>
    <row r="312" ht="9.75" customHeight="1">
      <c r="A312" s="280"/>
      <c r="B312" s="291"/>
      <c r="C312" s="277"/>
      <c r="D312" s="292"/>
      <c r="E312" s="278"/>
      <c r="F312" s="284">
        <f t="shared" si="65"/>
        <v>0</v>
      </c>
      <c r="G312" s="272">
        <f t="shared" si="59"/>
        <v>0</v>
      </c>
      <c r="H312" s="273"/>
      <c r="I312" s="274"/>
      <c r="J312" s="4"/>
      <c r="K312" s="273"/>
      <c r="L312" s="275"/>
      <c r="M312" s="4"/>
      <c r="N312" s="4"/>
      <c r="O312" s="4"/>
      <c r="P312" s="4"/>
      <c r="Q312" s="4"/>
      <c r="R312" s="4"/>
      <c r="S312" s="4"/>
      <c r="T312" s="4"/>
      <c r="U312" s="4"/>
      <c r="V312" s="4"/>
      <c r="W312" s="4"/>
      <c r="X312" s="4"/>
      <c r="Y312" s="4"/>
      <c r="Z312" s="4"/>
    </row>
    <row r="313" ht="9.75" customHeight="1">
      <c r="A313" s="280"/>
      <c r="B313" s="146" t="s">
        <v>797</v>
      </c>
      <c r="C313" s="281" t="s">
        <v>496</v>
      </c>
      <c r="D313" s="282"/>
      <c r="E313" s="283"/>
      <c r="F313" s="284">
        <f t="shared" si="65"/>
        <v>0</v>
      </c>
      <c r="G313" s="272">
        <f t="shared" si="59"/>
        <v>0</v>
      </c>
      <c r="H313" s="273"/>
      <c r="I313" s="274"/>
      <c r="J313" s="4"/>
      <c r="K313" s="273"/>
      <c r="L313" s="275"/>
      <c r="M313" s="4"/>
      <c r="N313" s="4"/>
      <c r="O313" s="4"/>
      <c r="P313" s="4"/>
      <c r="Q313" s="4"/>
      <c r="R313" s="4"/>
      <c r="S313" s="4"/>
      <c r="T313" s="4"/>
      <c r="U313" s="4"/>
      <c r="V313" s="4"/>
      <c r="W313" s="4"/>
      <c r="X313" s="4"/>
      <c r="Y313" s="4"/>
      <c r="Z313" s="4"/>
    </row>
    <row r="314" ht="9.75" customHeight="1">
      <c r="A314" s="280"/>
      <c r="B314" s="115" t="s">
        <v>400</v>
      </c>
      <c r="C314" s="277"/>
      <c r="D314" s="277">
        <f>D308*0.1</f>
        <v>717</v>
      </c>
      <c r="E314" s="278">
        <v>60.0</v>
      </c>
      <c r="F314" s="284">
        <f t="shared" si="65"/>
        <v>43020</v>
      </c>
      <c r="G314" s="272">
        <f t="shared" si="59"/>
        <v>0</v>
      </c>
      <c r="H314" s="273"/>
      <c r="I314" s="274"/>
      <c r="J314" s="4"/>
      <c r="K314" s="285">
        <v>83000.0</v>
      </c>
      <c r="L314" s="275">
        <f>K314/1000</f>
        <v>83</v>
      </c>
      <c r="M314" s="4" t="s">
        <v>798</v>
      </c>
      <c r="N314" s="4"/>
      <c r="O314" s="4"/>
      <c r="P314" s="4"/>
      <c r="Q314" s="4"/>
      <c r="R314" s="4"/>
      <c r="S314" s="4"/>
      <c r="T314" s="4"/>
      <c r="U314" s="4"/>
      <c r="V314" s="4"/>
      <c r="W314" s="4"/>
      <c r="X314" s="4"/>
      <c r="Y314" s="4"/>
      <c r="Z314" s="4"/>
    </row>
    <row r="315" ht="9.75" customHeight="1">
      <c r="A315" s="280"/>
      <c r="B315" s="115" t="s">
        <v>401</v>
      </c>
      <c r="C315" s="277"/>
      <c r="D315" s="277">
        <f>D314</f>
        <v>717</v>
      </c>
      <c r="E315" s="278">
        <v>14.0</v>
      </c>
      <c r="F315" s="284">
        <f t="shared" si="65"/>
        <v>10038</v>
      </c>
      <c r="G315" s="272">
        <f t="shared" si="59"/>
        <v>0</v>
      </c>
      <c r="H315" s="273"/>
      <c r="I315" s="274"/>
      <c r="J315" s="4"/>
      <c r="K315" s="273"/>
      <c r="L315" s="275"/>
      <c r="M315" s="4"/>
      <c r="N315" s="4"/>
      <c r="O315" s="4"/>
      <c r="P315" s="4"/>
      <c r="Q315" s="4"/>
      <c r="R315" s="4"/>
      <c r="S315" s="4"/>
      <c r="T315" s="4"/>
      <c r="U315" s="4"/>
      <c r="V315" s="4"/>
      <c r="W315" s="4"/>
      <c r="X315" s="4"/>
      <c r="Y315" s="4"/>
      <c r="Z315" s="4"/>
    </row>
    <row r="316" ht="9.75" customHeight="1">
      <c r="A316" s="280"/>
      <c r="B316" s="115" t="s">
        <v>402</v>
      </c>
      <c r="C316" s="277"/>
      <c r="D316" s="277">
        <v>2.0</v>
      </c>
      <c r="E316" s="278">
        <v>5000.0</v>
      </c>
      <c r="F316" s="284">
        <f t="shared" si="65"/>
        <v>10000</v>
      </c>
      <c r="G316" s="272">
        <f t="shared" si="59"/>
        <v>0</v>
      </c>
      <c r="H316" s="273"/>
      <c r="I316" s="274"/>
      <c r="J316" s="4"/>
      <c r="K316" s="273"/>
      <c r="L316" s="275"/>
      <c r="M316" s="4"/>
      <c r="N316" s="4"/>
      <c r="O316" s="4"/>
      <c r="P316" s="4"/>
      <c r="Q316" s="4"/>
      <c r="R316" s="4"/>
      <c r="S316" s="4"/>
      <c r="T316" s="4"/>
      <c r="U316" s="4"/>
      <c r="V316" s="4"/>
      <c r="W316" s="4"/>
      <c r="X316" s="4"/>
      <c r="Y316" s="4"/>
      <c r="Z316" s="4"/>
    </row>
    <row r="317" ht="9.75" customHeight="1">
      <c r="A317" s="280"/>
      <c r="B317" s="115" t="s">
        <v>403</v>
      </c>
      <c r="C317" s="277"/>
      <c r="D317" s="277">
        <f>D314</f>
        <v>717</v>
      </c>
      <c r="E317" s="278">
        <v>17.5</v>
      </c>
      <c r="F317" s="284">
        <f t="shared" si="65"/>
        <v>12547.5</v>
      </c>
      <c r="G317" s="272">
        <f t="shared" si="59"/>
        <v>0</v>
      </c>
      <c r="H317" s="273"/>
      <c r="I317" s="274"/>
      <c r="J317" s="4"/>
      <c r="K317" s="273"/>
      <c r="L317" s="275"/>
      <c r="M317" s="4"/>
      <c r="N317" s="4"/>
      <c r="O317" s="4"/>
      <c r="P317" s="4"/>
      <c r="Q317" s="4"/>
      <c r="R317" s="4"/>
      <c r="S317" s="4"/>
      <c r="T317" s="4"/>
      <c r="U317" s="4"/>
      <c r="V317" s="4"/>
      <c r="W317" s="4"/>
      <c r="X317" s="4"/>
      <c r="Y317" s="4"/>
      <c r="Z317" s="4"/>
    </row>
    <row r="318" ht="9.75" customHeight="1">
      <c r="A318" s="280"/>
      <c r="B318" s="115" t="s">
        <v>799</v>
      </c>
      <c r="C318" s="277"/>
      <c r="D318" s="277"/>
      <c r="E318" s="278"/>
      <c r="F318" s="284"/>
      <c r="G318" s="272"/>
      <c r="H318" s="273"/>
      <c r="I318" s="274"/>
      <c r="J318" s="4"/>
      <c r="K318" s="285">
        <f>83000-11000</f>
        <v>72000</v>
      </c>
      <c r="L318" s="275">
        <f>K318/500</f>
        <v>144</v>
      </c>
      <c r="M318" s="4" t="s">
        <v>798</v>
      </c>
      <c r="N318" s="4"/>
      <c r="O318" s="4"/>
      <c r="P318" s="4"/>
      <c r="Q318" s="4"/>
      <c r="R318" s="4"/>
      <c r="S318" s="4"/>
      <c r="T318" s="4"/>
      <c r="U318" s="4"/>
      <c r="V318" s="4"/>
      <c r="W318" s="4"/>
      <c r="X318" s="4"/>
      <c r="Y318" s="4"/>
      <c r="Z318" s="4"/>
    </row>
    <row r="319" ht="9.75" customHeight="1">
      <c r="A319" s="286" t="str">
        <f>B319</f>
        <v>Sous total</v>
      </c>
      <c r="B319" s="287" t="s">
        <v>713</v>
      </c>
      <c r="C319" s="288"/>
      <c r="D319" s="288"/>
      <c r="E319" s="289"/>
      <c r="F319" s="290">
        <f>SUM(F311:F317)</f>
        <v>75605.5</v>
      </c>
      <c r="G319" s="272">
        <f t="shared" ref="G319:G364" si="66">IF($B319="Sous total",$F319,0)</f>
        <v>75605.5</v>
      </c>
      <c r="H319" s="273"/>
      <c r="I319" s="274"/>
      <c r="J319" s="4"/>
      <c r="K319" s="273"/>
      <c r="L319" s="275"/>
      <c r="M319" s="4"/>
      <c r="N319" s="4"/>
      <c r="O319" s="4"/>
      <c r="P319" s="4"/>
      <c r="Q319" s="4"/>
      <c r="R319" s="4"/>
      <c r="S319" s="4"/>
      <c r="T319" s="4"/>
      <c r="U319" s="4"/>
      <c r="V319" s="4"/>
      <c r="W319" s="4"/>
      <c r="X319" s="4"/>
      <c r="Y319" s="4"/>
      <c r="Z319" s="4"/>
    </row>
    <row r="320" ht="9.75" customHeight="1">
      <c r="A320" s="267"/>
      <c r="B320" s="268" t="s">
        <v>800</v>
      </c>
      <c r="C320" s="269"/>
      <c r="D320" s="269">
        <v>0.0</v>
      </c>
      <c r="E320" s="270">
        <v>0.0</v>
      </c>
      <c r="F320" s="271">
        <v>0.0</v>
      </c>
      <c r="G320" s="272">
        <f t="shared" si="66"/>
        <v>0</v>
      </c>
      <c r="H320" s="273"/>
      <c r="I320" s="274"/>
      <c r="J320" s="4"/>
      <c r="K320" s="273"/>
      <c r="L320" s="275"/>
      <c r="M320" s="4"/>
      <c r="N320" s="4"/>
      <c r="O320" s="4"/>
      <c r="P320" s="4"/>
      <c r="Q320" s="4"/>
      <c r="R320" s="4"/>
      <c r="S320" s="4"/>
      <c r="T320" s="4"/>
      <c r="U320" s="4"/>
      <c r="V320" s="4"/>
      <c r="W320" s="4"/>
      <c r="X320" s="4"/>
      <c r="Y320" s="4"/>
      <c r="Z320" s="4"/>
    </row>
    <row r="321" ht="9.75" customHeight="1">
      <c r="A321" s="276" t="str">
        <f>B321</f>
        <v>précâblage VDI</v>
      </c>
      <c r="B321" s="194" t="s">
        <v>801</v>
      </c>
      <c r="C321" s="277"/>
      <c r="D321" s="277"/>
      <c r="E321" s="278"/>
      <c r="F321" s="284">
        <f t="shared" ref="F321:F326" si="67">D321*E321</f>
        <v>0</v>
      </c>
      <c r="G321" s="272">
        <f t="shared" si="66"/>
        <v>0</v>
      </c>
      <c r="H321" s="273"/>
      <c r="I321" s="274"/>
      <c r="J321" s="4"/>
      <c r="K321" s="273"/>
      <c r="L321" s="275"/>
      <c r="M321" s="4"/>
      <c r="N321" s="4"/>
      <c r="O321" s="4"/>
      <c r="P321" s="4"/>
      <c r="Q321" s="4"/>
      <c r="R321" s="4"/>
      <c r="S321" s="4"/>
      <c r="T321" s="4"/>
      <c r="U321" s="4"/>
      <c r="V321" s="4"/>
      <c r="W321" s="4"/>
      <c r="X321" s="4"/>
      <c r="Y321" s="4"/>
      <c r="Z321" s="4"/>
    </row>
    <row r="322" ht="9.75" customHeight="1">
      <c r="A322" s="280"/>
      <c r="B322" s="146" t="s">
        <v>39</v>
      </c>
      <c r="C322" s="281"/>
      <c r="D322" s="282"/>
      <c r="E322" s="283"/>
      <c r="F322" s="284">
        <f t="shared" si="67"/>
        <v>0</v>
      </c>
      <c r="G322" s="272">
        <f t="shared" si="66"/>
        <v>0</v>
      </c>
      <c r="H322" s="273"/>
      <c r="I322" s="274"/>
      <c r="J322" s="4"/>
      <c r="K322" s="273"/>
      <c r="L322" s="275"/>
      <c r="M322" s="4"/>
      <c r="N322" s="4"/>
      <c r="O322" s="4"/>
      <c r="P322" s="4"/>
      <c r="Q322" s="4"/>
      <c r="R322" s="4"/>
      <c r="S322" s="4"/>
      <c r="T322" s="4"/>
      <c r="U322" s="4"/>
      <c r="V322" s="4"/>
      <c r="W322" s="4"/>
      <c r="X322" s="4"/>
      <c r="Y322" s="4"/>
      <c r="Z322" s="4"/>
    </row>
    <row r="323" ht="9.75" customHeight="1">
      <c r="A323" s="280"/>
      <c r="B323" s="146" t="s">
        <v>795</v>
      </c>
      <c r="C323" s="281" t="s">
        <v>27</v>
      </c>
      <c r="D323" s="282">
        <f>$D$10</f>
        <v>7170</v>
      </c>
      <c r="E323" s="283">
        <v>5.8</v>
      </c>
      <c r="F323" s="284">
        <f t="shared" si="67"/>
        <v>41586</v>
      </c>
      <c r="G323" s="272">
        <f t="shared" si="66"/>
        <v>0</v>
      </c>
      <c r="H323" s="273">
        <v>43525.0</v>
      </c>
      <c r="I323" s="274">
        <v>5.8</v>
      </c>
      <c r="J323" s="4"/>
      <c r="K323" s="285">
        <v>95000.0</v>
      </c>
      <c r="L323" s="275">
        <f>K323/$K$11</f>
        <v>13.24965132</v>
      </c>
      <c r="M323" s="4" t="s">
        <v>761</v>
      </c>
      <c r="N323" s="4"/>
      <c r="O323" s="4"/>
      <c r="P323" s="4"/>
      <c r="Q323" s="4"/>
      <c r="R323" s="4"/>
      <c r="S323" s="4"/>
      <c r="T323" s="4"/>
      <c r="U323" s="4"/>
      <c r="V323" s="4"/>
      <c r="W323" s="4"/>
      <c r="X323" s="4"/>
      <c r="Y323" s="4"/>
      <c r="Z323" s="4"/>
    </row>
    <row r="324" ht="9.75" customHeight="1">
      <c r="A324" s="280"/>
      <c r="B324" s="115"/>
      <c r="C324" s="277"/>
      <c r="D324" s="277"/>
      <c r="E324" s="278"/>
      <c r="F324" s="284">
        <f t="shared" si="67"/>
        <v>0</v>
      </c>
      <c r="G324" s="272">
        <f t="shared" si="66"/>
        <v>0</v>
      </c>
      <c r="H324" s="273"/>
      <c r="I324" s="274"/>
      <c r="J324" s="4"/>
      <c r="K324" s="273"/>
      <c r="L324" s="275"/>
      <c r="M324" s="4"/>
      <c r="N324" s="4"/>
      <c r="O324" s="4"/>
      <c r="P324" s="4"/>
      <c r="Q324" s="4"/>
      <c r="R324" s="4"/>
      <c r="S324" s="4"/>
      <c r="T324" s="4"/>
      <c r="U324" s="4"/>
      <c r="V324" s="4"/>
      <c r="W324" s="4"/>
      <c r="X324" s="4"/>
      <c r="Y324" s="4"/>
      <c r="Z324" s="4"/>
    </row>
    <row r="325" ht="9.75" customHeight="1">
      <c r="A325" s="280"/>
      <c r="B325" s="146" t="s">
        <v>246</v>
      </c>
      <c r="C325" s="281" t="s">
        <v>496</v>
      </c>
      <c r="D325" s="282"/>
      <c r="E325" s="283"/>
      <c r="F325" s="284">
        <f t="shared" si="67"/>
        <v>0</v>
      </c>
      <c r="G325" s="272">
        <f t="shared" si="66"/>
        <v>0</v>
      </c>
      <c r="H325" s="273"/>
      <c r="I325" s="274"/>
      <c r="J325" s="4"/>
      <c r="K325" s="273"/>
      <c r="L325" s="275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</row>
    <row r="326" ht="9.75" customHeight="1">
      <c r="A326" s="280"/>
      <c r="B326" s="115" t="s">
        <v>440</v>
      </c>
      <c r="C326" s="277" t="s">
        <v>34</v>
      </c>
      <c r="D326" s="277"/>
      <c r="E326" s="278">
        <v>150.0</v>
      </c>
      <c r="F326" s="284">
        <f t="shared" si="67"/>
        <v>0</v>
      </c>
      <c r="G326" s="272">
        <f t="shared" si="66"/>
        <v>0</v>
      </c>
      <c r="H326" s="273"/>
      <c r="I326" s="274"/>
      <c r="J326" s="4"/>
      <c r="K326" s="273"/>
      <c r="L326" s="275"/>
      <c r="M326" s="4"/>
      <c r="N326" s="4"/>
      <c r="O326" s="4"/>
      <c r="P326" s="4"/>
      <c r="Q326" s="4"/>
      <c r="R326" s="4"/>
      <c r="S326" s="4"/>
      <c r="T326" s="4"/>
      <c r="U326" s="4"/>
      <c r="V326" s="4"/>
      <c r="W326" s="4"/>
      <c r="X326" s="4"/>
      <c r="Y326" s="4"/>
      <c r="Z326" s="4"/>
    </row>
    <row r="327" ht="9.75" customHeight="1">
      <c r="A327" s="286" t="str">
        <f t="shared" ref="A327:A328" si="68">B327</f>
        <v>Sous total</v>
      </c>
      <c r="B327" s="287" t="s">
        <v>713</v>
      </c>
      <c r="C327" s="288"/>
      <c r="D327" s="288"/>
      <c r="E327" s="289"/>
      <c r="F327" s="290">
        <f>SUM(F322:F326)</f>
        <v>41586</v>
      </c>
      <c r="G327" s="272">
        <f t="shared" si="66"/>
        <v>41586</v>
      </c>
      <c r="H327" s="273"/>
      <c r="I327" s="274"/>
      <c r="J327" s="4"/>
      <c r="K327" s="273"/>
      <c r="L327" s="275"/>
      <c r="M327" s="4"/>
      <c r="N327" s="4"/>
      <c r="O327" s="4"/>
      <c r="P327" s="4"/>
      <c r="Q327" s="4"/>
      <c r="R327" s="4"/>
      <c r="S327" s="4"/>
      <c r="T327" s="4"/>
      <c r="U327" s="4"/>
      <c r="V327" s="4"/>
      <c r="W327" s="4"/>
      <c r="X327" s="4"/>
      <c r="Y327" s="4"/>
      <c r="Z327" s="4"/>
    </row>
    <row r="328" ht="9.75" customHeight="1">
      <c r="A328" s="276" t="str">
        <f t="shared" si="68"/>
        <v>Fibre optique</v>
      </c>
      <c r="B328" s="194" t="s">
        <v>441</v>
      </c>
      <c r="C328" s="277"/>
      <c r="D328" s="277"/>
      <c r="E328" s="278"/>
      <c r="F328" s="284">
        <f t="shared" ref="F328:F334" si="69">D328*E328</f>
        <v>0</v>
      </c>
      <c r="G328" s="272">
        <f t="shared" si="66"/>
        <v>0</v>
      </c>
      <c r="H328" s="273"/>
      <c r="I328" s="274"/>
      <c r="J328" s="4"/>
      <c r="K328" s="273"/>
      <c r="L328" s="275"/>
      <c r="M328" s="4"/>
      <c r="N328" s="4"/>
      <c r="O328" s="4"/>
      <c r="P328" s="4"/>
      <c r="Q328" s="4"/>
      <c r="R328" s="4"/>
      <c r="S328" s="4"/>
      <c r="T328" s="4"/>
      <c r="U328" s="4"/>
      <c r="V328" s="4"/>
      <c r="W328" s="4"/>
      <c r="X328" s="4"/>
      <c r="Y328" s="4"/>
      <c r="Z328" s="4"/>
    </row>
    <row r="329" ht="9.75" customHeight="1">
      <c r="A329" s="280"/>
      <c r="B329" s="115" t="s">
        <v>441</v>
      </c>
      <c r="C329" s="277" t="s">
        <v>51</v>
      </c>
      <c r="D329" s="277"/>
      <c r="E329" s="278">
        <v>6.0</v>
      </c>
      <c r="F329" s="284">
        <f t="shared" si="69"/>
        <v>0</v>
      </c>
      <c r="G329" s="272">
        <f t="shared" si="66"/>
        <v>0</v>
      </c>
      <c r="H329" s="273"/>
      <c r="I329" s="274"/>
      <c r="J329" s="4"/>
      <c r="K329" s="273"/>
      <c r="L329" s="275"/>
      <c r="M329" s="4"/>
      <c r="N329" s="4"/>
      <c r="O329" s="4"/>
      <c r="P329" s="4"/>
      <c r="Q329" s="4"/>
      <c r="R329" s="4"/>
      <c r="S329" s="4"/>
      <c r="T329" s="4"/>
      <c r="U329" s="4"/>
      <c r="V329" s="4"/>
      <c r="W329" s="4"/>
      <c r="X329" s="4"/>
      <c r="Y329" s="4"/>
      <c r="Z329" s="4"/>
    </row>
    <row r="330" ht="9.75" customHeight="1">
      <c r="A330" s="280"/>
      <c r="B330" s="115" t="s">
        <v>802</v>
      </c>
      <c r="C330" s="277" t="s">
        <v>34</v>
      </c>
      <c r="D330" s="277"/>
      <c r="E330" s="278">
        <v>600.0</v>
      </c>
      <c r="F330" s="284">
        <f t="shared" si="69"/>
        <v>0</v>
      </c>
      <c r="G330" s="272">
        <f t="shared" si="66"/>
        <v>0</v>
      </c>
      <c r="H330" s="273"/>
      <c r="I330" s="274"/>
      <c r="J330" s="4"/>
      <c r="K330" s="273"/>
      <c r="L330" s="275"/>
      <c r="M330" s="4"/>
      <c r="N330" s="4"/>
      <c r="O330" s="4"/>
      <c r="P330" s="4"/>
      <c r="Q330" s="4"/>
      <c r="R330" s="4"/>
      <c r="S330" s="4"/>
      <c r="T330" s="4"/>
      <c r="U330" s="4"/>
      <c r="V330" s="4"/>
      <c r="W330" s="4"/>
      <c r="X330" s="4"/>
      <c r="Y330" s="4"/>
      <c r="Z330" s="4"/>
    </row>
    <row r="331" ht="9.75" customHeight="1">
      <c r="A331" s="280"/>
      <c r="B331" s="115" t="s">
        <v>443</v>
      </c>
      <c r="C331" s="277" t="s">
        <v>34</v>
      </c>
      <c r="D331" s="277"/>
      <c r="E331" s="278">
        <v>150.0</v>
      </c>
      <c r="F331" s="284">
        <f t="shared" si="69"/>
        <v>0</v>
      </c>
      <c r="G331" s="272">
        <f t="shared" si="66"/>
        <v>0</v>
      </c>
      <c r="H331" s="273"/>
      <c r="I331" s="274"/>
      <c r="J331" s="4"/>
      <c r="K331" s="273"/>
      <c r="L331" s="275"/>
      <c r="M331" s="4"/>
      <c r="N331" s="4"/>
      <c r="O331" s="4"/>
      <c r="P331" s="4"/>
      <c r="Q331" s="4"/>
      <c r="R331" s="4"/>
      <c r="S331" s="4"/>
      <c r="T331" s="4"/>
      <c r="U331" s="4"/>
      <c r="V331" s="4"/>
      <c r="W331" s="4"/>
      <c r="X331" s="4"/>
      <c r="Y331" s="4"/>
      <c r="Z331" s="4"/>
    </row>
    <row r="332" ht="9.75" customHeight="1">
      <c r="A332" s="280"/>
      <c r="B332" s="115" t="s">
        <v>444</v>
      </c>
      <c r="C332" s="277" t="s">
        <v>34</v>
      </c>
      <c r="D332" s="277"/>
      <c r="E332" s="278">
        <v>100.0</v>
      </c>
      <c r="F332" s="284">
        <f t="shared" si="69"/>
        <v>0</v>
      </c>
      <c r="G332" s="272">
        <f t="shared" si="66"/>
        <v>0</v>
      </c>
      <c r="H332" s="273"/>
      <c r="I332" s="274"/>
      <c r="J332" s="4"/>
      <c r="K332" s="273"/>
      <c r="L332" s="275"/>
      <c r="M332" s="4"/>
      <c r="N332" s="4"/>
      <c r="O332" s="4"/>
      <c r="P332" s="4"/>
      <c r="Q332" s="4"/>
      <c r="R332" s="4"/>
      <c r="S332" s="4"/>
      <c r="T332" s="4"/>
      <c r="U332" s="4"/>
      <c r="V332" s="4"/>
      <c r="W332" s="4"/>
      <c r="X332" s="4"/>
      <c r="Y332" s="4"/>
      <c r="Z332" s="4"/>
    </row>
    <row r="333" ht="9.75" customHeight="1">
      <c r="A333" s="280"/>
      <c r="B333" s="115" t="s">
        <v>445</v>
      </c>
      <c r="C333" s="277" t="s">
        <v>32</v>
      </c>
      <c r="D333" s="277"/>
      <c r="E333" s="278">
        <v>70.0</v>
      </c>
      <c r="F333" s="284">
        <f t="shared" si="69"/>
        <v>0</v>
      </c>
      <c r="G333" s="272">
        <f t="shared" si="66"/>
        <v>0</v>
      </c>
      <c r="H333" s="273"/>
      <c r="I333" s="274"/>
      <c r="J333" s="4"/>
      <c r="K333" s="273"/>
      <c r="L333" s="275"/>
      <c r="M333" s="4"/>
      <c r="N333" s="4"/>
      <c r="O333" s="4"/>
      <c r="P333" s="4"/>
      <c r="Q333" s="4"/>
      <c r="R333" s="4"/>
      <c r="S333" s="4"/>
      <c r="T333" s="4"/>
      <c r="U333" s="4"/>
      <c r="V333" s="4"/>
      <c r="W333" s="4"/>
      <c r="X333" s="4"/>
      <c r="Y333" s="4"/>
      <c r="Z333" s="4"/>
    </row>
    <row r="334" ht="9.75" customHeight="1">
      <c r="A334" s="280"/>
      <c r="B334" s="115" t="s">
        <v>446</v>
      </c>
      <c r="C334" s="277" t="s">
        <v>34</v>
      </c>
      <c r="D334" s="277"/>
      <c r="E334" s="278">
        <v>7.0</v>
      </c>
      <c r="F334" s="284">
        <f t="shared" si="69"/>
        <v>0</v>
      </c>
      <c r="G334" s="272">
        <f t="shared" si="66"/>
        <v>0</v>
      </c>
      <c r="H334" s="273"/>
      <c r="I334" s="274"/>
      <c r="J334" s="4"/>
      <c r="K334" s="273"/>
      <c r="L334" s="275"/>
      <c r="M334" s="4"/>
      <c r="N334" s="4"/>
      <c r="O334" s="4"/>
      <c r="P334" s="4"/>
      <c r="Q334" s="4"/>
      <c r="R334" s="4"/>
      <c r="S334" s="4"/>
      <c r="T334" s="4"/>
      <c r="U334" s="4"/>
      <c r="V334" s="4"/>
      <c r="W334" s="4"/>
      <c r="X334" s="4"/>
      <c r="Y334" s="4"/>
      <c r="Z334" s="4"/>
    </row>
    <row r="335" ht="9.75" customHeight="1">
      <c r="A335" s="286" t="str">
        <f t="shared" ref="A335:A336" si="70">B335</f>
        <v>Sous total</v>
      </c>
      <c r="B335" s="287" t="s">
        <v>713</v>
      </c>
      <c r="C335" s="288"/>
      <c r="D335" s="288"/>
      <c r="E335" s="289"/>
      <c r="F335" s="290">
        <f>SUM(F329:F334)</f>
        <v>0</v>
      </c>
      <c r="G335" s="272">
        <f t="shared" si="66"/>
        <v>0</v>
      </c>
      <c r="H335" s="273"/>
      <c r="I335" s="274"/>
      <c r="J335" s="4"/>
      <c r="K335" s="273"/>
      <c r="L335" s="275"/>
      <c r="M335" s="4"/>
      <c r="N335" s="4"/>
      <c r="O335" s="4"/>
      <c r="P335" s="4"/>
      <c r="Q335" s="4"/>
      <c r="R335" s="4"/>
      <c r="S335" s="4"/>
      <c r="T335" s="4"/>
      <c r="U335" s="4"/>
      <c r="V335" s="4"/>
      <c r="W335" s="4"/>
      <c r="X335" s="4"/>
      <c r="Y335" s="4"/>
      <c r="Z335" s="4"/>
    </row>
    <row r="336" ht="9.75" customHeight="1">
      <c r="A336" s="276" t="str">
        <f t="shared" si="70"/>
        <v>système wifi</v>
      </c>
      <c r="B336" s="194" t="s">
        <v>803</v>
      </c>
      <c r="C336" s="277"/>
      <c r="D336" s="277"/>
      <c r="E336" s="278"/>
      <c r="F336" s="284">
        <f t="shared" ref="F336:F339" si="71">D336*E336</f>
        <v>0</v>
      </c>
      <c r="G336" s="272">
        <f t="shared" si="66"/>
        <v>0</v>
      </c>
      <c r="H336" s="273"/>
      <c r="I336" s="274"/>
      <c r="J336" s="4"/>
      <c r="K336" s="273"/>
      <c r="L336" s="275"/>
      <c r="M336" s="4"/>
      <c r="N336" s="4"/>
      <c r="O336" s="4"/>
      <c r="P336" s="4"/>
      <c r="Q336" s="4"/>
      <c r="R336" s="4"/>
      <c r="S336" s="4"/>
      <c r="T336" s="4"/>
      <c r="U336" s="4"/>
      <c r="V336" s="4"/>
      <c r="W336" s="4"/>
      <c r="X336" s="4"/>
      <c r="Y336" s="4"/>
      <c r="Z336" s="4"/>
    </row>
    <row r="337" ht="9.75" customHeight="1">
      <c r="A337" s="280"/>
      <c r="B337" s="146" t="s">
        <v>804</v>
      </c>
      <c r="C337" s="281" t="s">
        <v>27</v>
      </c>
      <c r="D337" s="282"/>
      <c r="E337" s="283">
        <v>0.81</v>
      </c>
      <c r="F337" s="284">
        <f t="shared" si="71"/>
        <v>0</v>
      </c>
      <c r="G337" s="272">
        <f t="shared" si="66"/>
        <v>0</v>
      </c>
      <c r="H337" s="273"/>
      <c r="I337" s="274"/>
      <c r="J337" s="4"/>
      <c r="K337" s="273"/>
      <c r="L337" s="275"/>
      <c r="M337" s="4"/>
      <c r="N337" s="4"/>
      <c r="O337" s="4"/>
      <c r="P337" s="4"/>
      <c r="Q337" s="4"/>
      <c r="R337" s="4"/>
      <c r="S337" s="4"/>
      <c r="T337" s="4"/>
      <c r="U337" s="4"/>
      <c r="V337" s="4"/>
      <c r="W337" s="4"/>
      <c r="X337" s="4"/>
      <c r="Y337" s="4"/>
      <c r="Z337" s="4"/>
    </row>
    <row r="338" ht="9.75" customHeight="1">
      <c r="A338" s="280"/>
      <c r="B338" s="146" t="s">
        <v>805</v>
      </c>
      <c r="C338" s="281" t="s">
        <v>27</v>
      </c>
      <c r="D338" s="282"/>
      <c r="E338" s="283">
        <v>0.54</v>
      </c>
      <c r="F338" s="284">
        <f t="shared" si="71"/>
        <v>0</v>
      </c>
      <c r="G338" s="272">
        <f t="shared" si="66"/>
        <v>0</v>
      </c>
      <c r="H338" s="273"/>
      <c r="I338" s="274"/>
      <c r="J338" s="4"/>
      <c r="K338" s="285">
        <v>1600.0</v>
      </c>
      <c r="L338" s="275">
        <f>K338/$K$11</f>
        <v>0.2231520223</v>
      </c>
      <c r="M338" s="4" t="s">
        <v>761</v>
      </c>
      <c r="N338" s="4"/>
      <c r="O338" s="4"/>
      <c r="P338" s="4"/>
      <c r="Q338" s="4"/>
      <c r="R338" s="4"/>
      <c r="S338" s="4"/>
      <c r="T338" s="4"/>
      <c r="U338" s="4"/>
      <c r="V338" s="4"/>
      <c r="W338" s="4"/>
      <c r="X338" s="4"/>
      <c r="Y338" s="4"/>
      <c r="Z338" s="4"/>
    </row>
    <row r="339" ht="9.75" customHeight="1">
      <c r="A339" s="280"/>
      <c r="B339" s="146" t="s">
        <v>806</v>
      </c>
      <c r="C339" s="281" t="s">
        <v>27</v>
      </c>
      <c r="D339" s="282"/>
      <c r="E339" s="283">
        <v>2.5</v>
      </c>
      <c r="F339" s="284">
        <f t="shared" si="71"/>
        <v>0</v>
      </c>
      <c r="G339" s="272">
        <f t="shared" si="66"/>
        <v>0</v>
      </c>
      <c r="H339" s="273"/>
      <c r="I339" s="274"/>
      <c r="J339" s="4"/>
      <c r="K339" s="273"/>
      <c r="L339" s="275"/>
      <c r="M339" s="4"/>
      <c r="N339" s="4"/>
      <c r="O339" s="4"/>
      <c r="P339" s="4"/>
      <c r="Q339" s="4"/>
      <c r="R339" s="4"/>
      <c r="S339" s="4"/>
      <c r="T339" s="4"/>
      <c r="U339" s="4"/>
      <c r="V339" s="4"/>
      <c r="W339" s="4"/>
      <c r="X339" s="4"/>
      <c r="Y339" s="4"/>
      <c r="Z339" s="4"/>
    </row>
    <row r="340" ht="9.75" customHeight="1">
      <c r="A340" s="286" t="str">
        <f t="shared" ref="A340:A341" si="72">B340</f>
        <v>Sous total</v>
      </c>
      <c r="B340" s="287" t="s">
        <v>713</v>
      </c>
      <c r="C340" s="288"/>
      <c r="D340" s="288"/>
      <c r="E340" s="289"/>
      <c r="F340" s="290">
        <f>SUM(F337:F339)</f>
        <v>0</v>
      </c>
      <c r="G340" s="272">
        <f t="shared" si="66"/>
        <v>0</v>
      </c>
      <c r="H340" s="273"/>
      <c r="I340" s="274"/>
      <c r="J340" s="4"/>
      <c r="K340" s="273"/>
      <c r="L340" s="275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</row>
    <row r="341" ht="9.75" customHeight="1">
      <c r="A341" s="276" t="str">
        <f t="shared" si="72"/>
        <v>téléphonie</v>
      </c>
      <c r="B341" s="194" t="s">
        <v>807</v>
      </c>
      <c r="C341" s="277"/>
      <c r="D341" s="277"/>
      <c r="E341" s="278"/>
      <c r="F341" s="284">
        <f t="shared" ref="F341:F350" si="73">D341*E341</f>
        <v>0</v>
      </c>
      <c r="G341" s="272">
        <f t="shared" si="66"/>
        <v>0</v>
      </c>
      <c r="H341" s="273"/>
      <c r="I341" s="274"/>
      <c r="J341" s="4"/>
      <c r="K341" s="273"/>
      <c r="L341" s="275"/>
      <c r="M341" s="4"/>
      <c r="N341" s="4"/>
      <c r="O341" s="4"/>
      <c r="P341" s="4"/>
      <c r="Q341" s="4"/>
      <c r="R341" s="4"/>
      <c r="S341" s="4"/>
      <c r="T341" s="4"/>
      <c r="U341" s="4"/>
      <c r="V341" s="4"/>
      <c r="W341" s="4"/>
      <c r="X341" s="4"/>
      <c r="Y341" s="4"/>
      <c r="Z341" s="4"/>
    </row>
    <row r="342" ht="9.75" customHeight="1">
      <c r="A342" s="280"/>
      <c r="B342" s="115" t="s">
        <v>808</v>
      </c>
      <c r="C342" s="277" t="s">
        <v>17</v>
      </c>
      <c r="D342" s="277"/>
      <c r="E342" s="278">
        <v>504.0</v>
      </c>
      <c r="F342" s="284">
        <f t="shared" si="73"/>
        <v>0</v>
      </c>
      <c r="G342" s="272">
        <f t="shared" si="66"/>
        <v>0</v>
      </c>
      <c r="H342" s="273"/>
      <c r="I342" s="274"/>
      <c r="J342" s="4"/>
      <c r="K342" s="273"/>
      <c r="L342" s="275"/>
      <c r="M342" s="4"/>
      <c r="N342" s="4"/>
      <c r="O342" s="4"/>
      <c r="P342" s="4"/>
      <c r="Q342" s="4"/>
      <c r="R342" s="4"/>
      <c r="S342" s="4"/>
      <c r="T342" s="4"/>
      <c r="U342" s="4"/>
      <c r="V342" s="4"/>
      <c r="W342" s="4"/>
      <c r="X342" s="4"/>
      <c r="Y342" s="4"/>
      <c r="Z342" s="4"/>
    </row>
    <row r="343" ht="9.75" customHeight="1">
      <c r="A343" s="280"/>
      <c r="B343" s="115" t="s">
        <v>470</v>
      </c>
      <c r="C343" s="277" t="s">
        <v>34</v>
      </c>
      <c r="D343" s="277"/>
      <c r="E343" s="278">
        <v>800.0</v>
      </c>
      <c r="F343" s="284">
        <f t="shared" si="73"/>
        <v>0</v>
      </c>
      <c r="G343" s="272">
        <f t="shared" si="66"/>
        <v>0</v>
      </c>
      <c r="H343" s="273"/>
      <c r="I343" s="274"/>
      <c r="J343" s="4"/>
      <c r="K343" s="273"/>
      <c r="L343" s="275"/>
      <c r="M343" s="4"/>
      <c r="N343" s="4"/>
      <c r="O343" s="4"/>
      <c r="P343" s="4"/>
      <c r="Q343" s="4"/>
      <c r="R343" s="4"/>
      <c r="S343" s="4"/>
      <c r="T343" s="4"/>
      <c r="U343" s="4"/>
      <c r="V343" s="4"/>
      <c r="W343" s="4"/>
      <c r="X343" s="4"/>
      <c r="Y343" s="4"/>
      <c r="Z343" s="4"/>
    </row>
    <row r="344" ht="9.75" customHeight="1">
      <c r="A344" s="280"/>
      <c r="B344" s="115" t="s">
        <v>471</v>
      </c>
      <c r="C344" s="277" t="s">
        <v>17</v>
      </c>
      <c r="D344" s="277"/>
      <c r="E344" s="278">
        <v>5500.0</v>
      </c>
      <c r="F344" s="284">
        <f t="shared" si="73"/>
        <v>0</v>
      </c>
      <c r="G344" s="272">
        <f t="shared" si="66"/>
        <v>0</v>
      </c>
      <c r="H344" s="273"/>
      <c r="I344" s="274"/>
      <c r="J344" s="4"/>
      <c r="K344" s="273"/>
      <c r="L344" s="275"/>
      <c r="M344" s="4"/>
      <c r="N344" s="4"/>
      <c r="O344" s="4"/>
      <c r="P344" s="4"/>
      <c r="Q344" s="4"/>
      <c r="R344" s="4"/>
      <c r="S344" s="4"/>
      <c r="T344" s="4"/>
      <c r="U344" s="4"/>
      <c r="V344" s="4"/>
      <c r="W344" s="4"/>
      <c r="X344" s="4"/>
      <c r="Y344" s="4"/>
      <c r="Z344" s="4"/>
    </row>
    <row r="345" ht="9.75" customHeight="1">
      <c r="A345" s="280"/>
      <c r="B345" s="115" t="s">
        <v>473</v>
      </c>
      <c r="C345" s="277" t="s">
        <v>17</v>
      </c>
      <c r="D345" s="277"/>
      <c r="E345" s="278">
        <v>250.0</v>
      </c>
      <c r="F345" s="284">
        <f t="shared" si="73"/>
        <v>0</v>
      </c>
      <c r="G345" s="272">
        <f t="shared" si="66"/>
        <v>0</v>
      </c>
      <c r="H345" s="273"/>
      <c r="I345" s="274"/>
      <c r="J345" s="4"/>
      <c r="K345" s="273"/>
      <c r="L345" s="275"/>
      <c r="M345" s="4"/>
      <c r="N345" s="4"/>
      <c r="O345" s="4"/>
      <c r="P345" s="4"/>
      <c r="Q345" s="4"/>
      <c r="R345" s="4"/>
      <c r="S345" s="4"/>
      <c r="T345" s="4"/>
      <c r="U345" s="4"/>
      <c r="V345" s="4"/>
      <c r="W345" s="4"/>
      <c r="X345" s="4"/>
      <c r="Y345" s="4"/>
      <c r="Z345" s="4"/>
    </row>
    <row r="346" ht="9.75" customHeight="1">
      <c r="A346" s="280"/>
      <c r="B346" s="115" t="s">
        <v>474</v>
      </c>
      <c r="C346" s="277" t="s">
        <v>17</v>
      </c>
      <c r="D346" s="277"/>
      <c r="E346" s="278">
        <v>250.0</v>
      </c>
      <c r="F346" s="284">
        <f t="shared" si="73"/>
        <v>0</v>
      </c>
      <c r="G346" s="272">
        <f t="shared" si="66"/>
        <v>0</v>
      </c>
      <c r="H346" s="273"/>
      <c r="I346" s="274"/>
      <c r="J346" s="4"/>
      <c r="K346" s="273"/>
      <c r="L346" s="275"/>
      <c r="M346" s="4"/>
      <c r="N346" s="4"/>
      <c r="O346" s="4"/>
      <c r="P346" s="4"/>
      <c r="Q346" s="4"/>
      <c r="R346" s="4"/>
      <c r="S346" s="4"/>
      <c r="T346" s="4"/>
      <c r="U346" s="4"/>
      <c r="V346" s="4"/>
      <c r="W346" s="4"/>
      <c r="X346" s="4"/>
      <c r="Y346" s="4"/>
      <c r="Z346" s="4"/>
    </row>
    <row r="347" ht="9.75" customHeight="1">
      <c r="A347" s="280"/>
      <c r="B347" s="115" t="s">
        <v>475</v>
      </c>
      <c r="C347" s="277" t="s">
        <v>17</v>
      </c>
      <c r="D347" s="277"/>
      <c r="E347" s="278">
        <v>80.0</v>
      </c>
      <c r="F347" s="284">
        <f t="shared" si="73"/>
        <v>0</v>
      </c>
      <c r="G347" s="272">
        <f t="shared" si="66"/>
        <v>0</v>
      </c>
      <c r="H347" s="273"/>
      <c r="I347" s="274"/>
      <c r="J347" s="4"/>
      <c r="K347" s="273"/>
      <c r="L347" s="275"/>
      <c r="M347" s="4"/>
      <c r="N347" s="4"/>
      <c r="O347" s="4"/>
      <c r="P347" s="4"/>
      <c r="Q347" s="4"/>
      <c r="R347" s="4"/>
      <c r="S347" s="4"/>
      <c r="T347" s="4"/>
      <c r="U347" s="4"/>
      <c r="V347" s="4"/>
      <c r="W347" s="4"/>
      <c r="X347" s="4"/>
      <c r="Y347" s="4"/>
      <c r="Z347" s="4"/>
    </row>
    <row r="348" ht="9.75" customHeight="1">
      <c r="A348" s="280"/>
      <c r="B348" s="115" t="s">
        <v>478</v>
      </c>
      <c r="C348" s="277" t="s">
        <v>51</v>
      </c>
      <c r="D348" s="277"/>
      <c r="E348" s="278">
        <v>12.0</v>
      </c>
      <c r="F348" s="284">
        <f t="shared" si="73"/>
        <v>0</v>
      </c>
      <c r="G348" s="272">
        <f t="shared" si="66"/>
        <v>0</v>
      </c>
      <c r="H348" s="273"/>
      <c r="I348" s="274"/>
      <c r="J348" s="4"/>
      <c r="K348" s="273"/>
      <c r="L348" s="275"/>
      <c r="M348" s="4"/>
      <c r="N348" s="4"/>
      <c r="O348" s="4"/>
      <c r="P348" s="4"/>
      <c r="Q348" s="4"/>
      <c r="R348" s="4"/>
      <c r="S348" s="4"/>
      <c r="T348" s="4"/>
      <c r="U348" s="4"/>
      <c r="V348" s="4"/>
      <c r="W348" s="4"/>
      <c r="X348" s="4"/>
      <c r="Y348" s="4"/>
      <c r="Z348" s="4"/>
    </row>
    <row r="349" ht="9.75" customHeight="1">
      <c r="A349" s="280"/>
      <c r="B349" s="115" t="s">
        <v>479</v>
      </c>
      <c r="C349" s="277" t="s">
        <v>32</v>
      </c>
      <c r="D349" s="277"/>
      <c r="E349" s="278">
        <v>300.0</v>
      </c>
      <c r="F349" s="284">
        <f t="shared" si="73"/>
        <v>0</v>
      </c>
      <c r="G349" s="272">
        <f t="shared" si="66"/>
        <v>0</v>
      </c>
      <c r="H349" s="273"/>
      <c r="I349" s="274"/>
      <c r="J349" s="4"/>
      <c r="K349" s="273"/>
      <c r="L349" s="275"/>
      <c r="M349" s="4"/>
      <c r="N349" s="4"/>
      <c r="O349" s="4"/>
      <c r="P349" s="4"/>
      <c r="Q349" s="4"/>
      <c r="R349" s="4"/>
      <c r="S349" s="4"/>
      <c r="T349" s="4"/>
      <c r="U349" s="4"/>
      <c r="V349" s="4"/>
      <c r="W349" s="4"/>
      <c r="X349" s="4"/>
      <c r="Y349" s="4"/>
      <c r="Z349" s="4"/>
    </row>
    <row r="350" ht="9.75" customHeight="1">
      <c r="A350" s="280"/>
      <c r="B350" s="115" t="s">
        <v>181</v>
      </c>
      <c r="C350" s="277" t="s">
        <v>32</v>
      </c>
      <c r="D350" s="277"/>
      <c r="E350" s="278">
        <v>2500.0</v>
      </c>
      <c r="F350" s="284">
        <f t="shared" si="73"/>
        <v>0</v>
      </c>
      <c r="G350" s="272">
        <f t="shared" si="66"/>
        <v>0</v>
      </c>
      <c r="H350" s="273"/>
      <c r="I350" s="274"/>
      <c r="J350" s="4"/>
      <c r="K350" s="273"/>
      <c r="L350" s="275"/>
      <c r="M350" s="4"/>
      <c r="N350" s="4"/>
      <c r="O350" s="4"/>
      <c r="P350" s="4"/>
      <c r="Q350" s="4"/>
      <c r="R350" s="4"/>
      <c r="S350" s="4"/>
      <c r="T350" s="4"/>
      <c r="U350" s="4"/>
      <c r="V350" s="4"/>
      <c r="W350" s="4"/>
      <c r="X350" s="4"/>
      <c r="Y350" s="4"/>
      <c r="Z350" s="4"/>
    </row>
    <row r="351" ht="9.75" customHeight="1">
      <c r="A351" s="286" t="str">
        <f t="shared" ref="A351:A352" si="74">B351</f>
        <v>Sous total</v>
      </c>
      <c r="B351" s="287" t="s">
        <v>713</v>
      </c>
      <c r="C351" s="288"/>
      <c r="D351" s="288"/>
      <c r="E351" s="289"/>
      <c r="F351" s="290">
        <f>SUM(F342:F350)</f>
        <v>0</v>
      </c>
      <c r="G351" s="272">
        <f t="shared" si="66"/>
        <v>0</v>
      </c>
      <c r="H351" s="273"/>
      <c r="I351" s="274"/>
      <c r="J351" s="4"/>
      <c r="K351" s="273"/>
      <c r="L351" s="275"/>
      <c r="M351" s="4"/>
      <c r="N351" s="4"/>
      <c r="O351" s="4"/>
      <c r="P351" s="4"/>
      <c r="Q351" s="4"/>
      <c r="R351" s="4"/>
      <c r="S351" s="4"/>
      <c r="T351" s="4"/>
      <c r="U351" s="4"/>
      <c r="V351" s="4"/>
      <c r="W351" s="4"/>
      <c r="X351" s="4"/>
      <c r="Y351" s="4"/>
      <c r="Z351" s="4"/>
    </row>
    <row r="352" ht="9.75" customHeight="1">
      <c r="A352" s="276" t="str">
        <f t="shared" si="74"/>
        <v>DECT</v>
      </c>
      <c r="B352" s="194" t="s">
        <v>480</v>
      </c>
      <c r="C352" s="277"/>
      <c r="D352" s="277"/>
      <c r="E352" s="278"/>
      <c r="F352" s="284">
        <f t="shared" ref="F352:F357" si="75">D352*E352</f>
        <v>0</v>
      </c>
      <c r="G352" s="272">
        <f t="shared" si="66"/>
        <v>0</v>
      </c>
      <c r="H352" s="273"/>
      <c r="I352" s="274"/>
      <c r="J352" s="4"/>
      <c r="K352" s="273"/>
      <c r="L352" s="275"/>
      <c r="M352" s="4"/>
      <c r="N352" s="4"/>
      <c r="O352" s="4"/>
      <c r="P352" s="4"/>
      <c r="Q352" s="4"/>
      <c r="R352" s="4"/>
      <c r="S352" s="4"/>
      <c r="T352" s="4"/>
      <c r="U352" s="4"/>
      <c r="V352" s="4"/>
      <c r="W352" s="4"/>
      <c r="X352" s="4"/>
      <c r="Y352" s="4"/>
      <c r="Z352" s="4"/>
    </row>
    <row r="353" ht="9.75" customHeight="1">
      <c r="A353" s="280"/>
      <c r="B353" s="115" t="s">
        <v>481</v>
      </c>
      <c r="C353" s="277" t="s">
        <v>34</v>
      </c>
      <c r="D353" s="277"/>
      <c r="E353" s="278"/>
      <c r="F353" s="284">
        <f t="shared" si="75"/>
        <v>0</v>
      </c>
      <c r="G353" s="272">
        <f t="shared" si="66"/>
        <v>0</v>
      </c>
      <c r="H353" s="273"/>
      <c r="I353" s="274"/>
      <c r="J353" s="4"/>
      <c r="K353" s="273"/>
      <c r="L353" s="275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</row>
    <row r="354" ht="9.75" customHeight="1">
      <c r="A354" s="280"/>
      <c r="B354" s="115" t="s">
        <v>450</v>
      </c>
      <c r="C354" s="277" t="s">
        <v>34</v>
      </c>
      <c r="D354" s="277"/>
      <c r="E354" s="278"/>
      <c r="F354" s="284">
        <f t="shared" si="75"/>
        <v>0</v>
      </c>
      <c r="G354" s="272">
        <f t="shared" si="66"/>
        <v>0</v>
      </c>
      <c r="H354" s="273"/>
      <c r="I354" s="274"/>
      <c r="J354" s="4"/>
      <c r="K354" s="273"/>
      <c r="L354" s="275"/>
      <c r="M354" s="4"/>
      <c r="N354" s="4"/>
      <c r="O354" s="4"/>
      <c r="P354" s="4"/>
      <c r="Q354" s="4"/>
      <c r="R354" s="4"/>
      <c r="S354" s="4"/>
      <c r="T354" s="4"/>
      <c r="U354" s="4"/>
      <c r="V354" s="4"/>
      <c r="W354" s="4"/>
      <c r="X354" s="4"/>
      <c r="Y354" s="4"/>
      <c r="Z354" s="4"/>
    </row>
    <row r="355" ht="9.75" customHeight="1">
      <c r="A355" s="280"/>
      <c r="B355" s="115" t="s">
        <v>809</v>
      </c>
      <c r="C355" s="277" t="s">
        <v>51</v>
      </c>
      <c r="D355" s="277"/>
      <c r="E355" s="278"/>
      <c r="F355" s="284">
        <f t="shared" si="75"/>
        <v>0</v>
      </c>
      <c r="G355" s="272">
        <f t="shared" si="66"/>
        <v>0</v>
      </c>
      <c r="H355" s="273"/>
      <c r="I355" s="274"/>
      <c r="J355" s="4"/>
      <c r="K355" s="273"/>
      <c r="L355" s="275"/>
      <c r="M355" s="4"/>
      <c r="N355" s="4"/>
      <c r="O355" s="4"/>
      <c r="P355" s="4"/>
      <c r="Q355" s="4"/>
      <c r="R355" s="4"/>
      <c r="S355" s="4"/>
      <c r="T355" s="4"/>
      <c r="U355" s="4"/>
      <c r="V355" s="4"/>
      <c r="W355" s="4"/>
      <c r="X355" s="4"/>
      <c r="Y355" s="4"/>
      <c r="Z355" s="4"/>
    </row>
    <row r="356" ht="9.75" customHeight="1">
      <c r="A356" s="280"/>
      <c r="B356" s="115" t="s">
        <v>466</v>
      </c>
      <c r="C356" s="277" t="s">
        <v>32</v>
      </c>
      <c r="D356" s="277"/>
      <c r="E356" s="278"/>
      <c r="F356" s="284">
        <f t="shared" si="75"/>
        <v>0</v>
      </c>
      <c r="G356" s="272">
        <f t="shared" si="66"/>
        <v>0</v>
      </c>
      <c r="H356" s="273"/>
      <c r="I356" s="274"/>
      <c r="J356" s="4"/>
      <c r="K356" s="273"/>
      <c r="L356" s="275"/>
      <c r="M356" s="4"/>
      <c r="N356" s="4"/>
      <c r="O356" s="4"/>
      <c r="P356" s="4"/>
      <c r="Q356" s="4"/>
      <c r="R356" s="4"/>
      <c r="S356" s="4"/>
      <c r="T356" s="4"/>
      <c r="U356" s="4"/>
      <c r="V356" s="4"/>
      <c r="W356" s="4"/>
      <c r="X356" s="4"/>
      <c r="Y356" s="4"/>
      <c r="Z356" s="4"/>
    </row>
    <row r="357" ht="9.75" customHeight="1">
      <c r="A357" s="280"/>
      <c r="B357" s="115" t="s">
        <v>483</v>
      </c>
      <c r="C357" s="277" t="s">
        <v>32</v>
      </c>
      <c r="D357" s="277"/>
      <c r="E357" s="278"/>
      <c r="F357" s="284">
        <f t="shared" si="75"/>
        <v>0</v>
      </c>
      <c r="G357" s="272">
        <f t="shared" si="66"/>
        <v>0</v>
      </c>
      <c r="H357" s="273"/>
      <c r="I357" s="274"/>
      <c r="J357" s="4"/>
      <c r="K357" s="273"/>
      <c r="L357" s="275"/>
      <c r="M357" s="4"/>
      <c r="N357" s="4"/>
      <c r="O357" s="4"/>
      <c r="P357" s="4"/>
      <c r="Q357" s="4"/>
      <c r="R357" s="4"/>
      <c r="S357" s="4"/>
      <c r="T357" s="4"/>
      <c r="U357" s="4"/>
      <c r="V357" s="4"/>
      <c r="W357" s="4"/>
      <c r="X357" s="4"/>
      <c r="Y357" s="4"/>
      <c r="Z357" s="4"/>
    </row>
    <row r="358" ht="9.75" customHeight="1">
      <c r="A358" s="286" t="str">
        <f t="shared" ref="A358:A359" si="76">B358</f>
        <v>Sous total</v>
      </c>
      <c r="B358" s="287" t="s">
        <v>713</v>
      </c>
      <c r="C358" s="288"/>
      <c r="D358" s="288"/>
      <c r="E358" s="289"/>
      <c r="F358" s="290">
        <f>SUM(F352:F357)</f>
        <v>0</v>
      </c>
      <c r="G358" s="272">
        <f t="shared" si="66"/>
        <v>0</v>
      </c>
      <c r="H358" s="273"/>
      <c r="I358" s="274"/>
      <c r="J358" s="4"/>
      <c r="K358" s="273"/>
      <c r="L358" s="275"/>
      <c r="M358" s="4"/>
      <c r="N358" s="4"/>
      <c r="O358" s="4"/>
      <c r="P358" s="4"/>
      <c r="Q358" s="4"/>
      <c r="R358" s="4"/>
      <c r="S358" s="4"/>
      <c r="T358" s="4"/>
      <c r="U358" s="4"/>
      <c r="V358" s="4"/>
      <c r="W358" s="4"/>
      <c r="X358" s="4"/>
      <c r="Y358" s="4"/>
      <c r="Z358" s="4"/>
    </row>
    <row r="359" ht="9.75" customHeight="1">
      <c r="A359" s="276" t="str">
        <f t="shared" si="76"/>
        <v>Système de sécurité incendie</v>
      </c>
      <c r="B359" s="194" t="s">
        <v>486</v>
      </c>
      <c r="C359" s="277"/>
      <c r="D359" s="277"/>
      <c r="E359" s="278"/>
      <c r="F359" s="284">
        <f t="shared" ref="F359:F373" si="77">D359*E359</f>
        <v>0</v>
      </c>
      <c r="G359" s="272">
        <f t="shared" si="66"/>
        <v>0</v>
      </c>
      <c r="H359" s="273"/>
      <c r="I359" s="274"/>
      <c r="J359" s="4"/>
      <c r="K359" s="273"/>
      <c r="L359" s="275"/>
      <c r="M359" s="4"/>
      <c r="N359" s="4"/>
      <c r="O359" s="4"/>
      <c r="P359" s="4"/>
      <c r="Q359" s="4"/>
      <c r="R359" s="4"/>
      <c r="S359" s="4"/>
      <c r="T359" s="4"/>
      <c r="U359" s="4"/>
      <c r="V359" s="4"/>
      <c r="W359" s="4"/>
      <c r="X359" s="4"/>
      <c r="Y359" s="4"/>
      <c r="Z359" s="4"/>
    </row>
    <row r="360" ht="9.75" customHeight="1">
      <c r="A360" s="280"/>
      <c r="B360" s="110" t="s">
        <v>810</v>
      </c>
      <c r="C360" s="293"/>
      <c r="D360" s="294"/>
      <c r="E360" s="295"/>
      <c r="F360" s="284">
        <f t="shared" si="77"/>
        <v>0</v>
      </c>
      <c r="G360" s="272">
        <f t="shared" si="66"/>
        <v>0</v>
      </c>
      <c r="H360" s="273"/>
      <c r="I360" s="274"/>
      <c r="J360" s="4"/>
      <c r="K360" s="273"/>
      <c r="L360" s="275"/>
      <c r="M360" s="4"/>
      <c r="N360" s="4"/>
      <c r="O360" s="4"/>
      <c r="P360" s="4"/>
      <c r="Q360" s="4"/>
      <c r="R360" s="4"/>
      <c r="S360" s="4"/>
      <c r="T360" s="4"/>
      <c r="U360" s="4"/>
      <c r="V360" s="4"/>
      <c r="W360" s="4"/>
      <c r="X360" s="4"/>
      <c r="Y360" s="4"/>
      <c r="Z360" s="4"/>
    </row>
    <row r="361" ht="9.75" customHeight="1">
      <c r="A361" s="280"/>
      <c r="B361" s="146" t="s">
        <v>488</v>
      </c>
      <c r="C361" s="281" t="s">
        <v>27</v>
      </c>
      <c r="D361" s="282">
        <f>D10</f>
        <v>7170</v>
      </c>
      <c r="E361" s="283">
        <v>27.5</v>
      </c>
      <c r="F361" s="284">
        <f t="shared" si="77"/>
        <v>197175</v>
      </c>
      <c r="G361" s="272">
        <f t="shared" si="66"/>
        <v>0</v>
      </c>
      <c r="H361" s="273">
        <v>43525.0</v>
      </c>
      <c r="I361" s="274">
        <v>27.5</v>
      </c>
      <c r="J361" s="4"/>
      <c r="K361" s="273"/>
      <c r="L361" s="275"/>
      <c r="M361" s="4"/>
      <c r="N361" s="4"/>
      <c r="O361" s="4"/>
      <c r="P361" s="4"/>
      <c r="Q361" s="4"/>
      <c r="R361" s="4"/>
      <c r="S361" s="4"/>
      <c r="T361" s="4"/>
      <c r="U361" s="4"/>
      <c r="V361" s="4"/>
      <c r="W361" s="4"/>
      <c r="X361" s="4"/>
      <c r="Y361" s="4"/>
      <c r="Z361" s="4"/>
    </row>
    <row r="362" ht="9.75" customHeight="1">
      <c r="A362" s="280"/>
      <c r="B362" s="115"/>
      <c r="C362" s="310"/>
      <c r="D362" s="277"/>
      <c r="E362" s="278"/>
      <c r="F362" s="284">
        <f t="shared" si="77"/>
        <v>0</v>
      </c>
      <c r="G362" s="272">
        <f t="shared" si="66"/>
        <v>0</v>
      </c>
      <c r="H362" s="273"/>
      <c r="I362" s="274"/>
      <c r="J362" s="4"/>
      <c r="K362" s="273"/>
      <c r="L362" s="275"/>
      <c r="M362" s="4"/>
      <c r="N362" s="4"/>
      <c r="O362" s="4"/>
      <c r="P362" s="4"/>
      <c r="Q362" s="4"/>
      <c r="R362" s="4"/>
      <c r="S362" s="4"/>
      <c r="T362" s="4"/>
      <c r="U362" s="4"/>
      <c r="V362" s="4"/>
      <c r="W362" s="4"/>
      <c r="X362" s="4"/>
      <c r="Y362" s="4"/>
      <c r="Z362" s="4"/>
    </row>
    <row r="363" ht="9.75" customHeight="1">
      <c r="A363" s="280"/>
      <c r="B363" s="146" t="s">
        <v>246</v>
      </c>
      <c r="C363" s="281" t="s">
        <v>496</v>
      </c>
      <c r="D363" s="282"/>
      <c r="E363" s="283"/>
      <c r="F363" s="284">
        <f t="shared" si="77"/>
        <v>0</v>
      </c>
      <c r="G363" s="272">
        <f t="shared" si="66"/>
        <v>0</v>
      </c>
      <c r="H363" s="273"/>
      <c r="I363" s="274"/>
      <c r="J363" s="4"/>
      <c r="K363" s="273"/>
      <c r="L363" s="275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4"/>
    </row>
    <row r="364" ht="9.75" customHeight="1">
      <c r="A364" s="280"/>
      <c r="B364" s="115" t="s">
        <v>811</v>
      </c>
      <c r="C364" s="310" t="s">
        <v>34</v>
      </c>
      <c r="D364" s="277"/>
      <c r="E364" s="278">
        <v>24.0</v>
      </c>
      <c r="F364" s="284">
        <f t="shared" si="77"/>
        <v>0</v>
      </c>
      <c r="G364" s="272">
        <f t="shared" si="66"/>
        <v>0</v>
      </c>
      <c r="H364" s="273"/>
      <c r="I364" s="274"/>
      <c r="J364" s="4"/>
      <c r="K364" s="273"/>
      <c r="L364" s="275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  <c r="Y364" s="4"/>
      <c r="Z364" s="4"/>
    </row>
    <row r="365" ht="9.75" customHeight="1">
      <c r="A365" s="280"/>
      <c r="B365" s="115" t="s">
        <v>812</v>
      </c>
      <c r="C365" s="310" t="s">
        <v>34</v>
      </c>
      <c r="D365" s="277"/>
      <c r="E365" s="278">
        <v>19000.0</v>
      </c>
      <c r="F365" s="284">
        <f t="shared" si="77"/>
        <v>0</v>
      </c>
      <c r="G365" s="272"/>
      <c r="H365" s="273">
        <v>43525.0</v>
      </c>
      <c r="I365" s="274">
        <v>19000.0</v>
      </c>
      <c r="J365" s="4"/>
      <c r="K365" s="273"/>
      <c r="L365" s="275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</row>
    <row r="366" ht="9.75" customHeight="1">
      <c r="A366" s="280"/>
      <c r="B366" s="115" t="s">
        <v>813</v>
      </c>
      <c r="C366" s="310" t="s">
        <v>34</v>
      </c>
      <c r="D366" s="277"/>
      <c r="E366" s="278">
        <v>2450.0</v>
      </c>
      <c r="F366" s="284">
        <f t="shared" si="77"/>
        <v>0</v>
      </c>
      <c r="G366" s="272"/>
      <c r="H366" s="273">
        <v>43525.0</v>
      </c>
      <c r="I366" s="274">
        <v>2450.0</v>
      </c>
      <c r="J366" s="4"/>
      <c r="K366" s="273"/>
      <c r="L366" s="275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</row>
    <row r="367" ht="9.75" customHeight="1">
      <c r="A367" s="280"/>
      <c r="B367" s="115" t="s">
        <v>814</v>
      </c>
      <c r="C367" s="310" t="s">
        <v>34</v>
      </c>
      <c r="D367" s="277"/>
      <c r="E367" s="278">
        <v>1600.0</v>
      </c>
      <c r="F367" s="284">
        <f t="shared" si="77"/>
        <v>0</v>
      </c>
      <c r="G367" s="272"/>
      <c r="H367" s="273">
        <v>43525.0</v>
      </c>
      <c r="I367" s="274">
        <v>1600.0</v>
      </c>
      <c r="J367" s="4"/>
      <c r="K367" s="273"/>
      <c r="L367" s="275"/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4"/>
      <c r="X367" s="4"/>
      <c r="Y367" s="4"/>
      <c r="Z367" s="4"/>
    </row>
    <row r="368" ht="9.75" customHeight="1">
      <c r="A368" s="280"/>
      <c r="B368" s="115" t="s">
        <v>815</v>
      </c>
      <c r="C368" s="310" t="s">
        <v>34</v>
      </c>
      <c r="D368" s="277"/>
      <c r="E368" s="278">
        <v>165.0</v>
      </c>
      <c r="F368" s="284">
        <f t="shared" si="77"/>
        <v>0</v>
      </c>
      <c r="G368" s="272"/>
      <c r="H368" s="273">
        <v>43525.0</v>
      </c>
      <c r="I368" s="274">
        <v>165.0</v>
      </c>
      <c r="J368" s="4"/>
      <c r="K368" s="273"/>
      <c r="L368" s="275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</row>
    <row r="369" ht="9.75" customHeight="1">
      <c r="A369" s="280"/>
      <c r="B369" s="115" t="s">
        <v>816</v>
      </c>
      <c r="C369" s="310" t="s">
        <v>34</v>
      </c>
      <c r="D369" s="277"/>
      <c r="E369" s="278">
        <v>2545.0</v>
      </c>
      <c r="F369" s="284">
        <f t="shared" si="77"/>
        <v>0</v>
      </c>
      <c r="G369" s="272"/>
      <c r="H369" s="273">
        <v>43525.0</v>
      </c>
      <c r="I369" s="274">
        <v>2545.0</v>
      </c>
      <c r="J369" s="4"/>
      <c r="K369" s="273"/>
      <c r="L369" s="275"/>
      <c r="M369" s="4"/>
      <c r="N369" s="4"/>
      <c r="O369" s="4"/>
      <c r="P369" s="4"/>
      <c r="Q369" s="4"/>
      <c r="R369" s="4"/>
      <c r="S369" s="4"/>
      <c r="T369" s="4"/>
      <c r="U369" s="4"/>
      <c r="V369" s="4"/>
      <c r="W369" s="4"/>
      <c r="X369" s="4"/>
      <c r="Y369" s="4"/>
      <c r="Z369" s="4"/>
    </row>
    <row r="370" ht="9.75" customHeight="1">
      <c r="A370" s="280"/>
      <c r="B370" s="115" t="s">
        <v>817</v>
      </c>
      <c r="C370" s="310" t="s">
        <v>34</v>
      </c>
      <c r="D370" s="277"/>
      <c r="E370" s="278">
        <v>54.0</v>
      </c>
      <c r="F370" s="284">
        <f t="shared" si="77"/>
        <v>0</v>
      </c>
      <c r="G370" s="272"/>
      <c r="H370" s="273">
        <v>43525.0</v>
      </c>
      <c r="I370" s="274">
        <v>54.0</v>
      </c>
      <c r="J370" s="4"/>
      <c r="K370" s="273"/>
      <c r="L370" s="275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  <c r="Z370" s="4"/>
    </row>
    <row r="371" ht="9.75" customHeight="1">
      <c r="A371" s="280"/>
      <c r="B371" s="115" t="s">
        <v>500</v>
      </c>
      <c r="C371" s="310" t="s">
        <v>34</v>
      </c>
      <c r="D371" s="277"/>
      <c r="E371" s="278">
        <v>151.0</v>
      </c>
      <c r="F371" s="284">
        <f t="shared" si="77"/>
        <v>0</v>
      </c>
      <c r="G371" s="272"/>
      <c r="H371" s="273">
        <v>43525.0</v>
      </c>
      <c r="I371" s="274">
        <v>151.0</v>
      </c>
      <c r="J371" s="4"/>
      <c r="K371" s="273"/>
      <c r="L371" s="275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  <c r="Z371" s="4"/>
    </row>
    <row r="372" ht="9.75" customHeight="1">
      <c r="A372" s="280"/>
      <c r="B372" s="311" t="s">
        <v>541</v>
      </c>
      <c r="C372" s="310" t="s">
        <v>27</v>
      </c>
      <c r="D372" s="282"/>
      <c r="E372" s="278">
        <v>3.4</v>
      </c>
      <c r="F372" s="284">
        <f t="shared" si="77"/>
        <v>0</v>
      </c>
      <c r="G372" s="272">
        <f>IF($B372="Sous total",$F372,0)</f>
        <v>0</v>
      </c>
      <c r="H372" s="273">
        <v>43525.0</v>
      </c>
      <c r="I372" s="274">
        <v>3.4</v>
      </c>
      <c r="J372" s="4"/>
      <c r="K372" s="273"/>
      <c r="L372" s="275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</row>
    <row r="373" ht="9.75" customHeight="1">
      <c r="A373" s="280"/>
      <c r="B373" s="146" t="s">
        <v>818</v>
      </c>
      <c r="C373" s="281" t="s">
        <v>27</v>
      </c>
      <c r="D373" s="282"/>
      <c r="E373" s="283">
        <v>2.75</v>
      </c>
      <c r="F373" s="284">
        <f t="shared" si="77"/>
        <v>0</v>
      </c>
      <c r="G373" s="272"/>
      <c r="H373" s="273">
        <v>44256.0</v>
      </c>
      <c r="I373" s="274">
        <v>2.71</v>
      </c>
      <c r="J373" s="4"/>
      <c r="K373" s="273"/>
      <c r="L373" s="275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4"/>
      <c r="Y373" s="4"/>
      <c r="Z373" s="4"/>
    </row>
    <row r="374" ht="9.75" customHeight="1">
      <c r="A374" s="280"/>
      <c r="B374" s="311"/>
      <c r="C374" s="310"/>
      <c r="D374" s="282"/>
      <c r="E374" s="278"/>
      <c r="F374" s="284"/>
      <c r="G374" s="272"/>
      <c r="H374" s="273"/>
      <c r="I374" s="274"/>
      <c r="J374" s="4"/>
      <c r="K374" s="273"/>
      <c r="L374" s="275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  <c r="Z374" s="4"/>
    </row>
    <row r="375" ht="9.75" customHeight="1">
      <c r="A375" s="280"/>
      <c r="B375" s="311"/>
      <c r="C375" s="310"/>
      <c r="D375" s="282"/>
      <c r="E375" s="278"/>
      <c r="F375" s="284"/>
      <c r="G375" s="272"/>
      <c r="H375" s="273"/>
      <c r="I375" s="274"/>
      <c r="J375" s="4"/>
      <c r="K375" s="273"/>
      <c r="L375" s="275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</row>
    <row r="376" ht="9.75" customHeight="1">
      <c r="A376" s="280"/>
      <c r="B376" s="311"/>
      <c r="C376" s="310"/>
      <c r="D376" s="282"/>
      <c r="E376" s="278"/>
      <c r="F376" s="284"/>
      <c r="G376" s="272"/>
      <c r="H376" s="273"/>
      <c r="I376" s="274"/>
      <c r="J376" s="4"/>
      <c r="K376" s="273"/>
      <c r="L376" s="275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</row>
    <row r="377" ht="9.75" customHeight="1">
      <c r="A377" s="286" t="str">
        <f t="shared" ref="A377:A378" si="78">B377</f>
        <v>Sous total</v>
      </c>
      <c r="B377" s="287" t="s">
        <v>713</v>
      </c>
      <c r="C377" s="288"/>
      <c r="D377" s="288"/>
      <c r="E377" s="289"/>
      <c r="F377" s="290">
        <f>SUM(F360:F372)</f>
        <v>197175</v>
      </c>
      <c r="G377" s="272">
        <f t="shared" ref="G377:G556" si="79">IF($B377="Sous total",$F377,0)</f>
        <v>197175</v>
      </c>
      <c r="H377" s="273"/>
      <c r="I377" s="274"/>
      <c r="J377" s="4"/>
      <c r="K377" s="273"/>
      <c r="L377" s="275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</row>
    <row r="378" ht="9.75" customHeight="1">
      <c r="A378" s="276" t="str">
        <f t="shared" si="78"/>
        <v>Contrôle d'accès</v>
      </c>
      <c r="B378" s="194" t="s">
        <v>547</v>
      </c>
      <c r="C378" s="277"/>
      <c r="D378" s="277"/>
      <c r="E378" s="278"/>
      <c r="F378" s="284">
        <f t="shared" ref="F378:F389" si="80">D378*E378</f>
        <v>0</v>
      </c>
      <c r="G378" s="272">
        <f t="shared" si="79"/>
        <v>0</v>
      </c>
      <c r="H378" s="273"/>
      <c r="I378" s="274"/>
      <c r="J378" s="4"/>
      <c r="K378" s="273"/>
      <c r="L378" s="275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</row>
    <row r="379" ht="9.75" customHeight="1">
      <c r="A379" s="280"/>
      <c r="B379" s="110" t="s">
        <v>548</v>
      </c>
      <c r="C379" s="293"/>
      <c r="D379" s="294"/>
      <c r="E379" s="295"/>
      <c r="F379" s="284">
        <f t="shared" si="80"/>
        <v>0</v>
      </c>
      <c r="G379" s="272">
        <f t="shared" si="79"/>
        <v>0</v>
      </c>
      <c r="H379" s="273"/>
      <c r="I379" s="274"/>
      <c r="J379" s="4"/>
      <c r="K379" s="273"/>
      <c r="L379" s="275"/>
      <c r="M379" s="4"/>
      <c r="N379" s="4"/>
      <c r="O379" s="4"/>
      <c r="P379" s="4"/>
      <c r="Q379" s="4"/>
      <c r="R379" s="4"/>
      <c r="S379" s="4"/>
      <c r="T379" s="4"/>
      <c r="U379" s="4"/>
      <c r="V379" s="4"/>
      <c r="W379" s="4"/>
      <c r="X379" s="4"/>
      <c r="Y379" s="4"/>
      <c r="Z379" s="4"/>
    </row>
    <row r="380" ht="9.75" customHeight="1">
      <c r="A380" s="280"/>
      <c r="B380" s="146" t="s">
        <v>819</v>
      </c>
      <c r="C380" s="281" t="s">
        <v>27</v>
      </c>
      <c r="D380" s="282"/>
      <c r="E380" s="283">
        <v>2.7</v>
      </c>
      <c r="F380" s="284">
        <f t="shared" si="80"/>
        <v>0</v>
      </c>
      <c r="G380" s="272">
        <f t="shared" si="79"/>
        <v>0</v>
      </c>
      <c r="H380" s="273"/>
      <c r="I380" s="274"/>
      <c r="J380" s="4"/>
      <c r="K380" s="273"/>
      <c r="L380" s="275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  <c r="Z380" s="4"/>
    </row>
    <row r="381" ht="9.75" customHeight="1">
      <c r="A381" s="280"/>
      <c r="B381" s="110" t="s">
        <v>550</v>
      </c>
      <c r="C381" s="293"/>
      <c r="D381" s="294"/>
      <c r="E381" s="295"/>
      <c r="F381" s="284">
        <f t="shared" si="80"/>
        <v>0</v>
      </c>
      <c r="G381" s="272">
        <f t="shared" si="79"/>
        <v>0</v>
      </c>
      <c r="H381" s="273"/>
      <c r="I381" s="274"/>
      <c r="J381" s="4"/>
      <c r="K381" s="273"/>
      <c r="L381" s="275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  <c r="Z381" s="4"/>
    </row>
    <row r="382" ht="9.75" customHeight="1">
      <c r="A382" s="280"/>
      <c r="B382" s="134" t="s">
        <v>551</v>
      </c>
      <c r="C382" s="310" t="s">
        <v>34</v>
      </c>
      <c r="D382" s="277"/>
      <c r="E382" s="278">
        <v>864.0</v>
      </c>
      <c r="F382" s="284">
        <f t="shared" si="80"/>
        <v>0</v>
      </c>
      <c r="G382" s="272">
        <f t="shared" si="79"/>
        <v>0</v>
      </c>
      <c r="H382" s="273"/>
      <c r="I382" s="274"/>
      <c r="J382" s="4"/>
      <c r="K382" s="273"/>
      <c r="L382" s="275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</row>
    <row r="383" ht="9.75" customHeight="1">
      <c r="A383" s="280"/>
      <c r="B383" s="110" t="s">
        <v>553</v>
      </c>
      <c r="C383" s="293"/>
      <c r="D383" s="294"/>
      <c r="E383" s="295"/>
      <c r="F383" s="284">
        <f t="shared" si="80"/>
        <v>0</v>
      </c>
      <c r="G383" s="272">
        <f t="shared" si="79"/>
        <v>0</v>
      </c>
      <c r="H383" s="273"/>
      <c r="I383" s="274"/>
      <c r="J383" s="4"/>
      <c r="K383" s="273"/>
      <c r="L383" s="275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</row>
    <row r="384" ht="9.75" customHeight="1">
      <c r="A384" s="280"/>
      <c r="B384" s="115" t="s">
        <v>554</v>
      </c>
      <c r="C384" s="310" t="s">
        <v>34</v>
      </c>
      <c r="D384" s="277"/>
      <c r="E384" s="278">
        <v>4.0</v>
      </c>
      <c r="F384" s="284">
        <f t="shared" si="80"/>
        <v>0</v>
      </c>
      <c r="G384" s="272">
        <f t="shared" si="79"/>
        <v>0</v>
      </c>
      <c r="H384" s="273"/>
      <c r="I384" s="274"/>
      <c r="J384" s="4"/>
      <c r="K384" s="273"/>
      <c r="L384" s="275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</row>
    <row r="385" ht="9.75" customHeight="1">
      <c r="A385" s="280"/>
      <c r="B385" s="115" t="s">
        <v>555</v>
      </c>
      <c r="C385" s="310" t="s">
        <v>34</v>
      </c>
      <c r="D385" s="277"/>
      <c r="E385" s="278">
        <v>540.0</v>
      </c>
      <c r="F385" s="284">
        <f t="shared" si="80"/>
        <v>0</v>
      </c>
      <c r="G385" s="272">
        <f t="shared" si="79"/>
        <v>0</v>
      </c>
      <c r="H385" s="273"/>
      <c r="I385" s="274"/>
      <c r="J385" s="4"/>
      <c r="K385" s="273"/>
      <c r="L385" s="275"/>
      <c r="M385" s="4"/>
      <c r="N385" s="4"/>
      <c r="O385" s="4"/>
      <c r="P385" s="4"/>
      <c r="Q385" s="4"/>
      <c r="R385" s="4"/>
      <c r="S385" s="4"/>
      <c r="T385" s="4"/>
      <c r="U385" s="4"/>
      <c r="V385" s="4"/>
      <c r="W385" s="4"/>
      <c r="X385" s="4"/>
      <c r="Y385" s="4"/>
      <c r="Z385" s="4"/>
    </row>
    <row r="386" ht="9.75" customHeight="1">
      <c r="A386" s="280"/>
      <c r="B386" s="115" t="s">
        <v>820</v>
      </c>
      <c r="C386" s="310" t="s">
        <v>34</v>
      </c>
      <c r="D386" s="277"/>
      <c r="E386" s="278">
        <v>75.0</v>
      </c>
      <c r="F386" s="284">
        <f t="shared" si="80"/>
        <v>0</v>
      </c>
      <c r="G386" s="272">
        <f t="shared" si="79"/>
        <v>0</v>
      </c>
      <c r="H386" s="273"/>
      <c r="I386" s="274"/>
      <c r="J386" s="4"/>
      <c r="K386" s="273"/>
      <c r="L386" s="275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</row>
    <row r="387" ht="9.75" customHeight="1">
      <c r="A387" s="280"/>
      <c r="B387" s="115" t="s">
        <v>557</v>
      </c>
      <c r="C387" s="310" t="s">
        <v>51</v>
      </c>
      <c r="D387" s="277"/>
      <c r="E387" s="278">
        <v>13.0</v>
      </c>
      <c r="F387" s="284">
        <f t="shared" si="80"/>
        <v>0</v>
      </c>
      <c r="G387" s="272">
        <f t="shared" si="79"/>
        <v>0</v>
      </c>
      <c r="H387" s="273"/>
      <c r="I387" s="274"/>
      <c r="J387" s="4"/>
      <c r="K387" s="273"/>
      <c r="L387" s="275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Y387" s="4"/>
      <c r="Z387" s="4"/>
    </row>
    <row r="388" ht="9.75" customHeight="1">
      <c r="A388" s="280"/>
      <c r="B388" s="115" t="s">
        <v>558</v>
      </c>
      <c r="C388" s="310" t="s">
        <v>34</v>
      </c>
      <c r="D388" s="277"/>
      <c r="E388" s="278">
        <v>216.0</v>
      </c>
      <c r="F388" s="284">
        <f t="shared" si="80"/>
        <v>0</v>
      </c>
      <c r="G388" s="272">
        <f t="shared" si="79"/>
        <v>0</v>
      </c>
      <c r="H388" s="273"/>
      <c r="I388" s="274"/>
      <c r="J388" s="4"/>
      <c r="K388" s="273"/>
      <c r="L388" s="275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</row>
    <row r="389" ht="9.75" customHeight="1">
      <c r="A389" s="280"/>
      <c r="B389" s="115" t="s">
        <v>559</v>
      </c>
      <c r="C389" s="310" t="s">
        <v>34</v>
      </c>
      <c r="D389" s="277"/>
      <c r="E389" s="278">
        <v>270.0</v>
      </c>
      <c r="F389" s="284">
        <f t="shared" si="80"/>
        <v>0</v>
      </c>
      <c r="G389" s="272">
        <f t="shared" si="79"/>
        <v>0</v>
      </c>
      <c r="H389" s="273"/>
      <c r="I389" s="274"/>
      <c r="J389" s="4"/>
      <c r="K389" s="273"/>
      <c r="L389" s="275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  <c r="Z389" s="4"/>
    </row>
    <row r="390" ht="9.75" customHeight="1">
      <c r="A390" s="286" t="str">
        <f t="shared" ref="A390:A391" si="81">B390</f>
        <v>Sous total</v>
      </c>
      <c r="B390" s="287" t="s">
        <v>713</v>
      </c>
      <c r="C390" s="288"/>
      <c r="D390" s="288"/>
      <c r="E390" s="289"/>
      <c r="F390" s="290">
        <f>SUM(F379:F389)</f>
        <v>0</v>
      </c>
      <c r="G390" s="272">
        <f t="shared" si="79"/>
        <v>0</v>
      </c>
      <c r="H390" s="273"/>
      <c r="I390" s="274"/>
      <c r="J390" s="4"/>
      <c r="K390" s="273"/>
      <c r="L390" s="275"/>
      <c r="M390" s="4"/>
      <c r="N390" s="4"/>
      <c r="O390" s="4"/>
      <c r="P390" s="4"/>
      <c r="Q390" s="4"/>
      <c r="R390" s="4"/>
      <c r="S390" s="4"/>
      <c r="T390" s="4"/>
      <c r="U390" s="4"/>
      <c r="V390" s="4"/>
      <c r="W390" s="4"/>
      <c r="X390" s="4"/>
      <c r="Y390" s="4"/>
      <c r="Z390" s="4"/>
    </row>
    <row r="391" ht="9.75" customHeight="1">
      <c r="A391" s="276" t="str">
        <f t="shared" si="81"/>
        <v>Système de péage pour parking</v>
      </c>
      <c r="B391" s="194" t="s">
        <v>566</v>
      </c>
      <c r="C391" s="297"/>
      <c r="D391" s="297"/>
      <c r="E391" s="298"/>
      <c r="F391" s="284">
        <f t="shared" ref="F391:F401" si="82">D391*E391</f>
        <v>0</v>
      </c>
      <c r="G391" s="272">
        <f t="shared" si="79"/>
        <v>0</v>
      </c>
      <c r="H391" s="273"/>
      <c r="I391" s="274"/>
      <c r="J391" s="4"/>
      <c r="K391" s="273"/>
      <c r="L391" s="275"/>
      <c r="M391" s="4"/>
      <c r="N391" s="4"/>
      <c r="O391" s="4"/>
      <c r="P391" s="4"/>
      <c r="Q391" s="4"/>
      <c r="R391" s="4"/>
      <c r="S391" s="4"/>
      <c r="T391" s="4"/>
      <c r="U391" s="4"/>
      <c r="V391" s="4"/>
      <c r="W391" s="4"/>
      <c r="X391" s="4"/>
      <c r="Y391" s="4"/>
      <c r="Z391" s="4"/>
    </row>
    <row r="392" ht="9.75" customHeight="1">
      <c r="A392" s="280"/>
      <c r="B392" s="115" t="s">
        <v>567</v>
      </c>
      <c r="C392" s="310" t="s">
        <v>34</v>
      </c>
      <c r="D392" s="277"/>
      <c r="E392" s="278">
        <v>4480.0</v>
      </c>
      <c r="F392" s="284">
        <f t="shared" si="82"/>
        <v>0</v>
      </c>
      <c r="G392" s="272">
        <f t="shared" si="79"/>
        <v>0</v>
      </c>
      <c r="H392" s="273"/>
      <c r="I392" s="274"/>
      <c r="J392" s="4"/>
      <c r="K392" s="273"/>
      <c r="L392" s="275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  <c r="Z392" s="4"/>
    </row>
    <row r="393" ht="9.75" customHeight="1">
      <c r="A393" s="280"/>
      <c r="B393" s="115" t="s">
        <v>568</v>
      </c>
      <c r="C393" s="310" t="s">
        <v>34</v>
      </c>
      <c r="D393" s="277"/>
      <c r="E393" s="278">
        <v>9374.0</v>
      </c>
      <c r="F393" s="284">
        <f t="shared" si="82"/>
        <v>0</v>
      </c>
      <c r="G393" s="272">
        <f t="shared" si="79"/>
        <v>0</v>
      </c>
      <c r="H393" s="273"/>
      <c r="I393" s="274"/>
      <c r="J393" s="4"/>
      <c r="K393" s="273"/>
      <c r="L393" s="275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4"/>
      <c r="X393" s="4"/>
      <c r="Y393" s="4"/>
      <c r="Z393" s="4"/>
    </row>
    <row r="394" ht="9.75" customHeight="1">
      <c r="A394" s="280"/>
      <c r="B394" s="115" t="s">
        <v>569</v>
      </c>
      <c r="C394" s="310" t="s">
        <v>34</v>
      </c>
      <c r="D394" s="277"/>
      <c r="E394" s="278">
        <v>4972.0</v>
      </c>
      <c r="F394" s="284">
        <f t="shared" si="82"/>
        <v>0</v>
      </c>
      <c r="G394" s="272">
        <f t="shared" si="79"/>
        <v>0</v>
      </c>
      <c r="H394" s="273"/>
      <c r="I394" s="274"/>
      <c r="J394" s="4"/>
      <c r="K394" s="273"/>
      <c r="L394" s="275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  <c r="Z394" s="4"/>
    </row>
    <row r="395" ht="9.75" customHeight="1">
      <c r="A395" s="280"/>
      <c r="B395" s="115" t="s">
        <v>570</v>
      </c>
      <c r="C395" s="310" t="s">
        <v>34</v>
      </c>
      <c r="D395" s="277"/>
      <c r="E395" s="278">
        <v>5234.04</v>
      </c>
      <c r="F395" s="284">
        <f t="shared" si="82"/>
        <v>0</v>
      </c>
      <c r="G395" s="272">
        <f t="shared" si="79"/>
        <v>0</v>
      </c>
      <c r="H395" s="273"/>
      <c r="I395" s="274"/>
      <c r="J395" s="4"/>
      <c r="K395" s="273"/>
      <c r="L395" s="275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  <c r="Z395" s="4"/>
    </row>
    <row r="396" ht="9.75" customHeight="1">
      <c r="A396" s="280"/>
      <c r="B396" s="115" t="s">
        <v>571</v>
      </c>
      <c r="C396" s="310" t="s">
        <v>34</v>
      </c>
      <c r="D396" s="277"/>
      <c r="E396" s="278">
        <v>3.968</v>
      </c>
      <c r="F396" s="284">
        <f t="shared" si="82"/>
        <v>0</v>
      </c>
      <c r="G396" s="272">
        <f t="shared" si="79"/>
        <v>0</v>
      </c>
      <c r="H396" s="273"/>
      <c r="I396" s="274"/>
      <c r="J396" s="4"/>
      <c r="K396" s="273"/>
      <c r="L396" s="275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  <c r="Z396" s="4"/>
    </row>
    <row r="397" ht="9.75" customHeight="1">
      <c r="A397" s="280"/>
      <c r="B397" s="115" t="s">
        <v>572</v>
      </c>
      <c r="C397" s="310" t="s">
        <v>34</v>
      </c>
      <c r="D397" s="277"/>
      <c r="E397" s="278">
        <v>3738.6</v>
      </c>
      <c r="F397" s="284">
        <f t="shared" si="82"/>
        <v>0</v>
      </c>
      <c r="G397" s="272">
        <f t="shared" si="79"/>
        <v>0</v>
      </c>
      <c r="H397" s="273"/>
      <c r="I397" s="274"/>
      <c r="J397" s="4"/>
      <c r="K397" s="273"/>
      <c r="L397" s="275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  <c r="Z397" s="4"/>
    </row>
    <row r="398" ht="9.75" customHeight="1">
      <c r="A398" s="280"/>
      <c r="B398" s="115" t="s">
        <v>573</v>
      </c>
      <c r="C398" s="310" t="s">
        <v>34</v>
      </c>
      <c r="D398" s="277"/>
      <c r="E398" s="278">
        <v>2746.6</v>
      </c>
      <c r="F398" s="284">
        <f t="shared" si="82"/>
        <v>0</v>
      </c>
      <c r="G398" s="272">
        <f t="shared" si="79"/>
        <v>0</v>
      </c>
      <c r="H398" s="273"/>
      <c r="I398" s="274"/>
      <c r="J398" s="4"/>
      <c r="K398" s="273"/>
      <c r="L398" s="275"/>
      <c r="M398" s="4"/>
      <c r="N398" s="4"/>
      <c r="O398" s="4"/>
      <c r="P398" s="4"/>
      <c r="Q398" s="4"/>
      <c r="R398" s="4"/>
      <c r="S398" s="4"/>
      <c r="T398" s="4"/>
      <c r="U398" s="4"/>
      <c r="V398" s="4"/>
      <c r="W398" s="4"/>
      <c r="X398" s="4"/>
      <c r="Y398" s="4"/>
      <c r="Z398" s="4"/>
    </row>
    <row r="399" ht="9.75" customHeight="1">
      <c r="A399" s="280"/>
      <c r="B399" s="115" t="s">
        <v>574</v>
      </c>
      <c r="C399" s="310" t="s">
        <v>34</v>
      </c>
      <c r="D399" s="277"/>
      <c r="E399" s="278">
        <v>576.6</v>
      </c>
      <c r="F399" s="284">
        <f t="shared" si="82"/>
        <v>0</v>
      </c>
      <c r="G399" s="272">
        <f t="shared" si="79"/>
        <v>0</v>
      </c>
      <c r="H399" s="273"/>
      <c r="I399" s="274"/>
      <c r="J399" s="4"/>
      <c r="K399" s="273"/>
      <c r="L399" s="275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4"/>
      <c r="X399" s="4"/>
      <c r="Y399" s="4"/>
      <c r="Z399" s="4"/>
    </row>
    <row r="400" ht="9.75" customHeight="1">
      <c r="A400" s="280"/>
      <c r="B400" s="115" t="s">
        <v>575</v>
      </c>
      <c r="C400" s="310" t="s">
        <v>34</v>
      </c>
      <c r="D400" s="277"/>
      <c r="E400" s="278">
        <v>5183.2</v>
      </c>
      <c r="F400" s="284">
        <f t="shared" si="82"/>
        <v>0</v>
      </c>
      <c r="G400" s="272">
        <f t="shared" si="79"/>
        <v>0</v>
      </c>
      <c r="H400" s="273"/>
      <c r="I400" s="274"/>
      <c r="J400" s="4"/>
      <c r="K400" s="273"/>
      <c r="L400" s="275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  <c r="Z400" s="4"/>
    </row>
    <row r="401" ht="9.75" customHeight="1">
      <c r="A401" s="280"/>
      <c r="B401" s="115" t="s">
        <v>576</v>
      </c>
      <c r="C401" s="310" t="s">
        <v>34</v>
      </c>
      <c r="D401" s="277"/>
      <c r="E401" s="278">
        <v>135000.0</v>
      </c>
      <c r="F401" s="284">
        <f t="shared" si="82"/>
        <v>0</v>
      </c>
      <c r="G401" s="272">
        <f t="shared" si="79"/>
        <v>0</v>
      </c>
      <c r="H401" s="273"/>
      <c r="I401" s="274"/>
      <c r="J401" s="4"/>
      <c r="K401" s="273"/>
      <c r="L401" s="275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</row>
    <row r="402" ht="9.75" customHeight="1">
      <c r="A402" s="286" t="str">
        <f t="shared" ref="A402:A403" si="83">B402</f>
        <v>Sous total</v>
      </c>
      <c r="B402" s="287" t="s">
        <v>713</v>
      </c>
      <c r="C402" s="288"/>
      <c r="D402" s="288"/>
      <c r="E402" s="289"/>
      <c r="F402" s="290">
        <f>SUM(F392:F401)</f>
        <v>0</v>
      </c>
      <c r="G402" s="272">
        <f t="shared" si="79"/>
        <v>0</v>
      </c>
      <c r="H402" s="273"/>
      <c r="I402" s="274"/>
      <c r="J402" s="4"/>
      <c r="K402" s="273"/>
      <c r="L402" s="275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</row>
    <row r="403" ht="9.75" customHeight="1">
      <c r="A403" s="276" t="str">
        <f t="shared" si="83"/>
        <v>Système d'appel malade</v>
      </c>
      <c r="B403" s="194" t="s">
        <v>521</v>
      </c>
      <c r="C403" s="277"/>
      <c r="D403" s="277"/>
      <c r="E403" s="278"/>
      <c r="F403" s="284">
        <f t="shared" ref="F403:F409" si="84">D403*E403</f>
        <v>0</v>
      </c>
      <c r="G403" s="272">
        <f t="shared" si="79"/>
        <v>0</v>
      </c>
      <c r="H403" s="273"/>
      <c r="I403" s="274"/>
      <c r="J403" s="4"/>
      <c r="K403" s="273"/>
      <c r="L403" s="275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</row>
    <row r="404" ht="9.75" customHeight="1">
      <c r="A404" s="280"/>
      <c r="B404" s="115" t="s">
        <v>522</v>
      </c>
      <c r="C404" s="310" t="s">
        <v>34</v>
      </c>
      <c r="D404" s="277"/>
      <c r="E404" s="278">
        <v>560.0</v>
      </c>
      <c r="F404" s="284">
        <f t="shared" si="84"/>
        <v>0</v>
      </c>
      <c r="G404" s="272">
        <f t="shared" si="79"/>
        <v>0</v>
      </c>
      <c r="H404" s="273"/>
      <c r="I404" s="274"/>
      <c r="J404" s="4"/>
      <c r="K404" s="273"/>
      <c r="L404" s="275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</row>
    <row r="405" ht="9.75" customHeight="1">
      <c r="A405" s="280"/>
      <c r="B405" s="110" t="s">
        <v>523</v>
      </c>
      <c r="C405" s="293"/>
      <c r="D405" s="294"/>
      <c r="E405" s="295"/>
      <c r="F405" s="284">
        <f t="shared" si="84"/>
        <v>0</v>
      </c>
      <c r="G405" s="272">
        <f t="shared" si="79"/>
        <v>0</v>
      </c>
      <c r="H405" s="273"/>
      <c r="I405" s="274"/>
      <c r="J405" s="4"/>
      <c r="K405" s="273"/>
      <c r="L405" s="275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</row>
    <row r="406" ht="9.75" customHeight="1">
      <c r="A406" s="280"/>
      <c r="B406" s="115" t="s">
        <v>524</v>
      </c>
      <c r="C406" s="310" t="s">
        <v>34</v>
      </c>
      <c r="D406" s="277"/>
      <c r="E406" s="278">
        <v>700.0</v>
      </c>
      <c r="F406" s="284">
        <f t="shared" si="84"/>
        <v>0</v>
      </c>
      <c r="G406" s="272">
        <f t="shared" si="79"/>
        <v>0</v>
      </c>
      <c r="H406" s="273"/>
      <c r="I406" s="274"/>
      <c r="J406" s="4"/>
      <c r="K406" s="273"/>
      <c r="L406" s="275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</row>
    <row r="407" ht="9.75" customHeight="1">
      <c r="A407" s="280"/>
      <c r="B407" s="115" t="s">
        <v>525</v>
      </c>
      <c r="C407" s="310" t="s">
        <v>34</v>
      </c>
      <c r="D407" s="277"/>
      <c r="E407" s="278">
        <v>850.0</v>
      </c>
      <c r="F407" s="284">
        <f t="shared" si="84"/>
        <v>0</v>
      </c>
      <c r="G407" s="272">
        <f t="shared" si="79"/>
        <v>0</v>
      </c>
      <c r="H407" s="273"/>
      <c r="I407" s="274"/>
      <c r="J407" s="4"/>
      <c r="K407" s="273"/>
      <c r="L407" s="275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</row>
    <row r="408" ht="9.75" customHeight="1">
      <c r="A408" s="280"/>
      <c r="B408" s="115" t="s">
        <v>526</v>
      </c>
      <c r="C408" s="310" t="s">
        <v>34</v>
      </c>
      <c r="D408" s="277"/>
      <c r="E408" s="278">
        <v>950.0</v>
      </c>
      <c r="F408" s="284">
        <f t="shared" si="84"/>
        <v>0</v>
      </c>
      <c r="G408" s="272">
        <f t="shared" si="79"/>
        <v>0</v>
      </c>
      <c r="H408" s="273"/>
      <c r="I408" s="274"/>
      <c r="J408" s="4"/>
      <c r="K408" s="273"/>
      <c r="L408" s="275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</row>
    <row r="409" ht="9.75" customHeight="1">
      <c r="A409" s="280"/>
      <c r="B409" s="115" t="s">
        <v>527</v>
      </c>
      <c r="C409" s="310" t="s">
        <v>34</v>
      </c>
      <c r="D409" s="277"/>
      <c r="E409" s="278">
        <v>1100.0</v>
      </c>
      <c r="F409" s="284">
        <f t="shared" si="84"/>
        <v>0</v>
      </c>
      <c r="G409" s="272">
        <f t="shared" si="79"/>
        <v>0</v>
      </c>
      <c r="H409" s="273"/>
      <c r="I409" s="274"/>
      <c r="J409" s="4"/>
      <c r="K409" s="273"/>
      <c r="L409" s="275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</row>
    <row r="410" ht="9.75" customHeight="1">
      <c r="A410" s="286" t="str">
        <f t="shared" ref="A410:A411" si="85">B410</f>
        <v>Sous total</v>
      </c>
      <c r="B410" s="287" t="s">
        <v>713</v>
      </c>
      <c r="C410" s="288"/>
      <c r="D410" s="288"/>
      <c r="E410" s="289"/>
      <c r="F410" s="290">
        <f>SUM(F404:F409)</f>
        <v>0</v>
      </c>
      <c r="G410" s="272">
        <f t="shared" si="79"/>
        <v>0</v>
      </c>
      <c r="H410" s="273"/>
      <c r="I410" s="274"/>
      <c r="J410" s="4"/>
      <c r="K410" s="273"/>
      <c r="L410" s="275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</row>
    <row r="411" ht="9.75" customHeight="1">
      <c r="A411" s="276" t="str">
        <f t="shared" si="85"/>
        <v>portier interphonie</v>
      </c>
      <c r="B411" s="194" t="s">
        <v>821</v>
      </c>
      <c r="C411" s="277"/>
      <c r="D411" s="277"/>
      <c r="E411" s="278"/>
      <c r="F411" s="284">
        <f t="shared" ref="F411:F413" si="86">D411*E411</f>
        <v>0</v>
      </c>
      <c r="G411" s="272">
        <f t="shared" si="79"/>
        <v>0</v>
      </c>
      <c r="H411" s="273"/>
      <c r="I411" s="274"/>
      <c r="J411" s="4"/>
      <c r="K411" s="273"/>
      <c r="L411" s="275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</row>
    <row r="412" ht="9.75" customHeight="1">
      <c r="A412" s="280"/>
      <c r="B412" s="134" t="s">
        <v>822</v>
      </c>
      <c r="C412" s="310" t="s">
        <v>34</v>
      </c>
      <c r="D412" s="277"/>
      <c r="E412" s="278">
        <v>2200.0</v>
      </c>
      <c r="F412" s="284">
        <f t="shared" si="86"/>
        <v>0</v>
      </c>
      <c r="G412" s="272">
        <f t="shared" si="79"/>
        <v>0</v>
      </c>
      <c r="H412" s="273"/>
      <c r="I412" s="274"/>
      <c r="J412" s="4"/>
      <c r="K412" s="273"/>
      <c r="L412" s="275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</row>
    <row r="413" ht="9.75" customHeight="1">
      <c r="A413" s="280"/>
      <c r="B413" s="134" t="s">
        <v>583</v>
      </c>
      <c r="C413" s="310" t="s">
        <v>34</v>
      </c>
      <c r="D413" s="277"/>
      <c r="E413" s="278">
        <v>350.0</v>
      </c>
      <c r="F413" s="284">
        <f t="shared" si="86"/>
        <v>0</v>
      </c>
      <c r="G413" s="272">
        <f t="shared" si="79"/>
        <v>0</v>
      </c>
      <c r="H413" s="273"/>
      <c r="I413" s="274"/>
      <c r="J413" s="4"/>
      <c r="K413" s="273"/>
      <c r="L413" s="275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</row>
    <row r="414" ht="9.75" customHeight="1">
      <c r="A414" s="286" t="str">
        <f t="shared" ref="A414:A415" si="87">B414</f>
        <v>Sous total</v>
      </c>
      <c r="B414" s="287" t="s">
        <v>713</v>
      </c>
      <c r="C414" s="288"/>
      <c r="D414" s="288"/>
      <c r="E414" s="289"/>
      <c r="F414" s="290">
        <f>SUM(F412:F413)</f>
        <v>0</v>
      </c>
      <c r="G414" s="272">
        <f t="shared" si="79"/>
        <v>0</v>
      </c>
      <c r="H414" s="273"/>
      <c r="I414" s="274"/>
      <c r="J414" s="4"/>
      <c r="K414" s="273"/>
      <c r="L414" s="275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</row>
    <row r="415" ht="9.75" customHeight="1">
      <c r="A415" s="276" t="str">
        <f t="shared" si="87"/>
        <v>Interphonie de sécurité</v>
      </c>
      <c r="B415" s="194" t="s">
        <v>589</v>
      </c>
      <c r="C415" s="297"/>
      <c r="D415" s="297"/>
      <c r="E415" s="298"/>
      <c r="F415" s="284">
        <f t="shared" ref="F415:F417" si="88">D415*E415</f>
        <v>0</v>
      </c>
      <c r="G415" s="272">
        <f t="shared" si="79"/>
        <v>0</v>
      </c>
      <c r="H415" s="273"/>
      <c r="I415" s="274"/>
      <c r="J415" s="4"/>
      <c r="K415" s="273"/>
      <c r="L415" s="275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</row>
    <row r="416" ht="9.75" customHeight="1">
      <c r="A416" s="280"/>
      <c r="B416" s="203" t="s">
        <v>590</v>
      </c>
      <c r="C416" s="310" t="s">
        <v>34</v>
      </c>
      <c r="D416" s="277"/>
      <c r="E416" s="278">
        <v>2800.0</v>
      </c>
      <c r="F416" s="284">
        <f t="shared" si="88"/>
        <v>0</v>
      </c>
      <c r="G416" s="272">
        <f t="shared" si="79"/>
        <v>0</v>
      </c>
      <c r="H416" s="273"/>
      <c r="I416" s="274"/>
      <c r="J416" s="4"/>
      <c r="K416" s="273"/>
      <c r="L416" s="275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</row>
    <row r="417" ht="9.75" customHeight="1">
      <c r="A417" s="280"/>
      <c r="B417" s="203" t="s">
        <v>591</v>
      </c>
      <c r="C417" s="310" t="s">
        <v>34</v>
      </c>
      <c r="D417" s="277"/>
      <c r="E417" s="278">
        <v>250.0</v>
      </c>
      <c r="F417" s="284">
        <f t="shared" si="88"/>
        <v>0</v>
      </c>
      <c r="G417" s="272">
        <f t="shared" si="79"/>
        <v>0</v>
      </c>
      <c r="H417" s="273"/>
      <c r="I417" s="274"/>
      <c r="J417" s="4"/>
      <c r="K417" s="273"/>
      <c r="L417" s="275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</row>
    <row r="418" ht="9.75" customHeight="1">
      <c r="A418" s="286" t="str">
        <f t="shared" ref="A418:A419" si="89">B418</f>
        <v>Sous total</v>
      </c>
      <c r="B418" s="287" t="s">
        <v>713</v>
      </c>
      <c r="C418" s="288"/>
      <c r="D418" s="288"/>
      <c r="E418" s="289"/>
      <c r="F418" s="290">
        <f>SUM(F416:F417)</f>
        <v>0</v>
      </c>
      <c r="G418" s="272">
        <f t="shared" si="79"/>
        <v>0</v>
      </c>
      <c r="H418" s="273"/>
      <c r="I418" s="274"/>
      <c r="J418" s="4"/>
      <c r="K418" s="273"/>
      <c r="L418" s="275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</row>
    <row r="419" ht="9.75" customHeight="1">
      <c r="A419" s="276" t="str">
        <f t="shared" si="89"/>
        <v>télévision</v>
      </c>
      <c r="B419" s="194" t="s">
        <v>823</v>
      </c>
      <c r="C419" s="277"/>
      <c r="D419" s="277"/>
      <c r="E419" s="278"/>
      <c r="F419" s="284">
        <f t="shared" ref="F419:F421" si="90">D419*E419</f>
        <v>0</v>
      </c>
      <c r="G419" s="272">
        <f t="shared" si="79"/>
        <v>0</v>
      </c>
      <c r="H419" s="273"/>
      <c r="I419" s="274"/>
      <c r="J419" s="4"/>
      <c r="K419" s="273"/>
      <c r="L419" s="275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  <c r="Z419" s="4"/>
    </row>
    <row r="420" ht="9.75" customHeight="1">
      <c r="A420" s="280"/>
      <c r="B420" s="203" t="s">
        <v>597</v>
      </c>
      <c r="C420" s="310" t="s">
        <v>32</v>
      </c>
      <c r="D420" s="277"/>
      <c r="E420" s="278">
        <v>4300.0</v>
      </c>
      <c r="F420" s="284">
        <f t="shared" si="90"/>
        <v>0</v>
      </c>
      <c r="G420" s="272">
        <f t="shared" si="79"/>
        <v>0</v>
      </c>
      <c r="H420" s="273"/>
      <c r="I420" s="274"/>
      <c r="J420" s="4"/>
      <c r="K420" s="273"/>
      <c r="L420" s="275"/>
      <c r="M420" s="4"/>
      <c r="N420" s="4"/>
      <c r="O420" s="4"/>
      <c r="P420" s="4"/>
      <c r="Q420" s="4"/>
      <c r="R420" s="4"/>
      <c r="S420" s="4"/>
      <c r="T420" s="4"/>
      <c r="U420" s="4"/>
      <c r="V420" s="4"/>
      <c r="W420" s="4"/>
      <c r="X420" s="4"/>
      <c r="Y420" s="4"/>
      <c r="Z420" s="4"/>
    </row>
    <row r="421" ht="9.75" customHeight="1">
      <c r="A421" s="280"/>
      <c r="B421" s="203" t="s">
        <v>598</v>
      </c>
      <c r="C421" s="310" t="s">
        <v>34</v>
      </c>
      <c r="D421" s="277"/>
      <c r="E421" s="278">
        <v>90.0</v>
      </c>
      <c r="F421" s="284">
        <f t="shared" si="90"/>
        <v>0</v>
      </c>
      <c r="G421" s="272">
        <f t="shared" si="79"/>
        <v>0</v>
      </c>
      <c r="H421" s="273"/>
      <c r="I421" s="274"/>
      <c r="J421" s="4"/>
      <c r="K421" s="273"/>
      <c r="L421" s="275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  <c r="X421" s="4"/>
      <c r="Y421" s="4"/>
      <c r="Z421" s="4"/>
    </row>
    <row r="422" ht="9.75" customHeight="1">
      <c r="A422" s="286" t="str">
        <f t="shared" ref="A422:A423" si="91">B422</f>
        <v>Sous total</v>
      </c>
      <c r="B422" s="287" t="s">
        <v>713</v>
      </c>
      <c r="C422" s="288"/>
      <c r="D422" s="288"/>
      <c r="E422" s="289"/>
      <c r="F422" s="290">
        <f>SUM(F420:F421)</f>
        <v>0</v>
      </c>
      <c r="G422" s="272">
        <f t="shared" si="79"/>
        <v>0</v>
      </c>
      <c r="H422" s="273"/>
      <c r="I422" s="274"/>
      <c r="J422" s="4"/>
      <c r="K422" s="273"/>
      <c r="L422" s="275"/>
      <c r="M422" s="4"/>
      <c r="N422" s="4"/>
      <c r="O422" s="4"/>
      <c r="P422" s="4"/>
      <c r="Q422" s="4"/>
      <c r="R422" s="4"/>
      <c r="S422" s="4"/>
      <c r="T422" s="4"/>
      <c r="U422" s="4"/>
      <c r="V422" s="4"/>
      <c r="W422" s="4"/>
      <c r="X422" s="4"/>
      <c r="Y422" s="4"/>
      <c r="Z422" s="4"/>
    </row>
    <row r="423" ht="9.75" customHeight="1">
      <c r="A423" s="276" t="str">
        <f t="shared" si="91"/>
        <v>Alarme technique</v>
      </c>
      <c r="B423" s="194" t="s">
        <v>605</v>
      </c>
      <c r="C423" s="277"/>
      <c r="D423" s="277"/>
      <c r="E423" s="278"/>
      <c r="F423" s="284">
        <f t="shared" ref="F423:F425" si="92">D423*E423</f>
        <v>0</v>
      </c>
      <c r="G423" s="272">
        <f t="shared" si="79"/>
        <v>0</v>
      </c>
      <c r="H423" s="273"/>
      <c r="I423" s="274"/>
      <c r="J423" s="4"/>
      <c r="K423" s="273"/>
      <c r="L423" s="275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4"/>
      <c r="X423" s="4"/>
      <c r="Y423" s="4"/>
      <c r="Z423" s="4"/>
    </row>
    <row r="424" ht="9.75" customHeight="1">
      <c r="A424" s="280"/>
      <c r="B424" s="203" t="s">
        <v>606</v>
      </c>
      <c r="C424" s="310" t="s">
        <v>34</v>
      </c>
      <c r="D424" s="277"/>
      <c r="E424" s="278">
        <v>1920.0</v>
      </c>
      <c r="F424" s="284">
        <f t="shared" si="92"/>
        <v>0</v>
      </c>
      <c r="G424" s="272">
        <f t="shared" si="79"/>
        <v>0</v>
      </c>
      <c r="H424" s="273"/>
      <c r="I424" s="274"/>
      <c r="J424" s="4"/>
      <c r="K424" s="273"/>
      <c r="L424" s="275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  <c r="Z424" s="4"/>
    </row>
    <row r="425" ht="9.75" customHeight="1">
      <c r="A425" s="280"/>
      <c r="B425" s="203" t="s">
        <v>607</v>
      </c>
      <c r="C425" s="310" t="s">
        <v>34</v>
      </c>
      <c r="D425" s="277"/>
      <c r="E425" s="278">
        <v>3830.0</v>
      </c>
      <c r="F425" s="284">
        <f t="shared" si="92"/>
        <v>0</v>
      </c>
      <c r="G425" s="272">
        <f t="shared" si="79"/>
        <v>0</v>
      </c>
      <c r="H425" s="273"/>
      <c r="I425" s="274"/>
      <c r="J425" s="4"/>
      <c r="K425" s="273"/>
      <c r="L425" s="275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  <c r="Z425" s="4"/>
    </row>
    <row r="426" ht="9.75" customHeight="1">
      <c r="A426" s="286" t="str">
        <f t="shared" ref="A426:A427" si="93">B426</f>
        <v>Sous total</v>
      </c>
      <c r="B426" s="287" t="s">
        <v>713</v>
      </c>
      <c r="C426" s="288"/>
      <c r="D426" s="288"/>
      <c r="E426" s="289"/>
      <c r="F426" s="290">
        <f>SUM(F424:F425)</f>
        <v>0</v>
      </c>
      <c r="G426" s="272">
        <f t="shared" si="79"/>
        <v>0</v>
      </c>
      <c r="H426" s="273"/>
      <c r="I426" s="274"/>
      <c r="J426" s="4"/>
      <c r="K426" s="273"/>
      <c r="L426" s="275"/>
      <c r="M426" s="4"/>
      <c r="N426" s="4"/>
      <c r="O426" s="4"/>
      <c r="P426" s="4"/>
      <c r="Q426" s="4"/>
      <c r="R426" s="4"/>
      <c r="S426" s="4"/>
      <c r="T426" s="4"/>
      <c r="U426" s="4"/>
      <c r="V426" s="4"/>
      <c r="W426" s="4"/>
      <c r="X426" s="4"/>
      <c r="Y426" s="4"/>
      <c r="Z426" s="4"/>
    </row>
    <row r="427" ht="9.75" customHeight="1">
      <c r="A427" s="276" t="str">
        <f t="shared" si="93"/>
        <v>Sonorisation</v>
      </c>
      <c r="B427" s="194" t="s">
        <v>661</v>
      </c>
      <c r="C427" s="277"/>
      <c r="D427" s="277"/>
      <c r="E427" s="278"/>
      <c r="F427" s="284">
        <f t="shared" ref="F427:F439" si="94">D427*E427</f>
        <v>0</v>
      </c>
      <c r="G427" s="272">
        <f t="shared" si="79"/>
        <v>0</v>
      </c>
      <c r="H427" s="273"/>
      <c r="I427" s="274"/>
      <c r="J427" s="4"/>
      <c r="K427" s="273"/>
      <c r="L427" s="275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  <c r="X427" s="4"/>
      <c r="Y427" s="4"/>
      <c r="Z427" s="4"/>
    </row>
    <row r="428" ht="9.75" customHeight="1">
      <c r="A428" s="280"/>
      <c r="B428" s="146" t="s">
        <v>662</v>
      </c>
      <c r="C428" s="281" t="s">
        <v>27</v>
      </c>
      <c r="D428" s="282"/>
      <c r="E428" s="283">
        <v>2.0</v>
      </c>
      <c r="F428" s="284">
        <f t="shared" si="94"/>
        <v>0</v>
      </c>
      <c r="G428" s="272">
        <f t="shared" si="79"/>
        <v>0</v>
      </c>
      <c r="H428" s="273"/>
      <c r="I428" s="274"/>
      <c r="J428" s="4"/>
      <c r="K428" s="273"/>
      <c r="L428" s="275"/>
      <c r="M428" s="4"/>
      <c r="N428" s="4"/>
      <c r="O428" s="4"/>
      <c r="P428" s="4"/>
      <c r="Q428" s="4"/>
      <c r="R428" s="4"/>
      <c r="S428" s="4"/>
      <c r="T428" s="4"/>
      <c r="U428" s="4"/>
      <c r="V428" s="4"/>
      <c r="W428" s="4"/>
      <c r="X428" s="4"/>
      <c r="Y428" s="4"/>
      <c r="Z428" s="4"/>
    </row>
    <row r="429" ht="9.75" customHeight="1">
      <c r="A429" s="280"/>
      <c r="B429" s="146" t="s">
        <v>663</v>
      </c>
      <c r="C429" s="281" t="s">
        <v>27</v>
      </c>
      <c r="D429" s="282"/>
      <c r="E429" s="283">
        <v>6.0</v>
      </c>
      <c r="F429" s="284">
        <f t="shared" si="94"/>
        <v>0</v>
      </c>
      <c r="G429" s="272">
        <f t="shared" si="79"/>
        <v>0</v>
      </c>
      <c r="H429" s="273"/>
      <c r="I429" s="274"/>
      <c r="J429" s="4"/>
      <c r="K429" s="273"/>
      <c r="L429" s="275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4"/>
      <c r="X429" s="4"/>
      <c r="Y429" s="4"/>
      <c r="Z429" s="4"/>
    </row>
    <row r="430" ht="9.75" customHeight="1">
      <c r="A430" s="280"/>
      <c r="B430" s="203"/>
      <c r="C430" s="310"/>
      <c r="D430" s="277"/>
      <c r="E430" s="278"/>
      <c r="F430" s="284">
        <f t="shared" si="94"/>
        <v>0</v>
      </c>
      <c r="G430" s="272">
        <f t="shared" si="79"/>
        <v>0</v>
      </c>
      <c r="H430" s="273"/>
      <c r="I430" s="274"/>
      <c r="J430" s="4"/>
      <c r="K430" s="273"/>
      <c r="L430" s="275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  <c r="Z430" s="4"/>
    </row>
    <row r="431" ht="9.75" customHeight="1">
      <c r="A431" s="280"/>
      <c r="B431" s="146" t="s">
        <v>246</v>
      </c>
      <c r="C431" s="281" t="s">
        <v>496</v>
      </c>
      <c r="D431" s="282"/>
      <c r="E431" s="283"/>
      <c r="F431" s="284">
        <f t="shared" si="94"/>
        <v>0</v>
      </c>
      <c r="G431" s="272">
        <f t="shared" si="79"/>
        <v>0</v>
      </c>
      <c r="H431" s="273"/>
      <c r="I431" s="274"/>
      <c r="J431" s="4"/>
      <c r="K431" s="273"/>
      <c r="L431" s="275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  <c r="Z431" s="4"/>
    </row>
    <row r="432" ht="9.75" customHeight="1">
      <c r="A432" s="280"/>
      <c r="B432" s="203" t="s">
        <v>664</v>
      </c>
      <c r="C432" s="310" t="s">
        <v>34</v>
      </c>
      <c r="D432" s="277"/>
      <c r="E432" s="278">
        <v>36.0</v>
      </c>
      <c r="F432" s="284">
        <f t="shared" si="94"/>
        <v>0</v>
      </c>
      <c r="G432" s="272">
        <f t="shared" si="79"/>
        <v>0</v>
      </c>
      <c r="H432" s="273"/>
      <c r="I432" s="274"/>
      <c r="J432" s="4"/>
      <c r="K432" s="273"/>
      <c r="L432" s="275"/>
      <c r="M432" s="4"/>
      <c r="N432" s="4"/>
      <c r="O432" s="4"/>
      <c r="P432" s="4"/>
      <c r="Q432" s="4"/>
      <c r="R432" s="4"/>
      <c r="S432" s="4"/>
      <c r="T432" s="4"/>
      <c r="U432" s="4"/>
      <c r="V432" s="4"/>
      <c r="W432" s="4"/>
      <c r="X432" s="4"/>
      <c r="Y432" s="4"/>
      <c r="Z432" s="4"/>
    </row>
    <row r="433" ht="9.75" customHeight="1">
      <c r="A433" s="280"/>
      <c r="B433" s="203" t="s">
        <v>665</v>
      </c>
      <c r="C433" s="310" t="s">
        <v>34</v>
      </c>
      <c r="D433" s="277"/>
      <c r="E433" s="278">
        <v>36.0</v>
      </c>
      <c r="F433" s="284">
        <f t="shared" si="94"/>
        <v>0</v>
      </c>
      <c r="G433" s="272">
        <f t="shared" si="79"/>
        <v>0</v>
      </c>
      <c r="H433" s="273"/>
      <c r="I433" s="274"/>
      <c r="J433" s="4"/>
      <c r="K433" s="273"/>
      <c r="L433" s="275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  <c r="Z433" s="4"/>
    </row>
    <row r="434" ht="9.75" customHeight="1">
      <c r="A434" s="280"/>
      <c r="B434" s="203" t="s">
        <v>666</v>
      </c>
      <c r="C434" s="310" t="s">
        <v>34</v>
      </c>
      <c r="D434" s="277"/>
      <c r="E434" s="278">
        <v>250.0</v>
      </c>
      <c r="F434" s="284">
        <f t="shared" si="94"/>
        <v>0</v>
      </c>
      <c r="G434" s="272">
        <f t="shared" si="79"/>
        <v>0</v>
      </c>
      <c r="H434" s="273"/>
      <c r="I434" s="274"/>
      <c r="J434" s="4"/>
      <c r="K434" s="273"/>
      <c r="L434" s="275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  <c r="X434" s="4"/>
      <c r="Y434" s="4"/>
      <c r="Z434" s="4"/>
    </row>
    <row r="435" ht="9.75" customHeight="1">
      <c r="A435" s="280"/>
      <c r="B435" s="203" t="s">
        <v>667</v>
      </c>
      <c r="C435" s="310" t="s">
        <v>34</v>
      </c>
      <c r="D435" s="277"/>
      <c r="E435" s="278">
        <v>900.0</v>
      </c>
      <c r="F435" s="284">
        <f t="shared" si="94"/>
        <v>0</v>
      </c>
      <c r="G435" s="272">
        <f t="shared" si="79"/>
        <v>0</v>
      </c>
      <c r="H435" s="273"/>
      <c r="I435" s="274"/>
      <c r="J435" s="4"/>
      <c r="K435" s="273"/>
      <c r="L435" s="275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4"/>
      <c r="Y435" s="4"/>
      <c r="Z435" s="4"/>
    </row>
    <row r="436" ht="9.75" customHeight="1">
      <c r="A436" s="280"/>
      <c r="B436" s="203" t="s">
        <v>668</v>
      </c>
      <c r="C436" s="310" t="s">
        <v>34</v>
      </c>
      <c r="D436" s="277"/>
      <c r="E436" s="278">
        <v>850.0</v>
      </c>
      <c r="F436" s="284">
        <f t="shared" si="94"/>
        <v>0</v>
      </c>
      <c r="G436" s="272">
        <f t="shared" si="79"/>
        <v>0</v>
      </c>
      <c r="H436" s="273"/>
      <c r="I436" s="274"/>
      <c r="J436" s="4"/>
      <c r="K436" s="273"/>
      <c r="L436" s="275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</row>
    <row r="437" ht="9.75" customHeight="1">
      <c r="A437" s="280"/>
      <c r="B437" s="203" t="s">
        <v>824</v>
      </c>
      <c r="C437" s="310" t="s">
        <v>51</v>
      </c>
      <c r="D437" s="277"/>
      <c r="E437" s="278">
        <v>10.0</v>
      </c>
      <c r="F437" s="284">
        <f t="shared" si="94"/>
        <v>0</v>
      </c>
      <c r="G437" s="272">
        <f t="shared" si="79"/>
        <v>0</v>
      </c>
      <c r="H437" s="273"/>
      <c r="I437" s="274"/>
      <c r="J437" s="4"/>
      <c r="K437" s="273"/>
      <c r="L437" s="275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  <c r="Z437" s="4"/>
    </row>
    <row r="438" ht="9.75" customHeight="1">
      <c r="A438" s="280"/>
      <c r="B438" s="203" t="s">
        <v>670</v>
      </c>
      <c r="C438" s="310" t="s">
        <v>34</v>
      </c>
      <c r="D438" s="277"/>
      <c r="E438" s="278">
        <v>150.0</v>
      </c>
      <c r="F438" s="284">
        <f t="shared" si="94"/>
        <v>0</v>
      </c>
      <c r="G438" s="272">
        <f t="shared" si="79"/>
        <v>0</v>
      </c>
      <c r="H438" s="273"/>
      <c r="I438" s="274"/>
      <c r="J438" s="4"/>
      <c r="K438" s="273"/>
      <c r="L438" s="275"/>
      <c r="M438" s="4"/>
      <c r="N438" s="4"/>
      <c r="O438" s="4"/>
      <c r="P438" s="4"/>
      <c r="Q438" s="4"/>
      <c r="R438" s="4"/>
      <c r="S438" s="4"/>
      <c r="T438" s="4"/>
      <c r="U438" s="4"/>
      <c r="V438" s="4"/>
      <c r="W438" s="4"/>
      <c r="X438" s="4"/>
      <c r="Y438" s="4"/>
      <c r="Z438" s="4"/>
    </row>
    <row r="439" ht="9.75" customHeight="1">
      <c r="A439" s="280"/>
      <c r="B439" s="203" t="s">
        <v>671</v>
      </c>
      <c r="C439" s="310" t="s">
        <v>34</v>
      </c>
      <c r="D439" s="277"/>
      <c r="E439" s="278">
        <v>200.0</v>
      </c>
      <c r="F439" s="284">
        <f t="shared" si="94"/>
        <v>0</v>
      </c>
      <c r="G439" s="272">
        <f t="shared" si="79"/>
        <v>0</v>
      </c>
      <c r="H439" s="273"/>
      <c r="I439" s="274"/>
      <c r="J439" s="4"/>
      <c r="K439" s="273"/>
      <c r="L439" s="275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  <c r="Z439" s="4"/>
    </row>
    <row r="440" ht="9.75" customHeight="1">
      <c r="A440" s="286" t="str">
        <f t="shared" ref="A440:A441" si="95">B440</f>
        <v>Sous total</v>
      </c>
      <c r="B440" s="287" t="s">
        <v>713</v>
      </c>
      <c r="C440" s="288"/>
      <c r="D440" s="288"/>
      <c r="E440" s="289"/>
      <c r="F440" s="290">
        <f>SUM(F428:F439)</f>
        <v>0</v>
      </c>
      <c r="G440" s="272">
        <f t="shared" si="79"/>
        <v>0</v>
      </c>
      <c r="H440" s="273"/>
      <c r="I440" s="274"/>
      <c r="J440" s="4"/>
      <c r="K440" s="273"/>
      <c r="L440" s="275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4"/>
      <c r="X440" s="4"/>
      <c r="Y440" s="4"/>
      <c r="Z440" s="4"/>
    </row>
    <row r="441" ht="9.75" customHeight="1">
      <c r="A441" s="276" t="str">
        <f t="shared" si="95"/>
        <v>Distribution de l'heure</v>
      </c>
      <c r="B441" s="194" t="s">
        <v>825</v>
      </c>
      <c r="C441" s="297"/>
      <c r="D441" s="297"/>
      <c r="E441" s="298"/>
      <c r="F441" s="284">
        <f t="shared" ref="F441:F444" si="96">D441*E441</f>
        <v>0</v>
      </c>
      <c r="G441" s="272">
        <f t="shared" si="79"/>
        <v>0</v>
      </c>
      <c r="H441" s="273"/>
      <c r="I441" s="274"/>
      <c r="J441" s="4"/>
      <c r="K441" s="273"/>
      <c r="L441" s="275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4"/>
      <c r="Y441" s="4"/>
      <c r="Z441" s="4"/>
    </row>
    <row r="442" ht="9.75" customHeight="1">
      <c r="A442" s="280"/>
      <c r="B442" s="203" t="s">
        <v>539</v>
      </c>
      <c r="C442" s="310" t="s">
        <v>34</v>
      </c>
      <c r="D442" s="277"/>
      <c r="E442" s="278">
        <v>1300.0</v>
      </c>
      <c r="F442" s="284">
        <f t="shared" si="96"/>
        <v>0</v>
      </c>
      <c r="G442" s="272">
        <f t="shared" si="79"/>
        <v>0</v>
      </c>
      <c r="H442" s="273"/>
      <c r="I442" s="274"/>
      <c r="J442" s="4"/>
      <c r="K442" s="273"/>
      <c r="L442" s="275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  <c r="Z442" s="4"/>
    </row>
    <row r="443" ht="9.75" customHeight="1">
      <c r="A443" s="280"/>
      <c r="B443" s="203" t="s">
        <v>540</v>
      </c>
      <c r="C443" s="310" t="s">
        <v>34</v>
      </c>
      <c r="D443" s="277"/>
      <c r="E443" s="278">
        <v>350.0</v>
      </c>
      <c r="F443" s="284">
        <f t="shared" si="96"/>
        <v>0</v>
      </c>
      <c r="G443" s="272">
        <f t="shared" si="79"/>
        <v>0</v>
      </c>
      <c r="H443" s="273"/>
      <c r="I443" s="274"/>
      <c r="J443" s="4"/>
      <c r="K443" s="273"/>
      <c r="L443" s="275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  <c r="Z443" s="4"/>
    </row>
    <row r="444" ht="9.75" customHeight="1">
      <c r="A444" s="280"/>
      <c r="B444" s="146" t="s">
        <v>541</v>
      </c>
      <c r="C444" s="281" t="s">
        <v>27</v>
      </c>
      <c r="D444" s="282"/>
      <c r="E444" s="283">
        <v>0.6</v>
      </c>
      <c r="F444" s="284">
        <f t="shared" si="96"/>
        <v>0</v>
      </c>
      <c r="G444" s="272">
        <f t="shared" si="79"/>
        <v>0</v>
      </c>
      <c r="H444" s="273"/>
      <c r="I444" s="274"/>
      <c r="J444" s="4"/>
      <c r="K444" s="273"/>
      <c r="L444" s="275"/>
      <c r="M444" s="4"/>
      <c r="N444" s="4"/>
      <c r="O444" s="4"/>
      <c r="P444" s="4"/>
      <c r="Q444" s="4"/>
      <c r="R444" s="4"/>
      <c r="S444" s="4"/>
      <c r="T444" s="4"/>
      <c r="U444" s="4"/>
      <c r="V444" s="4"/>
      <c r="W444" s="4"/>
      <c r="X444" s="4"/>
      <c r="Y444" s="4"/>
      <c r="Z444" s="4"/>
    </row>
    <row r="445" ht="9.75" customHeight="1">
      <c r="A445" s="286" t="str">
        <f t="shared" ref="A445:A446" si="97">B445</f>
        <v>Sous total</v>
      </c>
      <c r="B445" s="287" t="s">
        <v>713</v>
      </c>
      <c r="C445" s="288"/>
      <c r="D445" s="288"/>
      <c r="E445" s="289"/>
      <c r="F445" s="290">
        <f>SUM(F442:F444)</f>
        <v>0</v>
      </c>
      <c r="G445" s="272">
        <f t="shared" si="79"/>
        <v>0</v>
      </c>
      <c r="H445" s="273"/>
      <c r="I445" s="274"/>
      <c r="J445" s="4"/>
      <c r="K445" s="273"/>
      <c r="L445" s="275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  <c r="Z445" s="4"/>
    </row>
    <row r="446" ht="9.75" customHeight="1">
      <c r="A446" s="276" t="str">
        <f t="shared" si="97"/>
        <v>Sonnerie interclasse</v>
      </c>
      <c r="B446" s="194" t="s">
        <v>542</v>
      </c>
      <c r="C446" s="297"/>
      <c r="D446" s="297"/>
      <c r="E446" s="298"/>
      <c r="F446" s="284">
        <f t="shared" ref="F446:F447" si="98">D446*E446</f>
        <v>0</v>
      </c>
      <c r="G446" s="272">
        <f t="shared" si="79"/>
        <v>0</v>
      </c>
      <c r="H446" s="273"/>
      <c r="I446" s="274"/>
      <c r="J446" s="4"/>
      <c r="K446" s="273"/>
      <c r="L446" s="275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  <c r="X446" s="4"/>
      <c r="Y446" s="4"/>
      <c r="Z446" s="4"/>
    </row>
    <row r="447" ht="9.75" customHeight="1">
      <c r="A447" s="280"/>
      <c r="B447" s="203" t="s">
        <v>543</v>
      </c>
      <c r="C447" s="310" t="s">
        <v>32</v>
      </c>
      <c r="D447" s="277"/>
      <c r="E447" s="278">
        <v>1100.0</v>
      </c>
      <c r="F447" s="284">
        <f t="shared" si="98"/>
        <v>0</v>
      </c>
      <c r="G447" s="272">
        <f t="shared" si="79"/>
        <v>0</v>
      </c>
      <c r="H447" s="273"/>
      <c r="I447" s="274"/>
      <c r="J447" s="4"/>
      <c r="K447" s="273"/>
      <c r="L447" s="275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  <c r="Z447" s="4"/>
    </row>
    <row r="448" ht="9.75" customHeight="1">
      <c r="A448" s="286" t="str">
        <f t="shared" ref="A448:A449" si="99">B448</f>
        <v>Sous total</v>
      </c>
      <c r="B448" s="287" t="s">
        <v>713</v>
      </c>
      <c r="C448" s="288"/>
      <c r="D448" s="288"/>
      <c r="E448" s="289"/>
      <c r="F448" s="290">
        <f>SUM(F447)</f>
        <v>0</v>
      </c>
      <c r="G448" s="272">
        <f t="shared" si="79"/>
        <v>0</v>
      </c>
      <c r="H448" s="273"/>
      <c r="I448" s="274"/>
      <c r="J448" s="4"/>
      <c r="K448" s="273"/>
      <c r="L448" s="275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  <c r="Z448" s="4"/>
    </row>
    <row r="449" ht="9.75" customHeight="1">
      <c r="A449" s="276" t="str">
        <f t="shared" si="99"/>
        <v>Alarme anti intrusion</v>
      </c>
      <c r="B449" s="194" t="s">
        <v>826</v>
      </c>
      <c r="C449" s="277"/>
      <c r="D449" s="277"/>
      <c r="E449" s="278"/>
      <c r="F449" s="284">
        <f t="shared" ref="F449:F451" si="100">D449*E449</f>
        <v>0</v>
      </c>
      <c r="G449" s="272">
        <f t="shared" si="79"/>
        <v>0</v>
      </c>
      <c r="H449" s="273"/>
      <c r="I449" s="274"/>
      <c r="J449" s="4"/>
      <c r="K449" s="273"/>
      <c r="L449" s="275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  <c r="Z449" s="4"/>
    </row>
    <row r="450" ht="9.75" customHeight="1">
      <c r="A450" s="280"/>
      <c r="B450" s="146" t="s">
        <v>827</v>
      </c>
      <c r="C450" s="281" t="s">
        <v>27</v>
      </c>
      <c r="D450" s="282"/>
      <c r="E450" s="283">
        <v>2.8</v>
      </c>
      <c r="F450" s="284">
        <f t="shared" si="100"/>
        <v>0</v>
      </c>
      <c r="G450" s="272">
        <f t="shared" si="79"/>
        <v>0</v>
      </c>
      <c r="H450" s="273"/>
      <c r="I450" s="274"/>
      <c r="J450" s="4"/>
      <c r="K450" s="273"/>
      <c r="L450" s="275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  <c r="X450" s="4"/>
      <c r="Y450" s="4"/>
      <c r="Z450" s="4"/>
    </row>
    <row r="451" ht="9.75" customHeight="1">
      <c r="A451" s="280"/>
      <c r="B451" s="203" t="s">
        <v>623</v>
      </c>
      <c r="C451" s="310" t="s">
        <v>34</v>
      </c>
      <c r="D451" s="277"/>
      <c r="E451" s="278">
        <v>12000.0</v>
      </c>
      <c r="F451" s="284">
        <f t="shared" si="100"/>
        <v>0</v>
      </c>
      <c r="G451" s="272">
        <f t="shared" si="79"/>
        <v>0</v>
      </c>
      <c r="H451" s="273"/>
      <c r="I451" s="274"/>
      <c r="J451" s="4"/>
      <c r="K451" s="273"/>
      <c r="L451" s="275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  <c r="X451" s="4"/>
      <c r="Y451" s="4"/>
      <c r="Z451" s="4"/>
    </row>
    <row r="452" ht="9.75" customHeight="1">
      <c r="A452" s="286" t="str">
        <f t="shared" ref="A452:A453" si="101">B452</f>
        <v>Sous total</v>
      </c>
      <c r="B452" s="287" t="s">
        <v>713</v>
      </c>
      <c r="C452" s="288"/>
      <c r="D452" s="288"/>
      <c r="E452" s="289"/>
      <c r="F452" s="290">
        <f>SUM(F450:F451)</f>
        <v>0</v>
      </c>
      <c r="G452" s="272">
        <f t="shared" si="79"/>
        <v>0</v>
      </c>
      <c r="H452" s="273"/>
      <c r="I452" s="274"/>
      <c r="J452" s="4"/>
      <c r="K452" s="273"/>
      <c r="L452" s="275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  <c r="X452" s="4"/>
      <c r="Y452" s="4"/>
      <c r="Z452" s="4"/>
    </row>
    <row r="453" ht="9.75" customHeight="1">
      <c r="A453" s="276" t="str">
        <f t="shared" si="101"/>
        <v>Vidéo surveillance</v>
      </c>
      <c r="B453" s="194" t="s">
        <v>632</v>
      </c>
      <c r="C453" s="277"/>
      <c r="D453" s="277"/>
      <c r="E453" s="278"/>
      <c r="F453" s="284">
        <f t="shared" ref="F453:F462" si="102">D453*E453</f>
        <v>0</v>
      </c>
      <c r="G453" s="272">
        <f t="shared" si="79"/>
        <v>0</v>
      </c>
      <c r="H453" s="273"/>
      <c r="I453" s="274"/>
      <c r="J453" s="4"/>
      <c r="K453" s="273"/>
      <c r="L453" s="275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  <c r="Z453" s="4"/>
    </row>
    <row r="454" ht="9.75" customHeight="1">
      <c r="A454" s="280"/>
      <c r="B454" s="134" t="s">
        <v>634</v>
      </c>
      <c r="C454" s="310" t="s">
        <v>34</v>
      </c>
      <c r="D454" s="277"/>
      <c r="E454" s="278">
        <v>1400.0</v>
      </c>
      <c r="F454" s="284">
        <f t="shared" si="102"/>
        <v>0</v>
      </c>
      <c r="G454" s="272">
        <f t="shared" si="79"/>
        <v>0</v>
      </c>
      <c r="H454" s="273"/>
      <c r="I454" s="274"/>
      <c r="J454" s="4"/>
      <c r="K454" s="273"/>
      <c r="L454" s="275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</row>
    <row r="455" ht="9.75" customHeight="1">
      <c r="A455" s="280"/>
      <c r="B455" s="134" t="s">
        <v>828</v>
      </c>
      <c r="C455" s="310" t="s">
        <v>34</v>
      </c>
      <c r="D455" s="277"/>
      <c r="E455" s="278">
        <v>1440.0</v>
      </c>
      <c r="F455" s="284">
        <f t="shared" si="102"/>
        <v>0</v>
      </c>
      <c r="G455" s="272">
        <f t="shared" si="79"/>
        <v>0</v>
      </c>
      <c r="H455" s="273"/>
      <c r="I455" s="274"/>
      <c r="J455" s="4"/>
      <c r="K455" s="273"/>
      <c r="L455" s="275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  <c r="Z455" s="4"/>
    </row>
    <row r="456" ht="9.75" customHeight="1">
      <c r="A456" s="280"/>
      <c r="B456" s="134" t="s">
        <v>636</v>
      </c>
      <c r="C456" s="310" t="s">
        <v>34</v>
      </c>
      <c r="D456" s="277"/>
      <c r="E456" s="278">
        <v>1512.0</v>
      </c>
      <c r="F456" s="284">
        <f t="shared" si="102"/>
        <v>0</v>
      </c>
      <c r="G456" s="272">
        <f t="shared" si="79"/>
        <v>0</v>
      </c>
      <c r="H456" s="273"/>
      <c r="I456" s="274"/>
      <c r="J456" s="4"/>
      <c r="K456" s="273"/>
      <c r="L456" s="275"/>
      <c r="M456" s="4"/>
      <c r="N456" s="4"/>
      <c r="O456" s="4"/>
      <c r="P456" s="4"/>
      <c r="Q456" s="4"/>
      <c r="R456" s="4"/>
      <c r="S456" s="4"/>
      <c r="T456" s="4"/>
      <c r="U456" s="4"/>
      <c r="V456" s="4"/>
      <c r="W456" s="4"/>
      <c r="X456" s="4"/>
      <c r="Y456" s="4"/>
      <c r="Z456" s="4"/>
    </row>
    <row r="457" ht="9.75" customHeight="1">
      <c r="A457" s="280"/>
      <c r="B457" s="134" t="s">
        <v>637</v>
      </c>
      <c r="C457" s="310" t="s">
        <v>34</v>
      </c>
      <c r="D457" s="277"/>
      <c r="E457" s="278">
        <v>1512.0</v>
      </c>
      <c r="F457" s="284">
        <f t="shared" si="102"/>
        <v>0</v>
      </c>
      <c r="G457" s="272">
        <f t="shared" si="79"/>
        <v>0</v>
      </c>
      <c r="H457" s="273"/>
      <c r="I457" s="274"/>
      <c r="J457" s="4"/>
      <c r="K457" s="273"/>
      <c r="L457" s="275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  <c r="Z457" s="4"/>
    </row>
    <row r="458" ht="9.75" customHeight="1">
      <c r="A458" s="280"/>
      <c r="B458" s="134" t="s">
        <v>638</v>
      </c>
      <c r="C458" s="310" t="s">
        <v>34</v>
      </c>
      <c r="D458" s="277"/>
      <c r="E458" s="278">
        <v>1426.0</v>
      </c>
      <c r="F458" s="284">
        <f t="shared" si="102"/>
        <v>0</v>
      </c>
      <c r="G458" s="272">
        <f t="shared" si="79"/>
        <v>0</v>
      </c>
      <c r="H458" s="273"/>
      <c r="I458" s="274"/>
      <c r="J458" s="4"/>
      <c r="K458" s="273"/>
      <c r="L458" s="275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  <c r="Z458" s="4"/>
    </row>
    <row r="459" ht="9.75" customHeight="1">
      <c r="A459" s="280"/>
      <c r="B459" s="134" t="s">
        <v>639</v>
      </c>
      <c r="C459" s="310" t="s">
        <v>34</v>
      </c>
      <c r="D459" s="277"/>
      <c r="E459" s="278">
        <v>4400.0</v>
      </c>
      <c r="F459" s="284">
        <f t="shared" si="102"/>
        <v>0</v>
      </c>
      <c r="G459" s="272">
        <f t="shared" si="79"/>
        <v>0</v>
      </c>
      <c r="H459" s="273"/>
      <c r="I459" s="274"/>
      <c r="J459" s="4"/>
      <c r="K459" s="273"/>
      <c r="L459" s="275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  <c r="Z459" s="4"/>
    </row>
    <row r="460" ht="9.75" customHeight="1">
      <c r="A460" s="280"/>
      <c r="B460" s="134" t="s">
        <v>640</v>
      </c>
      <c r="C460" s="310" t="s">
        <v>34</v>
      </c>
      <c r="D460" s="277"/>
      <c r="E460" s="278">
        <v>13000.0</v>
      </c>
      <c r="F460" s="284">
        <f t="shared" si="102"/>
        <v>0</v>
      </c>
      <c r="G460" s="272">
        <f t="shared" si="79"/>
        <v>0</v>
      </c>
      <c r="H460" s="273"/>
      <c r="I460" s="274"/>
      <c r="J460" s="4"/>
      <c r="K460" s="273"/>
      <c r="L460" s="275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  <c r="Z460" s="4"/>
    </row>
    <row r="461" ht="9.75" customHeight="1">
      <c r="A461" s="280"/>
      <c r="B461" s="134" t="s">
        <v>641</v>
      </c>
      <c r="C461" s="310" t="s">
        <v>34</v>
      </c>
      <c r="D461" s="277"/>
      <c r="E461" s="278">
        <v>350.0</v>
      </c>
      <c r="F461" s="284">
        <f t="shared" si="102"/>
        <v>0</v>
      </c>
      <c r="G461" s="272">
        <f t="shared" si="79"/>
        <v>0</v>
      </c>
      <c r="H461" s="273"/>
      <c r="I461" s="274"/>
      <c r="J461" s="4"/>
      <c r="K461" s="273"/>
      <c r="L461" s="275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  <c r="Z461" s="4"/>
    </row>
    <row r="462" ht="9.75" customHeight="1">
      <c r="A462" s="280"/>
      <c r="B462" s="146" t="s">
        <v>642</v>
      </c>
      <c r="C462" s="281" t="s">
        <v>27</v>
      </c>
      <c r="D462" s="282"/>
      <c r="E462" s="283">
        <v>0.7</v>
      </c>
      <c r="F462" s="284">
        <f t="shared" si="102"/>
        <v>0</v>
      </c>
      <c r="G462" s="272">
        <f t="shared" si="79"/>
        <v>0</v>
      </c>
      <c r="H462" s="273"/>
      <c r="I462" s="274"/>
      <c r="J462" s="4"/>
      <c r="K462" s="273"/>
      <c r="L462" s="275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  <c r="Z462" s="4"/>
    </row>
    <row r="463" ht="9.75" customHeight="1">
      <c r="A463" s="286" t="str">
        <f>B463</f>
        <v>Sous total</v>
      </c>
      <c r="B463" s="287" t="s">
        <v>713</v>
      </c>
      <c r="C463" s="288"/>
      <c r="D463" s="288"/>
      <c r="E463" s="289"/>
      <c r="F463" s="290">
        <f>SUM(F454:F462)</f>
        <v>0</v>
      </c>
      <c r="G463" s="272">
        <f t="shared" si="79"/>
        <v>0</v>
      </c>
      <c r="H463" s="273"/>
      <c r="I463" s="274"/>
      <c r="J463" s="4"/>
      <c r="K463" s="273"/>
      <c r="L463" s="275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  <c r="X463" s="4"/>
      <c r="Y463" s="4"/>
      <c r="Z463" s="4"/>
    </row>
    <row r="464" ht="9.75" customHeight="1">
      <c r="A464" s="280"/>
      <c r="B464" s="312"/>
      <c r="C464" s="228"/>
      <c r="D464" s="228"/>
      <c r="E464" s="228"/>
      <c r="F464" s="229"/>
      <c r="G464" s="272">
        <f t="shared" si="79"/>
        <v>0</v>
      </c>
      <c r="H464" s="273"/>
      <c r="I464" s="274"/>
      <c r="J464" s="4"/>
      <c r="K464" s="273"/>
      <c r="L464" s="275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  <c r="X464" s="4"/>
      <c r="Y464" s="4"/>
      <c r="Z464" s="4"/>
    </row>
    <row r="465" ht="9.75" customHeight="1">
      <c r="A465" s="280"/>
      <c r="B465" s="312"/>
      <c r="C465" s="228"/>
      <c r="D465" s="228"/>
      <c r="E465" s="228"/>
      <c r="F465" s="229"/>
      <c r="G465" s="272">
        <f t="shared" si="79"/>
        <v>0</v>
      </c>
      <c r="H465" s="273"/>
      <c r="I465" s="274"/>
      <c r="J465" s="4"/>
      <c r="K465" s="273"/>
      <c r="L465" s="275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  <c r="Z465" s="4"/>
    </row>
    <row r="466" ht="9.75" customHeight="1">
      <c r="A466" s="280"/>
      <c r="B466" s="312"/>
      <c r="C466" s="228"/>
      <c r="D466" s="228"/>
      <c r="E466" s="228"/>
      <c r="F466" s="229"/>
      <c r="G466" s="272">
        <f t="shared" si="79"/>
        <v>0</v>
      </c>
      <c r="H466" s="273"/>
      <c r="I466" s="274"/>
      <c r="J466" s="4"/>
      <c r="K466" s="273"/>
      <c r="L466" s="275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4"/>
      <c r="Y466" s="4"/>
      <c r="Z466" s="4"/>
    </row>
    <row r="467" ht="9.75" customHeight="1">
      <c r="A467" s="280"/>
      <c r="B467" s="312"/>
      <c r="C467" s="228"/>
      <c r="D467" s="228"/>
      <c r="E467" s="228"/>
      <c r="F467" s="229"/>
      <c r="G467" s="272">
        <f t="shared" si="79"/>
        <v>0</v>
      </c>
      <c r="H467" s="273"/>
      <c r="I467" s="274"/>
      <c r="J467" s="4"/>
      <c r="K467" s="273"/>
      <c r="L467" s="275"/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/>
      <c r="X467" s="4"/>
      <c r="Y467" s="4"/>
      <c r="Z467" s="4"/>
    </row>
    <row r="468" ht="9.75" customHeight="1">
      <c r="A468" s="280"/>
      <c r="B468" s="312"/>
      <c r="C468" s="228"/>
      <c r="D468" s="228"/>
      <c r="E468" s="228"/>
      <c r="F468" s="229"/>
      <c r="G468" s="272">
        <f t="shared" si="79"/>
        <v>0</v>
      </c>
      <c r="H468" s="273"/>
      <c r="I468" s="274"/>
      <c r="J468" s="4"/>
      <c r="K468" s="273"/>
      <c r="L468" s="275"/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/>
      <c r="X468" s="4"/>
      <c r="Y468" s="4"/>
      <c r="Z468" s="4"/>
    </row>
    <row r="469" ht="9.75" customHeight="1">
      <c r="A469" s="280"/>
      <c r="B469" s="312"/>
      <c r="C469" s="228"/>
      <c r="D469" s="228"/>
      <c r="E469" s="228"/>
      <c r="F469" s="229"/>
      <c r="G469" s="272">
        <f t="shared" si="79"/>
        <v>0</v>
      </c>
      <c r="H469" s="273"/>
      <c r="I469" s="274"/>
      <c r="J469" s="4"/>
      <c r="K469" s="273"/>
      <c r="L469" s="275"/>
      <c r="M469" s="4"/>
      <c r="N469" s="4"/>
      <c r="O469" s="4"/>
      <c r="P469" s="4"/>
      <c r="Q469" s="4"/>
      <c r="R469" s="4"/>
      <c r="S469" s="4"/>
      <c r="T469" s="4"/>
      <c r="U469" s="4"/>
      <c r="V469" s="4"/>
      <c r="W469" s="4"/>
      <c r="X469" s="4"/>
      <c r="Y469" s="4"/>
      <c r="Z469" s="4"/>
    </row>
    <row r="470" ht="9.75" customHeight="1">
      <c r="A470" s="280"/>
      <c r="B470" s="312"/>
      <c r="C470" s="228"/>
      <c r="D470" s="228"/>
      <c r="E470" s="228"/>
      <c r="F470" s="229"/>
      <c r="G470" s="272">
        <f t="shared" si="79"/>
        <v>0</v>
      </c>
      <c r="H470" s="273"/>
      <c r="I470" s="274"/>
      <c r="J470" s="4"/>
      <c r="K470" s="273"/>
      <c r="L470" s="275"/>
      <c r="M470" s="4"/>
      <c r="N470" s="4"/>
      <c r="O470" s="4"/>
      <c r="P470" s="4"/>
      <c r="Q470" s="4"/>
      <c r="R470" s="4"/>
      <c r="S470" s="4"/>
      <c r="T470" s="4"/>
      <c r="U470" s="4"/>
      <c r="V470" s="4"/>
      <c r="W470" s="4"/>
      <c r="X470" s="4"/>
      <c r="Y470" s="4"/>
      <c r="Z470" s="4"/>
    </row>
    <row r="471" ht="9.75" customHeight="1">
      <c r="A471" s="280"/>
      <c r="B471" s="312"/>
      <c r="C471" s="228"/>
      <c r="D471" s="228"/>
      <c r="E471" s="228"/>
      <c r="F471" s="229"/>
      <c r="G471" s="272">
        <f t="shared" si="79"/>
        <v>0</v>
      </c>
      <c r="H471" s="273"/>
      <c r="I471" s="274"/>
      <c r="J471" s="4"/>
      <c r="K471" s="273"/>
      <c r="L471" s="275"/>
      <c r="M471" s="4"/>
      <c r="N471" s="4"/>
      <c r="O471" s="4"/>
      <c r="P471" s="4"/>
      <c r="Q471" s="4"/>
      <c r="R471" s="4"/>
      <c r="S471" s="4"/>
      <c r="T471" s="4"/>
      <c r="U471" s="4"/>
      <c r="V471" s="4"/>
      <c r="W471" s="4"/>
      <c r="X471" s="4"/>
      <c r="Y471" s="4"/>
      <c r="Z471" s="4"/>
    </row>
    <row r="472" ht="9.75" customHeight="1">
      <c r="A472" s="280"/>
      <c r="B472" s="312"/>
      <c r="C472" s="228"/>
      <c r="D472" s="228"/>
      <c r="E472" s="228"/>
      <c r="F472" s="229"/>
      <c r="G472" s="272">
        <f t="shared" si="79"/>
        <v>0</v>
      </c>
      <c r="H472" s="273"/>
      <c r="I472" s="274"/>
      <c r="J472" s="4"/>
      <c r="K472" s="273"/>
      <c r="L472" s="275"/>
      <c r="M472" s="4"/>
      <c r="N472" s="4"/>
      <c r="O472" s="4"/>
      <c r="P472" s="4"/>
      <c r="Q472" s="4"/>
      <c r="R472" s="4"/>
      <c r="S472" s="4"/>
      <c r="T472" s="4"/>
      <c r="U472" s="4"/>
      <c r="V472" s="4"/>
      <c r="W472" s="4"/>
      <c r="X472" s="4"/>
      <c r="Y472" s="4"/>
      <c r="Z472" s="4"/>
    </row>
    <row r="473" ht="9.75" customHeight="1">
      <c r="A473" s="280"/>
      <c r="B473" s="312"/>
      <c r="C473" s="228"/>
      <c r="D473" s="228"/>
      <c r="E473" s="228"/>
      <c r="F473" s="229"/>
      <c r="G473" s="272">
        <f t="shared" si="79"/>
        <v>0</v>
      </c>
      <c r="H473" s="273"/>
      <c r="I473" s="274"/>
      <c r="J473" s="4"/>
      <c r="K473" s="273"/>
      <c r="L473" s="275"/>
      <c r="M473" s="4"/>
      <c r="N473" s="4"/>
      <c r="O473" s="4"/>
      <c r="P473" s="4"/>
      <c r="Q473" s="4"/>
      <c r="R473" s="4"/>
      <c r="S473" s="4"/>
      <c r="T473" s="4"/>
      <c r="U473" s="4"/>
      <c r="V473" s="4"/>
      <c r="W473" s="4"/>
      <c r="X473" s="4"/>
      <c r="Y473" s="4"/>
      <c r="Z473" s="4"/>
    </row>
    <row r="474" ht="9.75" customHeight="1">
      <c r="A474" s="280"/>
      <c r="B474" s="312"/>
      <c r="C474" s="228"/>
      <c r="D474" s="228"/>
      <c r="E474" s="228"/>
      <c r="F474" s="229"/>
      <c r="G474" s="272">
        <f t="shared" si="79"/>
        <v>0</v>
      </c>
      <c r="H474" s="273"/>
      <c r="I474" s="274"/>
      <c r="J474" s="4"/>
      <c r="K474" s="273"/>
      <c r="L474" s="275"/>
      <c r="M474" s="4"/>
      <c r="N474" s="4"/>
      <c r="O474" s="4"/>
      <c r="P474" s="4"/>
      <c r="Q474" s="4"/>
      <c r="R474" s="4"/>
      <c r="S474" s="4"/>
      <c r="T474" s="4"/>
      <c r="U474" s="4"/>
      <c r="V474" s="4"/>
      <c r="W474" s="4"/>
      <c r="X474" s="4"/>
      <c r="Y474" s="4"/>
      <c r="Z474" s="4"/>
    </row>
    <row r="475" ht="9.75" customHeight="1">
      <c r="A475" s="280"/>
      <c r="B475" s="312"/>
      <c r="C475" s="228"/>
      <c r="D475" s="228"/>
      <c r="E475" s="228"/>
      <c r="F475" s="229"/>
      <c r="G475" s="272">
        <f t="shared" si="79"/>
        <v>0</v>
      </c>
      <c r="H475" s="273"/>
      <c r="I475" s="274"/>
      <c r="J475" s="4"/>
      <c r="K475" s="273"/>
      <c r="L475" s="275"/>
      <c r="M475" s="4"/>
      <c r="N475" s="4"/>
      <c r="O475" s="4"/>
      <c r="P475" s="4"/>
      <c r="Q475" s="4"/>
      <c r="R475" s="4"/>
      <c r="S475" s="4"/>
      <c r="T475" s="4"/>
      <c r="U475" s="4"/>
      <c r="V475" s="4"/>
      <c r="W475" s="4"/>
      <c r="X475" s="4"/>
      <c r="Y475" s="4"/>
      <c r="Z475" s="4"/>
    </row>
    <row r="476" ht="9.75" customHeight="1">
      <c r="A476" s="280"/>
      <c r="B476" s="312"/>
      <c r="C476" s="228"/>
      <c r="D476" s="228"/>
      <c r="E476" s="228"/>
      <c r="F476" s="229"/>
      <c r="G476" s="272">
        <f t="shared" si="79"/>
        <v>0</v>
      </c>
      <c r="H476" s="273"/>
      <c r="I476" s="274"/>
      <c r="J476" s="4"/>
      <c r="K476" s="273"/>
      <c r="L476" s="275"/>
      <c r="M476" s="4"/>
      <c r="N476" s="4"/>
      <c r="O476" s="4"/>
      <c r="P476" s="4"/>
      <c r="Q476" s="4"/>
      <c r="R476" s="4"/>
      <c r="S476" s="4"/>
      <c r="T476" s="4"/>
      <c r="U476" s="4"/>
      <c r="V476" s="4"/>
      <c r="W476" s="4"/>
      <c r="X476" s="4"/>
      <c r="Y476" s="4"/>
      <c r="Z476" s="4"/>
    </row>
    <row r="477" ht="9.75" customHeight="1">
      <c r="A477" s="280"/>
      <c r="B477" s="312"/>
      <c r="C477" s="228"/>
      <c r="D477" s="228"/>
      <c r="E477" s="228"/>
      <c r="F477" s="229"/>
      <c r="G477" s="272">
        <f t="shared" si="79"/>
        <v>0</v>
      </c>
      <c r="H477" s="273"/>
      <c r="I477" s="274"/>
      <c r="J477" s="4"/>
      <c r="K477" s="273"/>
      <c r="L477" s="275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4"/>
      <c r="X477" s="4"/>
      <c r="Y477" s="4"/>
      <c r="Z477" s="4"/>
    </row>
    <row r="478" ht="9.75" customHeight="1">
      <c r="A478" s="280"/>
      <c r="B478" s="312"/>
      <c r="C478" s="228"/>
      <c r="D478" s="228"/>
      <c r="E478" s="228"/>
      <c r="F478" s="229"/>
      <c r="G478" s="272">
        <f t="shared" si="79"/>
        <v>0</v>
      </c>
      <c r="H478" s="273"/>
      <c r="I478" s="274"/>
      <c r="J478" s="4"/>
      <c r="K478" s="273"/>
      <c r="L478" s="275"/>
      <c r="M478" s="4"/>
      <c r="N478" s="4"/>
      <c r="O478" s="4"/>
      <c r="P478" s="4"/>
      <c r="Q478" s="4"/>
      <c r="R478" s="4"/>
      <c r="S478" s="4"/>
      <c r="T478" s="4"/>
      <c r="U478" s="4"/>
      <c r="V478" s="4"/>
      <c r="W478" s="4"/>
      <c r="X478" s="4"/>
      <c r="Y478" s="4"/>
      <c r="Z478" s="4"/>
    </row>
    <row r="479" ht="9.75" customHeight="1">
      <c r="A479" s="280"/>
      <c r="B479" s="312"/>
      <c r="C479" s="228"/>
      <c r="D479" s="228"/>
      <c r="E479" s="228"/>
      <c r="F479" s="229"/>
      <c r="G479" s="272">
        <f t="shared" si="79"/>
        <v>0</v>
      </c>
      <c r="H479" s="273"/>
      <c r="I479" s="274"/>
      <c r="J479" s="4"/>
      <c r="K479" s="273"/>
      <c r="L479" s="275"/>
      <c r="M479" s="4"/>
      <c r="N479" s="4"/>
      <c r="O479" s="4"/>
      <c r="P479" s="4"/>
      <c r="Q479" s="4"/>
      <c r="R479" s="4"/>
      <c r="S479" s="4"/>
      <c r="T479" s="4"/>
      <c r="U479" s="4"/>
      <c r="V479" s="4"/>
      <c r="W479" s="4"/>
      <c r="X479" s="4"/>
      <c r="Y479" s="4"/>
      <c r="Z479" s="4"/>
    </row>
    <row r="480" ht="9.75" customHeight="1">
      <c r="A480" s="280"/>
      <c r="B480" s="312"/>
      <c r="C480" s="228"/>
      <c r="D480" s="228"/>
      <c r="E480" s="228"/>
      <c r="F480" s="229"/>
      <c r="G480" s="272">
        <f t="shared" si="79"/>
        <v>0</v>
      </c>
      <c r="H480" s="273"/>
      <c r="I480" s="274"/>
      <c r="J480" s="4"/>
      <c r="K480" s="273"/>
      <c r="L480" s="275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4"/>
      <c r="X480" s="4"/>
      <c r="Y480" s="4"/>
      <c r="Z480" s="4"/>
    </row>
    <row r="481" ht="9.75" customHeight="1">
      <c r="A481" s="280"/>
      <c r="B481" s="312"/>
      <c r="C481" s="228"/>
      <c r="D481" s="228"/>
      <c r="E481" s="228"/>
      <c r="F481" s="229"/>
      <c r="G481" s="272">
        <f t="shared" si="79"/>
        <v>0</v>
      </c>
      <c r="H481" s="273"/>
      <c r="I481" s="274"/>
      <c r="J481" s="4"/>
      <c r="K481" s="273"/>
      <c r="L481" s="275"/>
      <c r="M481" s="4"/>
      <c r="N481" s="4"/>
      <c r="O481" s="4"/>
      <c r="P481" s="4"/>
      <c r="Q481" s="4"/>
      <c r="R481" s="4"/>
      <c r="S481" s="4"/>
      <c r="T481" s="4"/>
      <c r="U481" s="4"/>
      <c r="V481" s="4"/>
      <c r="W481" s="4"/>
      <c r="X481" s="4"/>
      <c r="Y481" s="4"/>
      <c r="Z481" s="4"/>
    </row>
    <row r="482" ht="9.75" customHeight="1">
      <c r="A482" s="280"/>
      <c r="B482" s="312"/>
      <c r="C482" s="228"/>
      <c r="D482" s="228"/>
      <c r="E482" s="228"/>
      <c r="F482" s="229"/>
      <c r="G482" s="272">
        <f t="shared" si="79"/>
        <v>0</v>
      </c>
      <c r="H482" s="273"/>
      <c r="I482" s="274"/>
      <c r="J482" s="4"/>
      <c r="K482" s="273"/>
      <c r="L482" s="275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4"/>
      <c r="X482" s="4"/>
      <c r="Y482" s="4"/>
      <c r="Z482" s="4"/>
    </row>
    <row r="483" ht="9.75" customHeight="1">
      <c r="A483" s="280"/>
      <c r="B483" s="312"/>
      <c r="C483" s="228"/>
      <c r="D483" s="228"/>
      <c r="E483" s="228"/>
      <c r="F483" s="229"/>
      <c r="G483" s="272">
        <f t="shared" si="79"/>
        <v>0</v>
      </c>
      <c r="H483" s="273"/>
      <c r="I483" s="274"/>
      <c r="J483" s="4"/>
      <c r="K483" s="273"/>
      <c r="L483" s="275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4"/>
      <c r="X483" s="4"/>
      <c r="Y483" s="4"/>
      <c r="Z483" s="4"/>
    </row>
    <row r="484" ht="9.75" customHeight="1">
      <c r="A484" s="280"/>
      <c r="B484" s="312"/>
      <c r="C484" s="228"/>
      <c r="D484" s="228"/>
      <c r="E484" s="228"/>
      <c r="F484" s="229"/>
      <c r="G484" s="272">
        <f t="shared" si="79"/>
        <v>0</v>
      </c>
      <c r="H484" s="273"/>
      <c r="I484" s="274"/>
      <c r="J484" s="4"/>
      <c r="K484" s="273"/>
      <c r="L484" s="275"/>
      <c r="M484" s="4"/>
      <c r="N484" s="4"/>
      <c r="O484" s="4"/>
      <c r="P484" s="4"/>
      <c r="Q484" s="4"/>
      <c r="R484" s="4"/>
      <c r="S484" s="4"/>
      <c r="T484" s="4"/>
      <c r="U484" s="4"/>
      <c r="V484" s="4"/>
      <c r="W484" s="4"/>
      <c r="X484" s="4"/>
      <c r="Y484" s="4"/>
      <c r="Z484" s="4"/>
    </row>
    <row r="485" ht="9.75" customHeight="1">
      <c r="A485" s="280"/>
      <c r="B485" s="312"/>
      <c r="C485" s="228"/>
      <c r="D485" s="228"/>
      <c r="E485" s="228"/>
      <c r="F485" s="229"/>
      <c r="G485" s="272">
        <f t="shared" si="79"/>
        <v>0</v>
      </c>
      <c r="H485" s="273"/>
      <c r="I485" s="274"/>
      <c r="J485" s="4"/>
      <c r="K485" s="273"/>
      <c r="L485" s="275"/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  <c r="X485" s="4"/>
      <c r="Y485" s="4"/>
      <c r="Z485" s="4"/>
    </row>
    <row r="486" ht="9.75" customHeight="1">
      <c r="A486" s="280"/>
      <c r="B486" s="312"/>
      <c r="C486" s="228"/>
      <c r="D486" s="228"/>
      <c r="E486" s="228"/>
      <c r="F486" s="229"/>
      <c r="G486" s="272">
        <f t="shared" si="79"/>
        <v>0</v>
      </c>
      <c r="H486" s="273"/>
      <c r="I486" s="274"/>
      <c r="J486" s="4"/>
      <c r="K486" s="273"/>
      <c r="L486" s="275"/>
      <c r="M486" s="4"/>
      <c r="N486" s="4"/>
      <c r="O486" s="4"/>
      <c r="P486" s="4"/>
      <c r="Q486" s="4"/>
      <c r="R486" s="4"/>
      <c r="S486" s="4"/>
      <c r="T486" s="4"/>
      <c r="U486" s="4"/>
      <c r="V486" s="4"/>
      <c r="W486" s="4"/>
      <c r="X486" s="4"/>
      <c r="Y486" s="4"/>
      <c r="Z486" s="4"/>
    </row>
    <row r="487" ht="9.75" customHeight="1">
      <c r="A487" s="280"/>
      <c r="B487" s="312"/>
      <c r="C487" s="228"/>
      <c r="D487" s="228"/>
      <c r="E487" s="228"/>
      <c r="F487" s="229"/>
      <c r="G487" s="272">
        <f t="shared" si="79"/>
        <v>0</v>
      </c>
      <c r="H487" s="273"/>
      <c r="I487" s="274"/>
      <c r="J487" s="4"/>
      <c r="K487" s="273"/>
      <c r="L487" s="275"/>
      <c r="M487" s="4"/>
      <c r="N487" s="4"/>
      <c r="O487" s="4"/>
      <c r="P487" s="4"/>
      <c r="Q487" s="4"/>
      <c r="R487" s="4"/>
      <c r="S487" s="4"/>
      <c r="T487" s="4"/>
      <c r="U487" s="4"/>
      <c r="V487" s="4"/>
      <c r="W487" s="4"/>
      <c r="X487" s="4"/>
      <c r="Y487" s="4"/>
      <c r="Z487" s="4"/>
    </row>
    <row r="488" ht="9.75" customHeight="1">
      <c r="A488" s="280"/>
      <c r="B488" s="312"/>
      <c r="C488" s="228"/>
      <c r="D488" s="228"/>
      <c r="E488" s="228"/>
      <c r="F488" s="229"/>
      <c r="G488" s="272">
        <f t="shared" si="79"/>
        <v>0</v>
      </c>
      <c r="H488" s="273"/>
      <c r="I488" s="274"/>
      <c r="J488" s="4"/>
      <c r="K488" s="273"/>
      <c r="L488" s="275"/>
      <c r="M488" s="4"/>
      <c r="N488" s="4"/>
      <c r="O488" s="4"/>
      <c r="P488" s="4"/>
      <c r="Q488" s="4"/>
      <c r="R488" s="4"/>
      <c r="S488" s="4"/>
      <c r="T488" s="4"/>
      <c r="U488" s="4"/>
      <c r="V488" s="4"/>
      <c r="W488" s="4"/>
      <c r="X488" s="4"/>
      <c r="Y488" s="4"/>
      <c r="Z488" s="4"/>
    </row>
    <row r="489" ht="9.75" customHeight="1">
      <c r="A489" s="280"/>
      <c r="B489" s="312"/>
      <c r="C489" s="228"/>
      <c r="D489" s="228"/>
      <c r="E489" s="228"/>
      <c r="F489" s="229"/>
      <c r="G489" s="272">
        <f t="shared" si="79"/>
        <v>0</v>
      </c>
      <c r="H489" s="273"/>
      <c r="I489" s="274"/>
      <c r="J489" s="4"/>
      <c r="K489" s="273"/>
      <c r="L489" s="275"/>
      <c r="M489" s="4"/>
      <c r="N489" s="4"/>
      <c r="O489" s="4"/>
      <c r="P489" s="4"/>
      <c r="Q489" s="4"/>
      <c r="R489" s="4"/>
      <c r="S489" s="4"/>
      <c r="T489" s="4"/>
      <c r="U489" s="4"/>
      <c r="V489" s="4"/>
      <c r="W489" s="4"/>
      <c r="X489" s="4"/>
      <c r="Y489" s="4"/>
      <c r="Z489" s="4"/>
    </row>
    <row r="490" ht="9.75" customHeight="1">
      <c r="A490" s="280"/>
      <c r="B490" s="312"/>
      <c r="C490" s="228"/>
      <c r="D490" s="228"/>
      <c r="E490" s="228"/>
      <c r="F490" s="229"/>
      <c r="G490" s="272">
        <f t="shared" si="79"/>
        <v>0</v>
      </c>
      <c r="H490" s="273"/>
      <c r="I490" s="274"/>
      <c r="J490" s="4"/>
      <c r="K490" s="273"/>
      <c r="L490" s="275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4"/>
      <c r="X490" s="4"/>
      <c r="Y490" s="4"/>
      <c r="Z490" s="4"/>
    </row>
    <row r="491" ht="9.75" customHeight="1">
      <c r="A491" s="280"/>
      <c r="B491" s="312"/>
      <c r="C491" s="228"/>
      <c r="D491" s="228"/>
      <c r="E491" s="228"/>
      <c r="F491" s="229"/>
      <c r="G491" s="272">
        <f t="shared" si="79"/>
        <v>0</v>
      </c>
      <c r="H491" s="273"/>
      <c r="I491" s="274"/>
      <c r="J491" s="4"/>
      <c r="K491" s="273"/>
      <c r="L491" s="275"/>
      <c r="M491" s="4"/>
      <c r="N491" s="4"/>
      <c r="O491" s="4"/>
      <c r="P491" s="4"/>
      <c r="Q491" s="4"/>
      <c r="R491" s="4"/>
      <c r="S491" s="4"/>
      <c r="T491" s="4"/>
      <c r="U491" s="4"/>
      <c r="V491" s="4"/>
      <c r="W491" s="4"/>
      <c r="X491" s="4"/>
      <c r="Y491" s="4"/>
      <c r="Z491" s="4"/>
    </row>
    <row r="492" ht="9.75" customHeight="1">
      <c r="A492" s="280"/>
      <c r="B492" s="312"/>
      <c r="C492" s="228"/>
      <c r="D492" s="228"/>
      <c r="E492" s="228"/>
      <c r="F492" s="229"/>
      <c r="G492" s="272">
        <f t="shared" si="79"/>
        <v>0</v>
      </c>
      <c r="H492" s="273"/>
      <c r="I492" s="274"/>
      <c r="J492" s="4"/>
      <c r="K492" s="273"/>
      <c r="L492" s="275"/>
      <c r="M492" s="4"/>
      <c r="N492" s="4"/>
      <c r="O492" s="4"/>
      <c r="P492" s="4"/>
      <c r="Q492" s="4"/>
      <c r="R492" s="4"/>
      <c r="S492" s="4"/>
      <c r="T492" s="4"/>
      <c r="U492" s="4"/>
      <c r="V492" s="4"/>
      <c r="W492" s="4"/>
      <c r="X492" s="4"/>
      <c r="Y492" s="4"/>
      <c r="Z492" s="4"/>
    </row>
    <row r="493" ht="9.75" customHeight="1">
      <c r="A493" s="280"/>
      <c r="B493" s="312"/>
      <c r="C493" s="228"/>
      <c r="D493" s="228"/>
      <c r="E493" s="228"/>
      <c r="F493" s="229"/>
      <c r="G493" s="272">
        <f t="shared" si="79"/>
        <v>0</v>
      </c>
      <c r="H493" s="273"/>
      <c r="I493" s="274"/>
      <c r="J493" s="4"/>
      <c r="K493" s="273"/>
      <c r="L493" s="275"/>
      <c r="M493" s="4"/>
      <c r="N493" s="4"/>
      <c r="O493" s="4"/>
      <c r="P493" s="4"/>
      <c r="Q493" s="4"/>
      <c r="R493" s="4"/>
      <c r="S493" s="4"/>
      <c r="T493" s="4"/>
      <c r="U493" s="4"/>
      <c r="V493" s="4"/>
      <c r="W493" s="4"/>
      <c r="X493" s="4"/>
      <c r="Y493" s="4"/>
      <c r="Z493" s="4"/>
    </row>
    <row r="494" ht="9.75" customHeight="1">
      <c r="A494" s="280"/>
      <c r="B494" s="312"/>
      <c r="C494" s="228"/>
      <c r="D494" s="228"/>
      <c r="E494" s="228"/>
      <c r="F494" s="229"/>
      <c r="G494" s="272">
        <f t="shared" si="79"/>
        <v>0</v>
      </c>
      <c r="H494" s="273"/>
      <c r="I494" s="274"/>
      <c r="J494" s="4"/>
      <c r="K494" s="273"/>
      <c r="L494" s="275"/>
      <c r="M494" s="4"/>
      <c r="N494" s="4"/>
      <c r="O494" s="4"/>
      <c r="P494" s="4"/>
      <c r="Q494" s="4"/>
      <c r="R494" s="4"/>
      <c r="S494" s="4"/>
      <c r="T494" s="4"/>
      <c r="U494" s="4"/>
      <c r="V494" s="4"/>
      <c r="W494" s="4"/>
      <c r="X494" s="4"/>
      <c r="Y494" s="4"/>
      <c r="Z494" s="4"/>
    </row>
    <row r="495" ht="9.75" customHeight="1">
      <c r="A495" s="280"/>
      <c r="B495" s="312"/>
      <c r="C495" s="228"/>
      <c r="D495" s="228"/>
      <c r="E495" s="228"/>
      <c r="F495" s="229"/>
      <c r="G495" s="272">
        <f t="shared" si="79"/>
        <v>0</v>
      </c>
      <c r="H495" s="273"/>
      <c r="I495" s="274"/>
      <c r="J495" s="4"/>
      <c r="K495" s="273"/>
      <c r="L495" s="275"/>
      <c r="M495" s="4"/>
      <c r="N495" s="4"/>
      <c r="O495" s="4"/>
      <c r="P495" s="4"/>
      <c r="Q495" s="4"/>
      <c r="R495" s="4"/>
      <c r="S495" s="4"/>
      <c r="T495" s="4"/>
      <c r="U495" s="4"/>
      <c r="V495" s="4"/>
      <c r="W495" s="4"/>
      <c r="X495" s="4"/>
      <c r="Y495" s="4"/>
      <c r="Z495" s="4"/>
    </row>
    <row r="496" ht="9.75" customHeight="1">
      <c r="A496" s="280"/>
      <c r="B496" s="312"/>
      <c r="C496" s="228"/>
      <c r="D496" s="228"/>
      <c r="E496" s="228"/>
      <c r="F496" s="229"/>
      <c r="G496" s="272">
        <f t="shared" si="79"/>
        <v>0</v>
      </c>
      <c r="H496" s="273"/>
      <c r="I496" s="274"/>
      <c r="J496" s="4"/>
      <c r="K496" s="273"/>
      <c r="L496" s="275"/>
      <c r="M496" s="4"/>
      <c r="N496" s="4"/>
      <c r="O496" s="4"/>
      <c r="P496" s="4"/>
      <c r="Q496" s="4"/>
      <c r="R496" s="4"/>
      <c r="S496" s="4"/>
      <c r="T496" s="4"/>
      <c r="U496" s="4"/>
      <c r="V496" s="4"/>
      <c r="W496" s="4"/>
      <c r="X496" s="4"/>
      <c r="Y496" s="4"/>
      <c r="Z496" s="4"/>
    </row>
    <row r="497" ht="9.75" customHeight="1">
      <c r="A497" s="280"/>
      <c r="B497" s="312"/>
      <c r="C497" s="228"/>
      <c r="D497" s="228"/>
      <c r="E497" s="228"/>
      <c r="F497" s="229"/>
      <c r="G497" s="272">
        <f t="shared" si="79"/>
        <v>0</v>
      </c>
      <c r="H497" s="273"/>
      <c r="I497" s="274"/>
      <c r="J497" s="4"/>
      <c r="K497" s="273"/>
      <c r="L497" s="275"/>
      <c r="M497" s="4"/>
      <c r="N497" s="4"/>
      <c r="O497" s="4"/>
      <c r="P497" s="4"/>
      <c r="Q497" s="4"/>
      <c r="R497" s="4"/>
      <c r="S497" s="4"/>
      <c r="T497" s="4"/>
      <c r="U497" s="4"/>
      <c r="V497" s="4"/>
      <c r="W497" s="4"/>
      <c r="X497" s="4"/>
      <c r="Y497" s="4"/>
      <c r="Z497" s="4"/>
    </row>
    <row r="498" ht="9.75" customHeight="1">
      <c r="A498" s="280"/>
      <c r="B498" s="312"/>
      <c r="C498" s="228"/>
      <c r="D498" s="228"/>
      <c r="E498" s="228"/>
      <c r="F498" s="229"/>
      <c r="G498" s="272">
        <f t="shared" si="79"/>
        <v>0</v>
      </c>
      <c r="H498" s="273"/>
      <c r="I498" s="274"/>
      <c r="J498" s="4"/>
      <c r="K498" s="273"/>
      <c r="L498" s="275"/>
      <c r="M498" s="4"/>
      <c r="N498" s="4"/>
      <c r="O498" s="4"/>
      <c r="P498" s="4"/>
      <c r="Q498" s="4"/>
      <c r="R498" s="4"/>
      <c r="S498" s="4"/>
      <c r="T498" s="4"/>
      <c r="U498" s="4"/>
      <c r="V498" s="4"/>
      <c r="W498" s="4"/>
      <c r="X498" s="4"/>
      <c r="Y498" s="4"/>
      <c r="Z498" s="4"/>
    </row>
    <row r="499" ht="9.75" customHeight="1">
      <c r="A499" s="280"/>
      <c r="B499" s="312"/>
      <c r="C499" s="228"/>
      <c r="D499" s="228"/>
      <c r="E499" s="228"/>
      <c r="F499" s="229"/>
      <c r="G499" s="272">
        <f t="shared" si="79"/>
        <v>0</v>
      </c>
      <c r="H499" s="273"/>
      <c r="I499" s="274"/>
      <c r="J499" s="4"/>
      <c r="K499" s="273"/>
      <c r="L499" s="275"/>
      <c r="M499" s="4"/>
      <c r="N499" s="4"/>
      <c r="O499" s="4"/>
      <c r="P499" s="4"/>
      <c r="Q499" s="4"/>
      <c r="R499" s="4"/>
      <c r="S499" s="4"/>
      <c r="T499" s="4"/>
      <c r="U499" s="4"/>
      <c r="V499" s="4"/>
      <c r="W499" s="4"/>
      <c r="X499" s="4"/>
      <c r="Y499" s="4"/>
      <c r="Z499" s="4"/>
    </row>
    <row r="500" ht="9.75" customHeight="1">
      <c r="A500" s="280"/>
      <c r="B500" s="312"/>
      <c r="C500" s="228"/>
      <c r="D500" s="228"/>
      <c r="E500" s="228"/>
      <c r="F500" s="229"/>
      <c r="G500" s="272">
        <f t="shared" si="79"/>
        <v>0</v>
      </c>
      <c r="H500" s="273"/>
      <c r="I500" s="274"/>
      <c r="J500" s="4"/>
      <c r="K500" s="273"/>
      <c r="L500" s="275"/>
      <c r="M500" s="4"/>
      <c r="N500" s="4"/>
      <c r="O500" s="4"/>
      <c r="P500" s="4"/>
      <c r="Q500" s="4"/>
      <c r="R500" s="4"/>
      <c r="S500" s="4"/>
      <c r="T500" s="4"/>
      <c r="U500" s="4"/>
      <c r="V500" s="4"/>
      <c r="W500" s="4"/>
      <c r="X500" s="4"/>
      <c r="Y500" s="4"/>
      <c r="Z500" s="4"/>
    </row>
    <row r="501" ht="9.75" customHeight="1">
      <c r="A501" s="280"/>
      <c r="B501" s="312"/>
      <c r="C501" s="228"/>
      <c r="D501" s="228"/>
      <c r="E501" s="228"/>
      <c r="F501" s="229"/>
      <c r="G501" s="272">
        <f t="shared" si="79"/>
        <v>0</v>
      </c>
      <c r="H501" s="273"/>
      <c r="I501" s="274"/>
      <c r="J501" s="4"/>
      <c r="K501" s="273"/>
      <c r="L501" s="275"/>
      <c r="M501" s="4"/>
      <c r="N501" s="4"/>
      <c r="O501" s="4"/>
      <c r="P501" s="4"/>
      <c r="Q501" s="4"/>
      <c r="R501" s="4"/>
      <c r="S501" s="4"/>
      <c r="T501" s="4"/>
      <c r="U501" s="4"/>
      <c r="V501" s="4"/>
      <c r="W501" s="4"/>
      <c r="X501" s="4"/>
      <c r="Y501" s="4"/>
      <c r="Z501" s="4"/>
    </row>
    <row r="502" ht="9.75" customHeight="1">
      <c r="A502" s="280"/>
      <c r="B502" s="312"/>
      <c r="C502" s="228"/>
      <c r="D502" s="228"/>
      <c r="E502" s="228"/>
      <c r="F502" s="229"/>
      <c r="G502" s="272">
        <f t="shared" si="79"/>
        <v>0</v>
      </c>
      <c r="H502" s="273"/>
      <c r="I502" s="274"/>
      <c r="J502" s="4"/>
      <c r="K502" s="273"/>
      <c r="L502" s="275"/>
      <c r="M502" s="4"/>
      <c r="N502" s="4"/>
      <c r="O502" s="4"/>
      <c r="P502" s="4"/>
      <c r="Q502" s="4"/>
      <c r="R502" s="4"/>
      <c r="S502" s="4"/>
      <c r="T502" s="4"/>
      <c r="U502" s="4"/>
      <c r="V502" s="4"/>
      <c r="W502" s="4"/>
      <c r="X502" s="4"/>
      <c r="Y502" s="4"/>
      <c r="Z502" s="4"/>
    </row>
    <row r="503" ht="9.75" customHeight="1">
      <c r="A503" s="280"/>
      <c r="B503" s="312"/>
      <c r="C503" s="228"/>
      <c r="D503" s="228"/>
      <c r="E503" s="228"/>
      <c r="F503" s="229"/>
      <c r="G503" s="272">
        <f t="shared" si="79"/>
        <v>0</v>
      </c>
      <c r="H503" s="273"/>
      <c r="I503" s="274"/>
      <c r="J503" s="4"/>
      <c r="K503" s="273"/>
      <c r="L503" s="275"/>
      <c r="M503" s="4"/>
      <c r="N503" s="4"/>
      <c r="O503" s="4"/>
      <c r="P503" s="4"/>
      <c r="Q503" s="4"/>
      <c r="R503" s="4"/>
      <c r="S503" s="4"/>
      <c r="T503" s="4"/>
      <c r="U503" s="4"/>
      <c r="V503" s="4"/>
      <c r="W503" s="4"/>
      <c r="X503" s="4"/>
      <c r="Y503" s="4"/>
      <c r="Z503" s="4"/>
    </row>
    <row r="504" ht="9.75" customHeight="1">
      <c r="A504" s="280"/>
      <c r="B504" s="312"/>
      <c r="C504" s="228"/>
      <c r="D504" s="228"/>
      <c r="E504" s="228"/>
      <c r="F504" s="229"/>
      <c r="G504" s="272">
        <f t="shared" si="79"/>
        <v>0</v>
      </c>
      <c r="H504" s="273"/>
      <c r="I504" s="274"/>
      <c r="J504" s="4"/>
      <c r="K504" s="273"/>
      <c r="L504" s="275"/>
      <c r="M504" s="4"/>
      <c r="N504" s="4"/>
      <c r="O504" s="4"/>
      <c r="P504" s="4"/>
      <c r="Q504" s="4"/>
      <c r="R504" s="4"/>
      <c r="S504" s="4"/>
      <c r="T504" s="4"/>
      <c r="U504" s="4"/>
      <c r="V504" s="4"/>
      <c r="W504" s="4"/>
      <c r="X504" s="4"/>
      <c r="Y504" s="4"/>
      <c r="Z504" s="4"/>
    </row>
    <row r="505" ht="9.75" customHeight="1">
      <c r="A505" s="280"/>
      <c r="B505" s="312"/>
      <c r="C505" s="228"/>
      <c r="D505" s="228"/>
      <c r="E505" s="228"/>
      <c r="F505" s="229"/>
      <c r="G505" s="272">
        <f t="shared" si="79"/>
        <v>0</v>
      </c>
      <c r="H505" s="273"/>
      <c r="I505" s="274"/>
      <c r="J505" s="4"/>
      <c r="K505" s="273"/>
      <c r="L505" s="275"/>
      <c r="M505" s="4"/>
      <c r="N505" s="4"/>
      <c r="O505" s="4"/>
      <c r="P505" s="4"/>
      <c r="Q505" s="4"/>
      <c r="R505" s="4"/>
      <c r="S505" s="4"/>
      <c r="T505" s="4"/>
      <c r="U505" s="4"/>
      <c r="V505" s="4"/>
      <c r="W505" s="4"/>
      <c r="X505" s="4"/>
      <c r="Y505" s="4"/>
      <c r="Z505" s="4"/>
    </row>
    <row r="506" ht="9.75" customHeight="1">
      <c r="A506" s="280"/>
      <c r="B506" s="312"/>
      <c r="C506" s="228"/>
      <c r="D506" s="228"/>
      <c r="E506" s="228"/>
      <c r="F506" s="229"/>
      <c r="G506" s="272">
        <f t="shared" si="79"/>
        <v>0</v>
      </c>
      <c r="H506" s="273"/>
      <c r="I506" s="274"/>
      <c r="J506" s="4"/>
      <c r="K506" s="273"/>
      <c r="L506" s="275"/>
      <c r="M506" s="4"/>
      <c r="N506" s="4"/>
      <c r="O506" s="4"/>
      <c r="P506" s="4"/>
      <c r="Q506" s="4"/>
      <c r="R506" s="4"/>
      <c r="S506" s="4"/>
      <c r="T506" s="4"/>
      <c r="U506" s="4"/>
      <c r="V506" s="4"/>
      <c r="W506" s="4"/>
      <c r="X506" s="4"/>
      <c r="Y506" s="4"/>
      <c r="Z506" s="4"/>
    </row>
    <row r="507" ht="9.75" customHeight="1">
      <c r="A507" s="280"/>
      <c r="B507" s="312"/>
      <c r="C507" s="228"/>
      <c r="D507" s="228"/>
      <c r="E507" s="228"/>
      <c r="F507" s="229"/>
      <c r="G507" s="272">
        <f t="shared" si="79"/>
        <v>0</v>
      </c>
      <c r="H507" s="273"/>
      <c r="I507" s="274"/>
      <c r="J507" s="4"/>
      <c r="K507" s="273"/>
      <c r="L507" s="275"/>
      <c r="M507" s="4"/>
      <c r="N507" s="4"/>
      <c r="O507" s="4"/>
      <c r="P507" s="4"/>
      <c r="Q507" s="4"/>
      <c r="R507" s="4"/>
      <c r="S507" s="4"/>
      <c r="T507" s="4"/>
      <c r="U507" s="4"/>
      <c r="V507" s="4"/>
      <c r="W507" s="4"/>
      <c r="X507" s="4"/>
      <c r="Y507" s="4"/>
      <c r="Z507" s="4"/>
    </row>
    <row r="508" ht="9.75" customHeight="1">
      <c r="A508" s="280"/>
      <c r="B508" s="312"/>
      <c r="C508" s="228"/>
      <c r="D508" s="228"/>
      <c r="E508" s="228"/>
      <c r="F508" s="229"/>
      <c r="G508" s="272">
        <f t="shared" si="79"/>
        <v>0</v>
      </c>
      <c r="H508" s="273"/>
      <c r="I508" s="274"/>
      <c r="J508" s="4"/>
      <c r="K508" s="273"/>
      <c r="L508" s="275"/>
      <c r="M508" s="4"/>
      <c r="N508" s="4"/>
      <c r="O508" s="4"/>
      <c r="P508" s="4"/>
      <c r="Q508" s="4"/>
      <c r="R508" s="4"/>
      <c r="S508" s="4"/>
      <c r="T508" s="4"/>
      <c r="U508" s="4"/>
      <c r="V508" s="4"/>
      <c r="W508" s="4"/>
      <c r="X508" s="4"/>
      <c r="Y508" s="4"/>
      <c r="Z508" s="4"/>
    </row>
    <row r="509" ht="9.75" customHeight="1">
      <c r="A509" s="280"/>
      <c r="B509" s="312"/>
      <c r="C509" s="228"/>
      <c r="D509" s="228"/>
      <c r="E509" s="228"/>
      <c r="F509" s="229"/>
      <c r="G509" s="272">
        <f t="shared" si="79"/>
        <v>0</v>
      </c>
      <c r="H509" s="273"/>
      <c r="I509" s="274"/>
      <c r="J509" s="4"/>
      <c r="K509" s="273"/>
      <c r="L509" s="275"/>
      <c r="M509" s="4"/>
      <c r="N509" s="4"/>
      <c r="O509" s="4"/>
      <c r="P509" s="4"/>
      <c r="Q509" s="4"/>
      <c r="R509" s="4"/>
      <c r="S509" s="4"/>
      <c r="T509" s="4"/>
      <c r="U509" s="4"/>
      <c r="V509" s="4"/>
      <c r="W509" s="4"/>
      <c r="X509" s="4"/>
      <c r="Y509" s="4"/>
      <c r="Z509" s="4"/>
    </row>
    <row r="510" ht="9.75" customHeight="1">
      <c r="A510" s="280"/>
      <c r="B510" s="312"/>
      <c r="C510" s="228"/>
      <c r="D510" s="228"/>
      <c r="E510" s="228"/>
      <c r="F510" s="229"/>
      <c r="G510" s="272">
        <f t="shared" si="79"/>
        <v>0</v>
      </c>
      <c r="H510" s="273"/>
      <c r="I510" s="274"/>
      <c r="J510" s="4"/>
      <c r="K510" s="273"/>
      <c r="L510" s="275"/>
      <c r="M510" s="4"/>
      <c r="N510" s="4"/>
      <c r="O510" s="4"/>
      <c r="P510" s="4"/>
      <c r="Q510" s="4"/>
      <c r="R510" s="4"/>
      <c r="S510" s="4"/>
      <c r="T510" s="4"/>
      <c r="U510" s="4"/>
      <c r="V510" s="4"/>
      <c r="W510" s="4"/>
      <c r="X510" s="4"/>
      <c r="Y510" s="4"/>
      <c r="Z510" s="4"/>
    </row>
    <row r="511" ht="9.75" customHeight="1">
      <c r="A511" s="280"/>
      <c r="B511" s="312"/>
      <c r="C511" s="228"/>
      <c r="D511" s="228"/>
      <c r="E511" s="228"/>
      <c r="F511" s="229"/>
      <c r="G511" s="272">
        <f t="shared" si="79"/>
        <v>0</v>
      </c>
      <c r="H511" s="273"/>
      <c r="I511" s="274"/>
      <c r="J511" s="4"/>
      <c r="K511" s="273"/>
      <c r="L511" s="275"/>
      <c r="M511" s="4"/>
      <c r="N511" s="4"/>
      <c r="O511" s="4"/>
      <c r="P511" s="4"/>
      <c r="Q511" s="4"/>
      <c r="R511" s="4"/>
      <c r="S511" s="4"/>
      <c r="T511" s="4"/>
      <c r="U511" s="4"/>
      <c r="V511" s="4"/>
      <c r="W511" s="4"/>
      <c r="X511" s="4"/>
      <c r="Y511" s="4"/>
      <c r="Z511" s="4"/>
    </row>
    <row r="512" ht="9.75" customHeight="1">
      <c r="A512" s="280"/>
      <c r="B512" s="312"/>
      <c r="C512" s="228"/>
      <c r="D512" s="228"/>
      <c r="E512" s="228"/>
      <c r="F512" s="229"/>
      <c r="G512" s="272">
        <f t="shared" si="79"/>
        <v>0</v>
      </c>
      <c r="H512" s="273"/>
      <c r="I512" s="274"/>
      <c r="J512" s="4"/>
      <c r="K512" s="273"/>
      <c r="L512" s="275"/>
      <c r="M512" s="4"/>
      <c r="N512" s="4"/>
      <c r="O512" s="4"/>
      <c r="P512" s="4"/>
      <c r="Q512" s="4"/>
      <c r="R512" s="4"/>
      <c r="S512" s="4"/>
      <c r="T512" s="4"/>
      <c r="U512" s="4"/>
      <c r="V512" s="4"/>
      <c r="W512" s="4"/>
      <c r="X512" s="4"/>
      <c r="Y512" s="4"/>
      <c r="Z512" s="4"/>
    </row>
    <row r="513" ht="9.75" customHeight="1">
      <c r="A513" s="280"/>
      <c r="B513" s="312"/>
      <c r="C513" s="228"/>
      <c r="D513" s="228"/>
      <c r="E513" s="228"/>
      <c r="F513" s="229"/>
      <c r="G513" s="272">
        <f t="shared" si="79"/>
        <v>0</v>
      </c>
      <c r="H513" s="273"/>
      <c r="I513" s="274"/>
      <c r="J513" s="4"/>
      <c r="K513" s="273"/>
      <c r="L513" s="275"/>
      <c r="M513" s="4"/>
      <c r="N513" s="4"/>
      <c r="O513" s="4"/>
      <c r="P513" s="4"/>
      <c r="Q513" s="4"/>
      <c r="R513" s="4"/>
      <c r="S513" s="4"/>
      <c r="T513" s="4"/>
      <c r="U513" s="4"/>
      <c r="V513" s="4"/>
      <c r="W513" s="4"/>
      <c r="X513" s="4"/>
      <c r="Y513" s="4"/>
      <c r="Z513" s="4"/>
    </row>
    <row r="514" ht="9.75" customHeight="1">
      <c r="A514" s="280"/>
      <c r="B514" s="312"/>
      <c r="C514" s="228"/>
      <c r="D514" s="228"/>
      <c r="E514" s="228"/>
      <c r="F514" s="229"/>
      <c r="G514" s="272">
        <f t="shared" si="79"/>
        <v>0</v>
      </c>
      <c r="H514" s="273"/>
      <c r="I514" s="274"/>
      <c r="J514" s="4"/>
      <c r="K514" s="273"/>
      <c r="L514" s="275"/>
      <c r="M514" s="4"/>
      <c r="N514" s="4"/>
      <c r="O514" s="4"/>
      <c r="P514" s="4"/>
      <c r="Q514" s="4"/>
      <c r="R514" s="4"/>
      <c r="S514" s="4"/>
      <c r="T514" s="4"/>
      <c r="U514" s="4"/>
      <c r="V514" s="4"/>
      <c r="W514" s="4"/>
      <c r="X514" s="4"/>
      <c r="Y514" s="4"/>
      <c r="Z514" s="4"/>
    </row>
    <row r="515" ht="9.75" customHeight="1">
      <c r="A515" s="280"/>
      <c r="B515" s="312"/>
      <c r="C515" s="228"/>
      <c r="D515" s="228"/>
      <c r="E515" s="228"/>
      <c r="F515" s="229"/>
      <c r="G515" s="272">
        <f t="shared" si="79"/>
        <v>0</v>
      </c>
      <c r="H515" s="273"/>
      <c r="I515" s="274"/>
      <c r="J515" s="4"/>
      <c r="K515" s="273"/>
      <c r="L515" s="275"/>
      <c r="M515" s="4"/>
      <c r="N515" s="4"/>
      <c r="O515" s="4"/>
      <c r="P515" s="4"/>
      <c r="Q515" s="4"/>
      <c r="R515" s="4"/>
      <c r="S515" s="4"/>
      <c r="T515" s="4"/>
      <c r="U515" s="4"/>
      <c r="V515" s="4"/>
      <c r="W515" s="4"/>
      <c r="X515" s="4"/>
      <c r="Y515" s="4"/>
      <c r="Z515" s="4"/>
    </row>
    <row r="516" ht="9.75" customHeight="1">
      <c r="A516" s="280"/>
      <c r="B516" s="312"/>
      <c r="C516" s="228"/>
      <c r="D516" s="228"/>
      <c r="E516" s="228"/>
      <c r="F516" s="229"/>
      <c r="G516" s="272">
        <f t="shared" si="79"/>
        <v>0</v>
      </c>
      <c r="H516" s="273"/>
      <c r="I516" s="274"/>
      <c r="J516" s="4"/>
      <c r="K516" s="273"/>
      <c r="L516" s="275"/>
      <c r="M516" s="4"/>
      <c r="N516" s="4"/>
      <c r="O516" s="4"/>
      <c r="P516" s="4"/>
      <c r="Q516" s="4"/>
      <c r="R516" s="4"/>
      <c r="S516" s="4"/>
      <c r="T516" s="4"/>
      <c r="U516" s="4"/>
      <c r="V516" s="4"/>
      <c r="W516" s="4"/>
      <c r="X516" s="4"/>
      <c r="Y516" s="4"/>
      <c r="Z516" s="4"/>
    </row>
    <row r="517" ht="9.75" customHeight="1">
      <c r="A517" s="280"/>
      <c r="B517" s="312"/>
      <c r="C517" s="228"/>
      <c r="D517" s="228"/>
      <c r="E517" s="228"/>
      <c r="F517" s="229"/>
      <c r="G517" s="272">
        <f t="shared" si="79"/>
        <v>0</v>
      </c>
      <c r="H517" s="273"/>
      <c r="I517" s="274"/>
      <c r="J517" s="4"/>
      <c r="K517" s="273"/>
      <c r="L517" s="275"/>
      <c r="M517" s="4"/>
      <c r="N517" s="4"/>
      <c r="O517" s="4"/>
      <c r="P517" s="4"/>
      <c r="Q517" s="4"/>
      <c r="R517" s="4"/>
      <c r="S517" s="4"/>
      <c r="T517" s="4"/>
      <c r="U517" s="4"/>
      <c r="V517" s="4"/>
      <c r="W517" s="4"/>
      <c r="X517" s="4"/>
      <c r="Y517" s="4"/>
      <c r="Z517" s="4"/>
    </row>
    <row r="518" ht="9.75" customHeight="1">
      <c r="A518" s="280"/>
      <c r="B518" s="312"/>
      <c r="C518" s="228"/>
      <c r="D518" s="228"/>
      <c r="E518" s="228"/>
      <c r="F518" s="229"/>
      <c r="G518" s="272">
        <f t="shared" si="79"/>
        <v>0</v>
      </c>
      <c r="H518" s="273"/>
      <c r="I518" s="274"/>
      <c r="J518" s="4"/>
      <c r="K518" s="273"/>
      <c r="L518" s="275"/>
      <c r="M518" s="4"/>
      <c r="N518" s="4"/>
      <c r="O518" s="4"/>
      <c r="P518" s="4"/>
      <c r="Q518" s="4"/>
      <c r="R518" s="4"/>
      <c r="S518" s="4"/>
      <c r="T518" s="4"/>
      <c r="U518" s="4"/>
      <c r="V518" s="4"/>
      <c r="W518" s="4"/>
      <c r="X518" s="4"/>
      <c r="Y518" s="4"/>
      <c r="Z518" s="4"/>
    </row>
    <row r="519" ht="9.75" customHeight="1">
      <c r="A519" s="280"/>
      <c r="B519" s="312"/>
      <c r="C519" s="228"/>
      <c r="D519" s="228"/>
      <c r="E519" s="228"/>
      <c r="F519" s="229"/>
      <c r="G519" s="272">
        <f t="shared" si="79"/>
        <v>0</v>
      </c>
      <c r="H519" s="273"/>
      <c r="I519" s="274"/>
      <c r="J519" s="4"/>
      <c r="K519" s="273"/>
      <c r="L519" s="275"/>
      <c r="M519" s="4"/>
      <c r="N519" s="4"/>
      <c r="O519" s="4"/>
      <c r="P519" s="4"/>
      <c r="Q519" s="4"/>
      <c r="R519" s="4"/>
      <c r="S519" s="4"/>
      <c r="T519" s="4"/>
      <c r="U519" s="4"/>
      <c r="V519" s="4"/>
      <c r="W519" s="4"/>
      <c r="X519" s="4"/>
      <c r="Y519" s="4"/>
      <c r="Z519" s="4"/>
    </row>
    <row r="520" ht="9.75" customHeight="1">
      <c r="A520" s="280"/>
      <c r="B520" s="312"/>
      <c r="C520" s="228"/>
      <c r="D520" s="228"/>
      <c r="E520" s="228"/>
      <c r="F520" s="229"/>
      <c r="G520" s="272">
        <f t="shared" si="79"/>
        <v>0</v>
      </c>
      <c r="H520" s="273"/>
      <c r="I520" s="274"/>
      <c r="J520" s="4"/>
      <c r="K520" s="273"/>
      <c r="L520" s="275"/>
      <c r="M520" s="4"/>
      <c r="N520" s="4"/>
      <c r="O520" s="4"/>
      <c r="P520" s="4"/>
      <c r="Q520" s="4"/>
      <c r="R520" s="4"/>
      <c r="S520" s="4"/>
      <c r="T520" s="4"/>
      <c r="U520" s="4"/>
      <c r="V520" s="4"/>
      <c r="W520" s="4"/>
      <c r="X520" s="4"/>
      <c r="Y520" s="4"/>
      <c r="Z520" s="4"/>
    </row>
    <row r="521" ht="9.75" customHeight="1">
      <c r="A521" s="280"/>
      <c r="B521" s="312"/>
      <c r="C521" s="228"/>
      <c r="D521" s="228"/>
      <c r="E521" s="228"/>
      <c r="F521" s="229"/>
      <c r="G521" s="272">
        <f t="shared" si="79"/>
        <v>0</v>
      </c>
      <c r="H521" s="273"/>
      <c r="I521" s="274"/>
      <c r="J521" s="4"/>
      <c r="K521" s="273"/>
      <c r="L521" s="275"/>
      <c r="M521" s="4"/>
      <c r="N521" s="4"/>
      <c r="O521" s="4"/>
      <c r="P521" s="4"/>
      <c r="Q521" s="4"/>
      <c r="R521" s="4"/>
      <c r="S521" s="4"/>
      <c r="T521" s="4"/>
      <c r="U521" s="4"/>
      <c r="V521" s="4"/>
      <c r="W521" s="4"/>
      <c r="X521" s="4"/>
      <c r="Y521" s="4"/>
      <c r="Z521" s="4"/>
    </row>
    <row r="522" ht="9.75" customHeight="1">
      <c r="A522" s="280"/>
      <c r="B522" s="312"/>
      <c r="C522" s="228"/>
      <c r="D522" s="228"/>
      <c r="E522" s="228"/>
      <c r="F522" s="229"/>
      <c r="G522" s="272">
        <f t="shared" si="79"/>
        <v>0</v>
      </c>
      <c r="H522" s="273"/>
      <c r="I522" s="274"/>
      <c r="J522" s="4"/>
      <c r="K522" s="273"/>
      <c r="L522" s="275"/>
      <c r="M522" s="4"/>
      <c r="N522" s="4"/>
      <c r="O522" s="4"/>
      <c r="P522" s="4"/>
      <c r="Q522" s="4"/>
      <c r="R522" s="4"/>
      <c r="S522" s="4"/>
      <c r="T522" s="4"/>
      <c r="U522" s="4"/>
      <c r="V522" s="4"/>
      <c r="W522" s="4"/>
      <c r="X522" s="4"/>
      <c r="Y522" s="4"/>
      <c r="Z522" s="4"/>
    </row>
    <row r="523" ht="9.75" customHeight="1">
      <c r="A523" s="280"/>
      <c r="B523" s="312"/>
      <c r="C523" s="228"/>
      <c r="D523" s="228"/>
      <c r="E523" s="228"/>
      <c r="F523" s="229"/>
      <c r="G523" s="272">
        <f t="shared" si="79"/>
        <v>0</v>
      </c>
      <c r="H523" s="273"/>
      <c r="I523" s="274"/>
      <c r="J523" s="4"/>
      <c r="K523" s="273"/>
      <c r="L523" s="275"/>
      <c r="M523" s="4"/>
      <c r="N523" s="4"/>
      <c r="O523" s="4"/>
      <c r="P523" s="4"/>
      <c r="Q523" s="4"/>
      <c r="R523" s="4"/>
      <c r="S523" s="4"/>
      <c r="T523" s="4"/>
      <c r="U523" s="4"/>
      <c r="V523" s="4"/>
      <c r="W523" s="4"/>
      <c r="X523" s="4"/>
      <c r="Y523" s="4"/>
      <c r="Z523" s="4"/>
    </row>
    <row r="524" ht="9.75" customHeight="1">
      <c r="A524" s="280"/>
      <c r="B524" s="312"/>
      <c r="C524" s="228"/>
      <c r="D524" s="228"/>
      <c r="E524" s="228"/>
      <c r="F524" s="229"/>
      <c r="G524" s="272">
        <f t="shared" si="79"/>
        <v>0</v>
      </c>
      <c r="H524" s="273"/>
      <c r="I524" s="274"/>
      <c r="J524" s="4"/>
      <c r="K524" s="273"/>
      <c r="L524" s="275"/>
      <c r="M524" s="4"/>
      <c r="N524" s="4"/>
      <c r="O524" s="4"/>
      <c r="P524" s="4"/>
      <c r="Q524" s="4"/>
      <c r="R524" s="4"/>
      <c r="S524" s="4"/>
      <c r="T524" s="4"/>
      <c r="U524" s="4"/>
      <c r="V524" s="4"/>
      <c r="W524" s="4"/>
      <c r="X524" s="4"/>
      <c r="Y524" s="4"/>
      <c r="Z524" s="4"/>
    </row>
    <row r="525" ht="9.75" customHeight="1">
      <c r="A525" s="280"/>
      <c r="B525" s="312"/>
      <c r="C525" s="228"/>
      <c r="D525" s="228"/>
      <c r="E525" s="228"/>
      <c r="F525" s="229"/>
      <c r="G525" s="272">
        <f t="shared" si="79"/>
        <v>0</v>
      </c>
      <c r="H525" s="273"/>
      <c r="I525" s="274"/>
      <c r="J525" s="4"/>
      <c r="K525" s="273"/>
      <c r="L525" s="275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Y525" s="4"/>
      <c r="Z525" s="4"/>
    </row>
    <row r="526" ht="9.75" customHeight="1">
      <c r="A526" s="280"/>
      <c r="B526" s="312"/>
      <c r="C526" s="228"/>
      <c r="D526" s="228"/>
      <c r="E526" s="228"/>
      <c r="F526" s="229"/>
      <c r="G526" s="272">
        <f t="shared" si="79"/>
        <v>0</v>
      </c>
      <c r="H526" s="273"/>
      <c r="I526" s="274"/>
      <c r="J526" s="4"/>
      <c r="K526" s="273"/>
      <c r="L526" s="275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  <c r="Z526" s="4"/>
    </row>
    <row r="527" ht="9.75" customHeight="1">
      <c r="A527" s="280"/>
      <c r="B527" s="312"/>
      <c r="C527" s="228"/>
      <c r="D527" s="228"/>
      <c r="E527" s="228"/>
      <c r="F527" s="229"/>
      <c r="G527" s="272">
        <f t="shared" si="79"/>
        <v>0</v>
      </c>
      <c r="H527" s="273"/>
      <c r="I527" s="274"/>
      <c r="J527" s="4"/>
      <c r="K527" s="273"/>
      <c r="L527" s="275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  <c r="X527" s="4"/>
      <c r="Y527" s="4"/>
      <c r="Z527" s="4"/>
    </row>
    <row r="528" ht="9.75" customHeight="1">
      <c r="A528" s="280"/>
      <c r="B528" s="312"/>
      <c r="C528" s="228"/>
      <c r="D528" s="228"/>
      <c r="E528" s="228"/>
      <c r="F528" s="229"/>
      <c r="G528" s="272">
        <f t="shared" si="79"/>
        <v>0</v>
      </c>
      <c r="H528" s="273"/>
      <c r="I528" s="274"/>
      <c r="J528" s="4"/>
      <c r="K528" s="273"/>
      <c r="L528" s="275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  <c r="X528" s="4"/>
      <c r="Y528" s="4"/>
      <c r="Z528" s="4"/>
    </row>
    <row r="529" ht="9.75" customHeight="1">
      <c r="A529" s="280"/>
      <c r="B529" s="312"/>
      <c r="C529" s="228"/>
      <c r="D529" s="228"/>
      <c r="E529" s="228"/>
      <c r="F529" s="229"/>
      <c r="G529" s="272">
        <f t="shared" si="79"/>
        <v>0</v>
      </c>
      <c r="H529" s="273"/>
      <c r="I529" s="274"/>
      <c r="J529" s="4"/>
      <c r="K529" s="273"/>
      <c r="L529" s="275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  <c r="X529" s="4"/>
      <c r="Y529" s="4"/>
      <c r="Z529" s="4"/>
    </row>
    <row r="530" ht="9.75" customHeight="1">
      <c r="A530" s="280"/>
      <c r="B530" s="312"/>
      <c r="C530" s="228"/>
      <c r="D530" s="228"/>
      <c r="E530" s="228"/>
      <c r="F530" s="229"/>
      <c r="G530" s="272">
        <f t="shared" si="79"/>
        <v>0</v>
      </c>
      <c r="H530" s="273"/>
      <c r="I530" s="274"/>
      <c r="J530" s="4"/>
      <c r="K530" s="273"/>
      <c r="L530" s="275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  <c r="X530" s="4"/>
      <c r="Y530" s="4"/>
      <c r="Z530" s="4"/>
    </row>
    <row r="531" ht="9.75" customHeight="1">
      <c r="A531" s="280"/>
      <c r="B531" s="312"/>
      <c r="C531" s="228"/>
      <c r="D531" s="228"/>
      <c r="E531" s="228"/>
      <c r="F531" s="229"/>
      <c r="G531" s="272">
        <f t="shared" si="79"/>
        <v>0</v>
      </c>
      <c r="H531" s="273"/>
      <c r="I531" s="274"/>
      <c r="J531" s="4"/>
      <c r="K531" s="273"/>
      <c r="L531" s="275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  <c r="X531" s="4"/>
      <c r="Y531" s="4"/>
      <c r="Z531" s="4"/>
    </row>
    <row r="532" ht="9.75" customHeight="1">
      <c r="A532" s="280"/>
      <c r="B532" s="312"/>
      <c r="C532" s="228"/>
      <c r="D532" s="228"/>
      <c r="E532" s="228"/>
      <c r="F532" s="229"/>
      <c r="G532" s="272">
        <f t="shared" si="79"/>
        <v>0</v>
      </c>
      <c r="H532" s="273"/>
      <c r="I532" s="274"/>
      <c r="J532" s="4"/>
      <c r="K532" s="273"/>
      <c r="L532" s="275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4"/>
      <c r="X532" s="4"/>
      <c r="Y532" s="4"/>
      <c r="Z532" s="4"/>
    </row>
    <row r="533" ht="9.75" customHeight="1">
      <c r="A533" s="280"/>
      <c r="B533" s="312"/>
      <c r="C533" s="228"/>
      <c r="D533" s="228"/>
      <c r="E533" s="228"/>
      <c r="F533" s="229"/>
      <c r="G533" s="272">
        <f t="shared" si="79"/>
        <v>0</v>
      </c>
      <c r="H533" s="273"/>
      <c r="I533" s="274"/>
      <c r="J533" s="4"/>
      <c r="K533" s="273"/>
      <c r="L533" s="275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  <c r="X533" s="4"/>
      <c r="Y533" s="4"/>
      <c r="Z533" s="4"/>
    </row>
    <row r="534" ht="9.75" customHeight="1">
      <c r="A534" s="280"/>
      <c r="B534" s="312"/>
      <c r="C534" s="228"/>
      <c r="D534" s="228"/>
      <c r="E534" s="228"/>
      <c r="F534" s="229"/>
      <c r="G534" s="272">
        <f t="shared" si="79"/>
        <v>0</v>
      </c>
      <c r="H534" s="273"/>
      <c r="I534" s="274"/>
      <c r="J534" s="4"/>
      <c r="K534" s="273"/>
      <c r="L534" s="275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  <c r="X534" s="4"/>
      <c r="Y534" s="4"/>
      <c r="Z534" s="4"/>
    </row>
    <row r="535" ht="9.75" customHeight="1">
      <c r="A535" s="280"/>
      <c r="B535" s="312"/>
      <c r="C535" s="228"/>
      <c r="D535" s="228"/>
      <c r="E535" s="228"/>
      <c r="F535" s="229"/>
      <c r="G535" s="272">
        <f t="shared" si="79"/>
        <v>0</v>
      </c>
      <c r="H535" s="273"/>
      <c r="I535" s="274"/>
      <c r="J535" s="4"/>
      <c r="K535" s="273"/>
      <c r="L535" s="275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  <c r="X535" s="4"/>
      <c r="Y535" s="4"/>
      <c r="Z535" s="4"/>
    </row>
    <row r="536" ht="9.75" customHeight="1">
      <c r="A536" s="280"/>
      <c r="B536" s="312"/>
      <c r="C536" s="228"/>
      <c r="D536" s="228"/>
      <c r="E536" s="228"/>
      <c r="F536" s="229"/>
      <c r="G536" s="272">
        <f t="shared" si="79"/>
        <v>0</v>
      </c>
      <c r="H536" s="273"/>
      <c r="I536" s="274"/>
      <c r="J536" s="4"/>
      <c r="K536" s="273"/>
      <c r="L536" s="275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  <c r="X536" s="4"/>
      <c r="Y536" s="4"/>
      <c r="Z536" s="4"/>
    </row>
    <row r="537" ht="9.75" customHeight="1">
      <c r="A537" s="280"/>
      <c r="B537" s="312"/>
      <c r="C537" s="228"/>
      <c r="D537" s="228"/>
      <c r="E537" s="228"/>
      <c r="F537" s="229"/>
      <c r="G537" s="272">
        <f t="shared" si="79"/>
        <v>0</v>
      </c>
      <c r="H537" s="273"/>
      <c r="I537" s="274"/>
      <c r="J537" s="4"/>
      <c r="K537" s="273"/>
      <c r="L537" s="275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  <c r="X537" s="4"/>
      <c r="Y537" s="4"/>
      <c r="Z537" s="4"/>
    </row>
    <row r="538" ht="9.75" customHeight="1">
      <c r="A538" s="280"/>
      <c r="B538" s="312"/>
      <c r="C538" s="228"/>
      <c r="D538" s="228"/>
      <c r="E538" s="228"/>
      <c r="F538" s="229"/>
      <c r="G538" s="272">
        <f t="shared" si="79"/>
        <v>0</v>
      </c>
      <c r="H538" s="273"/>
      <c r="I538" s="274"/>
      <c r="J538" s="4"/>
      <c r="K538" s="273"/>
      <c r="L538" s="275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4"/>
      <c r="Y538" s="4"/>
      <c r="Z538" s="4"/>
    </row>
    <row r="539" ht="9.75" customHeight="1">
      <c r="A539" s="280"/>
      <c r="B539" s="312"/>
      <c r="C539" s="228"/>
      <c r="D539" s="228"/>
      <c r="E539" s="228"/>
      <c r="F539" s="229"/>
      <c r="G539" s="272">
        <f t="shared" si="79"/>
        <v>0</v>
      </c>
      <c r="H539" s="273"/>
      <c r="I539" s="274"/>
      <c r="J539" s="4"/>
      <c r="K539" s="273"/>
      <c r="L539" s="275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  <c r="X539" s="4"/>
      <c r="Y539" s="4"/>
      <c r="Z539" s="4"/>
    </row>
    <row r="540" ht="9.75" customHeight="1">
      <c r="A540" s="280"/>
      <c r="B540" s="312"/>
      <c r="C540" s="228"/>
      <c r="D540" s="228"/>
      <c r="E540" s="228"/>
      <c r="F540" s="229"/>
      <c r="G540" s="272">
        <f t="shared" si="79"/>
        <v>0</v>
      </c>
      <c r="H540" s="273"/>
      <c r="I540" s="274"/>
      <c r="J540" s="4"/>
      <c r="K540" s="273"/>
      <c r="L540" s="275"/>
      <c r="M540" s="4"/>
      <c r="N540" s="4"/>
      <c r="O540" s="4"/>
      <c r="P540" s="4"/>
      <c r="Q540" s="4"/>
      <c r="R540" s="4"/>
      <c r="S540" s="4"/>
      <c r="T540" s="4"/>
      <c r="U540" s="4"/>
      <c r="V540" s="4"/>
      <c r="W540" s="4"/>
      <c r="X540" s="4"/>
      <c r="Y540" s="4"/>
      <c r="Z540" s="4"/>
    </row>
    <row r="541" ht="9.75" customHeight="1">
      <c r="A541" s="280"/>
      <c r="B541" s="312"/>
      <c r="C541" s="228"/>
      <c r="D541" s="228"/>
      <c r="E541" s="228"/>
      <c r="F541" s="229"/>
      <c r="G541" s="272">
        <f t="shared" si="79"/>
        <v>0</v>
      </c>
      <c r="H541" s="273"/>
      <c r="I541" s="274"/>
      <c r="J541" s="4"/>
      <c r="K541" s="273"/>
      <c r="L541" s="275"/>
      <c r="M541" s="4"/>
      <c r="N541" s="4"/>
      <c r="O541" s="4"/>
      <c r="P541" s="4"/>
      <c r="Q541" s="4"/>
      <c r="R541" s="4"/>
      <c r="S541" s="4"/>
      <c r="T541" s="4"/>
      <c r="U541" s="4"/>
      <c r="V541" s="4"/>
      <c r="W541" s="4"/>
      <c r="X541" s="4"/>
      <c r="Y541" s="4"/>
      <c r="Z541" s="4"/>
    </row>
    <row r="542" ht="9.75" customHeight="1">
      <c r="A542" s="280"/>
      <c r="B542" s="312"/>
      <c r="C542" s="228"/>
      <c r="D542" s="228"/>
      <c r="E542" s="228"/>
      <c r="F542" s="229"/>
      <c r="G542" s="272">
        <f t="shared" si="79"/>
        <v>0</v>
      </c>
      <c r="H542" s="273"/>
      <c r="I542" s="274"/>
      <c r="J542" s="4"/>
      <c r="K542" s="273"/>
      <c r="L542" s="275"/>
      <c r="M542" s="4"/>
      <c r="N542" s="4"/>
      <c r="O542" s="4"/>
      <c r="P542" s="4"/>
      <c r="Q542" s="4"/>
      <c r="R542" s="4"/>
      <c r="S542" s="4"/>
      <c r="T542" s="4"/>
      <c r="U542" s="4"/>
      <c r="V542" s="4"/>
      <c r="W542" s="4"/>
      <c r="X542" s="4"/>
      <c r="Y542" s="4"/>
      <c r="Z542" s="4"/>
    </row>
    <row r="543" ht="9.75" customHeight="1">
      <c r="A543" s="280"/>
      <c r="B543" s="312"/>
      <c r="C543" s="228"/>
      <c r="D543" s="228"/>
      <c r="E543" s="228"/>
      <c r="F543" s="229"/>
      <c r="G543" s="272">
        <f t="shared" si="79"/>
        <v>0</v>
      </c>
      <c r="H543" s="273"/>
      <c r="I543" s="274"/>
      <c r="J543" s="4"/>
      <c r="K543" s="273"/>
      <c r="L543" s="275"/>
      <c r="M543" s="4"/>
      <c r="N543" s="4"/>
      <c r="O543" s="4"/>
      <c r="P543" s="4"/>
      <c r="Q543" s="4"/>
      <c r="R543" s="4"/>
      <c r="S543" s="4"/>
      <c r="T543" s="4"/>
      <c r="U543" s="4"/>
      <c r="V543" s="4"/>
      <c r="W543" s="4"/>
      <c r="X543" s="4"/>
      <c r="Y543" s="4"/>
      <c r="Z543" s="4"/>
    </row>
    <row r="544" ht="9.75" customHeight="1">
      <c r="A544" s="280"/>
      <c r="B544" s="312"/>
      <c r="C544" s="228"/>
      <c r="D544" s="228"/>
      <c r="E544" s="228"/>
      <c r="F544" s="229"/>
      <c r="G544" s="272">
        <f t="shared" si="79"/>
        <v>0</v>
      </c>
      <c r="H544" s="273"/>
      <c r="I544" s="274"/>
      <c r="J544" s="4"/>
      <c r="K544" s="273"/>
      <c r="L544" s="275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4"/>
      <c r="X544" s="4"/>
      <c r="Y544" s="4"/>
      <c r="Z544" s="4"/>
    </row>
    <row r="545" ht="9.75" customHeight="1">
      <c r="A545" s="280"/>
      <c r="B545" s="312"/>
      <c r="C545" s="228"/>
      <c r="D545" s="228"/>
      <c r="E545" s="228"/>
      <c r="F545" s="229"/>
      <c r="G545" s="272">
        <f t="shared" si="79"/>
        <v>0</v>
      </c>
      <c r="H545" s="273"/>
      <c r="I545" s="274"/>
      <c r="J545" s="4"/>
      <c r="K545" s="273"/>
      <c r="L545" s="275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  <c r="X545" s="4"/>
      <c r="Y545" s="4"/>
      <c r="Z545" s="4"/>
    </row>
    <row r="546" ht="9.75" customHeight="1">
      <c r="A546" s="280"/>
      <c r="B546" s="312"/>
      <c r="C546" s="228"/>
      <c r="D546" s="228"/>
      <c r="E546" s="228"/>
      <c r="F546" s="229"/>
      <c r="G546" s="272">
        <f t="shared" si="79"/>
        <v>0</v>
      </c>
      <c r="H546" s="273"/>
      <c r="I546" s="274"/>
      <c r="J546" s="4"/>
      <c r="K546" s="273"/>
      <c r="L546" s="275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  <c r="X546" s="4"/>
      <c r="Y546" s="4"/>
      <c r="Z546" s="4"/>
    </row>
    <row r="547" ht="9.75" customHeight="1">
      <c r="A547" s="280"/>
      <c r="B547" s="312"/>
      <c r="C547" s="228"/>
      <c r="D547" s="228"/>
      <c r="E547" s="228"/>
      <c r="F547" s="229"/>
      <c r="G547" s="272">
        <f t="shared" si="79"/>
        <v>0</v>
      </c>
      <c r="H547" s="273"/>
      <c r="I547" s="274"/>
      <c r="J547" s="4"/>
      <c r="K547" s="273"/>
      <c r="L547" s="275"/>
      <c r="M547" s="4"/>
      <c r="N547" s="4"/>
      <c r="O547" s="4"/>
      <c r="P547" s="4"/>
      <c r="Q547" s="4"/>
      <c r="R547" s="4"/>
      <c r="S547" s="4"/>
      <c r="T547" s="4"/>
      <c r="U547" s="4"/>
      <c r="V547" s="4"/>
      <c r="W547" s="4"/>
      <c r="X547" s="4"/>
      <c r="Y547" s="4"/>
      <c r="Z547" s="4"/>
    </row>
    <row r="548" ht="9.75" customHeight="1">
      <c r="A548" s="280"/>
      <c r="B548" s="312"/>
      <c r="C548" s="228"/>
      <c r="D548" s="228"/>
      <c r="E548" s="228"/>
      <c r="F548" s="229"/>
      <c r="G548" s="272">
        <f t="shared" si="79"/>
        <v>0</v>
      </c>
      <c r="H548" s="273"/>
      <c r="I548" s="274"/>
      <c r="J548" s="4"/>
      <c r="K548" s="273"/>
      <c r="L548" s="275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4"/>
      <c r="X548" s="4"/>
      <c r="Y548" s="4"/>
      <c r="Z548" s="4"/>
    </row>
    <row r="549" ht="9.75" customHeight="1">
      <c r="A549" s="280"/>
      <c r="B549" s="312"/>
      <c r="C549" s="228"/>
      <c r="D549" s="228"/>
      <c r="E549" s="228"/>
      <c r="F549" s="229"/>
      <c r="G549" s="272">
        <f t="shared" si="79"/>
        <v>0</v>
      </c>
      <c r="H549" s="273"/>
      <c r="I549" s="274"/>
      <c r="J549" s="4"/>
      <c r="K549" s="273"/>
      <c r="L549" s="275"/>
      <c r="M549" s="4"/>
      <c r="N549" s="4"/>
      <c r="O549" s="4"/>
      <c r="P549" s="4"/>
      <c r="Q549" s="4"/>
      <c r="R549" s="4"/>
      <c r="S549" s="4"/>
      <c r="T549" s="4"/>
      <c r="U549" s="4"/>
      <c r="V549" s="4"/>
      <c r="W549" s="4"/>
      <c r="X549" s="4"/>
      <c r="Y549" s="4"/>
      <c r="Z549" s="4"/>
    </row>
    <row r="550" ht="9.75" customHeight="1">
      <c r="A550" s="280"/>
      <c r="B550" s="312"/>
      <c r="C550" s="228"/>
      <c r="D550" s="228"/>
      <c r="E550" s="228"/>
      <c r="F550" s="229"/>
      <c r="G550" s="272">
        <f t="shared" si="79"/>
        <v>0</v>
      </c>
      <c r="H550" s="273"/>
      <c r="I550" s="274"/>
      <c r="J550" s="4"/>
      <c r="K550" s="273"/>
      <c r="L550" s="275"/>
      <c r="M550" s="4"/>
      <c r="N550" s="4"/>
      <c r="O550" s="4"/>
      <c r="P550" s="4"/>
      <c r="Q550" s="4"/>
      <c r="R550" s="4"/>
      <c r="S550" s="4"/>
      <c r="T550" s="4"/>
      <c r="U550" s="4"/>
      <c r="V550" s="4"/>
      <c r="W550" s="4"/>
      <c r="X550" s="4"/>
      <c r="Y550" s="4"/>
      <c r="Z550" s="4"/>
    </row>
    <row r="551" ht="9.75" customHeight="1">
      <c r="A551" s="280"/>
      <c r="B551" s="312"/>
      <c r="C551" s="228"/>
      <c r="D551" s="228"/>
      <c r="E551" s="228"/>
      <c r="F551" s="229"/>
      <c r="G551" s="272">
        <f t="shared" si="79"/>
        <v>0</v>
      </c>
      <c r="H551" s="273"/>
      <c r="I551" s="274"/>
      <c r="J551" s="4"/>
      <c r="K551" s="273"/>
      <c r="L551" s="275"/>
      <c r="M551" s="4"/>
      <c r="N551" s="4"/>
      <c r="O551" s="4"/>
      <c r="P551" s="4"/>
      <c r="Q551" s="4"/>
      <c r="R551" s="4"/>
      <c r="S551" s="4"/>
      <c r="T551" s="4"/>
      <c r="U551" s="4"/>
      <c r="V551" s="4"/>
      <c r="W551" s="4"/>
      <c r="X551" s="4"/>
      <c r="Y551" s="4"/>
      <c r="Z551" s="4"/>
    </row>
    <row r="552" ht="9.75" customHeight="1">
      <c r="A552" s="280"/>
      <c r="B552" s="312"/>
      <c r="C552" s="228"/>
      <c r="D552" s="228"/>
      <c r="E552" s="228"/>
      <c r="F552" s="229"/>
      <c r="G552" s="272">
        <f t="shared" si="79"/>
        <v>0</v>
      </c>
      <c r="H552" s="273"/>
      <c r="I552" s="274"/>
      <c r="J552" s="4"/>
      <c r="K552" s="273"/>
      <c r="L552" s="275"/>
      <c r="M552" s="4"/>
      <c r="N552" s="4"/>
      <c r="O552" s="4"/>
      <c r="P552" s="4"/>
      <c r="Q552" s="4"/>
      <c r="R552" s="4"/>
      <c r="S552" s="4"/>
      <c r="T552" s="4"/>
      <c r="U552" s="4"/>
      <c r="V552" s="4"/>
      <c r="W552" s="4"/>
      <c r="X552" s="4"/>
      <c r="Y552" s="4"/>
      <c r="Z552" s="4"/>
    </row>
    <row r="553" ht="9.75" customHeight="1">
      <c r="A553" s="280"/>
      <c r="B553" s="312"/>
      <c r="C553" s="228"/>
      <c r="D553" s="228"/>
      <c r="E553" s="228"/>
      <c r="F553" s="229"/>
      <c r="G553" s="272">
        <f t="shared" si="79"/>
        <v>0</v>
      </c>
      <c r="H553" s="273"/>
      <c r="I553" s="274"/>
      <c r="J553" s="4"/>
      <c r="K553" s="273"/>
      <c r="L553" s="275"/>
      <c r="M553" s="4"/>
      <c r="N553" s="4"/>
      <c r="O553" s="4"/>
      <c r="P553" s="4"/>
      <c r="Q553" s="4"/>
      <c r="R553" s="4"/>
      <c r="S553" s="4"/>
      <c r="T553" s="4"/>
      <c r="U553" s="4"/>
      <c r="V553" s="4"/>
      <c r="W553" s="4"/>
      <c r="X553" s="4"/>
      <c r="Y553" s="4"/>
      <c r="Z553" s="4"/>
    </row>
    <row r="554" ht="9.75" customHeight="1">
      <c r="A554" s="313"/>
      <c r="B554" s="314"/>
      <c r="C554" s="315"/>
      <c r="D554" s="315"/>
      <c r="E554" s="315"/>
      <c r="F554" s="316"/>
      <c r="G554" s="272">
        <f t="shared" si="79"/>
        <v>0</v>
      </c>
      <c r="H554" s="273"/>
      <c r="I554" s="274"/>
      <c r="J554" s="4"/>
      <c r="K554" s="273"/>
      <c r="L554" s="275"/>
      <c r="M554" s="4"/>
      <c r="N554" s="4"/>
      <c r="O554" s="4"/>
      <c r="P554" s="4"/>
      <c r="Q554" s="4"/>
      <c r="R554" s="4"/>
      <c r="S554" s="4"/>
      <c r="T554" s="4"/>
      <c r="U554" s="4"/>
      <c r="V554" s="4"/>
      <c r="W554" s="4"/>
      <c r="X554" s="4"/>
      <c r="Y554" s="4"/>
      <c r="Z554" s="4"/>
    </row>
    <row r="555" ht="9.75" customHeight="1">
      <c r="A555" s="317"/>
      <c r="B555" s="317" t="s">
        <v>829</v>
      </c>
      <c r="C555" s="317"/>
      <c r="D555" s="317"/>
      <c r="E555" s="317"/>
      <c r="F555" s="317"/>
      <c r="G555" s="272">
        <f t="shared" si="79"/>
        <v>0</v>
      </c>
      <c r="H555" s="318"/>
      <c r="I555" s="319"/>
      <c r="J555" s="317"/>
      <c r="K555" s="318"/>
      <c r="L555" s="319"/>
      <c r="M555" s="4"/>
      <c r="N555" s="4"/>
      <c r="O555" s="4"/>
      <c r="P555" s="4"/>
      <c r="Q555" s="4"/>
      <c r="R555" s="4"/>
      <c r="S555" s="4"/>
      <c r="T555" s="4"/>
      <c r="U555" s="4"/>
      <c r="V555" s="4"/>
      <c r="W555" s="4"/>
      <c r="X555" s="4"/>
      <c r="Y555" s="4"/>
      <c r="Z555" s="4"/>
    </row>
    <row r="556" ht="9.75" customHeight="1">
      <c r="A556" s="4"/>
      <c r="B556" s="4"/>
      <c r="C556" s="4"/>
      <c r="D556" s="4"/>
      <c r="E556" s="4"/>
      <c r="F556" s="4"/>
      <c r="G556" s="272">
        <f t="shared" si="79"/>
        <v>0</v>
      </c>
      <c r="H556" s="315"/>
      <c r="I556" s="316"/>
      <c r="J556" s="4"/>
      <c r="K556" s="315"/>
      <c r="L556" s="316"/>
      <c r="M556" s="4"/>
      <c r="N556" s="4"/>
      <c r="O556" s="4"/>
      <c r="P556" s="4"/>
      <c r="Q556" s="4"/>
      <c r="R556" s="4"/>
      <c r="S556" s="4"/>
      <c r="T556" s="4"/>
      <c r="U556" s="4"/>
      <c r="V556" s="4"/>
      <c r="W556" s="4"/>
      <c r="X556" s="4"/>
      <c r="Y556" s="4"/>
      <c r="Z556" s="4"/>
    </row>
    <row r="557" ht="9.75" customHeight="1">
      <c r="A557" s="4"/>
      <c r="B557" s="4"/>
      <c r="C557" s="4"/>
      <c r="D557" s="4"/>
      <c r="E557" s="4"/>
      <c r="F557" s="4"/>
      <c r="G557" s="4"/>
      <c r="H557" s="4"/>
      <c r="I557" s="4"/>
      <c r="J557" s="4"/>
      <c r="K557" s="4"/>
      <c r="L557" s="4"/>
      <c r="M557" s="4"/>
      <c r="N557" s="4"/>
      <c r="O557" s="4"/>
      <c r="P557" s="4"/>
      <c r="Q557" s="4"/>
      <c r="R557" s="4"/>
      <c r="S557" s="4"/>
      <c r="T557" s="4"/>
      <c r="U557" s="4"/>
      <c r="V557" s="4"/>
      <c r="W557" s="4"/>
      <c r="X557" s="4"/>
      <c r="Y557" s="4"/>
      <c r="Z557" s="4"/>
    </row>
    <row r="558" ht="9.75" customHeight="1">
      <c r="A558" s="4"/>
      <c r="B558" s="4"/>
      <c r="C558" s="4"/>
      <c r="D558" s="4"/>
      <c r="E558" s="4"/>
      <c r="F558" s="4"/>
      <c r="G558" s="4"/>
      <c r="H558" s="4"/>
      <c r="I558" s="4"/>
      <c r="J558" s="4"/>
      <c r="K558" s="4"/>
      <c r="L558" s="4"/>
      <c r="M558" s="4"/>
      <c r="N558" s="4"/>
      <c r="O558" s="4"/>
      <c r="P558" s="4"/>
      <c r="Q558" s="4"/>
      <c r="R558" s="4"/>
      <c r="S558" s="4"/>
      <c r="T558" s="4"/>
      <c r="U558" s="4"/>
      <c r="V558" s="4"/>
      <c r="W558" s="4"/>
      <c r="X558" s="4"/>
      <c r="Y558" s="4"/>
      <c r="Z558" s="4"/>
    </row>
    <row r="559" ht="9.75" customHeight="1">
      <c r="A559" s="4"/>
      <c r="B559" s="4"/>
      <c r="C559" s="4"/>
      <c r="D559" s="4"/>
      <c r="E559" s="4"/>
      <c r="F559" s="4"/>
      <c r="G559" s="4"/>
      <c r="H559" s="4"/>
      <c r="I559" s="4"/>
      <c r="J559" s="4"/>
      <c r="K559" s="4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4"/>
      <c r="Y559" s="4"/>
      <c r="Z559" s="4"/>
    </row>
    <row r="560" ht="9.75" customHeight="1">
      <c r="A560" s="4"/>
      <c r="B560" s="4"/>
      <c r="C560" s="4"/>
      <c r="D560" s="4"/>
      <c r="E560" s="4"/>
      <c r="F560" s="4"/>
      <c r="G560" s="4"/>
      <c r="H560" s="4"/>
      <c r="I560" s="4"/>
      <c r="J560" s="4"/>
      <c r="K560" s="4"/>
      <c r="L560" s="4"/>
      <c r="M560" s="4"/>
      <c r="N560" s="4"/>
      <c r="O560" s="4"/>
      <c r="P560" s="4"/>
      <c r="Q560" s="4"/>
      <c r="R560" s="4"/>
      <c r="S560" s="4"/>
      <c r="T560" s="4"/>
      <c r="U560" s="4"/>
      <c r="V560" s="4"/>
      <c r="W560" s="4"/>
      <c r="X560" s="4"/>
      <c r="Y560" s="4"/>
      <c r="Z560" s="4"/>
    </row>
    <row r="561" ht="9.75" customHeight="1">
      <c r="A561" s="4"/>
      <c r="B561" s="4"/>
      <c r="C561" s="4"/>
      <c r="D561" s="4"/>
      <c r="E561" s="4"/>
      <c r="F561" s="4"/>
      <c r="G561" s="4"/>
      <c r="H561" s="4"/>
      <c r="I561" s="4"/>
      <c r="J561" s="4"/>
      <c r="K561" s="4"/>
      <c r="L561" s="4"/>
      <c r="M561" s="4"/>
      <c r="N561" s="4"/>
      <c r="O561" s="4"/>
      <c r="P561" s="4"/>
      <c r="Q561" s="4"/>
      <c r="R561" s="4"/>
      <c r="S561" s="4"/>
      <c r="T561" s="4"/>
      <c r="U561" s="4"/>
      <c r="V561" s="4"/>
      <c r="W561" s="4"/>
      <c r="X561" s="4"/>
      <c r="Y561" s="4"/>
      <c r="Z561" s="4"/>
    </row>
    <row r="562" ht="9.75" customHeight="1">
      <c r="A562" s="4"/>
      <c r="B562" s="4"/>
      <c r="C562" s="4"/>
      <c r="D562" s="4"/>
      <c r="E562" s="4"/>
      <c r="F562" s="4"/>
      <c r="G562" s="4"/>
      <c r="H562" s="4"/>
      <c r="I562" s="4"/>
      <c r="J562" s="4"/>
      <c r="K562" s="4"/>
      <c r="L562" s="4"/>
      <c r="M562" s="4"/>
      <c r="N562" s="4"/>
      <c r="O562" s="4"/>
      <c r="P562" s="4"/>
      <c r="Q562" s="4"/>
      <c r="R562" s="4"/>
      <c r="S562" s="4"/>
      <c r="T562" s="4"/>
      <c r="U562" s="4"/>
      <c r="V562" s="4"/>
      <c r="W562" s="4"/>
      <c r="X562" s="4"/>
      <c r="Y562" s="4"/>
      <c r="Z562" s="4"/>
    </row>
    <row r="563" ht="9.75" customHeight="1">
      <c r="A563" s="4"/>
      <c r="B563" s="4"/>
      <c r="C563" s="4"/>
      <c r="D563" s="4"/>
      <c r="E563" s="4"/>
      <c r="F563" s="4"/>
      <c r="G563" s="4"/>
      <c r="H563" s="4"/>
      <c r="I563" s="4"/>
      <c r="J563" s="4"/>
      <c r="K563" s="4"/>
      <c r="L563" s="4"/>
      <c r="M563" s="4"/>
      <c r="N563" s="4"/>
      <c r="O563" s="4"/>
      <c r="P563" s="4"/>
      <c r="Q563" s="4"/>
      <c r="R563" s="4"/>
      <c r="S563" s="4"/>
      <c r="T563" s="4"/>
      <c r="U563" s="4"/>
      <c r="V563" s="4"/>
      <c r="W563" s="4"/>
      <c r="X563" s="4"/>
      <c r="Y563" s="4"/>
      <c r="Z563" s="4"/>
    </row>
    <row r="564" ht="9.75" customHeight="1">
      <c r="A564" s="4"/>
      <c r="B564" s="4"/>
      <c r="C564" s="4"/>
      <c r="D564" s="4"/>
      <c r="E564" s="4"/>
      <c r="F564" s="4"/>
      <c r="G564" s="4"/>
      <c r="H564" s="4"/>
      <c r="I564" s="4"/>
      <c r="J564" s="4"/>
      <c r="K564" s="4"/>
      <c r="L564" s="4"/>
      <c r="M564" s="4"/>
      <c r="N564" s="4"/>
      <c r="O564" s="4"/>
      <c r="P564" s="4"/>
      <c r="Q564" s="4"/>
      <c r="R564" s="4"/>
      <c r="S564" s="4"/>
      <c r="T564" s="4"/>
      <c r="U564" s="4"/>
      <c r="V564" s="4"/>
      <c r="W564" s="4"/>
      <c r="X564" s="4"/>
      <c r="Y564" s="4"/>
      <c r="Z564" s="4"/>
    </row>
    <row r="565" ht="9.75" customHeight="1">
      <c r="A565" s="4"/>
      <c r="B565" s="4"/>
      <c r="C565" s="4"/>
      <c r="D565" s="4"/>
      <c r="E565" s="4"/>
      <c r="F565" s="4"/>
      <c r="G565" s="4"/>
      <c r="H565" s="4"/>
      <c r="I565" s="4"/>
      <c r="J565" s="4"/>
      <c r="K565" s="4"/>
      <c r="L565" s="4"/>
      <c r="M565" s="4"/>
      <c r="N565" s="4"/>
      <c r="O565" s="4"/>
      <c r="P565" s="4"/>
      <c r="Q565" s="4"/>
      <c r="R565" s="4"/>
      <c r="S565" s="4"/>
      <c r="T565" s="4"/>
      <c r="U565" s="4"/>
      <c r="V565" s="4"/>
      <c r="W565" s="4"/>
      <c r="X565" s="4"/>
      <c r="Y565" s="4"/>
      <c r="Z565" s="4"/>
    </row>
    <row r="566" ht="9.75" customHeight="1">
      <c r="A566" s="4"/>
      <c r="B566" s="4"/>
      <c r="C566" s="4"/>
      <c r="D566" s="4"/>
      <c r="E566" s="4"/>
      <c r="F566" s="4"/>
      <c r="G566" s="4"/>
      <c r="H566" s="4"/>
      <c r="I566" s="4"/>
      <c r="J566" s="4"/>
      <c r="K566" s="4"/>
      <c r="L566" s="4"/>
      <c r="M566" s="4"/>
      <c r="N566" s="4"/>
      <c r="O566" s="4"/>
      <c r="P566" s="4"/>
      <c r="Q566" s="4"/>
      <c r="R566" s="4"/>
      <c r="S566" s="4"/>
      <c r="T566" s="4"/>
      <c r="U566" s="4"/>
      <c r="V566" s="4"/>
      <c r="W566" s="4"/>
      <c r="X566" s="4"/>
      <c r="Y566" s="4"/>
      <c r="Z566" s="4"/>
    </row>
    <row r="567" ht="9.75" customHeight="1">
      <c r="A567" s="4"/>
      <c r="B567" s="4"/>
      <c r="C567" s="4"/>
      <c r="D567" s="4"/>
      <c r="E567" s="4"/>
      <c r="F567" s="4"/>
      <c r="G567" s="4"/>
      <c r="H567" s="4"/>
      <c r="I567" s="4"/>
      <c r="J567" s="4"/>
      <c r="K567" s="4"/>
      <c r="L567" s="4"/>
      <c r="M567" s="4"/>
      <c r="N567" s="4"/>
      <c r="O567" s="4"/>
      <c r="P567" s="4"/>
      <c r="Q567" s="4"/>
      <c r="R567" s="4"/>
      <c r="S567" s="4"/>
      <c r="T567" s="4"/>
      <c r="U567" s="4"/>
      <c r="V567" s="4"/>
      <c r="W567" s="4"/>
      <c r="X567" s="4"/>
      <c r="Y567" s="4"/>
      <c r="Z567" s="4"/>
    </row>
    <row r="568" ht="9.75" customHeight="1">
      <c r="A568" s="4"/>
      <c r="B568" s="4"/>
      <c r="C568" s="4"/>
      <c r="D568" s="4"/>
      <c r="E568" s="4"/>
      <c r="F568" s="4"/>
      <c r="G568" s="4"/>
      <c r="H568" s="4"/>
      <c r="I568" s="4"/>
      <c r="J568" s="4"/>
      <c r="K568" s="4"/>
      <c r="L568" s="4"/>
      <c r="M568" s="4"/>
      <c r="N568" s="4"/>
      <c r="O568" s="4"/>
      <c r="P568" s="4"/>
      <c r="Q568" s="4"/>
      <c r="R568" s="4"/>
      <c r="S568" s="4"/>
      <c r="T568" s="4"/>
      <c r="U568" s="4"/>
      <c r="V568" s="4"/>
      <c r="W568" s="4"/>
      <c r="X568" s="4"/>
      <c r="Y568" s="4"/>
      <c r="Z568" s="4"/>
    </row>
    <row r="569" ht="9.75" customHeight="1">
      <c r="A569" s="4"/>
      <c r="B569" s="4"/>
      <c r="C569" s="4"/>
      <c r="D569" s="4"/>
      <c r="E569" s="4"/>
      <c r="F569" s="4"/>
      <c r="G569" s="4"/>
      <c r="H569" s="4"/>
      <c r="I569" s="4"/>
      <c r="J569" s="4"/>
      <c r="K569" s="4"/>
      <c r="L569" s="4"/>
      <c r="M569" s="4"/>
      <c r="N569" s="4"/>
      <c r="O569" s="4"/>
      <c r="P569" s="4"/>
      <c r="Q569" s="4"/>
      <c r="R569" s="4"/>
      <c r="S569" s="4"/>
      <c r="T569" s="4"/>
      <c r="U569" s="4"/>
      <c r="V569" s="4"/>
      <c r="W569" s="4"/>
      <c r="X569" s="4"/>
      <c r="Y569" s="4"/>
      <c r="Z569" s="4"/>
    </row>
    <row r="570" ht="9.75" customHeight="1">
      <c r="A570" s="4"/>
      <c r="B570" s="4"/>
      <c r="C570" s="4"/>
      <c r="D570" s="4"/>
      <c r="E570" s="4"/>
      <c r="F570" s="4"/>
      <c r="G570" s="4"/>
      <c r="H570" s="4"/>
      <c r="I570" s="4"/>
      <c r="J570" s="4"/>
      <c r="K570" s="4"/>
      <c r="L570" s="4"/>
      <c r="M570" s="4"/>
      <c r="N570" s="4"/>
      <c r="O570" s="4"/>
      <c r="P570" s="4"/>
      <c r="Q570" s="4"/>
      <c r="R570" s="4"/>
      <c r="S570" s="4"/>
      <c r="T570" s="4"/>
      <c r="U570" s="4"/>
      <c r="V570" s="4"/>
      <c r="W570" s="4"/>
      <c r="X570" s="4"/>
      <c r="Y570" s="4"/>
      <c r="Z570" s="4"/>
    </row>
    <row r="571" ht="9.75" customHeight="1">
      <c r="A571" s="4"/>
      <c r="B571" s="4"/>
      <c r="C571" s="4"/>
      <c r="D571" s="4"/>
      <c r="E571" s="4"/>
      <c r="F571" s="4"/>
      <c r="G571" s="4"/>
      <c r="H571" s="4"/>
      <c r="I571" s="4"/>
      <c r="J571" s="4"/>
      <c r="K571" s="4"/>
      <c r="L571" s="4"/>
      <c r="M571" s="4"/>
      <c r="N571" s="4"/>
      <c r="O571" s="4"/>
      <c r="P571" s="4"/>
      <c r="Q571" s="4"/>
      <c r="R571" s="4"/>
      <c r="S571" s="4"/>
      <c r="T571" s="4"/>
      <c r="U571" s="4"/>
      <c r="V571" s="4"/>
      <c r="W571" s="4"/>
      <c r="X571" s="4"/>
      <c r="Y571" s="4"/>
      <c r="Z571" s="4"/>
    </row>
    <row r="572" ht="9.75" customHeight="1">
      <c r="A572" s="4"/>
      <c r="B572" s="4"/>
      <c r="C572" s="4"/>
      <c r="D572" s="4"/>
      <c r="E572" s="4"/>
      <c r="F572" s="4"/>
      <c r="G572" s="4"/>
      <c r="H572" s="4"/>
      <c r="I572" s="4"/>
      <c r="J572" s="4"/>
      <c r="K572" s="4"/>
      <c r="L572" s="4"/>
      <c r="M572" s="4"/>
      <c r="N572" s="4"/>
      <c r="O572" s="4"/>
      <c r="P572" s="4"/>
      <c r="Q572" s="4"/>
      <c r="R572" s="4"/>
      <c r="S572" s="4"/>
      <c r="T572" s="4"/>
      <c r="U572" s="4"/>
      <c r="V572" s="4"/>
      <c r="W572" s="4"/>
      <c r="X572" s="4"/>
      <c r="Y572" s="4"/>
      <c r="Z572" s="4"/>
    </row>
    <row r="573" ht="9.75" customHeight="1">
      <c r="A573" s="4"/>
      <c r="B573" s="4"/>
      <c r="C573" s="4"/>
      <c r="D573" s="4"/>
      <c r="E573" s="4"/>
      <c r="F573" s="4"/>
      <c r="G573" s="4"/>
      <c r="H573" s="4"/>
      <c r="I573" s="4"/>
      <c r="J573" s="4"/>
      <c r="K573" s="4"/>
      <c r="L573" s="4"/>
      <c r="M573" s="4"/>
      <c r="N573" s="4"/>
      <c r="O573" s="4"/>
      <c r="P573" s="4"/>
      <c r="Q573" s="4"/>
      <c r="R573" s="4"/>
      <c r="S573" s="4"/>
      <c r="T573" s="4"/>
      <c r="U573" s="4"/>
      <c r="V573" s="4"/>
      <c r="W573" s="4"/>
      <c r="X573" s="4"/>
      <c r="Y573" s="4"/>
      <c r="Z573" s="4"/>
    </row>
    <row r="574" ht="9.75" customHeight="1">
      <c r="A574" s="4"/>
      <c r="B574" s="4"/>
      <c r="C574" s="4"/>
      <c r="D574" s="4"/>
      <c r="E574" s="4"/>
      <c r="F574" s="4"/>
      <c r="G574" s="4"/>
      <c r="H574" s="4"/>
      <c r="I574" s="4"/>
      <c r="J574" s="4"/>
      <c r="K574" s="4"/>
      <c r="L574" s="4"/>
      <c r="M574" s="4"/>
      <c r="N574" s="4"/>
      <c r="O574" s="4"/>
      <c r="P574" s="4"/>
      <c r="Q574" s="4"/>
      <c r="R574" s="4"/>
      <c r="S574" s="4"/>
      <c r="T574" s="4"/>
      <c r="U574" s="4"/>
      <c r="V574" s="4"/>
      <c r="W574" s="4"/>
      <c r="X574" s="4"/>
      <c r="Y574" s="4"/>
      <c r="Z574" s="4"/>
    </row>
    <row r="575" ht="9.75" customHeight="1">
      <c r="A575" s="4"/>
      <c r="B575" s="4"/>
      <c r="C575" s="4"/>
      <c r="D575" s="4"/>
      <c r="E575" s="4"/>
      <c r="F575" s="4"/>
      <c r="G575" s="4"/>
      <c r="H575" s="4"/>
      <c r="I575" s="4"/>
      <c r="J575" s="4"/>
      <c r="K575" s="4"/>
      <c r="L575" s="4"/>
      <c r="M575" s="4"/>
      <c r="N575" s="4"/>
      <c r="O575" s="4"/>
      <c r="P575" s="4"/>
      <c r="Q575" s="4"/>
      <c r="R575" s="4"/>
      <c r="S575" s="4"/>
      <c r="T575" s="4"/>
      <c r="U575" s="4"/>
      <c r="V575" s="4"/>
      <c r="W575" s="4"/>
      <c r="X575" s="4"/>
      <c r="Y575" s="4"/>
      <c r="Z575" s="4"/>
    </row>
    <row r="576" ht="9.75" customHeight="1">
      <c r="A576" s="4"/>
      <c r="B576" s="4"/>
      <c r="C576" s="4"/>
      <c r="D576" s="4"/>
      <c r="E576" s="4"/>
      <c r="F576" s="4"/>
      <c r="G576" s="4"/>
      <c r="H576" s="4"/>
      <c r="I576" s="4"/>
      <c r="J576" s="4"/>
      <c r="K576" s="4"/>
      <c r="L576" s="4"/>
      <c r="M576" s="4"/>
      <c r="N576" s="4"/>
      <c r="O576" s="4"/>
      <c r="P576" s="4"/>
      <c r="Q576" s="4"/>
      <c r="R576" s="4"/>
      <c r="S576" s="4"/>
      <c r="T576" s="4"/>
      <c r="U576" s="4"/>
      <c r="V576" s="4"/>
      <c r="W576" s="4"/>
      <c r="X576" s="4"/>
      <c r="Y576" s="4"/>
      <c r="Z576" s="4"/>
    </row>
    <row r="577" ht="9.75" customHeight="1">
      <c r="A577" s="4"/>
      <c r="B577" s="4"/>
      <c r="C577" s="4"/>
      <c r="D577" s="4"/>
      <c r="E577" s="4"/>
      <c r="F577" s="4"/>
      <c r="G577" s="4"/>
      <c r="H577" s="4"/>
      <c r="I577" s="4"/>
      <c r="J577" s="4"/>
      <c r="K577" s="4"/>
      <c r="L577" s="4"/>
      <c r="M577" s="4"/>
      <c r="N577" s="4"/>
      <c r="O577" s="4"/>
      <c r="P577" s="4"/>
      <c r="Q577" s="4"/>
      <c r="R577" s="4"/>
      <c r="S577" s="4"/>
      <c r="T577" s="4"/>
      <c r="U577" s="4"/>
      <c r="V577" s="4"/>
      <c r="W577" s="4"/>
      <c r="X577" s="4"/>
      <c r="Y577" s="4"/>
      <c r="Z577" s="4"/>
    </row>
    <row r="578" ht="9.75" customHeight="1">
      <c r="A578" s="4"/>
      <c r="B578" s="4"/>
      <c r="C578" s="4"/>
      <c r="D578" s="4"/>
      <c r="E578" s="4"/>
      <c r="F578" s="4"/>
      <c r="G578" s="4"/>
      <c r="H578" s="4"/>
      <c r="I578" s="4"/>
      <c r="J578" s="4"/>
      <c r="K578" s="4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  <c r="X578" s="4"/>
      <c r="Y578" s="4"/>
      <c r="Z578" s="4"/>
    </row>
    <row r="579" ht="9.75" customHeight="1">
      <c r="A579" s="4"/>
      <c r="B579" s="4"/>
      <c r="C579" s="4"/>
      <c r="D579" s="4"/>
      <c r="E579" s="4"/>
      <c r="F579" s="4"/>
      <c r="G579" s="4"/>
      <c r="H579" s="4"/>
      <c r="I579" s="4"/>
      <c r="J579" s="4"/>
      <c r="K579" s="4"/>
      <c r="L579" s="4"/>
      <c r="M579" s="4"/>
      <c r="N579" s="4"/>
      <c r="O579" s="4"/>
      <c r="P579" s="4"/>
      <c r="Q579" s="4"/>
      <c r="R579" s="4"/>
      <c r="S579" s="4"/>
      <c r="T579" s="4"/>
      <c r="U579" s="4"/>
      <c r="V579" s="4"/>
      <c r="W579" s="4"/>
      <c r="X579" s="4"/>
      <c r="Y579" s="4"/>
      <c r="Z579" s="4"/>
    </row>
    <row r="580" ht="9.75" customHeight="1">
      <c r="A580" s="4"/>
      <c r="B580" s="4"/>
      <c r="C580" s="4"/>
      <c r="D580" s="4"/>
      <c r="E580" s="4"/>
      <c r="F580" s="4"/>
      <c r="G580" s="4"/>
      <c r="H580" s="4"/>
      <c r="I580" s="4"/>
      <c r="J580" s="4"/>
      <c r="K580" s="4"/>
      <c r="L580" s="4"/>
      <c r="M580" s="4"/>
      <c r="N580" s="4"/>
      <c r="O580" s="4"/>
      <c r="P580" s="4"/>
      <c r="Q580" s="4"/>
      <c r="R580" s="4"/>
      <c r="S580" s="4"/>
      <c r="T580" s="4"/>
      <c r="U580" s="4"/>
      <c r="V580" s="4"/>
      <c r="W580" s="4"/>
      <c r="X580" s="4"/>
      <c r="Y580" s="4"/>
      <c r="Z580" s="4"/>
    </row>
    <row r="581" ht="9.75" customHeight="1">
      <c r="A581" s="4"/>
      <c r="B581" s="4"/>
      <c r="C581" s="4"/>
      <c r="D581" s="4"/>
      <c r="E581" s="4"/>
      <c r="F581" s="4"/>
      <c r="G581" s="4"/>
      <c r="H581" s="4"/>
      <c r="I581" s="4"/>
      <c r="J581" s="4"/>
      <c r="K581" s="4"/>
      <c r="L581" s="4"/>
      <c r="M581" s="4"/>
      <c r="N581" s="4"/>
      <c r="O581" s="4"/>
      <c r="P581" s="4"/>
      <c r="Q581" s="4"/>
      <c r="R581" s="4"/>
      <c r="S581" s="4"/>
      <c r="T581" s="4"/>
      <c r="U581" s="4"/>
      <c r="V581" s="4"/>
      <c r="W581" s="4"/>
      <c r="X581" s="4"/>
      <c r="Y581" s="4"/>
      <c r="Z581" s="4"/>
    </row>
    <row r="582" ht="9.75" customHeight="1">
      <c r="A582" s="4"/>
      <c r="B582" s="4"/>
      <c r="C582" s="4"/>
      <c r="D582" s="4"/>
      <c r="E582" s="4"/>
      <c r="F582" s="4"/>
      <c r="G582" s="4"/>
      <c r="H582" s="4"/>
      <c r="I582" s="4"/>
      <c r="J582" s="4"/>
      <c r="K582" s="4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/>
      <c r="W582" s="4"/>
      <c r="X582" s="4"/>
      <c r="Y582" s="4"/>
      <c r="Z582" s="4"/>
    </row>
    <row r="583" ht="9.75" customHeight="1">
      <c r="A583" s="4"/>
      <c r="B583" s="4"/>
      <c r="C583" s="4"/>
      <c r="D583" s="4"/>
      <c r="E583" s="4"/>
      <c r="F583" s="4"/>
      <c r="G583" s="4"/>
      <c r="H583" s="4"/>
      <c r="I583" s="4"/>
      <c r="J583" s="4"/>
      <c r="K583" s="4"/>
      <c r="L583" s="4"/>
      <c r="M583" s="4"/>
      <c r="N583" s="4"/>
      <c r="O583" s="4"/>
      <c r="P583" s="4"/>
      <c r="Q583" s="4"/>
      <c r="R583" s="4"/>
      <c r="S583" s="4"/>
      <c r="T583" s="4"/>
      <c r="U583" s="4"/>
      <c r="V583" s="4"/>
      <c r="W583" s="4"/>
      <c r="X583" s="4"/>
      <c r="Y583" s="4"/>
      <c r="Z583" s="4"/>
    </row>
    <row r="584" ht="9.75" customHeight="1">
      <c r="A584" s="4"/>
      <c r="B584" s="4"/>
      <c r="C584" s="4"/>
      <c r="D584" s="4"/>
      <c r="E584" s="4"/>
      <c r="F584" s="4"/>
      <c r="G584" s="4"/>
      <c r="H584" s="4"/>
      <c r="I584" s="4"/>
      <c r="J584" s="4"/>
      <c r="K584" s="4"/>
      <c r="L584" s="4"/>
      <c r="M584" s="4"/>
      <c r="N584" s="4"/>
      <c r="O584" s="4"/>
      <c r="P584" s="4"/>
      <c r="Q584" s="4"/>
      <c r="R584" s="4"/>
      <c r="S584" s="4"/>
      <c r="T584" s="4"/>
      <c r="U584" s="4"/>
      <c r="V584" s="4"/>
      <c r="W584" s="4"/>
      <c r="X584" s="4"/>
      <c r="Y584" s="4"/>
      <c r="Z584" s="4"/>
    </row>
    <row r="585" ht="9.75" customHeight="1">
      <c r="A585" s="4"/>
      <c r="B585" s="4"/>
      <c r="C585" s="4"/>
      <c r="D585" s="4"/>
      <c r="E585" s="4"/>
      <c r="F585" s="4"/>
      <c r="G585" s="4"/>
      <c r="H585" s="4"/>
      <c r="I585" s="4"/>
      <c r="J585" s="4"/>
      <c r="K585" s="4"/>
      <c r="L585" s="4"/>
      <c r="M585" s="4"/>
      <c r="N585" s="4"/>
      <c r="O585" s="4"/>
      <c r="P585" s="4"/>
      <c r="Q585" s="4"/>
      <c r="R585" s="4"/>
      <c r="S585" s="4"/>
      <c r="T585" s="4"/>
      <c r="U585" s="4"/>
      <c r="V585" s="4"/>
      <c r="W585" s="4"/>
      <c r="X585" s="4"/>
      <c r="Y585" s="4"/>
      <c r="Z585" s="4"/>
    </row>
    <row r="586" ht="9.75" customHeight="1">
      <c r="A586" s="4"/>
      <c r="B586" s="4"/>
      <c r="C586" s="4"/>
      <c r="D586" s="4"/>
      <c r="E586" s="4"/>
      <c r="F586" s="4"/>
      <c r="G586" s="4"/>
      <c r="H586" s="4"/>
      <c r="I586" s="4"/>
      <c r="J586" s="4"/>
      <c r="K586" s="4"/>
      <c r="L586" s="4"/>
      <c r="M586" s="4"/>
      <c r="N586" s="4"/>
      <c r="O586" s="4"/>
      <c r="P586" s="4"/>
      <c r="Q586" s="4"/>
      <c r="R586" s="4"/>
      <c r="S586" s="4"/>
      <c r="T586" s="4"/>
      <c r="U586" s="4"/>
      <c r="V586" s="4"/>
      <c r="W586" s="4"/>
      <c r="X586" s="4"/>
      <c r="Y586" s="4"/>
      <c r="Z586" s="4"/>
    </row>
    <row r="587" ht="9.75" customHeight="1">
      <c r="A587" s="4"/>
      <c r="B587" s="4"/>
      <c r="C587" s="4"/>
      <c r="D587" s="4"/>
      <c r="E587" s="4"/>
      <c r="F587" s="4"/>
      <c r="G587" s="4"/>
      <c r="H587" s="4"/>
      <c r="I587" s="4"/>
      <c r="J587" s="4"/>
      <c r="K587" s="4"/>
      <c r="L587" s="4"/>
      <c r="M587" s="4"/>
      <c r="N587" s="4"/>
      <c r="O587" s="4"/>
      <c r="P587" s="4"/>
      <c r="Q587" s="4"/>
      <c r="R587" s="4"/>
      <c r="S587" s="4"/>
      <c r="T587" s="4"/>
      <c r="U587" s="4"/>
      <c r="V587" s="4"/>
      <c r="W587" s="4"/>
      <c r="X587" s="4"/>
      <c r="Y587" s="4"/>
      <c r="Z587" s="4"/>
    </row>
    <row r="588" ht="9.75" customHeight="1">
      <c r="A588" s="4"/>
      <c r="B588" s="4"/>
      <c r="C588" s="4"/>
      <c r="D588" s="4"/>
      <c r="E588" s="4"/>
      <c r="F588" s="4"/>
      <c r="G588" s="4"/>
      <c r="H588" s="4"/>
      <c r="I588" s="4"/>
      <c r="J588" s="4"/>
      <c r="K588" s="4"/>
      <c r="L588" s="4"/>
      <c r="M588" s="4"/>
      <c r="N588" s="4"/>
      <c r="O588" s="4"/>
      <c r="P588" s="4"/>
      <c r="Q588" s="4"/>
      <c r="R588" s="4"/>
      <c r="S588" s="4"/>
      <c r="T588" s="4"/>
      <c r="U588" s="4"/>
      <c r="V588" s="4"/>
      <c r="W588" s="4"/>
      <c r="X588" s="4"/>
      <c r="Y588" s="4"/>
      <c r="Z588" s="4"/>
    </row>
    <row r="589" ht="9.75" customHeight="1">
      <c r="A589" s="4"/>
      <c r="B589" s="4"/>
      <c r="C589" s="4"/>
      <c r="D589" s="4"/>
      <c r="E589" s="4"/>
      <c r="F589" s="4"/>
      <c r="G589" s="4"/>
      <c r="H589" s="4"/>
      <c r="I589" s="4"/>
      <c r="J589" s="4"/>
      <c r="K589" s="4"/>
      <c r="L589" s="4"/>
      <c r="M589" s="4"/>
      <c r="N589" s="4"/>
      <c r="O589" s="4"/>
      <c r="P589" s="4"/>
      <c r="Q589" s="4"/>
      <c r="R589" s="4"/>
      <c r="S589" s="4"/>
      <c r="T589" s="4"/>
      <c r="U589" s="4"/>
      <c r="V589" s="4"/>
      <c r="W589" s="4"/>
      <c r="X589" s="4"/>
      <c r="Y589" s="4"/>
      <c r="Z589" s="4"/>
    </row>
    <row r="590" ht="9.75" customHeight="1">
      <c r="A590" s="4"/>
      <c r="B590" s="4"/>
      <c r="C590" s="4"/>
      <c r="D590" s="4"/>
      <c r="E590" s="4"/>
      <c r="F590" s="4"/>
      <c r="G590" s="4"/>
      <c r="H590" s="4"/>
      <c r="I590" s="4"/>
      <c r="J590" s="4"/>
      <c r="K590" s="4"/>
      <c r="L590" s="4"/>
      <c r="M590" s="4"/>
      <c r="N590" s="4"/>
      <c r="O590" s="4"/>
      <c r="P590" s="4"/>
      <c r="Q590" s="4"/>
      <c r="R590" s="4"/>
      <c r="S590" s="4"/>
      <c r="T590" s="4"/>
      <c r="U590" s="4"/>
      <c r="V590" s="4"/>
      <c r="W590" s="4"/>
      <c r="X590" s="4"/>
      <c r="Y590" s="4"/>
      <c r="Z590" s="4"/>
    </row>
    <row r="591" ht="9.75" customHeight="1">
      <c r="A591" s="4"/>
      <c r="B591" s="4"/>
      <c r="C591" s="4"/>
      <c r="D591" s="4"/>
      <c r="E591" s="4"/>
      <c r="F591" s="4"/>
      <c r="G591" s="4"/>
      <c r="H591" s="4"/>
      <c r="I591" s="4"/>
      <c r="J591" s="4"/>
      <c r="K591" s="4"/>
      <c r="L591" s="4"/>
      <c r="M591" s="4"/>
      <c r="N591" s="4"/>
      <c r="O591" s="4"/>
      <c r="P591" s="4"/>
      <c r="Q591" s="4"/>
      <c r="R591" s="4"/>
      <c r="S591" s="4"/>
      <c r="T591" s="4"/>
      <c r="U591" s="4"/>
      <c r="V591" s="4"/>
      <c r="W591" s="4"/>
      <c r="X591" s="4"/>
      <c r="Y591" s="4"/>
      <c r="Z591" s="4"/>
    </row>
    <row r="592" ht="9.75" customHeight="1">
      <c r="A592" s="4"/>
      <c r="B592" s="4"/>
      <c r="C592" s="4"/>
      <c r="D592" s="4"/>
      <c r="E592" s="4"/>
      <c r="F592" s="4"/>
      <c r="G592" s="4"/>
      <c r="H592" s="4"/>
      <c r="I592" s="4"/>
      <c r="J592" s="4"/>
      <c r="K592" s="4"/>
      <c r="L592" s="4"/>
      <c r="M592" s="4"/>
      <c r="N592" s="4"/>
      <c r="O592" s="4"/>
      <c r="P592" s="4"/>
      <c r="Q592" s="4"/>
      <c r="R592" s="4"/>
      <c r="S592" s="4"/>
      <c r="T592" s="4"/>
      <c r="U592" s="4"/>
      <c r="V592" s="4"/>
      <c r="W592" s="4"/>
      <c r="X592" s="4"/>
      <c r="Y592" s="4"/>
      <c r="Z592" s="4"/>
    </row>
    <row r="593" ht="9.75" customHeight="1">
      <c r="A593" s="4"/>
      <c r="B593" s="4"/>
      <c r="C593" s="4"/>
      <c r="D593" s="4"/>
      <c r="E593" s="4"/>
      <c r="F593" s="4"/>
      <c r="G593" s="4"/>
      <c r="H593" s="4"/>
      <c r="I593" s="4"/>
      <c r="J593" s="4"/>
      <c r="K593" s="4"/>
      <c r="L593" s="4"/>
      <c r="M593" s="4"/>
      <c r="N593" s="4"/>
      <c r="O593" s="4"/>
      <c r="P593" s="4"/>
      <c r="Q593" s="4"/>
      <c r="R593" s="4"/>
      <c r="S593" s="4"/>
      <c r="T593" s="4"/>
      <c r="U593" s="4"/>
      <c r="V593" s="4"/>
      <c r="W593" s="4"/>
      <c r="X593" s="4"/>
      <c r="Y593" s="4"/>
      <c r="Z593" s="4"/>
    </row>
    <row r="594" ht="9.75" customHeight="1">
      <c r="A594" s="4"/>
      <c r="B594" s="4"/>
      <c r="C594" s="4"/>
      <c r="D594" s="4"/>
      <c r="E594" s="4"/>
      <c r="F594" s="4"/>
      <c r="G594" s="4"/>
      <c r="H594" s="4"/>
      <c r="I594" s="4"/>
      <c r="J594" s="4"/>
      <c r="K594" s="4"/>
      <c r="L594" s="4"/>
      <c r="M594" s="4"/>
      <c r="N594" s="4"/>
      <c r="O594" s="4"/>
      <c r="P594" s="4"/>
      <c r="Q594" s="4"/>
      <c r="R594" s="4"/>
      <c r="S594" s="4"/>
      <c r="T594" s="4"/>
      <c r="U594" s="4"/>
      <c r="V594" s="4"/>
      <c r="W594" s="4"/>
      <c r="X594" s="4"/>
      <c r="Y594" s="4"/>
      <c r="Z594" s="4"/>
    </row>
    <row r="595" ht="9.75" customHeight="1">
      <c r="A595" s="4"/>
      <c r="B595" s="4"/>
      <c r="C595" s="4"/>
      <c r="D595" s="4"/>
      <c r="E595" s="4"/>
      <c r="F595" s="4"/>
      <c r="G595" s="4"/>
      <c r="H595" s="4"/>
      <c r="I595" s="4"/>
      <c r="J595" s="4"/>
      <c r="K595" s="4"/>
      <c r="L595" s="4"/>
      <c r="M595" s="4"/>
      <c r="N595" s="4"/>
      <c r="O595" s="4"/>
      <c r="P595" s="4"/>
      <c r="Q595" s="4"/>
      <c r="R595" s="4"/>
      <c r="S595" s="4"/>
      <c r="T595" s="4"/>
      <c r="U595" s="4"/>
      <c r="V595" s="4"/>
      <c r="W595" s="4"/>
      <c r="X595" s="4"/>
      <c r="Y595" s="4"/>
      <c r="Z595" s="4"/>
    </row>
    <row r="596" ht="9.75" customHeight="1">
      <c r="A596" s="4"/>
      <c r="B596" s="4"/>
      <c r="C596" s="4"/>
      <c r="D596" s="4"/>
      <c r="E596" s="4"/>
      <c r="F596" s="4"/>
      <c r="G596" s="4"/>
      <c r="H596" s="4"/>
      <c r="I596" s="4"/>
      <c r="J596" s="4"/>
      <c r="K596" s="4"/>
      <c r="L596" s="4"/>
      <c r="M596" s="4"/>
      <c r="N596" s="4"/>
      <c r="O596" s="4"/>
      <c r="P596" s="4"/>
      <c r="Q596" s="4"/>
      <c r="R596" s="4"/>
      <c r="S596" s="4"/>
      <c r="T596" s="4"/>
      <c r="U596" s="4"/>
      <c r="V596" s="4"/>
      <c r="W596" s="4"/>
      <c r="X596" s="4"/>
      <c r="Y596" s="4"/>
      <c r="Z596" s="4"/>
    </row>
    <row r="597" ht="9.75" customHeight="1">
      <c r="A597" s="4"/>
      <c r="B597" s="4"/>
      <c r="C597" s="4"/>
      <c r="D597" s="4"/>
      <c r="E597" s="4"/>
      <c r="F597" s="4"/>
      <c r="G597" s="4"/>
      <c r="H597" s="4"/>
      <c r="I597" s="4"/>
      <c r="J597" s="4"/>
      <c r="K597" s="4"/>
      <c r="L597" s="4"/>
      <c r="M597" s="4"/>
      <c r="N597" s="4"/>
      <c r="O597" s="4"/>
      <c r="P597" s="4"/>
      <c r="Q597" s="4"/>
      <c r="R597" s="4"/>
      <c r="S597" s="4"/>
      <c r="T597" s="4"/>
      <c r="U597" s="4"/>
      <c r="V597" s="4"/>
      <c r="W597" s="4"/>
      <c r="X597" s="4"/>
      <c r="Y597" s="4"/>
      <c r="Z597" s="4"/>
    </row>
    <row r="598" ht="9.75" customHeight="1">
      <c r="A598" s="4"/>
      <c r="B598" s="4"/>
      <c r="C598" s="4"/>
      <c r="D598" s="4"/>
      <c r="E598" s="4"/>
      <c r="F598" s="4"/>
      <c r="G598" s="4"/>
      <c r="H598" s="4"/>
      <c r="I598" s="4"/>
      <c r="J598" s="4"/>
      <c r="K598" s="4"/>
      <c r="L598" s="4"/>
      <c r="M598" s="4"/>
      <c r="N598" s="4"/>
      <c r="O598" s="4"/>
      <c r="P598" s="4"/>
      <c r="Q598" s="4"/>
      <c r="R598" s="4"/>
      <c r="S598" s="4"/>
      <c r="T598" s="4"/>
      <c r="U598" s="4"/>
      <c r="V598" s="4"/>
      <c r="W598" s="4"/>
      <c r="X598" s="4"/>
      <c r="Y598" s="4"/>
      <c r="Z598" s="4"/>
    </row>
    <row r="599" ht="9.75" customHeight="1">
      <c r="A599" s="4"/>
      <c r="B599" s="4"/>
      <c r="C599" s="4"/>
      <c r="D599" s="4"/>
      <c r="E599" s="4"/>
      <c r="F599" s="4"/>
      <c r="G599" s="4"/>
      <c r="H599" s="4"/>
      <c r="I599" s="4"/>
      <c r="J599" s="4"/>
      <c r="K599" s="4"/>
      <c r="L599" s="4"/>
      <c r="M599" s="4"/>
      <c r="N599" s="4"/>
      <c r="O599" s="4"/>
      <c r="P599" s="4"/>
      <c r="Q599" s="4"/>
      <c r="R599" s="4"/>
      <c r="S599" s="4"/>
      <c r="T599" s="4"/>
      <c r="U599" s="4"/>
      <c r="V599" s="4"/>
      <c r="W599" s="4"/>
      <c r="X599" s="4"/>
      <c r="Y599" s="4"/>
      <c r="Z599" s="4"/>
    </row>
    <row r="600" ht="9.75" customHeight="1">
      <c r="A600" s="4"/>
      <c r="B600" s="4"/>
      <c r="C600" s="4"/>
      <c r="D600" s="4"/>
      <c r="E600" s="4"/>
      <c r="F600" s="4"/>
      <c r="G600" s="4"/>
      <c r="H600" s="4"/>
      <c r="I600" s="4"/>
      <c r="J600" s="4"/>
      <c r="K600" s="4"/>
      <c r="L600" s="4"/>
      <c r="M600" s="4"/>
      <c r="N600" s="4"/>
      <c r="O600" s="4"/>
      <c r="P600" s="4"/>
      <c r="Q600" s="4"/>
      <c r="R600" s="4"/>
      <c r="S600" s="4"/>
      <c r="T600" s="4"/>
      <c r="U600" s="4"/>
      <c r="V600" s="4"/>
      <c r="W600" s="4"/>
      <c r="X600" s="4"/>
      <c r="Y600" s="4"/>
      <c r="Z600" s="4"/>
    </row>
    <row r="601" ht="9.75" customHeight="1">
      <c r="A601" s="4"/>
      <c r="B601" s="4"/>
      <c r="C601" s="4"/>
      <c r="D601" s="4"/>
      <c r="E601" s="4"/>
      <c r="F601" s="4"/>
      <c r="G601" s="4"/>
      <c r="H601" s="4"/>
      <c r="I601" s="4"/>
      <c r="J601" s="4"/>
      <c r="K601" s="4"/>
      <c r="L601" s="4"/>
      <c r="M601" s="4"/>
      <c r="N601" s="4"/>
      <c r="O601" s="4"/>
      <c r="P601" s="4"/>
      <c r="Q601" s="4"/>
      <c r="R601" s="4"/>
      <c r="S601" s="4"/>
      <c r="T601" s="4"/>
      <c r="U601" s="4"/>
      <c r="V601" s="4"/>
      <c r="W601" s="4"/>
      <c r="X601" s="4"/>
      <c r="Y601" s="4"/>
      <c r="Z601" s="4"/>
    </row>
    <row r="602" ht="9.75" customHeight="1">
      <c r="A602" s="4"/>
      <c r="B602" s="4"/>
      <c r="C602" s="4"/>
      <c r="D602" s="4"/>
      <c r="E602" s="4"/>
      <c r="F602" s="4"/>
      <c r="G602" s="4"/>
      <c r="H602" s="4"/>
      <c r="I602" s="4"/>
      <c r="J602" s="4"/>
      <c r="K602" s="4"/>
      <c r="L602" s="4"/>
      <c r="M602" s="4"/>
      <c r="N602" s="4"/>
      <c r="O602" s="4"/>
      <c r="P602" s="4"/>
      <c r="Q602" s="4"/>
      <c r="R602" s="4"/>
      <c r="S602" s="4"/>
      <c r="T602" s="4"/>
      <c r="U602" s="4"/>
      <c r="V602" s="4"/>
      <c r="W602" s="4"/>
      <c r="X602" s="4"/>
      <c r="Y602" s="4"/>
      <c r="Z602" s="4"/>
    </row>
    <row r="603" ht="9.75" customHeight="1">
      <c r="A603" s="4"/>
      <c r="B603" s="4"/>
      <c r="C603" s="4"/>
      <c r="D603" s="4"/>
      <c r="E603" s="4"/>
      <c r="F603" s="4"/>
      <c r="G603" s="4"/>
      <c r="H603" s="4"/>
      <c r="I603" s="4"/>
      <c r="J603" s="4"/>
      <c r="K603" s="4"/>
      <c r="L603" s="4"/>
      <c r="M603" s="4"/>
      <c r="N603" s="4"/>
      <c r="O603" s="4"/>
      <c r="P603" s="4"/>
      <c r="Q603" s="4"/>
      <c r="R603" s="4"/>
      <c r="S603" s="4"/>
      <c r="T603" s="4"/>
      <c r="U603" s="4"/>
      <c r="V603" s="4"/>
      <c r="W603" s="4"/>
      <c r="X603" s="4"/>
      <c r="Y603" s="4"/>
      <c r="Z603" s="4"/>
    </row>
    <row r="604" ht="9.75" customHeight="1">
      <c r="A604" s="4"/>
      <c r="B604" s="4"/>
      <c r="C604" s="4"/>
      <c r="D604" s="4"/>
      <c r="E604" s="4"/>
      <c r="F604" s="4"/>
      <c r="G604" s="4"/>
      <c r="H604" s="4"/>
      <c r="I604" s="4"/>
      <c r="J604" s="4"/>
      <c r="K604" s="4"/>
      <c r="L604" s="4"/>
      <c r="M604" s="4"/>
      <c r="N604" s="4"/>
      <c r="O604" s="4"/>
      <c r="P604" s="4"/>
      <c r="Q604" s="4"/>
      <c r="R604" s="4"/>
      <c r="S604" s="4"/>
      <c r="T604" s="4"/>
      <c r="U604" s="4"/>
      <c r="V604" s="4"/>
      <c r="W604" s="4"/>
      <c r="X604" s="4"/>
      <c r="Y604" s="4"/>
      <c r="Z604" s="4"/>
    </row>
    <row r="605" ht="9.75" customHeight="1">
      <c r="A605" s="4"/>
      <c r="B605" s="4"/>
      <c r="C605" s="4"/>
      <c r="D605" s="4"/>
      <c r="E605" s="4"/>
      <c r="F605" s="4"/>
      <c r="G605" s="4"/>
      <c r="H605" s="4"/>
      <c r="I605" s="4"/>
      <c r="J605" s="4"/>
      <c r="K605" s="4"/>
      <c r="L605" s="4"/>
      <c r="M605" s="4"/>
      <c r="N605" s="4"/>
      <c r="O605" s="4"/>
      <c r="P605" s="4"/>
      <c r="Q605" s="4"/>
      <c r="R605" s="4"/>
      <c r="S605" s="4"/>
      <c r="T605" s="4"/>
      <c r="U605" s="4"/>
      <c r="V605" s="4"/>
      <c r="W605" s="4"/>
      <c r="X605" s="4"/>
      <c r="Y605" s="4"/>
      <c r="Z605" s="4"/>
    </row>
    <row r="606" ht="9.75" customHeight="1">
      <c r="A606" s="4"/>
      <c r="B606" s="4"/>
      <c r="C606" s="4"/>
      <c r="D606" s="4"/>
      <c r="E606" s="4"/>
      <c r="F606" s="4"/>
      <c r="G606" s="4"/>
      <c r="H606" s="4"/>
      <c r="I606" s="4"/>
      <c r="J606" s="4"/>
      <c r="K606" s="4"/>
      <c r="L606" s="4"/>
      <c r="M606" s="4"/>
      <c r="N606" s="4"/>
      <c r="O606" s="4"/>
      <c r="P606" s="4"/>
      <c r="Q606" s="4"/>
      <c r="R606" s="4"/>
      <c r="S606" s="4"/>
      <c r="T606" s="4"/>
      <c r="U606" s="4"/>
      <c r="V606" s="4"/>
      <c r="W606" s="4"/>
      <c r="X606" s="4"/>
      <c r="Y606" s="4"/>
      <c r="Z606" s="4"/>
    </row>
    <row r="607" ht="9.75" customHeight="1">
      <c r="A607" s="4"/>
      <c r="B607" s="4"/>
      <c r="C607" s="4"/>
      <c r="D607" s="4"/>
      <c r="E607" s="4"/>
      <c r="F607" s="4"/>
      <c r="G607" s="4"/>
      <c r="H607" s="4"/>
      <c r="I607" s="4"/>
      <c r="J607" s="4"/>
      <c r="K607" s="4"/>
      <c r="L607" s="4"/>
      <c r="M607" s="4"/>
      <c r="N607" s="4"/>
      <c r="O607" s="4"/>
      <c r="P607" s="4"/>
      <c r="Q607" s="4"/>
      <c r="R607" s="4"/>
      <c r="S607" s="4"/>
      <c r="T607" s="4"/>
      <c r="U607" s="4"/>
      <c r="V607" s="4"/>
      <c r="W607" s="4"/>
      <c r="X607" s="4"/>
      <c r="Y607" s="4"/>
      <c r="Z607" s="4"/>
    </row>
    <row r="608" ht="9.75" customHeight="1">
      <c r="A608" s="4"/>
      <c r="B608" s="4"/>
      <c r="C608" s="4"/>
      <c r="D608" s="4"/>
      <c r="E608" s="4"/>
      <c r="F608" s="4"/>
      <c r="G608" s="4"/>
      <c r="H608" s="4"/>
      <c r="I608" s="4"/>
      <c r="J608" s="4"/>
      <c r="K608" s="4"/>
      <c r="L608" s="4"/>
      <c r="M608" s="4"/>
      <c r="N608" s="4"/>
      <c r="O608" s="4"/>
      <c r="P608" s="4"/>
      <c r="Q608" s="4"/>
      <c r="R608" s="4"/>
      <c r="S608" s="4"/>
      <c r="T608" s="4"/>
      <c r="U608" s="4"/>
      <c r="V608" s="4"/>
      <c r="W608" s="4"/>
      <c r="X608" s="4"/>
      <c r="Y608" s="4"/>
      <c r="Z608" s="4"/>
    </row>
    <row r="609" ht="9.75" customHeight="1">
      <c r="A609" s="4"/>
      <c r="B609" s="4"/>
      <c r="C609" s="4"/>
      <c r="D609" s="4"/>
      <c r="E609" s="4"/>
      <c r="F609" s="4"/>
      <c r="G609" s="4"/>
      <c r="H609" s="4"/>
      <c r="I609" s="4"/>
      <c r="J609" s="4"/>
      <c r="K609" s="4"/>
      <c r="L609" s="4"/>
      <c r="M609" s="4"/>
      <c r="N609" s="4"/>
      <c r="O609" s="4"/>
      <c r="P609" s="4"/>
      <c r="Q609" s="4"/>
      <c r="R609" s="4"/>
      <c r="S609" s="4"/>
      <c r="T609" s="4"/>
      <c r="U609" s="4"/>
      <c r="V609" s="4"/>
      <c r="W609" s="4"/>
      <c r="X609" s="4"/>
      <c r="Y609" s="4"/>
      <c r="Z609" s="4"/>
    </row>
    <row r="610" ht="9.75" customHeight="1">
      <c r="A610" s="4"/>
      <c r="B610" s="4"/>
      <c r="C610" s="4"/>
      <c r="D610" s="4"/>
      <c r="E610" s="4"/>
      <c r="F610" s="4"/>
      <c r="G610" s="4"/>
      <c r="H610" s="4"/>
      <c r="I610" s="4"/>
      <c r="J610" s="4"/>
      <c r="K610" s="4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4"/>
      <c r="X610" s="4"/>
      <c r="Y610" s="4"/>
      <c r="Z610" s="4"/>
    </row>
    <row r="611" ht="9.75" customHeight="1">
      <c r="A611" s="4"/>
      <c r="B611" s="4"/>
      <c r="C611" s="4"/>
      <c r="D611" s="4"/>
      <c r="E611" s="4"/>
      <c r="F611" s="4"/>
      <c r="G611" s="4"/>
      <c r="H611" s="4"/>
      <c r="I611" s="4"/>
      <c r="J611" s="4"/>
      <c r="K611" s="4"/>
      <c r="L611" s="4"/>
      <c r="M611" s="4"/>
      <c r="N611" s="4"/>
      <c r="O611" s="4"/>
      <c r="P611" s="4"/>
      <c r="Q611" s="4"/>
      <c r="R611" s="4"/>
      <c r="S611" s="4"/>
      <c r="T611" s="4"/>
      <c r="U611" s="4"/>
      <c r="V611" s="4"/>
      <c r="W611" s="4"/>
      <c r="X611" s="4"/>
      <c r="Y611" s="4"/>
      <c r="Z611" s="4"/>
    </row>
    <row r="612" ht="9.75" customHeight="1">
      <c r="A612" s="4"/>
      <c r="B612" s="4"/>
      <c r="C612" s="4"/>
      <c r="D612" s="4"/>
      <c r="E612" s="4"/>
      <c r="F612" s="4"/>
      <c r="G612" s="4"/>
      <c r="H612" s="4"/>
      <c r="I612" s="4"/>
      <c r="J612" s="4"/>
      <c r="K612" s="4"/>
      <c r="L612" s="4"/>
      <c r="M612" s="4"/>
      <c r="N612" s="4"/>
      <c r="O612" s="4"/>
      <c r="P612" s="4"/>
      <c r="Q612" s="4"/>
      <c r="R612" s="4"/>
      <c r="S612" s="4"/>
      <c r="T612" s="4"/>
      <c r="U612" s="4"/>
      <c r="V612" s="4"/>
      <c r="W612" s="4"/>
      <c r="X612" s="4"/>
      <c r="Y612" s="4"/>
      <c r="Z612" s="4"/>
    </row>
    <row r="613" ht="9.75" customHeight="1">
      <c r="A613" s="4"/>
      <c r="B613" s="4"/>
      <c r="C613" s="4"/>
      <c r="D613" s="4"/>
      <c r="E613" s="4"/>
      <c r="F613" s="4"/>
      <c r="G613" s="4"/>
      <c r="H613" s="4"/>
      <c r="I613" s="4"/>
      <c r="J613" s="4"/>
      <c r="K613" s="4"/>
      <c r="L613" s="4"/>
      <c r="M613" s="4"/>
      <c r="N613" s="4"/>
      <c r="O613" s="4"/>
      <c r="P613" s="4"/>
      <c r="Q613" s="4"/>
      <c r="R613" s="4"/>
      <c r="S613" s="4"/>
      <c r="T613" s="4"/>
      <c r="U613" s="4"/>
      <c r="V613" s="4"/>
      <c r="W613" s="4"/>
      <c r="X613" s="4"/>
      <c r="Y613" s="4"/>
      <c r="Z613" s="4"/>
    </row>
    <row r="614" ht="9.75" customHeight="1">
      <c r="A614" s="4"/>
      <c r="B614" s="4"/>
      <c r="C614" s="4"/>
      <c r="D614" s="4"/>
      <c r="E614" s="4"/>
      <c r="F614" s="4"/>
      <c r="G614" s="4"/>
      <c r="H614" s="4"/>
      <c r="I614" s="4"/>
      <c r="J614" s="4"/>
      <c r="K614" s="4"/>
      <c r="L614" s="4"/>
      <c r="M614" s="4"/>
      <c r="N614" s="4"/>
      <c r="O614" s="4"/>
      <c r="P614" s="4"/>
      <c r="Q614" s="4"/>
      <c r="R614" s="4"/>
      <c r="S614" s="4"/>
      <c r="T614" s="4"/>
      <c r="U614" s="4"/>
      <c r="V614" s="4"/>
      <c r="W614" s="4"/>
      <c r="X614" s="4"/>
      <c r="Y614" s="4"/>
      <c r="Z614" s="4"/>
    </row>
    <row r="615" ht="9.75" customHeight="1">
      <c r="A615" s="4"/>
      <c r="B615" s="4"/>
      <c r="C615" s="4"/>
      <c r="D615" s="4"/>
      <c r="E615" s="4"/>
      <c r="F615" s="4"/>
      <c r="G615" s="4"/>
      <c r="H615" s="4"/>
      <c r="I615" s="4"/>
      <c r="J615" s="4"/>
      <c r="K615" s="4"/>
      <c r="L615" s="4"/>
      <c r="M615" s="4"/>
      <c r="N615" s="4"/>
      <c r="O615" s="4"/>
      <c r="P615" s="4"/>
      <c r="Q615" s="4"/>
      <c r="R615" s="4"/>
      <c r="S615" s="4"/>
      <c r="T615" s="4"/>
      <c r="U615" s="4"/>
      <c r="V615" s="4"/>
      <c r="W615" s="4"/>
      <c r="X615" s="4"/>
      <c r="Y615" s="4"/>
      <c r="Z615" s="4"/>
    </row>
    <row r="616" ht="9.75" customHeight="1">
      <c r="A616" s="4"/>
      <c r="B616" s="4"/>
      <c r="C616" s="4"/>
      <c r="D616" s="4"/>
      <c r="E616" s="4"/>
      <c r="F616" s="4"/>
      <c r="G616" s="4"/>
      <c r="H616" s="4"/>
      <c r="I616" s="4"/>
      <c r="J616" s="4"/>
      <c r="K616" s="4"/>
      <c r="L616" s="4"/>
      <c r="M616" s="4"/>
      <c r="N616" s="4"/>
      <c r="O616" s="4"/>
      <c r="P616" s="4"/>
      <c r="Q616" s="4"/>
      <c r="R616" s="4"/>
      <c r="S616" s="4"/>
      <c r="T616" s="4"/>
      <c r="U616" s="4"/>
      <c r="V616" s="4"/>
      <c r="W616" s="4"/>
      <c r="X616" s="4"/>
      <c r="Y616" s="4"/>
      <c r="Z616" s="4"/>
    </row>
    <row r="617" ht="9.75" customHeight="1">
      <c r="A617" s="4"/>
      <c r="B617" s="4"/>
      <c r="C617" s="4"/>
      <c r="D617" s="4"/>
      <c r="E617" s="4"/>
      <c r="F617" s="4"/>
      <c r="G617" s="4"/>
      <c r="H617" s="4"/>
      <c r="I617" s="4"/>
      <c r="J617" s="4"/>
      <c r="K617" s="4"/>
      <c r="L617" s="4"/>
      <c r="M617" s="4"/>
      <c r="N617" s="4"/>
      <c r="O617" s="4"/>
      <c r="P617" s="4"/>
      <c r="Q617" s="4"/>
      <c r="R617" s="4"/>
      <c r="S617" s="4"/>
      <c r="T617" s="4"/>
      <c r="U617" s="4"/>
      <c r="V617" s="4"/>
      <c r="W617" s="4"/>
      <c r="X617" s="4"/>
      <c r="Y617" s="4"/>
      <c r="Z617" s="4"/>
    </row>
    <row r="618" ht="9.75" customHeight="1">
      <c r="A618" s="4"/>
      <c r="B618" s="4"/>
      <c r="C618" s="4"/>
      <c r="D618" s="4"/>
      <c r="E618" s="4"/>
      <c r="F618" s="4"/>
      <c r="G618" s="4"/>
      <c r="H618" s="4"/>
      <c r="I618" s="4"/>
      <c r="J618" s="4"/>
      <c r="K618" s="4"/>
      <c r="L618" s="4"/>
      <c r="M618" s="4"/>
      <c r="N618" s="4"/>
      <c r="O618" s="4"/>
      <c r="P618" s="4"/>
      <c r="Q618" s="4"/>
      <c r="R618" s="4"/>
      <c r="S618" s="4"/>
      <c r="T618" s="4"/>
      <c r="U618" s="4"/>
      <c r="V618" s="4"/>
      <c r="W618" s="4"/>
      <c r="X618" s="4"/>
      <c r="Y618" s="4"/>
      <c r="Z618" s="4"/>
    </row>
    <row r="619" ht="9.75" customHeight="1">
      <c r="A619" s="4"/>
      <c r="B619" s="4"/>
      <c r="C619" s="4"/>
      <c r="D619" s="4"/>
      <c r="E619" s="4"/>
      <c r="F619" s="4"/>
      <c r="G619" s="4"/>
      <c r="H619" s="4"/>
      <c r="I619" s="4"/>
      <c r="J619" s="4"/>
      <c r="K619" s="4"/>
      <c r="L619" s="4"/>
      <c r="M619" s="4"/>
      <c r="N619" s="4"/>
      <c r="O619" s="4"/>
      <c r="P619" s="4"/>
      <c r="Q619" s="4"/>
      <c r="R619" s="4"/>
      <c r="S619" s="4"/>
      <c r="T619" s="4"/>
      <c r="U619" s="4"/>
      <c r="V619" s="4"/>
      <c r="W619" s="4"/>
      <c r="X619" s="4"/>
      <c r="Y619" s="4"/>
      <c r="Z619" s="4"/>
    </row>
    <row r="620" ht="9.75" customHeight="1">
      <c r="A620" s="4"/>
      <c r="B620" s="4"/>
      <c r="C620" s="4"/>
      <c r="D620" s="4"/>
      <c r="E620" s="4"/>
      <c r="F620" s="4"/>
      <c r="G620" s="4"/>
      <c r="H620" s="4"/>
      <c r="I620" s="4"/>
      <c r="J620" s="4"/>
      <c r="K620" s="4"/>
      <c r="L620" s="4"/>
      <c r="M620" s="4"/>
      <c r="N620" s="4"/>
      <c r="O620" s="4"/>
      <c r="P620" s="4"/>
      <c r="Q620" s="4"/>
      <c r="R620" s="4"/>
      <c r="S620" s="4"/>
      <c r="T620" s="4"/>
      <c r="U620" s="4"/>
      <c r="V620" s="4"/>
      <c r="W620" s="4"/>
      <c r="X620" s="4"/>
      <c r="Y620" s="4"/>
      <c r="Z620" s="4"/>
    </row>
    <row r="621" ht="9.75" customHeight="1">
      <c r="A621" s="4"/>
      <c r="B621" s="4"/>
      <c r="C621" s="4"/>
      <c r="D621" s="4"/>
      <c r="E621" s="4"/>
      <c r="F621" s="4"/>
      <c r="G621" s="4"/>
      <c r="H621" s="4"/>
      <c r="I621" s="4"/>
      <c r="J621" s="4"/>
      <c r="K621" s="4"/>
      <c r="L621" s="4"/>
      <c r="M621" s="4"/>
      <c r="N621" s="4"/>
      <c r="O621" s="4"/>
      <c r="P621" s="4"/>
      <c r="Q621" s="4"/>
      <c r="R621" s="4"/>
      <c r="S621" s="4"/>
      <c r="T621" s="4"/>
      <c r="U621" s="4"/>
      <c r="V621" s="4"/>
      <c r="W621" s="4"/>
      <c r="X621" s="4"/>
      <c r="Y621" s="4"/>
      <c r="Z621" s="4"/>
    </row>
    <row r="622" ht="9.75" customHeight="1">
      <c r="A622" s="4"/>
      <c r="B622" s="4"/>
      <c r="C622" s="4"/>
      <c r="D622" s="4"/>
      <c r="E622" s="4"/>
      <c r="F622" s="4"/>
      <c r="G622" s="4"/>
      <c r="H622" s="4"/>
      <c r="I622" s="4"/>
      <c r="J622" s="4"/>
      <c r="K622" s="4"/>
      <c r="L622" s="4"/>
      <c r="M622" s="4"/>
      <c r="N622" s="4"/>
      <c r="O622" s="4"/>
      <c r="P622" s="4"/>
      <c r="Q622" s="4"/>
      <c r="R622" s="4"/>
      <c r="S622" s="4"/>
      <c r="T622" s="4"/>
      <c r="U622" s="4"/>
      <c r="V622" s="4"/>
      <c r="W622" s="4"/>
      <c r="X622" s="4"/>
      <c r="Y622" s="4"/>
      <c r="Z622" s="4"/>
    </row>
    <row r="623" ht="9.75" customHeight="1">
      <c r="A623" s="4"/>
      <c r="B623" s="4"/>
      <c r="C623" s="4"/>
      <c r="D623" s="4"/>
      <c r="E623" s="4"/>
      <c r="F623" s="4"/>
      <c r="G623" s="4"/>
      <c r="H623" s="4"/>
      <c r="I623" s="4"/>
      <c r="J623" s="4"/>
      <c r="K623" s="4"/>
      <c r="L623" s="4"/>
      <c r="M623" s="4"/>
      <c r="N623" s="4"/>
      <c r="O623" s="4"/>
      <c r="P623" s="4"/>
      <c r="Q623" s="4"/>
      <c r="R623" s="4"/>
      <c r="S623" s="4"/>
      <c r="T623" s="4"/>
      <c r="U623" s="4"/>
      <c r="V623" s="4"/>
      <c r="W623" s="4"/>
      <c r="X623" s="4"/>
      <c r="Y623" s="4"/>
      <c r="Z623" s="4"/>
    </row>
    <row r="624" ht="9.75" customHeight="1">
      <c r="A624" s="4"/>
      <c r="B624" s="4"/>
      <c r="C624" s="4"/>
      <c r="D624" s="4"/>
      <c r="E624" s="4"/>
      <c r="F624" s="4"/>
      <c r="G624" s="4"/>
      <c r="H624" s="4"/>
      <c r="I624" s="4"/>
      <c r="J624" s="4"/>
      <c r="K624" s="4"/>
      <c r="L624" s="4"/>
      <c r="M624" s="4"/>
      <c r="N624" s="4"/>
      <c r="O624" s="4"/>
      <c r="P624" s="4"/>
      <c r="Q624" s="4"/>
      <c r="R624" s="4"/>
      <c r="S624" s="4"/>
      <c r="T624" s="4"/>
      <c r="U624" s="4"/>
      <c r="V624" s="4"/>
      <c r="W624" s="4"/>
      <c r="X624" s="4"/>
      <c r="Y624" s="4"/>
      <c r="Z624" s="4"/>
    </row>
    <row r="625" ht="9.75" customHeight="1">
      <c r="A625" s="4"/>
      <c r="B625" s="4"/>
      <c r="C625" s="4"/>
      <c r="D625" s="4"/>
      <c r="E625" s="4"/>
      <c r="F625" s="4"/>
      <c r="G625" s="4"/>
      <c r="H625" s="4"/>
      <c r="I625" s="4"/>
      <c r="J625" s="4"/>
      <c r="K625" s="4"/>
      <c r="L625" s="4"/>
      <c r="M625" s="4"/>
      <c r="N625" s="4"/>
      <c r="O625" s="4"/>
      <c r="P625" s="4"/>
      <c r="Q625" s="4"/>
      <c r="R625" s="4"/>
      <c r="S625" s="4"/>
      <c r="T625" s="4"/>
      <c r="U625" s="4"/>
      <c r="V625" s="4"/>
      <c r="W625" s="4"/>
      <c r="X625" s="4"/>
      <c r="Y625" s="4"/>
      <c r="Z625" s="4"/>
    </row>
    <row r="626" ht="9.75" customHeight="1">
      <c r="A626" s="4"/>
      <c r="B626" s="4"/>
      <c r="C626" s="4"/>
      <c r="D626" s="4"/>
      <c r="E626" s="4"/>
      <c r="F626" s="4"/>
      <c r="G626" s="4"/>
      <c r="H626" s="4"/>
      <c r="I626" s="4"/>
      <c r="J626" s="4"/>
      <c r="K626" s="4"/>
      <c r="L626" s="4"/>
      <c r="M626" s="4"/>
      <c r="N626" s="4"/>
      <c r="O626" s="4"/>
      <c r="P626" s="4"/>
      <c r="Q626" s="4"/>
      <c r="R626" s="4"/>
      <c r="S626" s="4"/>
      <c r="T626" s="4"/>
      <c r="U626" s="4"/>
      <c r="V626" s="4"/>
      <c r="W626" s="4"/>
      <c r="X626" s="4"/>
      <c r="Y626" s="4"/>
      <c r="Z626" s="4"/>
    </row>
    <row r="627" ht="9.75" customHeight="1">
      <c r="A627" s="4"/>
      <c r="B627" s="4"/>
      <c r="C627" s="4"/>
      <c r="D627" s="4"/>
      <c r="E627" s="4"/>
      <c r="F627" s="4"/>
      <c r="G627" s="4"/>
      <c r="H627" s="4"/>
      <c r="I627" s="4"/>
      <c r="J627" s="4"/>
      <c r="K627" s="4"/>
      <c r="L627" s="4"/>
      <c r="M627" s="4"/>
      <c r="N627" s="4"/>
      <c r="O627" s="4"/>
      <c r="P627" s="4"/>
      <c r="Q627" s="4"/>
      <c r="R627" s="4"/>
      <c r="S627" s="4"/>
      <c r="T627" s="4"/>
      <c r="U627" s="4"/>
      <c r="V627" s="4"/>
      <c r="W627" s="4"/>
      <c r="X627" s="4"/>
      <c r="Y627" s="4"/>
      <c r="Z627" s="4"/>
    </row>
    <row r="628" ht="9.75" customHeight="1">
      <c r="A628" s="4"/>
      <c r="B628" s="4"/>
      <c r="C628" s="4"/>
      <c r="D628" s="4"/>
      <c r="E628" s="4"/>
      <c r="F628" s="4"/>
      <c r="G628" s="4"/>
      <c r="H628" s="4"/>
      <c r="I628" s="4"/>
      <c r="J628" s="4"/>
      <c r="K628" s="4"/>
      <c r="L628" s="4"/>
      <c r="M628" s="4"/>
      <c r="N628" s="4"/>
      <c r="O628" s="4"/>
      <c r="P628" s="4"/>
      <c r="Q628" s="4"/>
      <c r="R628" s="4"/>
      <c r="S628" s="4"/>
      <c r="T628" s="4"/>
      <c r="U628" s="4"/>
      <c r="V628" s="4"/>
      <c r="W628" s="4"/>
      <c r="X628" s="4"/>
      <c r="Y628" s="4"/>
      <c r="Z628" s="4"/>
    </row>
    <row r="629" ht="9.75" customHeight="1">
      <c r="A629" s="4"/>
      <c r="B629" s="4"/>
      <c r="C629" s="4"/>
      <c r="D629" s="4"/>
      <c r="E629" s="4"/>
      <c r="F629" s="4"/>
      <c r="G629" s="4"/>
      <c r="H629" s="4"/>
      <c r="I629" s="4"/>
      <c r="J629" s="4"/>
      <c r="K629" s="4"/>
      <c r="L629" s="4"/>
      <c r="M629" s="4"/>
      <c r="N629" s="4"/>
      <c r="O629" s="4"/>
      <c r="P629" s="4"/>
      <c r="Q629" s="4"/>
      <c r="R629" s="4"/>
      <c r="S629" s="4"/>
      <c r="T629" s="4"/>
      <c r="U629" s="4"/>
      <c r="V629" s="4"/>
      <c r="W629" s="4"/>
      <c r="X629" s="4"/>
      <c r="Y629" s="4"/>
      <c r="Z629" s="4"/>
    </row>
    <row r="630" ht="9.75" customHeight="1">
      <c r="A630" s="4"/>
      <c r="B630" s="4"/>
      <c r="C630" s="4"/>
      <c r="D630" s="4"/>
      <c r="E630" s="4"/>
      <c r="F630" s="4"/>
      <c r="G630" s="4"/>
      <c r="H630" s="4"/>
      <c r="I630" s="4"/>
      <c r="J630" s="4"/>
      <c r="K630" s="4"/>
      <c r="L630" s="4"/>
      <c r="M630" s="4"/>
      <c r="N630" s="4"/>
      <c r="O630" s="4"/>
      <c r="P630" s="4"/>
      <c r="Q630" s="4"/>
      <c r="R630" s="4"/>
      <c r="S630" s="4"/>
      <c r="T630" s="4"/>
      <c r="U630" s="4"/>
      <c r="V630" s="4"/>
      <c r="W630" s="4"/>
      <c r="X630" s="4"/>
      <c r="Y630" s="4"/>
      <c r="Z630" s="4"/>
    </row>
    <row r="631" ht="9.75" customHeight="1">
      <c r="A631" s="4"/>
      <c r="B631" s="4"/>
      <c r="C631" s="4"/>
      <c r="D631" s="4"/>
      <c r="E631" s="4"/>
      <c r="F631" s="4"/>
      <c r="G631" s="4"/>
      <c r="H631" s="4"/>
      <c r="I631" s="4"/>
      <c r="J631" s="4"/>
      <c r="K631" s="4"/>
      <c r="L631" s="4"/>
      <c r="M631" s="4"/>
      <c r="N631" s="4"/>
      <c r="O631" s="4"/>
      <c r="P631" s="4"/>
      <c r="Q631" s="4"/>
      <c r="R631" s="4"/>
      <c r="S631" s="4"/>
      <c r="T631" s="4"/>
      <c r="U631" s="4"/>
      <c r="V631" s="4"/>
      <c r="W631" s="4"/>
      <c r="X631" s="4"/>
      <c r="Y631" s="4"/>
      <c r="Z631" s="4"/>
    </row>
    <row r="632" ht="9.75" customHeight="1">
      <c r="A632" s="4"/>
      <c r="B632" s="4"/>
      <c r="C632" s="4"/>
      <c r="D632" s="4"/>
      <c r="E632" s="4"/>
      <c r="F632" s="4"/>
      <c r="G632" s="4"/>
      <c r="H632" s="4"/>
      <c r="I632" s="4"/>
      <c r="J632" s="4"/>
      <c r="K632" s="4"/>
      <c r="L632" s="4"/>
      <c r="M632" s="4"/>
      <c r="N632" s="4"/>
      <c r="O632" s="4"/>
      <c r="P632" s="4"/>
      <c r="Q632" s="4"/>
      <c r="R632" s="4"/>
      <c r="S632" s="4"/>
      <c r="T632" s="4"/>
      <c r="U632" s="4"/>
      <c r="V632" s="4"/>
      <c r="W632" s="4"/>
      <c r="X632" s="4"/>
      <c r="Y632" s="4"/>
      <c r="Z632" s="4"/>
    </row>
    <row r="633" ht="9.75" customHeight="1">
      <c r="A633" s="4"/>
      <c r="B633" s="4"/>
      <c r="C633" s="4"/>
      <c r="D633" s="4"/>
      <c r="E633" s="4"/>
      <c r="F633" s="4"/>
      <c r="G633" s="4"/>
      <c r="H633" s="4"/>
      <c r="I633" s="4"/>
      <c r="J633" s="4"/>
      <c r="K633" s="4"/>
      <c r="L633" s="4"/>
      <c r="M633" s="4"/>
      <c r="N633" s="4"/>
      <c r="O633" s="4"/>
      <c r="P633" s="4"/>
      <c r="Q633" s="4"/>
      <c r="R633" s="4"/>
      <c r="S633" s="4"/>
      <c r="T633" s="4"/>
      <c r="U633" s="4"/>
      <c r="V633" s="4"/>
      <c r="W633" s="4"/>
      <c r="X633" s="4"/>
      <c r="Y633" s="4"/>
      <c r="Z633" s="4"/>
    </row>
    <row r="634" ht="9.75" customHeight="1">
      <c r="A634" s="4"/>
      <c r="B634" s="4"/>
      <c r="C634" s="4"/>
      <c r="D634" s="4"/>
      <c r="E634" s="4"/>
      <c r="F634" s="4"/>
      <c r="G634" s="4"/>
      <c r="H634" s="4"/>
      <c r="I634" s="4"/>
      <c r="J634" s="4"/>
      <c r="K634" s="4"/>
      <c r="L634" s="4"/>
      <c r="M634" s="4"/>
      <c r="N634" s="4"/>
      <c r="O634" s="4"/>
      <c r="P634" s="4"/>
      <c r="Q634" s="4"/>
      <c r="R634" s="4"/>
      <c r="S634" s="4"/>
      <c r="T634" s="4"/>
      <c r="U634" s="4"/>
      <c r="V634" s="4"/>
      <c r="W634" s="4"/>
      <c r="X634" s="4"/>
      <c r="Y634" s="4"/>
      <c r="Z634" s="4"/>
    </row>
    <row r="635" ht="9.75" customHeight="1">
      <c r="A635" s="4"/>
      <c r="B635" s="4"/>
      <c r="C635" s="4"/>
      <c r="D635" s="4"/>
      <c r="E635" s="4"/>
      <c r="F635" s="4"/>
      <c r="G635" s="4"/>
      <c r="H635" s="4"/>
      <c r="I635" s="4"/>
      <c r="J635" s="4"/>
      <c r="K635" s="4"/>
      <c r="L635" s="4"/>
      <c r="M635" s="4"/>
      <c r="N635" s="4"/>
      <c r="O635" s="4"/>
      <c r="P635" s="4"/>
      <c r="Q635" s="4"/>
      <c r="R635" s="4"/>
      <c r="S635" s="4"/>
      <c r="T635" s="4"/>
      <c r="U635" s="4"/>
      <c r="V635" s="4"/>
      <c r="W635" s="4"/>
      <c r="X635" s="4"/>
      <c r="Y635" s="4"/>
      <c r="Z635" s="4"/>
    </row>
    <row r="636" ht="9.75" customHeight="1">
      <c r="A636" s="4"/>
      <c r="B636" s="4"/>
      <c r="C636" s="4"/>
      <c r="D636" s="4"/>
      <c r="E636" s="4"/>
      <c r="F636" s="4"/>
      <c r="G636" s="4"/>
      <c r="H636" s="4"/>
      <c r="I636" s="4"/>
      <c r="J636" s="4"/>
      <c r="K636" s="4"/>
      <c r="L636" s="4"/>
      <c r="M636" s="4"/>
      <c r="N636" s="4"/>
      <c r="O636" s="4"/>
      <c r="P636" s="4"/>
      <c r="Q636" s="4"/>
      <c r="R636" s="4"/>
      <c r="S636" s="4"/>
      <c r="T636" s="4"/>
      <c r="U636" s="4"/>
      <c r="V636" s="4"/>
      <c r="W636" s="4"/>
      <c r="X636" s="4"/>
      <c r="Y636" s="4"/>
      <c r="Z636" s="4"/>
    </row>
    <row r="637" ht="9.75" customHeight="1">
      <c r="A637" s="4"/>
      <c r="B637" s="4"/>
      <c r="C637" s="4"/>
      <c r="D637" s="4"/>
      <c r="E637" s="4"/>
      <c r="F637" s="4"/>
      <c r="G637" s="4"/>
      <c r="H637" s="4"/>
      <c r="I637" s="4"/>
      <c r="J637" s="4"/>
      <c r="K637" s="4"/>
      <c r="L637" s="4"/>
      <c r="M637" s="4"/>
      <c r="N637" s="4"/>
      <c r="O637" s="4"/>
      <c r="P637" s="4"/>
      <c r="Q637" s="4"/>
      <c r="R637" s="4"/>
      <c r="S637" s="4"/>
      <c r="T637" s="4"/>
      <c r="U637" s="4"/>
      <c r="V637" s="4"/>
      <c r="W637" s="4"/>
      <c r="X637" s="4"/>
      <c r="Y637" s="4"/>
      <c r="Z637" s="4"/>
    </row>
    <row r="638" ht="9.75" customHeight="1">
      <c r="A638" s="4"/>
      <c r="B638" s="4"/>
      <c r="C638" s="4"/>
      <c r="D638" s="4"/>
      <c r="E638" s="4"/>
      <c r="F638" s="4"/>
      <c r="G638" s="4"/>
      <c r="H638" s="4"/>
      <c r="I638" s="4"/>
      <c r="J638" s="4"/>
      <c r="K638" s="4"/>
      <c r="L638" s="4"/>
      <c r="M638" s="4"/>
      <c r="N638" s="4"/>
      <c r="O638" s="4"/>
      <c r="P638" s="4"/>
      <c r="Q638" s="4"/>
      <c r="R638" s="4"/>
      <c r="S638" s="4"/>
      <c r="T638" s="4"/>
      <c r="U638" s="4"/>
      <c r="V638" s="4"/>
      <c r="W638" s="4"/>
      <c r="X638" s="4"/>
      <c r="Y638" s="4"/>
      <c r="Z638" s="4"/>
    </row>
    <row r="639" ht="9.75" customHeight="1">
      <c r="A639" s="4"/>
      <c r="B639" s="4"/>
      <c r="C639" s="4"/>
      <c r="D639" s="4"/>
      <c r="E639" s="4"/>
      <c r="F639" s="4"/>
      <c r="G639" s="4"/>
      <c r="H639" s="4"/>
      <c r="I639" s="4"/>
      <c r="J639" s="4"/>
      <c r="K639" s="4"/>
      <c r="L639" s="4"/>
      <c r="M639" s="4"/>
      <c r="N639" s="4"/>
      <c r="O639" s="4"/>
      <c r="P639" s="4"/>
      <c r="Q639" s="4"/>
      <c r="R639" s="4"/>
      <c r="S639" s="4"/>
      <c r="T639" s="4"/>
      <c r="U639" s="4"/>
      <c r="V639" s="4"/>
      <c r="W639" s="4"/>
      <c r="X639" s="4"/>
      <c r="Y639" s="4"/>
      <c r="Z639" s="4"/>
    </row>
    <row r="640" ht="9.75" customHeight="1">
      <c r="A640" s="4"/>
      <c r="B640" s="4"/>
      <c r="C640" s="4"/>
      <c r="D640" s="4"/>
      <c r="E640" s="4"/>
      <c r="F640" s="4"/>
      <c r="G640" s="4"/>
      <c r="H640" s="4"/>
      <c r="I640" s="4"/>
      <c r="J640" s="4"/>
      <c r="K640" s="4"/>
      <c r="L640" s="4"/>
      <c r="M640" s="4"/>
      <c r="N640" s="4"/>
      <c r="O640" s="4"/>
      <c r="P640" s="4"/>
      <c r="Q640" s="4"/>
      <c r="R640" s="4"/>
      <c r="S640" s="4"/>
      <c r="T640" s="4"/>
      <c r="U640" s="4"/>
      <c r="V640" s="4"/>
      <c r="W640" s="4"/>
      <c r="X640" s="4"/>
      <c r="Y640" s="4"/>
      <c r="Z640" s="4"/>
    </row>
    <row r="641" ht="9.75" customHeight="1">
      <c r="A641" s="4"/>
      <c r="B641" s="4"/>
      <c r="C641" s="4"/>
      <c r="D641" s="4"/>
      <c r="E641" s="4"/>
      <c r="F641" s="4"/>
      <c r="G641" s="4"/>
      <c r="H641" s="4"/>
      <c r="I641" s="4"/>
      <c r="J641" s="4"/>
      <c r="K641" s="4"/>
      <c r="L641" s="4"/>
      <c r="M641" s="4"/>
      <c r="N641" s="4"/>
      <c r="O641" s="4"/>
      <c r="P641" s="4"/>
      <c r="Q641" s="4"/>
      <c r="R641" s="4"/>
      <c r="S641" s="4"/>
      <c r="T641" s="4"/>
      <c r="U641" s="4"/>
      <c r="V641" s="4"/>
      <c r="W641" s="4"/>
      <c r="X641" s="4"/>
      <c r="Y641" s="4"/>
      <c r="Z641" s="4"/>
    </row>
    <row r="642" ht="9.75" customHeight="1">
      <c r="A642" s="4"/>
      <c r="B642" s="4"/>
      <c r="C642" s="4"/>
      <c r="D642" s="4"/>
      <c r="E642" s="4"/>
      <c r="F642" s="4"/>
      <c r="G642" s="4"/>
      <c r="H642" s="4"/>
      <c r="I642" s="4"/>
      <c r="J642" s="4"/>
      <c r="K642" s="4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  <c r="X642" s="4"/>
      <c r="Y642" s="4"/>
      <c r="Z642" s="4"/>
    </row>
    <row r="643" ht="9.75" customHeight="1">
      <c r="A643" s="4"/>
      <c r="B643" s="4"/>
      <c r="C643" s="4"/>
      <c r="D643" s="4"/>
      <c r="E643" s="4"/>
      <c r="F643" s="4"/>
      <c r="G643" s="4"/>
      <c r="H643" s="4"/>
      <c r="I643" s="4"/>
      <c r="J643" s="4"/>
      <c r="K643" s="4"/>
      <c r="L643" s="4"/>
      <c r="M643" s="4"/>
      <c r="N643" s="4"/>
      <c r="O643" s="4"/>
      <c r="P643" s="4"/>
      <c r="Q643" s="4"/>
      <c r="R643" s="4"/>
      <c r="S643" s="4"/>
      <c r="T643" s="4"/>
      <c r="U643" s="4"/>
      <c r="V643" s="4"/>
      <c r="W643" s="4"/>
      <c r="X643" s="4"/>
      <c r="Y643" s="4"/>
      <c r="Z643" s="4"/>
    </row>
    <row r="644" ht="9.75" customHeight="1">
      <c r="A644" s="4"/>
      <c r="B644" s="4"/>
      <c r="C644" s="4"/>
      <c r="D644" s="4"/>
      <c r="E644" s="4"/>
      <c r="F644" s="4"/>
      <c r="G644" s="4"/>
      <c r="H644" s="4"/>
      <c r="I644" s="4"/>
      <c r="J644" s="4"/>
      <c r="K644" s="4"/>
      <c r="L644" s="4"/>
      <c r="M644" s="4"/>
      <c r="N644" s="4"/>
      <c r="O644" s="4"/>
      <c r="P644" s="4"/>
      <c r="Q644" s="4"/>
      <c r="R644" s="4"/>
      <c r="S644" s="4"/>
      <c r="T644" s="4"/>
      <c r="U644" s="4"/>
      <c r="V644" s="4"/>
      <c r="W644" s="4"/>
      <c r="X644" s="4"/>
      <c r="Y644" s="4"/>
      <c r="Z644" s="4"/>
    </row>
    <row r="645" ht="9.75" customHeight="1">
      <c r="A645" s="4"/>
      <c r="B645" s="4"/>
      <c r="C645" s="4"/>
      <c r="D645" s="4"/>
      <c r="E645" s="4"/>
      <c r="F645" s="4"/>
      <c r="G645" s="4"/>
      <c r="H645" s="4"/>
      <c r="I645" s="4"/>
      <c r="J645" s="4"/>
      <c r="K645" s="4"/>
      <c r="L645" s="4"/>
      <c r="M645" s="4"/>
      <c r="N645" s="4"/>
      <c r="O645" s="4"/>
      <c r="P645" s="4"/>
      <c r="Q645" s="4"/>
      <c r="R645" s="4"/>
      <c r="S645" s="4"/>
      <c r="T645" s="4"/>
      <c r="U645" s="4"/>
      <c r="V645" s="4"/>
      <c r="W645" s="4"/>
      <c r="X645" s="4"/>
      <c r="Y645" s="4"/>
      <c r="Z645" s="4"/>
    </row>
    <row r="646" ht="9.75" customHeight="1">
      <c r="A646" s="4"/>
      <c r="B646" s="4"/>
      <c r="C646" s="4"/>
      <c r="D646" s="4"/>
      <c r="E646" s="4"/>
      <c r="F646" s="4"/>
      <c r="G646" s="4"/>
      <c r="H646" s="4"/>
      <c r="I646" s="4"/>
      <c r="J646" s="4"/>
      <c r="K646" s="4"/>
      <c r="L646" s="4"/>
      <c r="M646" s="4"/>
      <c r="N646" s="4"/>
      <c r="O646" s="4"/>
      <c r="P646" s="4"/>
      <c r="Q646" s="4"/>
      <c r="R646" s="4"/>
      <c r="S646" s="4"/>
      <c r="T646" s="4"/>
      <c r="U646" s="4"/>
      <c r="V646" s="4"/>
      <c r="W646" s="4"/>
      <c r="X646" s="4"/>
      <c r="Y646" s="4"/>
      <c r="Z646" s="4"/>
    </row>
    <row r="647" ht="9.75" customHeight="1">
      <c r="A647" s="4"/>
      <c r="B647" s="4"/>
      <c r="C647" s="4"/>
      <c r="D647" s="4"/>
      <c r="E647" s="4"/>
      <c r="F647" s="4"/>
      <c r="G647" s="4"/>
      <c r="H647" s="4"/>
      <c r="I647" s="4"/>
      <c r="J647" s="4"/>
      <c r="K647" s="4"/>
      <c r="L647" s="4"/>
      <c r="M647" s="4"/>
      <c r="N647" s="4"/>
      <c r="O647" s="4"/>
      <c r="P647" s="4"/>
      <c r="Q647" s="4"/>
      <c r="R647" s="4"/>
      <c r="S647" s="4"/>
      <c r="T647" s="4"/>
      <c r="U647" s="4"/>
      <c r="V647" s="4"/>
      <c r="W647" s="4"/>
      <c r="X647" s="4"/>
      <c r="Y647" s="4"/>
      <c r="Z647" s="4"/>
    </row>
    <row r="648" ht="9.75" customHeight="1">
      <c r="A648" s="4"/>
      <c r="B648" s="4"/>
      <c r="C648" s="4"/>
      <c r="D648" s="4"/>
      <c r="E648" s="4"/>
      <c r="F648" s="4"/>
      <c r="G648" s="4"/>
      <c r="H648" s="4"/>
      <c r="I648" s="4"/>
      <c r="J648" s="4"/>
      <c r="K648" s="4"/>
      <c r="L648" s="4"/>
      <c r="M648" s="4"/>
      <c r="N648" s="4"/>
      <c r="O648" s="4"/>
      <c r="P648" s="4"/>
      <c r="Q648" s="4"/>
      <c r="R648" s="4"/>
      <c r="S648" s="4"/>
      <c r="T648" s="4"/>
      <c r="U648" s="4"/>
      <c r="V648" s="4"/>
      <c r="W648" s="4"/>
      <c r="X648" s="4"/>
      <c r="Y648" s="4"/>
      <c r="Z648" s="4"/>
    </row>
    <row r="649" ht="9.75" customHeight="1">
      <c r="A649" s="4"/>
      <c r="B649" s="4"/>
      <c r="C649" s="4"/>
      <c r="D649" s="4"/>
      <c r="E649" s="4"/>
      <c r="F649" s="4"/>
      <c r="G649" s="4"/>
      <c r="H649" s="4"/>
      <c r="I649" s="4"/>
      <c r="J649" s="4"/>
      <c r="K649" s="4"/>
      <c r="L649" s="4"/>
      <c r="M649" s="4"/>
      <c r="N649" s="4"/>
      <c r="O649" s="4"/>
      <c r="P649" s="4"/>
      <c r="Q649" s="4"/>
      <c r="R649" s="4"/>
      <c r="S649" s="4"/>
      <c r="T649" s="4"/>
      <c r="U649" s="4"/>
      <c r="V649" s="4"/>
      <c r="W649" s="4"/>
      <c r="X649" s="4"/>
      <c r="Y649" s="4"/>
      <c r="Z649" s="4"/>
    </row>
    <row r="650" ht="9.75" customHeight="1">
      <c r="A650" s="4"/>
      <c r="B650" s="4"/>
      <c r="C650" s="4"/>
      <c r="D650" s="4"/>
      <c r="E650" s="4"/>
      <c r="F650" s="4"/>
      <c r="G650" s="4"/>
      <c r="H650" s="4"/>
      <c r="I650" s="4"/>
      <c r="J650" s="4"/>
      <c r="K650" s="4"/>
      <c r="L650" s="4"/>
      <c r="M650" s="4"/>
      <c r="N650" s="4"/>
      <c r="O650" s="4"/>
      <c r="P650" s="4"/>
      <c r="Q650" s="4"/>
      <c r="R650" s="4"/>
      <c r="S650" s="4"/>
      <c r="T650" s="4"/>
      <c r="U650" s="4"/>
      <c r="V650" s="4"/>
      <c r="W650" s="4"/>
      <c r="X650" s="4"/>
      <c r="Y650" s="4"/>
      <c r="Z650" s="4"/>
    </row>
    <row r="651" ht="9.75" customHeight="1">
      <c r="A651" s="4"/>
      <c r="B651" s="4"/>
      <c r="C651" s="4"/>
      <c r="D651" s="4"/>
      <c r="E651" s="4"/>
      <c r="F651" s="4"/>
      <c r="G651" s="4"/>
      <c r="H651" s="4"/>
      <c r="I651" s="4"/>
      <c r="J651" s="4"/>
      <c r="K651" s="4"/>
      <c r="L651" s="4"/>
      <c r="M651" s="4"/>
      <c r="N651" s="4"/>
      <c r="O651" s="4"/>
      <c r="P651" s="4"/>
      <c r="Q651" s="4"/>
      <c r="R651" s="4"/>
      <c r="S651" s="4"/>
      <c r="T651" s="4"/>
      <c r="U651" s="4"/>
      <c r="V651" s="4"/>
      <c r="W651" s="4"/>
      <c r="X651" s="4"/>
      <c r="Y651" s="4"/>
      <c r="Z651" s="4"/>
    </row>
    <row r="652" ht="9.75" customHeight="1">
      <c r="A652" s="4"/>
      <c r="B652" s="4"/>
      <c r="C652" s="4"/>
      <c r="D652" s="4"/>
      <c r="E652" s="4"/>
      <c r="F652" s="4"/>
      <c r="G652" s="4"/>
      <c r="H652" s="4"/>
      <c r="I652" s="4"/>
      <c r="J652" s="4"/>
      <c r="K652" s="4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  <c r="X652" s="4"/>
      <c r="Y652" s="4"/>
      <c r="Z652" s="4"/>
    </row>
    <row r="653" ht="9.75" customHeight="1">
      <c r="A653" s="4"/>
      <c r="B653" s="4"/>
      <c r="C653" s="4"/>
      <c r="D653" s="4"/>
      <c r="E653" s="4"/>
      <c r="F653" s="4"/>
      <c r="G653" s="4"/>
      <c r="H653" s="4"/>
      <c r="I653" s="4"/>
      <c r="J653" s="4"/>
      <c r="K653" s="4"/>
      <c r="L653" s="4"/>
      <c r="M653" s="4"/>
      <c r="N653" s="4"/>
      <c r="O653" s="4"/>
      <c r="P653" s="4"/>
      <c r="Q653" s="4"/>
      <c r="R653" s="4"/>
      <c r="S653" s="4"/>
      <c r="T653" s="4"/>
      <c r="U653" s="4"/>
      <c r="V653" s="4"/>
      <c r="W653" s="4"/>
      <c r="X653" s="4"/>
      <c r="Y653" s="4"/>
      <c r="Z653" s="4"/>
    </row>
    <row r="654" ht="9.75" customHeight="1">
      <c r="A654" s="4"/>
      <c r="B654" s="4"/>
      <c r="C654" s="4"/>
      <c r="D654" s="4"/>
      <c r="E654" s="4"/>
      <c r="F654" s="4"/>
      <c r="G654" s="4"/>
      <c r="H654" s="4"/>
      <c r="I654" s="4"/>
      <c r="J654" s="4"/>
      <c r="K654" s="4"/>
      <c r="L654" s="4"/>
      <c r="M654" s="4"/>
      <c r="N654" s="4"/>
      <c r="O654" s="4"/>
      <c r="P654" s="4"/>
      <c r="Q654" s="4"/>
      <c r="R654" s="4"/>
      <c r="S654" s="4"/>
      <c r="T654" s="4"/>
      <c r="U654" s="4"/>
      <c r="V654" s="4"/>
      <c r="W654" s="4"/>
      <c r="X654" s="4"/>
      <c r="Y654" s="4"/>
      <c r="Z654" s="4"/>
    </row>
    <row r="655" ht="9.75" customHeight="1">
      <c r="A655" s="4"/>
      <c r="B655" s="4"/>
      <c r="C655" s="4"/>
      <c r="D655" s="4"/>
      <c r="E655" s="4"/>
      <c r="F655" s="4"/>
      <c r="G655" s="4"/>
      <c r="H655" s="4"/>
      <c r="I655" s="4"/>
      <c r="J655" s="4"/>
      <c r="K655" s="4"/>
      <c r="L655" s="4"/>
      <c r="M655" s="4"/>
      <c r="N655" s="4"/>
      <c r="O655" s="4"/>
      <c r="P655" s="4"/>
      <c r="Q655" s="4"/>
      <c r="R655" s="4"/>
      <c r="S655" s="4"/>
      <c r="T655" s="4"/>
      <c r="U655" s="4"/>
      <c r="V655" s="4"/>
      <c r="W655" s="4"/>
      <c r="X655" s="4"/>
      <c r="Y655" s="4"/>
      <c r="Z655" s="4"/>
    </row>
    <row r="656" ht="9.75" customHeight="1">
      <c r="A656" s="4"/>
      <c r="B656" s="4"/>
      <c r="C656" s="4"/>
      <c r="D656" s="4"/>
      <c r="E656" s="4"/>
      <c r="F656" s="4"/>
      <c r="G656" s="4"/>
      <c r="H656" s="4"/>
      <c r="I656" s="4"/>
      <c r="J656" s="4"/>
      <c r="K656" s="4"/>
      <c r="L656" s="4"/>
      <c r="M656" s="4"/>
      <c r="N656" s="4"/>
      <c r="O656" s="4"/>
      <c r="P656" s="4"/>
      <c r="Q656" s="4"/>
      <c r="R656" s="4"/>
      <c r="S656" s="4"/>
      <c r="T656" s="4"/>
      <c r="U656" s="4"/>
      <c r="V656" s="4"/>
      <c r="W656" s="4"/>
      <c r="X656" s="4"/>
      <c r="Y656" s="4"/>
      <c r="Z656" s="4"/>
    </row>
    <row r="657" ht="9.75" customHeight="1">
      <c r="A657" s="4"/>
      <c r="B657" s="4"/>
      <c r="C657" s="4"/>
      <c r="D657" s="4"/>
      <c r="E657" s="4"/>
      <c r="F657" s="4"/>
      <c r="G657" s="4"/>
      <c r="H657" s="4"/>
      <c r="I657" s="4"/>
      <c r="J657" s="4"/>
      <c r="K657" s="4"/>
      <c r="L657" s="4"/>
      <c r="M657" s="4"/>
      <c r="N657" s="4"/>
      <c r="O657" s="4"/>
      <c r="P657" s="4"/>
      <c r="Q657" s="4"/>
      <c r="R657" s="4"/>
      <c r="S657" s="4"/>
      <c r="T657" s="4"/>
      <c r="U657" s="4"/>
      <c r="V657" s="4"/>
      <c r="W657" s="4"/>
      <c r="X657" s="4"/>
      <c r="Y657" s="4"/>
      <c r="Z657" s="4"/>
    </row>
    <row r="658" ht="9.75" customHeight="1">
      <c r="A658" s="4"/>
      <c r="B658" s="4"/>
      <c r="C658" s="4"/>
      <c r="D658" s="4"/>
      <c r="E658" s="4"/>
      <c r="F658" s="4"/>
      <c r="G658" s="4"/>
      <c r="H658" s="4"/>
      <c r="I658" s="4"/>
      <c r="J658" s="4"/>
      <c r="K658" s="4"/>
      <c r="L658" s="4"/>
      <c r="M658" s="4"/>
      <c r="N658" s="4"/>
      <c r="O658" s="4"/>
      <c r="P658" s="4"/>
      <c r="Q658" s="4"/>
      <c r="R658" s="4"/>
      <c r="S658" s="4"/>
      <c r="T658" s="4"/>
      <c r="U658" s="4"/>
      <c r="V658" s="4"/>
      <c r="W658" s="4"/>
      <c r="X658" s="4"/>
      <c r="Y658" s="4"/>
      <c r="Z658" s="4"/>
    </row>
    <row r="659" ht="9.75" customHeight="1">
      <c r="A659" s="4"/>
      <c r="B659" s="4"/>
      <c r="C659" s="4"/>
      <c r="D659" s="4"/>
      <c r="E659" s="4"/>
      <c r="F659" s="4"/>
      <c r="G659" s="4"/>
      <c r="H659" s="4"/>
      <c r="I659" s="4"/>
      <c r="J659" s="4"/>
      <c r="K659" s="4"/>
      <c r="L659" s="4"/>
      <c r="M659" s="4"/>
      <c r="N659" s="4"/>
      <c r="O659" s="4"/>
      <c r="P659" s="4"/>
      <c r="Q659" s="4"/>
      <c r="R659" s="4"/>
      <c r="S659" s="4"/>
      <c r="T659" s="4"/>
      <c r="U659" s="4"/>
      <c r="V659" s="4"/>
      <c r="W659" s="4"/>
      <c r="X659" s="4"/>
      <c r="Y659" s="4"/>
      <c r="Z659" s="4"/>
    </row>
    <row r="660" ht="9.75" customHeight="1">
      <c r="A660" s="4"/>
      <c r="B660" s="4"/>
      <c r="C660" s="4"/>
      <c r="D660" s="4"/>
      <c r="E660" s="4"/>
      <c r="F660" s="4"/>
      <c r="G660" s="4"/>
      <c r="H660" s="4"/>
      <c r="I660" s="4"/>
      <c r="J660" s="4"/>
      <c r="K660" s="4"/>
      <c r="L660" s="4"/>
      <c r="M660" s="4"/>
      <c r="N660" s="4"/>
      <c r="O660" s="4"/>
      <c r="P660" s="4"/>
      <c r="Q660" s="4"/>
      <c r="R660" s="4"/>
      <c r="S660" s="4"/>
      <c r="T660" s="4"/>
      <c r="U660" s="4"/>
      <c r="V660" s="4"/>
      <c r="W660" s="4"/>
      <c r="X660" s="4"/>
      <c r="Y660" s="4"/>
      <c r="Z660" s="4"/>
    </row>
    <row r="661" ht="9.75" customHeight="1">
      <c r="A661" s="4"/>
      <c r="B661" s="4"/>
      <c r="C661" s="4"/>
      <c r="D661" s="4"/>
      <c r="E661" s="4"/>
      <c r="F661" s="4"/>
      <c r="G661" s="4"/>
      <c r="H661" s="4"/>
      <c r="I661" s="4"/>
      <c r="J661" s="4"/>
      <c r="K661" s="4"/>
      <c r="L661" s="4"/>
      <c r="M661" s="4"/>
      <c r="N661" s="4"/>
      <c r="O661" s="4"/>
      <c r="P661" s="4"/>
      <c r="Q661" s="4"/>
      <c r="R661" s="4"/>
      <c r="S661" s="4"/>
      <c r="T661" s="4"/>
      <c r="U661" s="4"/>
      <c r="V661" s="4"/>
      <c r="W661" s="4"/>
      <c r="X661" s="4"/>
      <c r="Y661" s="4"/>
      <c r="Z661" s="4"/>
    </row>
    <row r="662" ht="9.75" customHeight="1">
      <c r="A662" s="4"/>
      <c r="B662" s="4"/>
      <c r="C662" s="4"/>
      <c r="D662" s="4"/>
      <c r="E662" s="4"/>
      <c r="F662" s="4"/>
      <c r="G662" s="4"/>
      <c r="H662" s="4"/>
      <c r="I662" s="4"/>
      <c r="J662" s="4"/>
      <c r="K662" s="4"/>
      <c r="L662" s="4"/>
      <c r="M662" s="4"/>
      <c r="N662" s="4"/>
      <c r="O662" s="4"/>
      <c r="P662" s="4"/>
      <c r="Q662" s="4"/>
      <c r="R662" s="4"/>
      <c r="S662" s="4"/>
      <c r="T662" s="4"/>
      <c r="U662" s="4"/>
      <c r="V662" s="4"/>
      <c r="W662" s="4"/>
      <c r="X662" s="4"/>
      <c r="Y662" s="4"/>
      <c r="Z662" s="4"/>
    </row>
    <row r="663" ht="9.75" customHeight="1">
      <c r="A663" s="4"/>
      <c r="B663" s="4"/>
      <c r="C663" s="4"/>
      <c r="D663" s="4"/>
      <c r="E663" s="4"/>
      <c r="F663" s="4"/>
      <c r="G663" s="4"/>
      <c r="H663" s="4"/>
      <c r="I663" s="4"/>
      <c r="J663" s="4"/>
      <c r="K663" s="4"/>
      <c r="L663" s="4"/>
      <c r="M663" s="4"/>
      <c r="N663" s="4"/>
      <c r="O663" s="4"/>
      <c r="P663" s="4"/>
      <c r="Q663" s="4"/>
      <c r="R663" s="4"/>
      <c r="S663" s="4"/>
      <c r="T663" s="4"/>
      <c r="U663" s="4"/>
      <c r="V663" s="4"/>
      <c r="W663" s="4"/>
      <c r="X663" s="4"/>
      <c r="Y663" s="4"/>
      <c r="Z663" s="4"/>
    </row>
    <row r="664" ht="9.75" customHeight="1">
      <c r="A664" s="4"/>
      <c r="B664" s="4"/>
      <c r="C664" s="4"/>
      <c r="D664" s="4"/>
      <c r="E664" s="4"/>
      <c r="F664" s="4"/>
      <c r="G664" s="4"/>
      <c r="H664" s="4"/>
      <c r="I664" s="4"/>
      <c r="J664" s="4"/>
      <c r="K664" s="4"/>
      <c r="L664" s="4"/>
      <c r="M664" s="4"/>
      <c r="N664" s="4"/>
      <c r="O664" s="4"/>
      <c r="P664" s="4"/>
      <c r="Q664" s="4"/>
      <c r="R664" s="4"/>
      <c r="S664" s="4"/>
      <c r="T664" s="4"/>
      <c r="U664" s="4"/>
      <c r="V664" s="4"/>
      <c r="W664" s="4"/>
      <c r="X664" s="4"/>
      <c r="Y664" s="4"/>
      <c r="Z664" s="4"/>
    </row>
    <row r="665" ht="9.75" customHeight="1">
      <c r="A665" s="4"/>
      <c r="B665" s="4"/>
      <c r="C665" s="4"/>
      <c r="D665" s="4"/>
      <c r="E665" s="4"/>
      <c r="F665" s="4"/>
      <c r="G665" s="4"/>
      <c r="H665" s="4"/>
      <c r="I665" s="4"/>
      <c r="J665" s="4"/>
      <c r="K665" s="4"/>
      <c r="L665" s="4"/>
      <c r="M665" s="4"/>
      <c r="N665" s="4"/>
      <c r="O665" s="4"/>
      <c r="P665" s="4"/>
      <c r="Q665" s="4"/>
      <c r="R665" s="4"/>
      <c r="S665" s="4"/>
      <c r="T665" s="4"/>
      <c r="U665" s="4"/>
      <c r="V665" s="4"/>
      <c r="W665" s="4"/>
      <c r="X665" s="4"/>
      <c r="Y665" s="4"/>
      <c r="Z665" s="4"/>
    </row>
    <row r="666" ht="9.75" customHeight="1">
      <c r="A666" s="4"/>
      <c r="B666" s="4"/>
      <c r="C666" s="4"/>
      <c r="D666" s="4"/>
      <c r="E666" s="4"/>
      <c r="F666" s="4"/>
      <c r="G666" s="4"/>
      <c r="H666" s="4"/>
      <c r="I666" s="4"/>
      <c r="J666" s="4"/>
      <c r="K666" s="4"/>
      <c r="L666" s="4"/>
      <c r="M666" s="4"/>
      <c r="N666" s="4"/>
      <c r="O666" s="4"/>
      <c r="P666" s="4"/>
      <c r="Q666" s="4"/>
      <c r="R666" s="4"/>
      <c r="S666" s="4"/>
      <c r="T666" s="4"/>
      <c r="U666" s="4"/>
      <c r="V666" s="4"/>
      <c r="W666" s="4"/>
      <c r="X666" s="4"/>
      <c r="Y666" s="4"/>
      <c r="Z666" s="4"/>
    </row>
    <row r="667" ht="9.75" customHeight="1">
      <c r="A667" s="4"/>
      <c r="B667" s="4"/>
      <c r="C667" s="4"/>
      <c r="D667" s="4"/>
      <c r="E667" s="4"/>
      <c r="F667" s="4"/>
      <c r="G667" s="4"/>
      <c r="H667" s="4"/>
      <c r="I667" s="4"/>
      <c r="J667" s="4"/>
      <c r="K667" s="4"/>
      <c r="L667" s="4"/>
      <c r="M667" s="4"/>
      <c r="N667" s="4"/>
      <c r="O667" s="4"/>
      <c r="P667" s="4"/>
      <c r="Q667" s="4"/>
      <c r="R667" s="4"/>
      <c r="S667" s="4"/>
      <c r="T667" s="4"/>
      <c r="U667" s="4"/>
      <c r="V667" s="4"/>
      <c r="W667" s="4"/>
      <c r="X667" s="4"/>
      <c r="Y667" s="4"/>
      <c r="Z667" s="4"/>
    </row>
    <row r="668" ht="9.75" customHeight="1">
      <c r="A668" s="4"/>
      <c r="B668" s="4"/>
      <c r="C668" s="4"/>
      <c r="D668" s="4"/>
      <c r="E668" s="4"/>
      <c r="F668" s="4"/>
      <c r="G668" s="4"/>
      <c r="H668" s="4"/>
      <c r="I668" s="4"/>
      <c r="J668" s="4"/>
      <c r="K668" s="4"/>
      <c r="L668" s="4"/>
      <c r="M668" s="4"/>
      <c r="N668" s="4"/>
      <c r="O668" s="4"/>
      <c r="P668" s="4"/>
      <c r="Q668" s="4"/>
      <c r="R668" s="4"/>
      <c r="S668" s="4"/>
      <c r="T668" s="4"/>
      <c r="U668" s="4"/>
      <c r="V668" s="4"/>
      <c r="W668" s="4"/>
      <c r="X668" s="4"/>
      <c r="Y668" s="4"/>
      <c r="Z668" s="4"/>
    </row>
    <row r="669" ht="9.75" customHeight="1">
      <c r="A669" s="4"/>
      <c r="B669" s="4"/>
      <c r="C669" s="4"/>
      <c r="D669" s="4"/>
      <c r="E669" s="4"/>
      <c r="F669" s="4"/>
      <c r="G669" s="4"/>
      <c r="H669" s="4"/>
      <c r="I669" s="4"/>
      <c r="J669" s="4"/>
      <c r="K669" s="4"/>
      <c r="L669" s="4"/>
      <c r="M669" s="4"/>
      <c r="N669" s="4"/>
      <c r="O669" s="4"/>
      <c r="P669" s="4"/>
      <c r="Q669" s="4"/>
      <c r="R669" s="4"/>
      <c r="S669" s="4"/>
      <c r="T669" s="4"/>
      <c r="U669" s="4"/>
      <c r="V669" s="4"/>
      <c r="W669" s="4"/>
      <c r="X669" s="4"/>
      <c r="Y669" s="4"/>
      <c r="Z669" s="4"/>
    </row>
    <row r="670" ht="9.75" customHeight="1">
      <c r="A670" s="4"/>
      <c r="B670" s="4"/>
      <c r="C670" s="4"/>
      <c r="D670" s="4"/>
      <c r="E670" s="4"/>
      <c r="F670" s="4"/>
      <c r="G670" s="4"/>
      <c r="H670" s="4"/>
      <c r="I670" s="4"/>
      <c r="J670" s="4"/>
      <c r="K670" s="4"/>
      <c r="L670" s="4"/>
      <c r="M670" s="4"/>
      <c r="N670" s="4"/>
      <c r="O670" s="4"/>
      <c r="P670" s="4"/>
      <c r="Q670" s="4"/>
      <c r="R670" s="4"/>
      <c r="S670" s="4"/>
      <c r="T670" s="4"/>
      <c r="U670" s="4"/>
      <c r="V670" s="4"/>
      <c r="W670" s="4"/>
      <c r="X670" s="4"/>
      <c r="Y670" s="4"/>
      <c r="Z670" s="4"/>
    </row>
    <row r="671" ht="9.75" customHeight="1">
      <c r="A671" s="4"/>
      <c r="B671" s="4"/>
      <c r="C671" s="4"/>
      <c r="D671" s="4"/>
      <c r="E671" s="4"/>
      <c r="F671" s="4"/>
      <c r="G671" s="4"/>
      <c r="H671" s="4"/>
      <c r="I671" s="4"/>
      <c r="J671" s="4"/>
      <c r="K671" s="4"/>
      <c r="L671" s="4"/>
      <c r="M671" s="4"/>
      <c r="N671" s="4"/>
      <c r="O671" s="4"/>
      <c r="P671" s="4"/>
      <c r="Q671" s="4"/>
      <c r="R671" s="4"/>
      <c r="S671" s="4"/>
      <c r="T671" s="4"/>
      <c r="U671" s="4"/>
      <c r="V671" s="4"/>
      <c r="W671" s="4"/>
      <c r="X671" s="4"/>
      <c r="Y671" s="4"/>
      <c r="Z671" s="4"/>
    </row>
    <row r="672" ht="9.75" customHeight="1">
      <c r="A672" s="4"/>
      <c r="B672" s="4"/>
      <c r="C672" s="4"/>
      <c r="D672" s="4"/>
      <c r="E672" s="4"/>
      <c r="F672" s="4"/>
      <c r="G672" s="4"/>
      <c r="H672" s="4"/>
      <c r="I672" s="4"/>
      <c r="J672" s="4"/>
      <c r="K672" s="4"/>
      <c r="L672" s="4"/>
      <c r="M672" s="4"/>
      <c r="N672" s="4"/>
      <c r="O672" s="4"/>
      <c r="P672" s="4"/>
      <c r="Q672" s="4"/>
      <c r="R672" s="4"/>
      <c r="S672" s="4"/>
      <c r="T672" s="4"/>
      <c r="U672" s="4"/>
      <c r="V672" s="4"/>
      <c r="W672" s="4"/>
      <c r="X672" s="4"/>
      <c r="Y672" s="4"/>
      <c r="Z672" s="4"/>
    </row>
    <row r="673" ht="9.75" customHeight="1">
      <c r="A673" s="4"/>
      <c r="B673" s="4"/>
      <c r="C673" s="4"/>
      <c r="D673" s="4"/>
      <c r="E673" s="4"/>
      <c r="F673" s="4"/>
      <c r="G673" s="4"/>
      <c r="H673" s="4"/>
      <c r="I673" s="4"/>
      <c r="J673" s="4"/>
      <c r="K673" s="4"/>
      <c r="L673" s="4"/>
      <c r="M673" s="4"/>
      <c r="N673" s="4"/>
      <c r="O673" s="4"/>
      <c r="P673" s="4"/>
      <c r="Q673" s="4"/>
      <c r="R673" s="4"/>
      <c r="S673" s="4"/>
      <c r="T673" s="4"/>
      <c r="U673" s="4"/>
      <c r="V673" s="4"/>
      <c r="W673" s="4"/>
      <c r="X673" s="4"/>
      <c r="Y673" s="4"/>
      <c r="Z673" s="4"/>
    </row>
    <row r="674" ht="9.75" customHeight="1">
      <c r="A674" s="4"/>
      <c r="B674" s="4"/>
      <c r="C674" s="4"/>
      <c r="D674" s="4"/>
      <c r="E674" s="4"/>
      <c r="F674" s="4"/>
      <c r="G674" s="4"/>
      <c r="H674" s="4"/>
      <c r="I674" s="4"/>
      <c r="J674" s="4"/>
      <c r="K674" s="4"/>
      <c r="L674" s="4"/>
      <c r="M674" s="4"/>
      <c r="N674" s="4"/>
      <c r="O674" s="4"/>
      <c r="P674" s="4"/>
      <c r="Q674" s="4"/>
      <c r="R674" s="4"/>
      <c r="S674" s="4"/>
      <c r="T674" s="4"/>
      <c r="U674" s="4"/>
      <c r="V674" s="4"/>
      <c r="W674" s="4"/>
      <c r="X674" s="4"/>
      <c r="Y674" s="4"/>
      <c r="Z674" s="4"/>
    </row>
    <row r="675" ht="9.75" customHeight="1">
      <c r="A675" s="4"/>
      <c r="B675" s="4"/>
      <c r="C675" s="4"/>
      <c r="D675" s="4"/>
      <c r="E675" s="4"/>
      <c r="F675" s="4"/>
      <c r="G675" s="4"/>
      <c r="H675" s="4"/>
      <c r="I675" s="4"/>
      <c r="J675" s="4"/>
      <c r="K675" s="4"/>
      <c r="L675" s="4"/>
      <c r="M675" s="4"/>
      <c r="N675" s="4"/>
      <c r="O675" s="4"/>
      <c r="P675" s="4"/>
      <c r="Q675" s="4"/>
      <c r="R675" s="4"/>
      <c r="S675" s="4"/>
      <c r="T675" s="4"/>
      <c r="U675" s="4"/>
      <c r="V675" s="4"/>
      <c r="W675" s="4"/>
      <c r="X675" s="4"/>
      <c r="Y675" s="4"/>
      <c r="Z675" s="4"/>
    </row>
    <row r="676" ht="9.75" customHeight="1">
      <c r="A676" s="4"/>
      <c r="B676" s="4"/>
      <c r="C676" s="4"/>
      <c r="D676" s="4"/>
      <c r="E676" s="4"/>
      <c r="F676" s="4"/>
      <c r="G676" s="4"/>
      <c r="H676" s="4"/>
      <c r="I676" s="4"/>
      <c r="J676" s="4"/>
      <c r="K676" s="4"/>
      <c r="L676" s="4"/>
      <c r="M676" s="4"/>
      <c r="N676" s="4"/>
      <c r="O676" s="4"/>
      <c r="P676" s="4"/>
      <c r="Q676" s="4"/>
      <c r="R676" s="4"/>
      <c r="S676" s="4"/>
      <c r="T676" s="4"/>
      <c r="U676" s="4"/>
      <c r="V676" s="4"/>
      <c r="W676" s="4"/>
      <c r="X676" s="4"/>
      <c r="Y676" s="4"/>
      <c r="Z676" s="4"/>
    </row>
    <row r="677" ht="9.75" customHeight="1">
      <c r="A677" s="4"/>
      <c r="B677" s="4"/>
      <c r="C677" s="4"/>
      <c r="D677" s="4"/>
      <c r="E677" s="4"/>
      <c r="F677" s="4"/>
      <c r="G677" s="4"/>
      <c r="H677" s="4"/>
      <c r="I677" s="4"/>
      <c r="J677" s="4"/>
      <c r="K677" s="4"/>
      <c r="L677" s="4"/>
      <c r="M677" s="4"/>
      <c r="N677" s="4"/>
      <c r="O677" s="4"/>
      <c r="P677" s="4"/>
      <c r="Q677" s="4"/>
      <c r="R677" s="4"/>
      <c r="S677" s="4"/>
      <c r="T677" s="4"/>
      <c r="U677" s="4"/>
      <c r="V677" s="4"/>
      <c r="W677" s="4"/>
      <c r="X677" s="4"/>
      <c r="Y677" s="4"/>
      <c r="Z677" s="4"/>
    </row>
    <row r="678" ht="9.75" customHeight="1">
      <c r="A678" s="4"/>
      <c r="B678" s="4"/>
      <c r="C678" s="4"/>
      <c r="D678" s="4"/>
      <c r="E678" s="4"/>
      <c r="F678" s="4"/>
      <c r="G678" s="4"/>
      <c r="H678" s="4"/>
      <c r="I678" s="4"/>
      <c r="J678" s="4"/>
      <c r="K678" s="4"/>
      <c r="L678" s="4"/>
      <c r="M678" s="4"/>
      <c r="N678" s="4"/>
      <c r="O678" s="4"/>
      <c r="P678" s="4"/>
      <c r="Q678" s="4"/>
      <c r="R678" s="4"/>
      <c r="S678" s="4"/>
      <c r="T678" s="4"/>
      <c r="U678" s="4"/>
      <c r="V678" s="4"/>
      <c r="W678" s="4"/>
      <c r="X678" s="4"/>
      <c r="Y678" s="4"/>
      <c r="Z678" s="4"/>
    </row>
    <row r="679" ht="9.75" customHeight="1">
      <c r="A679" s="4"/>
      <c r="B679" s="4"/>
      <c r="C679" s="4"/>
      <c r="D679" s="4"/>
      <c r="E679" s="4"/>
      <c r="F679" s="4"/>
      <c r="G679" s="4"/>
      <c r="H679" s="4"/>
      <c r="I679" s="4"/>
      <c r="J679" s="4"/>
      <c r="K679" s="4"/>
      <c r="L679" s="4"/>
      <c r="M679" s="4"/>
      <c r="N679" s="4"/>
      <c r="O679" s="4"/>
      <c r="P679" s="4"/>
      <c r="Q679" s="4"/>
      <c r="R679" s="4"/>
      <c r="S679" s="4"/>
      <c r="T679" s="4"/>
      <c r="U679" s="4"/>
      <c r="V679" s="4"/>
      <c r="W679" s="4"/>
      <c r="X679" s="4"/>
      <c r="Y679" s="4"/>
      <c r="Z679" s="4"/>
    </row>
    <row r="680" ht="9.75" customHeight="1">
      <c r="A680" s="4"/>
      <c r="B680" s="4"/>
      <c r="C680" s="4"/>
      <c r="D680" s="4"/>
      <c r="E680" s="4"/>
      <c r="F680" s="4"/>
      <c r="G680" s="4"/>
      <c r="H680" s="4"/>
      <c r="I680" s="4"/>
      <c r="J680" s="4"/>
      <c r="K680" s="4"/>
      <c r="L680" s="4"/>
      <c r="M680" s="4"/>
      <c r="N680" s="4"/>
      <c r="O680" s="4"/>
      <c r="P680" s="4"/>
      <c r="Q680" s="4"/>
      <c r="R680" s="4"/>
      <c r="S680" s="4"/>
      <c r="T680" s="4"/>
      <c r="U680" s="4"/>
      <c r="V680" s="4"/>
      <c r="W680" s="4"/>
      <c r="X680" s="4"/>
      <c r="Y680" s="4"/>
      <c r="Z680" s="4"/>
    </row>
    <row r="681" ht="9.75" customHeight="1">
      <c r="A681" s="4"/>
      <c r="B681" s="4"/>
      <c r="C681" s="4"/>
      <c r="D681" s="4"/>
      <c r="E681" s="4"/>
      <c r="F681" s="4"/>
      <c r="G681" s="4"/>
      <c r="H681" s="4"/>
      <c r="I681" s="4"/>
      <c r="J681" s="4"/>
      <c r="K681" s="4"/>
      <c r="L681" s="4"/>
      <c r="M681" s="4"/>
      <c r="N681" s="4"/>
      <c r="O681" s="4"/>
      <c r="P681" s="4"/>
      <c r="Q681" s="4"/>
      <c r="R681" s="4"/>
      <c r="S681" s="4"/>
      <c r="T681" s="4"/>
      <c r="U681" s="4"/>
      <c r="V681" s="4"/>
      <c r="W681" s="4"/>
      <c r="X681" s="4"/>
      <c r="Y681" s="4"/>
      <c r="Z681" s="4"/>
    </row>
    <row r="682" ht="9.75" customHeight="1">
      <c r="A682" s="4"/>
      <c r="B682" s="4"/>
      <c r="C682" s="4"/>
      <c r="D682" s="4"/>
      <c r="E682" s="4"/>
      <c r="F682" s="4"/>
      <c r="G682" s="4"/>
      <c r="H682" s="4"/>
      <c r="I682" s="4"/>
      <c r="J682" s="4"/>
      <c r="K682" s="4"/>
      <c r="L682" s="4"/>
      <c r="M682" s="4"/>
      <c r="N682" s="4"/>
      <c r="O682" s="4"/>
      <c r="P682" s="4"/>
      <c r="Q682" s="4"/>
      <c r="R682" s="4"/>
      <c r="S682" s="4"/>
      <c r="T682" s="4"/>
      <c r="U682" s="4"/>
      <c r="V682" s="4"/>
      <c r="W682" s="4"/>
      <c r="X682" s="4"/>
      <c r="Y682" s="4"/>
      <c r="Z682" s="4"/>
    </row>
    <row r="683" ht="9.75" customHeight="1">
      <c r="A683" s="4"/>
      <c r="B683" s="4"/>
      <c r="C683" s="4"/>
      <c r="D683" s="4"/>
      <c r="E683" s="4"/>
      <c r="F683" s="4"/>
      <c r="G683" s="4"/>
      <c r="H683" s="4"/>
      <c r="I683" s="4"/>
      <c r="J683" s="4"/>
      <c r="K683" s="4"/>
      <c r="L683" s="4"/>
      <c r="M683" s="4"/>
      <c r="N683" s="4"/>
      <c r="O683" s="4"/>
      <c r="P683" s="4"/>
      <c r="Q683" s="4"/>
      <c r="R683" s="4"/>
      <c r="S683" s="4"/>
      <c r="T683" s="4"/>
      <c r="U683" s="4"/>
      <c r="V683" s="4"/>
      <c r="W683" s="4"/>
      <c r="X683" s="4"/>
      <c r="Y683" s="4"/>
      <c r="Z683" s="4"/>
    </row>
    <row r="684" ht="9.75" customHeight="1">
      <c r="A684" s="4"/>
      <c r="B684" s="4"/>
      <c r="C684" s="4"/>
      <c r="D684" s="4"/>
      <c r="E684" s="4"/>
      <c r="F684" s="4"/>
      <c r="G684" s="4"/>
      <c r="H684" s="4"/>
      <c r="I684" s="4"/>
      <c r="J684" s="4"/>
      <c r="K684" s="4"/>
      <c r="L684" s="4"/>
      <c r="M684" s="4"/>
      <c r="N684" s="4"/>
      <c r="O684" s="4"/>
      <c r="P684" s="4"/>
      <c r="Q684" s="4"/>
      <c r="R684" s="4"/>
      <c r="S684" s="4"/>
      <c r="T684" s="4"/>
      <c r="U684" s="4"/>
      <c r="V684" s="4"/>
      <c r="W684" s="4"/>
      <c r="X684" s="4"/>
      <c r="Y684" s="4"/>
      <c r="Z684" s="4"/>
    </row>
    <row r="685" ht="9.75" customHeight="1">
      <c r="A685" s="4"/>
      <c r="B685" s="4"/>
      <c r="C685" s="4"/>
      <c r="D685" s="4"/>
      <c r="E685" s="4"/>
      <c r="F685" s="4"/>
      <c r="G685" s="4"/>
      <c r="H685" s="4"/>
      <c r="I685" s="4"/>
      <c r="J685" s="4"/>
      <c r="K685" s="4"/>
      <c r="L685" s="4"/>
      <c r="M685" s="4"/>
      <c r="N685" s="4"/>
      <c r="O685" s="4"/>
      <c r="P685" s="4"/>
      <c r="Q685" s="4"/>
      <c r="R685" s="4"/>
      <c r="S685" s="4"/>
      <c r="T685" s="4"/>
      <c r="U685" s="4"/>
      <c r="V685" s="4"/>
      <c r="W685" s="4"/>
      <c r="X685" s="4"/>
      <c r="Y685" s="4"/>
      <c r="Z685" s="4"/>
    </row>
    <row r="686" ht="9.75" customHeight="1">
      <c r="A686" s="4"/>
      <c r="B686" s="4"/>
      <c r="C686" s="4"/>
      <c r="D686" s="4"/>
      <c r="E686" s="4"/>
      <c r="F686" s="4"/>
      <c r="G686" s="4"/>
      <c r="H686" s="4"/>
      <c r="I686" s="4"/>
      <c r="J686" s="4"/>
      <c r="K686" s="4"/>
      <c r="L686" s="4"/>
      <c r="M686" s="4"/>
      <c r="N686" s="4"/>
      <c r="O686" s="4"/>
      <c r="P686" s="4"/>
      <c r="Q686" s="4"/>
      <c r="R686" s="4"/>
      <c r="S686" s="4"/>
      <c r="T686" s="4"/>
      <c r="U686" s="4"/>
      <c r="V686" s="4"/>
      <c r="W686" s="4"/>
      <c r="X686" s="4"/>
      <c r="Y686" s="4"/>
      <c r="Z686" s="4"/>
    </row>
    <row r="687" ht="9.75" customHeight="1">
      <c r="A687" s="4"/>
      <c r="B687" s="4"/>
      <c r="C687" s="4"/>
      <c r="D687" s="4"/>
      <c r="E687" s="4"/>
      <c r="F687" s="4"/>
      <c r="G687" s="4"/>
      <c r="H687" s="4"/>
      <c r="I687" s="4"/>
      <c r="J687" s="4"/>
      <c r="K687" s="4"/>
      <c r="L687" s="4"/>
      <c r="M687" s="4"/>
      <c r="N687" s="4"/>
      <c r="O687" s="4"/>
      <c r="P687" s="4"/>
      <c r="Q687" s="4"/>
      <c r="R687" s="4"/>
      <c r="S687" s="4"/>
      <c r="T687" s="4"/>
      <c r="U687" s="4"/>
      <c r="V687" s="4"/>
      <c r="W687" s="4"/>
      <c r="X687" s="4"/>
      <c r="Y687" s="4"/>
      <c r="Z687" s="4"/>
    </row>
    <row r="688" ht="9.75" customHeight="1">
      <c r="A688" s="4"/>
      <c r="B688" s="4"/>
      <c r="C688" s="4"/>
      <c r="D688" s="4"/>
      <c r="E688" s="4"/>
      <c r="F688" s="4"/>
      <c r="G688" s="4"/>
      <c r="H688" s="4"/>
      <c r="I688" s="4"/>
      <c r="J688" s="4"/>
      <c r="K688" s="4"/>
      <c r="L688" s="4"/>
      <c r="M688" s="4"/>
      <c r="N688" s="4"/>
      <c r="O688" s="4"/>
      <c r="P688" s="4"/>
      <c r="Q688" s="4"/>
      <c r="R688" s="4"/>
      <c r="S688" s="4"/>
      <c r="T688" s="4"/>
      <c r="U688" s="4"/>
      <c r="V688" s="4"/>
      <c r="W688" s="4"/>
      <c r="X688" s="4"/>
      <c r="Y688" s="4"/>
      <c r="Z688" s="4"/>
    </row>
    <row r="689" ht="9.75" customHeight="1">
      <c r="A689" s="4"/>
      <c r="B689" s="4"/>
      <c r="C689" s="4"/>
      <c r="D689" s="4"/>
      <c r="E689" s="4"/>
      <c r="F689" s="4"/>
      <c r="G689" s="4"/>
      <c r="H689" s="4"/>
      <c r="I689" s="4"/>
      <c r="J689" s="4"/>
      <c r="K689" s="4"/>
      <c r="L689" s="4"/>
      <c r="M689" s="4"/>
      <c r="N689" s="4"/>
      <c r="O689" s="4"/>
      <c r="P689" s="4"/>
      <c r="Q689" s="4"/>
      <c r="R689" s="4"/>
      <c r="S689" s="4"/>
      <c r="T689" s="4"/>
      <c r="U689" s="4"/>
      <c r="V689" s="4"/>
      <c r="W689" s="4"/>
      <c r="X689" s="4"/>
      <c r="Y689" s="4"/>
      <c r="Z689" s="4"/>
    </row>
    <row r="690" ht="9.75" customHeight="1">
      <c r="A690" s="4"/>
      <c r="B690" s="4"/>
      <c r="C690" s="4"/>
      <c r="D690" s="4"/>
      <c r="E690" s="4"/>
      <c r="F690" s="4"/>
      <c r="G690" s="4"/>
      <c r="H690" s="4"/>
      <c r="I690" s="4"/>
      <c r="J690" s="4"/>
      <c r="K690" s="4"/>
      <c r="L690" s="4"/>
      <c r="M690" s="4"/>
      <c r="N690" s="4"/>
      <c r="O690" s="4"/>
      <c r="P690" s="4"/>
      <c r="Q690" s="4"/>
      <c r="R690" s="4"/>
      <c r="S690" s="4"/>
      <c r="T690" s="4"/>
      <c r="U690" s="4"/>
      <c r="V690" s="4"/>
      <c r="W690" s="4"/>
      <c r="X690" s="4"/>
      <c r="Y690" s="4"/>
      <c r="Z690" s="4"/>
    </row>
    <row r="691" ht="9.75" customHeight="1">
      <c r="A691" s="4"/>
      <c r="B691" s="4"/>
      <c r="C691" s="4"/>
      <c r="D691" s="4"/>
      <c r="E691" s="4"/>
      <c r="F691" s="4"/>
      <c r="G691" s="4"/>
      <c r="H691" s="4"/>
      <c r="I691" s="4"/>
      <c r="J691" s="4"/>
      <c r="K691" s="4"/>
      <c r="L691" s="4"/>
      <c r="M691" s="4"/>
      <c r="N691" s="4"/>
      <c r="O691" s="4"/>
      <c r="P691" s="4"/>
      <c r="Q691" s="4"/>
      <c r="R691" s="4"/>
      <c r="S691" s="4"/>
      <c r="T691" s="4"/>
      <c r="U691" s="4"/>
      <c r="V691" s="4"/>
      <c r="W691" s="4"/>
      <c r="X691" s="4"/>
      <c r="Y691" s="4"/>
      <c r="Z691" s="4"/>
    </row>
    <row r="692" ht="9.75" customHeight="1">
      <c r="A692" s="4"/>
      <c r="B692" s="4"/>
      <c r="C692" s="4"/>
      <c r="D692" s="4"/>
      <c r="E692" s="4"/>
      <c r="F692" s="4"/>
      <c r="G692" s="4"/>
      <c r="H692" s="4"/>
      <c r="I692" s="4"/>
      <c r="J692" s="4"/>
      <c r="K692" s="4"/>
      <c r="L692" s="4"/>
      <c r="M692" s="4"/>
      <c r="N692" s="4"/>
      <c r="O692" s="4"/>
      <c r="P692" s="4"/>
      <c r="Q692" s="4"/>
      <c r="R692" s="4"/>
      <c r="S692" s="4"/>
      <c r="T692" s="4"/>
      <c r="U692" s="4"/>
      <c r="V692" s="4"/>
      <c r="W692" s="4"/>
      <c r="X692" s="4"/>
      <c r="Y692" s="4"/>
      <c r="Z692" s="4"/>
    </row>
    <row r="693" ht="9.75" customHeight="1">
      <c r="A693" s="4"/>
      <c r="B693" s="4"/>
      <c r="C693" s="4"/>
      <c r="D693" s="4"/>
      <c r="E693" s="4"/>
      <c r="F693" s="4"/>
      <c r="G693" s="4"/>
      <c r="H693" s="4"/>
      <c r="I693" s="4"/>
      <c r="J693" s="4"/>
      <c r="K693" s="4"/>
      <c r="L693" s="4"/>
      <c r="M693" s="4"/>
      <c r="N693" s="4"/>
      <c r="O693" s="4"/>
      <c r="P693" s="4"/>
      <c r="Q693" s="4"/>
      <c r="R693" s="4"/>
      <c r="S693" s="4"/>
      <c r="T693" s="4"/>
      <c r="U693" s="4"/>
      <c r="V693" s="4"/>
      <c r="W693" s="4"/>
      <c r="X693" s="4"/>
      <c r="Y693" s="4"/>
      <c r="Z693" s="4"/>
    </row>
    <row r="694" ht="9.75" customHeight="1">
      <c r="A694" s="4"/>
      <c r="B694" s="4"/>
      <c r="C694" s="4"/>
      <c r="D694" s="4"/>
      <c r="E694" s="4"/>
      <c r="F694" s="4"/>
      <c r="G694" s="4"/>
      <c r="H694" s="4"/>
      <c r="I694" s="4"/>
      <c r="J694" s="4"/>
      <c r="K694" s="4"/>
      <c r="L694" s="4"/>
      <c r="M694" s="4"/>
      <c r="N694" s="4"/>
      <c r="O694" s="4"/>
      <c r="P694" s="4"/>
      <c r="Q694" s="4"/>
      <c r="R694" s="4"/>
      <c r="S694" s="4"/>
      <c r="T694" s="4"/>
      <c r="U694" s="4"/>
      <c r="V694" s="4"/>
      <c r="W694" s="4"/>
      <c r="X694" s="4"/>
      <c r="Y694" s="4"/>
      <c r="Z694" s="4"/>
    </row>
    <row r="695" ht="9.75" customHeight="1">
      <c r="A695" s="4"/>
      <c r="B695" s="4"/>
      <c r="C695" s="4"/>
      <c r="D695" s="4"/>
      <c r="E695" s="4"/>
      <c r="F695" s="4"/>
      <c r="G695" s="4"/>
      <c r="H695" s="4"/>
      <c r="I695" s="4"/>
      <c r="J695" s="4"/>
      <c r="K695" s="4"/>
      <c r="L695" s="4"/>
      <c r="M695" s="4"/>
      <c r="N695" s="4"/>
      <c r="O695" s="4"/>
      <c r="P695" s="4"/>
      <c r="Q695" s="4"/>
      <c r="R695" s="4"/>
      <c r="S695" s="4"/>
      <c r="T695" s="4"/>
      <c r="U695" s="4"/>
      <c r="V695" s="4"/>
      <c r="W695" s="4"/>
      <c r="X695" s="4"/>
      <c r="Y695" s="4"/>
      <c r="Z695" s="4"/>
    </row>
    <row r="696" ht="9.75" customHeight="1">
      <c r="A696" s="4"/>
      <c r="B696" s="4"/>
      <c r="C696" s="4"/>
      <c r="D696" s="4"/>
      <c r="E696" s="4"/>
      <c r="F696" s="4"/>
      <c r="G696" s="4"/>
      <c r="H696" s="4"/>
      <c r="I696" s="4"/>
      <c r="J696" s="4"/>
      <c r="K696" s="4"/>
      <c r="L696" s="4"/>
      <c r="M696" s="4"/>
      <c r="N696" s="4"/>
      <c r="O696" s="4"/>
      <c r="P696" s="4"/>
      <c r="Q696" s="4"/>
      <c r="R696" s="4"/>
      <c r="S696" s="4"/>
      <c r="T696" s="4"/>
      <c r="U696" s="4"/>
      <c r="V696" s="4"/>
      <c r="W696" s="4"/>
      <c r="X696" s="4"/>
      <c r="Y696" s="4"/>
      <c r="Z696" s="4"/>
    </row>
    <row r="697" ht="9.75" customHeight="1">
      <c r="A697" s="4"/>
      <c r="B697" s="4"/>
      <c r="C697" s="4"/>
      <c r="D697" s="4"/>
      <c r="E697" s="4"/>
      <c r="F697" s="4"/>
      <c r="G697" s="4"/>
      <c r="H697" s="4"/>
      <c r="I697" s="4"/>
      <c r="J697" s="4"/>
      <c r="K697" s="4"/>
      <c r="L697" s="4"/>
      <c r="M697" s="4"/>
      <c r="N697" s="4"/>
      <c r="O697" s="4"/>
      <c r="P697" s="4"/>
      <c r="Q697" s="4"/>
      <c r="R697" s="4"/>
      <c r="S697" s="4"/>
      <c r="T697" s="4"/>
      <c r="U697" s="4"/>
      <c r="V697" s="4"/>
      <c r="W697" s="4"/>
      <c r="X697" s="4"/>
      <c r="Y697" s="4"/>
      <c r="Z697" s="4"/>
    </row>
    <row r="698" ht="9.75" customHeight="1">
      <c r="A698" s="4"/>
      <c r="B698" s="4"/>
      <c r="C698" s="4"/>
      <c r="D698" s="4"/>
      <c r="E698" s="4"/>
      <c r="F698" s="4"/>
      <c r="G698" s="4"/>
      <c r="H698" s="4"/>
      <c r="I698" s="4"/>
      <c r="J698" s="4"/>
      <c r="K698" s="4"/>
      <c r="L698" s="4"/>
      <c r="M698" s="4"/>
      <c r="N698" s="4"/>
      <c r="O698" s="4"/>
      <c r="P698" s="4"/>
      <c r="Q698" s="4"/>
      <c r="R698" s="4"/>
      <c r="S698" s="4"/>
      <c r="T698" s="4"/>
      <c r="U698" s="4"/>
      <c r="V698" s="4"/>
      <c r="W698" s="4"/>
      <c r="X698" s="4"/>
      <c r="Y698" s="4"/>
      <c r="Z698" s="4"/>
    </row>
    <row r="699" ht="9.75" customHeight="1">
      <c r="A699" s="4"/>
      <c r="B699" s="4"/>
      <c r="C699" s="4"/>
      <c r="D699" s="4"/>
      <c r="E699" s="4"/>
      <c r="F699" s="4"/>
      <c r="G699" s="4"/>
      <c r="H699" s="4"/>
      <c r="I699" s="4"/>
      <c r="J699" s="4"/>
      <c r="K699" s="4"/>
      <c r="L699" s="4"/>
      <c r="M699" s="4"/>
      <c r="N699" s="4"/>
      <c r="O699" s="4"/>
      <c r="P699" s="4"/>
      <c r="Q699" s="4"/>
      <c r="R699" s="4"/>
      <c r="S699" s="4"/>
      <c r="T699" s="4"/>
      <c r="U699" s="4"/>
      <c r="V699" s="4"/>
      <c r="W699" s="4"/>
      <c r="X699" s="4"/>
      <c r="Y699" s="4"/>
      <c r="Z699" s="4"/>
    </row>
    <row r="700" ht="9.75" customHeight="1">
      <c r="A700" s="4"/>
      <c r="B700" s="4"/>
      <c r="C700" s="4"/>
      <c r="D700" s="4"/>
      <c r="E700" s="4"/>
      <c r="F700" s="4"/>
      <c r="G700" s="4"/>
      <c r="H700" s="4"/>
      <c r="I700" s="4"/>
      <c r="J700" s="4"/>
      <c r="K700" s="4"/>
      <c r="L700" s="4"/>
      <c r="M700" s="4"/>
      <c r="N700" s="4"/>
      <c r="O700" s="4"/>
      <c r="P700" s="4"/>
      <c r="Q700" s="4"/>
      <c r="R700" s="4"/>
      <c r="S700" s="4"/>
      <c r="T700" s="4"/>
      <c r="U700" s="4"/>
      <c r="V700" s="4"/>
      <c r="W700" s="4"/>
      <c r="X700" s="4"/>
      <c r="Y700" s="4"/>
      <c r="Z700" s="4"/>
    </row>
    <row r="701" ht="9.75" customHeight="1">
      <c r="A701" s="4"/>
      <c r="B701" s="4"/>
      <c r="C701" s="4"/>
      <c r="D701" s="4"/>
      <c r="E701" s="4"/>
      <c r="F701" s="4"/>
      <c r="G701" s="4"/>
      <c r="H701" s="4"/>
      <c r="I701" s="4"/>
      <c r="J701" s="4"/>
      <c r="K701" s="4"/>
      <c r="L701" s="4"/>
      <c r="M701" s="4"/>
      <c r="N701" s="4"/>
      <c r="O701" s="4"/>
      <c r="P701" s="4"/>
      <c r="Q701" s="4"/>
      <c r="R701" s="4"/>
      <c r="S701" s="4"/>
      <c r="T701" s="4"/>
      <c r="U701" s="4"/>
      <c r="V701" s="4"/>
      <c r="W701" s="4"/>
      <c r="X701" s="4"/>
      <c r="Y701" s="4"/>
      <c r="Z701" s="4"/>
    </row>
    <row r="702" ht="9.75" customHeight="1">
      <c r="A702" s="4"/>
      <c r="B702" s="4"/>
      <c r="C702" s="4"/>
      <c r="D702" s="4"/>
      <c r="E702" s="4"/>
      <c r="F702" s="4"/>
      <c r="G702" s="4"/>
      <c r="H702" s="4"/>
      <c r="I702" s="4"/>
      <c r="J702" s="4"/>
      <c r="K702" s="4"/>
      <c r="L702" s="4"/>
      <c r="M702" s="4"/>
      <c r="N702" s="4"/>
      <c r="O702" s="4"/>
      <c r="P702" s="4"/>
      <c r="Q702" s="4"/>
      <c r="R702" s="4"/>
      <c r="S702" s="4"/>
      <c r="T702" s="4"/>
      <c r="U702" s="4"/>
      <c r="V702" s="4"/>
      <c r="W702" s="4"/>
      <c r="X702" s="4"/>
      <c r="Y702" s="4"/>
      <c r="Z702" s="4"/>
    </row>
    <row r="703" ht="9.75" customHeight="1">
      <c r="A703" s="4"/>
      <c r="B703" s="4"/>
      <c r="C703" s="4"/>
      <c r="D703" s="4"/>
      <c r="E703" s="4"/>
      <c r="F703" s="4"/>
      <c r="G703" s="4"/>
      <c r="H703" s="4"/>
      <c r="I703" s="4"/>
      <c r="J703" s="4"/>
      <c r="K703" s="4"/>
      <c r="L703" s="4"/>
      <c r="M703" s="4"/>
      <c r="N703" s="4"/>
      <c r="O703" s="4"/>
      <c r="P703" s="4"/>
      <c r="Q703" s="4"/>
      <c r="R703" s="4"/>
      <c r="S703" s="4"/>
      <c r="T703" s="4"/>
      <c r="U703" s="4"/>
      <c r="V703" s="4"/>
      <c r="W703" s="4"/>
      <c r="X703" s="4"/>
      <c r="Y703" s="4"/>
      <c r="Z703" s="4"/>
    </row>
    <row r="704" ht="9.75" customHeight="1">
      <c r="A704" s="4"/>
      <c r="B704" s="4"/>
      <c r="C704" s="4"/>
      <c r="D704" s="4"/>
      <c r="E704" s="4"/>
      <c r="F704" s="4"/>
      <c r="G704" s="4"/>
      <c r="H704" s="4"/>
      <c r="I704" s="4"/>
      <c r="J704" s="4"/>
      <c r="K704" s="4"/>
      <c r="L704" s="4"/>
      <c r="M704" s="4"/>
      <c r="N704" s="4"/>
      <c r="O704" s="4"/>
      <c r="P704" s="4"/>
      <c r="Q704" s="4"/>
      <c r="R704" s="4"/>
      <c r="S704" s="4"/>
      <c r="T704" s="4"/>
      <c r="U704" s="4"/>
      <c r="V704" s="4"/>
      <c r="W704" s="4"/>
      <c r="X704" s="4"/>
      <c r="Y704" s="4"/>
      <c r="Z704" s="4"/>
    </row>
    <row r="705" ht="9.75" customHeight="1">
      <c r="A705" s="4"/>
      <c r="B705" s="4"/>
      <c r="C705" s="4"/>
      <c r="D705" s="4"/>
      <c r="E705" s="4"/>
      <c r="F705" s="4"/>
      <c r="G705" s="4"/>
      <c r="H705" s="4"/>
      <c r="I705" s="4"/>
      <c r="J705" s="4"/>
      <c r="K705" s="4"/>
      <c r="L705" s="4"/>
      <c r="M705" s="4"/>
      <c r="N705" s="4"/>
      <c r="O705" s="4"/>
      <c r="P705" s="4"/>
      <c r="Q705" s="4"/>
      <c r="R705" s="4"/>
      <c r="S705" s="4"/>
      <c r="T705" s="4"/>
      <c r="U705" s="4"/>
      <c r="V705" s="4"/>
      <c r="W705" s="4"/>
      <c r="X705" s="4"/>
      <c r="Y705" s="4"/>
      <c r="Z705" s="4"/>
    </row>
    <row r="706" ht="9.75" customHeight="1">
      <c r="A706" s="4"/>
      <c r="B706" s="4"/>
      <c r="C706" s="4"/>
      <c r="D706" s="4"/>
      <c r="E706" s="4"/>
      <c r="F706" s="4"/>
      <c r="G706" s="4"/>
      <c r="H706" s="4"/>
      <c r="I706" s="4"/>
      <c r="J706" s="4"/>
      <c r="K706" s="4"/>
      <c r="L706" s="4"/>
      <c r="M706" s="4"/>
      <c r="N706" s="4"/>
      <c r="O706" s="4"/>
      <c r="P706" s="4"/>
      <c r="Q706" s="4"/>
      <c r="R706" s="4"/>
      <c r="S706" s="4"/>
      <c r="T706" s="4"/>
      <c r="U706" s="4"/>
      <c r="V706" s="4"/>
      <c r="W706" s="4"/>
      <c r="X706" s="4"/>
      <c r="Y706" s="4"/>
      <c r="Z706" s="4"/>
    </row>
    <row r="707" ht="9.75" customHeight="1">
      <c r="A707" s="4"/>
      <c r="B707" s="4"/>
      <c r="C707" s="4"/>
      <c r="D707" s="4"/>
      <c r="E707" s="4"/>
      <c r="F707" s="4"/>
      <c r="G707" s="4"/>
      <c r="H707" s="4"/>
      <c r="I707" s="4"/>
      <c r="J707" s="4"/>
      <c r="K707" s="4"/>
      <c r="L707" s="4"/>
      <c r="M707" s="4"/>
      <c r="N707" s="4"/>
      <c r="O707" s="4"/>
      <c r="P707" s="4"/>
      <c r="Q707" s="4"/>
      <c r="R707" s="4"/>
      <c r="S707" s="4"/>
      <c r="T707" s="4"/>
      <c r="U707" s="4"/>
      <c r="V707" s="4"/>
      <c r="W707" s="4"/>
      <c r="X707" s="4"/>
      <c r="Y707" s="4"/>
      <c r="Z707" s="4"/>
    </row>
    <row r="708" ht="9.75" customHeight="1">
      <c r="A708" s="4"/>
      <c r="B708" s="4"/>
      <c r="C708" s="4"/>
      <c r="D708" s="4"/>
      <c r="E708" s="4"/>
      <c r="F708" s="4"/>
      <c r="G708" s="4"/>
      <c r="H708" s="4"/>
      <c r="I708" s="4"/>
      <c r="J708" s="4"/>
      <c r="K708" s="4"/>
      <c r="L708" s="4"/>
      <c r="M708" s="4"/>
      <c r="N708" s="4"/>
      <c r="O708" s="4"/>
      <c r="P708" s="4"/>
      <c r="Q708" s="4"/>
      <c r="R708" s="4"/>
      <c r="S708" s="4"/>
      <c r="T708" s="4"/>
      <c r="U708" s="4"/>
      <c r="V708" s="4"/>
      <c r="W708" s="4"/>
      <c r="X708" s="4"/>
      <c r="Y708" s="4"/>
      <c r="Z708" s="4"/>
    </row>
    <row r="709" ht="9.75" customHeight="1">
      <c r="A709" s="4"/>
      <c r="B709" s="4"/>
      <c r="C709" s="4"/>
      <c r="D709" s="4"/>
      <c r="E709" s="4"/>
      <c r="F709" s="4"/>
      <c r="G709" s="4"/>
      <c r="H709" s="4"/>
      <c r="I709" s="4"/>
      <c r="J709" s="4"/>
      <c r="K709" s="4"/>
      <c r="L709" s="4"/>
      <c r="M709" s="4"/>
      <c r="N709" s="4"/>
      <c r="O709" s="4"/>
      <c r="P709" s="4"/>
      <c r="Q709" s="4"/>
      <c r="R709" s="4"/>
      <c r="S709" s="4"/>
      <c r="T709" s="4"/>
      <c r="U709" s="4"/>
      <c r="V709" s="4"/>
      <c r="W709" s="4"/>
      <c r="X709" s="4"/>
      <c r="Y709" s="4"/>
      <c r="Z709" s="4"/>
    </row>
    <row r="710" ht="9.75" customHeight="1">
      <c r="A710" s="4"/>
      <c r="B710" s="4"/>
      <c r="C710" s="4"/>
      <c r="D710" s="4"/>
      <c r="E710" s="4"/>
      <c r="F710" s="4"/>
      <c r="G710" s="4"/>
      <c r="H710" s="4"/>
      <c r="I710" s="4"/>
      <c r="J710" s="4"/>
      <c r="K710" s="4"/>
      <c r="L710" s="4"/>
      <c r="M710" s="4"/>
      <c r="N710" s="4"/>
      <c r="O710" s="4"/>
      <c r="P710" s="4"/>
      <c r="Q710" s="4"/>
      <c r="R710" s="4"/>
      <c r="S710" s="4"/>
      <c r="T710" s="4"/>
      <c r="U710" s="4"/>
      <c r="V710" s="4"/>
      <c r="W710" s="4"/>
      <c r="X710" s="4"/>
      <c r="Y710" s="4"/>
      <c r="Z710" s="4"/>
    </row>
    <row r="711" ht="9.75" customHeight="1">
      <c r="A711" s="4"/>
      <c r="B711" s="4"/>
      <c r="C711" s="4"/>
      <c r="D711" s="4"/>
      <c r="E711" s="4"/>
      <c r="F711" s="4"/>
      <c r="G711" s="4"/>
      <c r="H711" s="4"/>
      <c r="I711" s="4"/>
      <c r="J711" s="4"/>
      <c r="K711" s="4"/>
      <c r="L711" s="4"/>
      <c r="M711" s="4"/>
      <c r="N711" s="4"/>
      <c r="O711" s="4"/>
      <c r="P711" s="4"/>
      <c r="Q711" s="4"/>
      <c r="R711" s="4"/>
      <c r="S711" s="4"/>
      <c r="T711" s="4"/>
      <c r="U711" s="4"/>
      <c r="V711" s="4"/>
      <c r="W711" s="4"/>
      <c r="X711" s="4"/>
      <c r="Y711" s="4"/>
      <c r="Z711" s="4"/>
    </row>
    <row r="712" ht="9.75" customHeight="1">
      <c r="A712" s="4"/>
      <c r="B712" s="4"/>
      <c r="C712" s="4"/>
      <c r="D712" s="4"/>
      <c r="E712" s="4"/>
      <c r="F712" s="4"/>
      <c r="G712" s="4"/>
      <c r="H712" s="4"/>
      <c r="I712" s="4"/>
      <c r="J712" s="4"/>
      <c r="K712" s="4"/>
      <c r="L712" s="4"/>
      <c r="M712" s="4"/>
      <c r="N712" s="4"/>
      <c r="O712" s="4"/>
      <c r="P712" s="4"/>
      <c r="Q712" s="4"/>
      <c r="R712" s="4"/>
      <c r="S712" s="4"/>
      <c r="T712" s="4"/>
      <c r="U712" s="4"/>
      <c r="V712" s="4"/>
      <c r="W712" s="4"/>
      <c r="X712" s="4"/>
      <c r="Y712" s="4"/>
      <c r="Z712" s="4"/>
    </row>
    <row r="713" ht="9.75" customHeight="1">
      <c r="A713" s="4"/>
      <c r="B713" s="4"/>
      <c r="C713" s="4"/>
      <c r="D713" s="4"/>
      <c r="E713" s="4"/>
      <c r="F713" s="4"/>
      <c r="G713" s="4"/>
      <c r="H713" s="4"/>
      <c r="I713" s="4"/>
      <c r="J713" s="4"/>
      <c r="K713" s="4"/>
      <c r="L713" s="4"/>
      <c r="M713" s="4"/>
      <c r="N713" s="4"/>
      <c r="O713" s="4"/>
      <c r="P713" s="4"/>
      <c r="Q713" s="4"/>
      <c r="R713" s="4"/>
      <c r="S713" s="4"/>
      <c r="T713" s="4"/>
      <c r="U713" s="4"/>
      <c r="V713" s="4"/>
      <c r="W713" s="4"/>
      <c r="X713" s="4"/>
      <c r="Y713" s="4"/>
      <c r="Z713" s="4"/>
    </row>
    <row r="714" ht="9.75" customHeight="1">
      <c r="A714" s="4"/>
      <c r="B714" s="4"/>
      <c r="C714" s="4"/>
      <c r="D714" s="4"/>
      <c r="E714" s="4"/>
      <c r="F714" s="4"/>
      <c r="G714" s="4"/>
      <c r="H714" s="4"/>
      <c r="I714" s="4"/>
      <c r="J714" s="4"/>
      <c r="K714" s="4"/>
      <c r="L714" s="4"/>
      <c r="M714" s="4"/>
      <c r="N714" s="4"/>
      <c r="O714" s="4"/>
      <c r="P714" s="4"/>
      <c r="Q714" s="4"/>
      <c r="R714" s="4"/>
      <c r="S714" s="4"/>
      <c r="T714" s="4"/>
      <c r="U714" s="4"/>
      <c r="V714" s="4"/>
      <c r="W714" s="4"/>
      <c r="X714" s="4"/>
      <c r="Y714" s="4"/>
      <c r="Z714" s="4"/>
    </row>
    <row r="715" ht="9.75" customHeight="1">
      <c r="A715" s="4"/>
      <c r="B715" s="4"/>
      <c r="C715" s="4"/>
      <c r="D715" s="4"/>
      <c r="E715" s="4"/>
      <c r="F715" s="4"/>
      <c r="G715" s="4"/>
      <c r="H715" s="4"/>
      <c r="I715" s="4"/>
      <c r="J715" s="4"/>
      <c r="K715" s="4"/>
      <c r="L715" s="4"/>
      <c r="M715" s="4"/>
      <c r="N715" s="4"/>
      <c r="O715" s="4"/>
      <c r="P715" s="4"/>
      <c r="Q715" s="4"/>
      <c r="R715" s="4"/>
      <c r="S715" s="4"/>
      <c r="T715" s="4"/>
      <c r="U715" s="4"/>
      <c r="V715" s="4"/>
      <c r="W715" s="4"/>
      <c r="X715" s="4"/>
      <c r="Y715" s="4"/>
      <c r="Z715" s="4"/>
    </row>
    <row r="716" ht="9.75" customHeight="1">
      <c r="A716" s="4"/>
      <c r="B716" s="4"/>
      <c r="C716" s="4"/>
      <c r="D716" s="4"/>
      <c r="E716" s="4"/>
      <c r="F716" s="4"/>
      <c r="G716" s="4"/>
      <c r="H716" s="4"/>
      <c r="I716" s="4"/>
      <c r="J716" s="4"/>
      <c r="K716" s="4"/>
      <c r="L716" s="4"/>
      <c r="M716" s="4"/>
      <c r="N716" s="4"/>
      <c r="O716" s="4"/>
      <c r="P716" s="4"/>
      <c r="Q716" s="4"/>
      <c r="R716" s="4"/>
      <c r="S716" s="4"/>
      <c r="T716" s="4"/>
      <c r="U716" s="4"/>
      <c r="V716" s="4"/>
      <c r="W716" s="4"/>
      <c r="X716" s="4"/>
      <c r="Y716" s="4"/>
      <c r="Z716" s="4"/>
    </row>
    <row r="717" ht="9.75" customHeight="1">
      <c r="A717" s="4"/>
      <c r="B717" s="4"/>
      <c r="C717" s="4"/>
      <c r="D717" s="4"/>
      <c r="E717" s="4"/>
      <c r="F717" s="4"/>
      <c r="G717" s="4"/>
      <c r="H717" s="4"/>
      <c r="I717" s="4"/>
      <c r="J717" s="4"/>
      <c r="K717" s="4"/>
      <c r="L717" s="4"/>
      <c r="M717" s="4"/>
      <c r="N717" s="4"/>
      <c r="O717" s="4"/>
      <c r="P717" s="4"/>
      <c r="Q717" s="4"/>
      <c r="R717" s="4"/>
      <c r="S717" s="4"/>
      <c r="T717" s="4"/>
      <c r="U717" s="4"/>
      <c r="V717" s="4"/>
      <c r="W717" s="4"/>
      <c r="X717" s="4"/>
      <c r="Y717" s="4"/>
      <c r="Z717" s="4"/>
    </row>
    <row r="718" ht="9.75" customHeight="1">
      <c r="A718" s="4"/>
      <c r="B718" s="4"/>
      <c r="C718" s="4"/>
      <c r="D718" s="4"/>
      <c r="E718" s="4"/>
      <c r="F718" s="4"/>
      <c r="G718" s="4"/>
      <c r="H718" s="4"/>
      <c r="I718" s="4"/>
      <c r="J718" s="4"/>
      <c r="K718" s="4"/>
      <c r="L718" s="4"/>
      <c r="M718" s="4"/>
      <c r="N718" s="4"/>
      <c r="O718" s="4"/>
      <c r="P718" s="4"/>
      <c r="Q718" s="4"/>
      <c r="R718" s="4"/>
      <c r="S718" s="4"/>
      <c r="T718" s="4"/>
      <c r="U718" s="4"/>
      <c r="V718" s="4"/>
      <c r="W718" s="4"/>
      <c r="X718" s="4"/>
      <c r="Y718" s="4"/>
      <c r="Z718" s="4"/>
    </row>
    <row r="719" ht="9.75" customHeight="1">
      <c r="A719" s="4"/>
      <c r="B719" s="4"/>
      <c r="C719" s="4"/>
      <c r="D719" s="4"/>
      <c r="E719" s="4"/>
      <c r="F719" s="4"/>
      <c r="G719" s="4"/>
      <c r="H719" s="4"/>
      <c r="I719" s="4"/>
      <c r="J719" s="4"/>
      <c r="K719" s="4"/>
      <c r="L719" s="4"/>
      <c r="M719" s="4"/>
      <c r="N719" s="4"/>
      <c r="O719" s="4"/>
      <c r="P719" s="4"/>
      <c r="Q719" s="4"/>
      <c r="R719" s="4"/>
      <c r="S719" s="4"/>
      <c r="T719" s="4"/>
      <c r="U719" s="4"/>
      <c r="V719" s="4"/>
      <c r="W719" s="4"/>
      <c r="X719" s="4"/>
      <c r="Y719" s="4"/>
      <c r="Z719" s="4"/>
    </row>
    <row r="720" ht="9.75" customHeight="1">
      <c r="A720" s="4"/>
      <c r="B720" s="4"/>
      <c r="C720" s="4"/>
      <c r="D720" s="4"/>
      <c r="E720" s="4"/>
      <c r="F720" s="4"/>
      <c r="G720" s="4"/>
      <c r="H720" s="4"/>
      <c r="I720" s="4"/>
      <c r="J720" s="4"/>
      <c r="K720" s="4"/>
      <c r="L720" s="4"/>
      <c r="M720" s="4"/>
      <c r="N720" s="4"/>
      <c r="O720" s="4"/>
      <c r="P720" s="4"/>
      <c r="Q720" s="4"/>
      <c r="R720" s="4"/>
      <c r="S720" s="4"/>
      <c r="T720" s="4"/>
      <c r="U720" s="4"/>
      <c r="V720" s="4"/>
      <c r="W720" s="4"/>
      <c r="X720" s="4"/>
      <c r="Y720" s="4"/>
      <c r="Z720" s="4"/>
    </row>
    <row r="721" ht="9.75" customHeight="1">
      <c r="A721" s="4"/>
      <c r="B721" s="4"/>
      <c r="C721" s="4"/>
      <c r="D721" s="4"/>
      <c r="E721" s="4"/>
      <c r="F721" s="4"/>
      <c r="G721" s="4"/>
      <c r="H721" s="4"/>
      <c r="I721" s="4"/>
      <c r="J721" s="4"/>
      <c r="K721" s="4"/>
      <c r="L721" s="4"/>
      <c r="M721" s="4"/>
      <c r="N721" s="4"/>
      <c r="O721" s="4"/>
      <c r="P721" s="4"/>
      <c r="Q721" s="4"/>
      <c r="R721" s="4"/>
      <c r="S721" s="4"/>
      <c r="T721" s="4"/>
      <c r="U721" s="4"/>
      <c r="V721" s="4"/>
      <c r="W721" s="4"/>
      <c r="X721" s="4"/>
      <c r="Y721" s="4"/>
      <c r="Z721" s="4"/>
    </row>
    <row r="722" ht="9.75" customHeight="1">
      <c r="A722" s="4"/>
      <c r="B722" s="4"/>
      <c r="C722" s="4"/>
      <c r="D722" s="4"/>
      <c r="E722" s="4"/>
      <c r="F722" s="4"/>
      <c r="G722" s="4"/>
      <c r="H722" s="4"/>
      <c r="I722" s="4"/>
      <c r="J722" s="4"/>
      <c r="K722" s="4"/>
      <c r="L722" s="4"/>
      <c r="M722" s="4"/>
      <c r="N722" s="4"/>
      <c r="O722" s="4"/>
      <c r="P722" s="4"/>
      <c r="Q722" s="4"/>
      <c r="R722" s="4"/>
      <c r="S722" s="4"/>
      <c r="T722" s="4"/>
      <c r="U722" s="4"/>
      <c r="V722" s="4"/>
      <c r="W722" s="4"/>
      <c r="X722" s="4"/>
      <c r="Y722" s="4"/>
      <c r="Z722" s="4"/>
    </row>
    <row r="723" ht="9.75" customHeight="1">
      <c r="A723" s="4"/>
      <c r="B723" s="4"/>
      <c r="C723" s="4"/>
      <c r="D723" s="4"/>
      <c r="E723" s="4"/>
      <c r="F723" s="4"/>
      <c r="G723" s="4"/>
      <c r="H723" s="4"/>
      <c r="I723" s="4"/>
      <c r="J723" s="4"/>
      <c r="K723" s="4"/>
      <c r="L723" s="4"/>
      <c r="M723" s="4"/>
      <c r="N723" s="4"/>
      <c r="O723" s="4"/>
      <c r="P723" s="4"/>
      <c r="Q723" s="4"/>
      <c r="R723" s="4"/>
      <c r="S723" s="4"/>
      <c r="T723" s="4"/>
      <c r="U723" s="4"/>
      <c r="V723" s="4"/>
      <c r="W723" s="4"/>
      <c r="X723" s="4"/>
      <c r="Y723" s="4"/>
      <c r="Z723" s="4"/>
    </row>
    <row r="724" ht="9.75" customHeight="1">
      <c r="A724" s="4"/>
      <c r="B724" s="4"/>
      <c r="C724" s="4"/>
      <c r="D724" s="4"/>
      <c r="E724" s="4"/>
      <c r="F724" s="4"/>
      <c r="G724" s="4"/>
      <c r="H724" s="4"/>
      <c r="I724" s="4"/>
      <c r="J724" s="4"/>
      <c r="K724" s="4"/>
      <c r="L724" s="4"/>
      <c r="M724" s="4"/>
      <c r="N724" s="4"/>
      <c r="O724" s="4"/>
      <c r="P724" s="4"/>
      <c r="Q724" s="4"/>
      <c r="R724" s="4"/>
      <c r="S724" s="4"/>
      <c r="T724" s="4"/>
      <c r="U724" s="4"/>
      <c r="V724" s="4"/>
      <c r="W724" s="4"/>
      <c r="X724" s="4"/>
      <c r="Y724" s="4"/>
      <c r="Z724" s="4"/>
    </row>
    <row r="725" ht="9.75" customHeight="1">
      <c r="A725" s="4"/>
      <c r="B725" s="4"/>
      <c r="C725" s="4"/>
      <c r="D725" s="4"/>
      <c r="E725" s="4"/>
      <c r="F725" s="4"/>
      <c r="G725" s="4"/>
      <c r="H725" s="4"/>
      <c r="I725" s="4"/>
      <c r="J725" s="4"/>
      <c r="K725" s="4"/>
      <c r="L725" s="4"/>
      <c r="M725" s="4"/>
      <c r="N725" s="4"/>
      <c r="O725" s="4"/>
      <c r="P725" s="4"/>
      <c r="Q725" s="4"/>
      <c r="R725" s="4"/>
      <c r="S725" s="4"/>
      <c r="T725" s="4"/>
      <c r="U725" s="4"/>
      <c r="V725" s="4"/>
      <c r="W725" s="4"/>
      <c r="X725" s="4"/>
      <c r="Y725" s="4"/>
      <c r="Z725" s="4"/>
    </row>
    <row r="726" ht="9.75" customHeight="1">
      <c r="A726" s="4"/>
      <c r="B726" s="4"/>
      <c r="C726" s="4"/>
      <c r="D726" s="4"/>
      <c r="E726" s="4"/>
      <c r="F726" s="4"/>
      <c r="G726" s="4"/>
      <c r="H726" s="4"/>
      <c r="I726" s="4"/>
      <c r="J726" s="4"/>
      <c r="K726" s="4"/>
      <c r="L726" s="4"/>
      <c r="M726" s="4"/>
      <c r="N726" s="4"/>
      <c r="O726" s="4"/>
      <c r="P726" s="4"/>
      <c r="Q726" s="4"/>
      <c r="R726" s="4"/>
      <c r="S726" s="4"/>
      <c r="T726" s="4"/>
      <c r="U726" s="4"/>
      <c r="V726" s="4"/>
      <c r="W726" s="4"/>
      <c r="X726" s="4"/>
      <c r="Y726" s="4"/>
      <c r="Z726" s="4"/>
    </row>
    <row r="727" ht="9.75" customHeight="1">
      <c r="A727" s="4"/>
      <c r="B727" s="4"/>
      <c r="C727" s="4"/>
      <c r="D727" s="4"/>
      <c r="E727" s="4"/>
      <c r="F727" s="4"/>
      <c r="G727" s="4"/>
      <c r="H727" s="4"/>
      <c r="I727" s="4"/>
      <c r="J727" s="4"/>
      <c r="K727" s="4"/>
      <c r="L727" s="4"/>
      <c r="M727" s="4"/>
      <c r="N727" s="4"/>
      <c r="O727" s="4"/>
      <c r="P727" s="4"/>
      <c r="Q727" s="4"/>
      <c r="R727" s="4"/>
      <c r="S727" s="4"/>
      <c r="T727" s="4"/>
      <c r="U727" s="4"/>
      <c r="V727" s="4"/>
      <c r="W727" s="4"/>
      <c r="X727" s="4"/>
      <c r="Y727" s="4"/>
      <c r="Z727" s="4"/>
    </row>
    <row r="728" ht="9.75" customHeight="1">
      <c r="A728" s="4"/>
      <c r="B728" s="4"/>
      <c r="C728" s="4"/>
      <c r="D728" s="4"/>
      <c r="E728" s="4"/>
      <c r="F728" s="4"/>
      <c r="G728" s="4"/>
      <c r="H728" s="4"/>
      <c r="I728" s="4"/>
      <c r="J728" s="4"/>
      <c r="K728" s="4"/>
      <c r="L728" s="4"/>
      <c r="M728" s="4"/>
      <c r="N728" s="4"/>
      <c r="O728" s="4"/>
      <c r="P728" s="4"/>
      <c r="Q728" s="4"/>
      <c r="R728" s="4"/>
      <c r="S728" s="4"/>
      <c r="T728" s="4"/>
      <c r="U728" s="4"/>
      <c r="V728" s="4"/>
      <c r="W728" s="4"/>
      <c r="X728" s="4"/>
      <c r="Y728" s="4"/>
      <c r="Z728" s="4"/>
    </row>
    <row r="729" ht="9.75" customHeight="1">
      <c r="A729" s="4"/>
      <c r="B729" s="4"/>
      <c r="C729" s="4"/>
      <c r="D729" s="4"/>
      <c r="E729" s="4"/>
      <c r="F729" s="4"/>
      <c r="G729" s="4"/>
      <c r="H729" s="4"/>
      <c r="I729" s="4"/>
      <c r="J729" s="4"/>
      <c r="K729" s="4"/>
      <c r="L729" s="4"/>
      <c r="M729" s="4"/>
      <c r="N729" s="4"/>
      <c r="O729" s="4"/>
      <c r="P729" s="4"/>
      <c r="Q729" s="4"/>
      <c r="R729" s="4"/>
      <c r="S729" s="4"/>
      <c r="T729" s="4"/>
      <c r="U729" s="4"/>
      <c r="V729" s="4"/>
      <c r="W729" s="4"/>
      <c r="X729" s="4"/>
      <c r="Y729" s="4"/>
      <c r="Z729" s="4"/>
    </row>
    <row r="730" ht="9.75" customHeight="1">
      <c r="A730" s="4"/>
      <c r="B730" s="4"/>
      <c r="C730" s="4"/>
      <c r="D730" s="4"/>
      <c r="E730" s="4"/>
      <c r="F730" s="4"/>
      <c r="G730" s="4"/>
      <c r="H730" s="4"/>
      <c r="I730" s="4"/>
      <c r="J730" s="4"/>
      <c r="K730" s="4"/>
      <c r="L730" s="4"/>
      <c r="M730" s="4"/>
      <c r="N730" s="4"/>
      <c r="O730" s="4"/>
      <c r="P730" s="4"/>
      <c r="Q730" s="4"/>
      <c r="R730" s="4"/>
      <c r="S730" s="4"/>
      <c r="T730" s="4"/>
      <c r="U730" s="4"/>
      <c r="V730" s="4"/>
      <c r="W730" s="4"/>
      <c r="X730" s="4"/>
      <c r="Y730" s="4"/>
      <c r="Z730" s="4"/>
    </row>
    <row r="731" ht="9.75" customHeight="1">
      <c r="A731" s="4"/>
      <c r="B731" s="4"/>
      <c r="C731" s="4"/>
      <c r="D731" s="4"/>
      <c r="E731" s="4"/>
      <c r="F731" s="4"/>
      <c r="G731" s="4"/>
      <c r="H731" s="4"/>
      <c r="I731" s="4"/>
      <c r="J731" s="4"/>
      <c r="K731" s="4"/>
      <c r="L731" s="4"/>
      <c r="M731" s="4"/>
      <c r="N731" s="4"/>
      <c r="O731" s="4"/>
      <c r="P731" s="4"/>
      <c r="Q731" s="4"/>
      <c r="R731" s="4"/>
      <c r="S731" s="4"/>
      <c r="T731" s="4"/>
      <c r="U731" s="4"/>
      <c r="V731" s="4"/>
      <c r="W731" s="4"/>
      <c r="X731" s="4"/>
      <c r="Y731" s="4"/>
      <c r="Z731" s="4"/>
    </row>
    <row r="732" ht="9.75" customHeight="1">
      <c r="A732" s="4"/>
      <c r="B732" s="4"/>
      <c r="C732" s="4"/>
      <c r="D732" s="4"/>
      <c r="E732" s="4"/>
      <c r="F732" s="4"/>
      <c r="G732" s="4"/>
      <c r="H732" s="4"/>
      <c r="I732" s="4"/>
      <c r="J732" s="4"/>
      <c r="K732" s="4"/>
      <c r="L732" s="4"/>
      <c r="M732" s="4"/>
      <c r="N732" s="4"/>
      <c r="O732" s="4"/>
      <c r="P732" s="4"/>
      <c r="Q732" s="4"/>
      <c r="R732" s="4"/>
      <c r="S732" s="4"/>
      <c r="T732" s="4"/>
      <c r="U732" s="4"/>
      <c r="V732" s="4"/>
      <c r="W732" s="4"/>
      <c r="X732" s="4"/>
      <c r="Y732" s="4"/>
      <c r="Z732" s="4"/>
    </row>
    <row r="733" ht="9.75" customHeight="1">
      <c r="A733" s="4"/>
      <c r="B733" s="4"/>
      <c r="C733" s="4"/>
      <c r="D733" s="4"/>
      <c r="E733" s="4"/>
      <c r="F733" s="4"/>
      <c r="G733" s="4"/>
      <c r="H733" s="4"/>
      <c r="I733" s="4"/>
      <c r="J733" s="4"/>
      <c r="K733" s="4"/>
      <c r="L733" s="4"/>
      <c r="M733" s="4"/>
      <c r="N733" s="4"/>
      <c r="O733" s="4"/>
      <c r="P733" s="4"/>
      <c r="Q733" s="4"/>
      <c r="R733" s="4"/>
      <c r="S733" s="4"/>
      <c r="T733" s="4"/>
      <c r="U733" s="4"/>
      <c r="V733" s="4"/>
      <c r="W733" s="4"/>
      <c r="X733" s="4"/>
      <c r="Y733" s="4"/>
      <c r="Z733" s="4"/>
    </row>
    <row r="734" ht="9.75" customHeight="1">
      <c r="A734" s="4"/>
      <c r="B734" s="4"/>
      <c r="C734" s="4"/>
      <c r="D734" s="4"/>
      <c r="E734" s="4"/>
      <c r="F734" s="4"/>
      <c r="G734" s="4"/>
      <c r="H734" s="4"/>
      <c r="I734" s="4"/>
      <c r="J734" s="4"/>
      <c r="K734" s="4"/>
      <c r="L734" s="4"/>
      <c r="M734" s="4"/>
      <c r="N734" s="4"/>
      <c r="O734" s="4"/>
      <c r="P734" s="4"/>
      <c r="Q734" s="4"/>
      <c r="R734" s="4"/>
      <c r="S734" s="4"/>
      <c r="T734" s="4"/>
      <c r="U734" s="4"/>
      <c r="V734" s="4"/>
      <c r="W734" s="4"/>
      <c r="X734" s="4"/>
      <c r="Y734" s="4"/>
      <c r="Z734" s="4"/>
    </row>
    <row r="735" ht="9.75" customHeight="1">
      <c r="A735" s="4"/>
      <c r="B735" s="4"/>
      <c r="C735" s="4"/>
      <c r="D735" s="4"/>
      <c r="E735" s="4"/>
      <c r="F735" s="4"/>
      <c r="G735" s="4"/>
      <c r="H735" s="4"/>
      <c r="I735" s="4"/>
      <c r="J735" s="4"/>
      <c r="K735" s="4"/>
      <c r="L735" s="4"/>
      <c r="M735" s="4"/>
      <c r="N735" s="4"/>
      <c r="O735" s="4"/>
      <c r="P735" s="4"/>
      <c r="Q735" s="4"/>
      <c r="R735" s="4"/>
      <c r="S735" s="4"/>
      <c r="T735" s="4"/>
      <c r="U735" s="4"/>
      <c r="V735" s="4"/>
      <c r="W735" s="4"/>
      <c r="X735" s="4"/>
      <c r="Y735" s="4"/>
      <c r="Z735" s="4"/>
    </row>
    <row r="736" ht="9.75" customHeight="1">
      <c r="A736" s="4"/>
      <c r="B736" s="4"/>
      <c r="C736" s="4"/>
      <c r="D736" s="4"/>
      <c r="E736" s="4"/>
      <c r="F736" s="4"/>
      <c r="G736" s="4"/>
      <c r="H736" s="4"/>
      <c r="I736" s="4"/>
      <c r="J736" s="4"/>
      <c r="K736" s="4"/>
      <c r="L736" s="4"/>
      <c r="M736" s="4"/>
      <c r="N736" s="4"/>
      <c r="O736" s="4"/>
      <c r="P736" s="4"/>
      <c r="Q736" s="4"/>
      <c r="R736" s="4"/>
      <c r="S736" s="4"/>
      <c r="T736" s="4"/>
      <c r="U736" s="4"/>
      <c r="V736" s="4"/>
      <c r="W736" s="4"/>
      <c r="X736" s="4"/>
      <c r="Y736" s="4"/>
      <c r="Z736" s="4"/>
    </row>
    <row r="737" ht="9.75" customHeight="1">
      <c r="A737" s="4"/>
      <c r="B737" s="4"/>
      <c r="C737" s="4"/>
      <c r="D737" s="4"/>
      <c r="E737" s="4"/>
      <c r="F737" s="4"/>
      <c r="G737" s="4"/>
      <c r="H737" s="4"/>
      <c r="I737" s="4"/>
      <c r="J737" s="4"/>
      <c r="K737" s="4"/>
      <c r="L737" s="4"/>
      <c r="M737" s="4"/>
      <c r="N737" s="4"/>
      <c r="O737" s="4"/>
      <c r="P737" s="4"/>
      <c r="Q737" s="4"/>
      <c r="R737" s="4"/>
      <c r="S737" s="4"/>
      <c r="T737" s="4"/>
      <c r="U737" s="4"/>
      <c r="V737" s="4"/>
      <c r="W737" s="4"/>
      <c r="X737" s="4"/>
      <c r="Y737" s="4"/>
      <c r="Z737" s="4"/>
    </row>
    <row r="738" ht="9.75" customHeight="1">
      <c r="A738" s="4"/>
      <c r="B738" s="4"/>
      <c r="C738" s="4"/>
      <c r="D738" s="4"/>
      <c r="E738" s="4"/>
      <c r="F738" s="4"/>
      <c r="G738" s="4"/>
      <c r="H738" s="4"/>
      <c r="I738" s="4"/>
      <c r="J738" s="4"/>
      <c r="K738" s="4"/>
      <c r="L738" s="4"/>
      <c r="M738" s="4"/>
      <c r="N738" s="4"/>
      <c r="O738" s="4"/>
      <c r="P738" s="4"/>
      <c r="Q738" s="4"/>
      <c r="R738" s="4"/>
      <c r="S738" s="4"/>
      <c r="T738" s="4"/>
      <c r="U738" s="4"/>
      <c r="V738" s="4"/>
      <c r="W738" s="4"/>
      <c r="X738" s="4"/>
      <c r="Y738" s="4"/>
      <c r="Z738" s="4"/>
    </row>
    <row r="739" ht="9.75" customHeight="1">
      <c r="A739" s="4"/>
      <c r="B739" s="4"/>
      <c r="C739" s="4"/>
      <c r="D739" s="4"/>
      <c r="E739" s="4"/>
      <c r="F739" s="4"/>
      <c r="G739" s="4"/>
      <c r="H739" s="4"/>
      <c r="I739" s="4"/>
      <c r="J739" s="4"/>
      <c r="K739" s="4"/>
      <c r="L739" s="4"/>
      <c r="M739" s="4"/>
      <c r="N739" s="4"/>
      <c r="O739" s="4"/>
      <c r="P739" s="4"/>
      <c r="Q739" s="4"/>
      <c r="R739" s="4"/>
      <c r="S739" s="4"/>
      <c r="T739" s="4"/>
      <c r="U739" s="4"/>
      <c r="V739" s="4"/>
      <c r="W739" s="4"/>
      <c r="X739" s="4"/>
      <c r="Y739" s="4"/>
      <c r="Z739" s="4"/>
    </row>
    <row r="740" ht="9.75" customHeight="1">
      <c r="A740" s="4"/>
      <c r="B740" s="4"/>
      <c r="C740" s="4"/>
      <c r="D740" s="4"/>
      <c r="E740" s="4"/>
      <c r="F740" s="4"/>
      <c r="G740" s="4"/>
      <c r="H740" s="4"/>
      <c r="I740" s="4"/>
      <c r="J740" s="4"/>
      <c r="K740" s="4"/>
      <c r="L740" s="4"/>
      <c r="M740" s="4"/>
      <c r="N740" s="4"/>
      <c r="O740" s="4"/>
      <c r="P740" s="4"/>
      <c r="Q740" s="4"/>
      <c r="R740" s="4"/>
      <c r="S740" s="4"/>
      <c r="T740" s="4"/>
      <c r="U740" s="4"/>
      <c r="V740" s="4"/>
      <c r="W740" s="4"/>
      <c r="X740" s="4"/>
      <c r="Y740" s="4"/>
      <c r="Z740" s="4"/>
    </row>
    <row r="741" ht="9.75" customHeight="1">
      <c r="A741" s="4"/>
      <c r="B741" s="4"/>
      <c r="C741" s="4"/>
      <c r="D741" s="4"/>
      <c r="E741" s="4"/>
      <c r="F741" s="4"/>
      <c r="G741" s="4"/>
      <c r="H741" s="4"/>
      <c r="I741" s="4"/>
      <c r="J741" s="4"/>
      <c r="K741" s="4"/>
      <c r="L741" s="4"/>
      <c r="M741" s="4"/>
      <c r="N741" s="4"/>
      <c r="O741" s="4"/>
      <c r="P741" s="4"/>
      <c r="Q741" s="4"/>
      <c r="R741" s="4"/>
      <c r="S741" s="4"/>
      <c r="T741" s="4"/>
      <c r="U741" s="4"/>
      <c r="V741" s="4"/>
      <c r="W741" s="4"/>
      <c r="X741" s="4"/>
      <c r="Y741" s="4"/>
      <c r="Z741" s="4"/>
    </row>
    <row r="742" ht="9.75" customHeight="1">
      <c r="A742" s="4"/>
      <c r="B742" s="4"/>
      <c r="C742" s="4"/>
      <c r="D742" s="4"/>
      <c r="E742" s="4"/>
      <c r="F742" s="4"/>
      <c r="G742" s="4"/>
      <c r="H742" s="4"/>
      <c r="I742" s="4"/>
      <c r="J742" s="4"/>
      <c r="K742" s="4"/>
      <c r="L742" s="4"/>
      <c r="M742" s="4"/>
      <c r="N742" s="4"/>
      <c r="O742" s="4"/>
      <c r="P742" s="4"/>
      <c r="Q742" s="4"/>
      <c r="R742" s="4"/>
      <c r="S742" s="4"/>
      <c r="T742" s="4"/>
      <c r="U742" s="4"/>
      <c r="V742" s="4"/>
      <c r="W742" s="4"/>
      <c r="X742" s="4"/>
      <c r="Y742" s="4"/>
      <c r="Z742" s="4"/>
    </row>
    <row r="743" ht="9.75" customHeight="1">
      <c r="A743" s="4"/>
      <c r="B743" s="4"/>
      <c r="C743" s="4"/>
      <c r="D743" s="4"/>
      <c r="E743" s="4"/>
      <c r="F743" s="4"/>
      <c r="G743" s="4"/>
      <c r="H743" s="4"/>
      <c r="I743" s="4"/>
      <c r="J743" s="4"/>
      <c r="K743" s="4"/>
      <c r="L743" s="4"/>
      <c r="M743" s="4"/>
      <c r="N743" s="4"/>
      <c r="O743" s="4"/>
      <c r="P743" s="4"/>
      <c r="Q743" s="4"/>
      <c r="R743" s="4"/>
      <c r="S743" s="4"/>
      <c r="T743" s="4"/>
      <c r="U743" s="4"/>
      <c r="V743" s="4"/>
      <c r="W743" s="4"/>
      <c r="X743" s="4"/>
      <c r="Y743" s="4"/>
      <c r="Z743" s="4"/>
    </row>
    <row r="744" ht="9.75" customHeight="1">
      <c r="A744" s="4"/>
      <c r="B744" s="4"/>
      <c r="C744" s="4"/>
      <c r="D744" s="4"/>
      <c r="E744" s="4"/>
      <c r="F744" s="4"/>
      <c r="G744" s="4"/>
      <c r="H744" s="4"/>
      <c r="I744" s="4"/>
      <c r="J744" s="4"/>
      <c r="K744" s="4"/>
      <c r="L744" s="4"/>
      <c r="M744" s="4"/>
      <c r="N744" s="4"/>
      <c r="O744" s="4"/>
      <c r="P744" s="4"/>
      <c r="Q744" s="4"/>
      <c r="R744" s="4"/>
      <c r="S744" s="4"/>
      <c r="T744" s="4"/>
      <c r="U744" s="4"/>
      <c r="V744" s="4"/>
      <c r="W744" s="4"/>
      <c r="X744" s="4"/>
      <c r="Y744" s="4"/>
      <c r="Z744" s="4"/>
    </row>
    <row r="745" ht="9.75" customHeight="1">
      <c r="A745" s="4"/>
      <c r="B745" s="4"/>
      <c r="C745" s="4"/>
      <c r="D745" s="4"/>
      <c r="E745" s="4"/>
      <c r="F745" s="4"/>
      <c r="G745" s="4"/>
      <c r="H745" s="4"/>
      <c r="I745" s="4"/>
      <c r="J745" s="4"/>
      <c r="K745" s="4"/>
      <c r="L745" s="4"/>
      <c r="M745" s="4"/>
      <c r="N745" s="4"/>
      <c r="O745" s="4"/>
      <c r="P745" s="4"/>
      <c r="Q745" s="4"/>
      <c r="R745" s="4"/>
      <c r="S745" s="4"/>
      <c r="T745" s="4"/>
      <c r="U745" s="4"/>
      <c r="V745" s="4"/>
      <c r="W745" s="4"/>
      <c r="X745" s="4"/>
      <c r="Y745" s="4"/>
      <c r="Z745" s="4"/>
    </row>
    <row r="746" ht="9.75" customHeight="1">
      <c r="A746" s="4"/>
      <c r="B746" s="4"/>
      <c r="C746" s="4"/>
      <c r="D746" s="4"/>
      <c r="E746" s="4"/>
      <c r="F746" s="4"/>
      <c r="G746" s="4"/>
      <c r="H746" s="4"/>
      <c r="I746" s="4"/>
      <c r="J746" s="4"/>
      <c r="K746" s="4"/>
      <c r="L746" s="4"/>
      <c r="M746" s="4"/>
      <c r="N746" s="4"/>
      <c r="O746" s="4"/>
      <c r="P746" s="4"/>
      <c r="Q746" s="4"/>
      <c r="R746" s="4"/>
      <c r="S746" s="4"/>
      <c r="T746" s="4"/>
      <c r="U746" s="4"/>
      <c r="V746" s="4"/>
      <c r="W746" s="4"/>
      <c r="X746" s="4"/>
      <c r="Y746" s="4"/>
      <c r="Z746" s="4"/>
    </row>
    <row r="747" ht="9.75" customHeight="1">
      <c r="A747" s="4"/>
      <c r="B747" s="4"/>
      <c r="C747" s="4"/>
      <c r="D747" s="4"/>
      <c r="E747" s="4"/>
      <c r="F747" s="4"/>
      <c r="G747" s="4"/>
      <c r="H747" s="4"/>
      <c r="I747" s="4"/>
      <c r="J747" s="4"/>
      <c r="K747" s="4"/>
      <c r="L747" s="4"/>
      <c r="M747" s="4"/>
      <c r="N747" s="4"/>
      <c r="O747" s="4"/>
      <c r="P747" s="4"/>
      <c r="Q747" s="4"/>
      <c r="R747" s="4"/>
      <c r="S747" s="4"/>
      <c r="T747" s="4"/>
      <c r="U747" s="4"/>
      <c r="V747" s="4"/>
      <c r="W747" s="4"/>
      <c r="X747" s="4"/>
      <c r="Y747" s="4"/>
      <c r="Z747" s="4"/>
    </row>
    <row r="748" ht="9.75" customHeight="1">
      <c r="A748" s="4"/>
      <c r="B748" s="4"/>
      <c r="C748" s="4"/>
      <c r="D748" s="4"/>
      <c r="E748" s="4"/>
      <c r="F748" s="4"/>
      <c r="G748" s="4"/>
      <c r="H748" s="4"/>
      <c r="I748" s="4"/>
      <c r="J748" s="4"/>
      <c r="K748" s="4"/>
      <c r="L748" s="4"/>
      <c r="M748" s="4"/>
      <c r="N748" s="4"/>
      <c r="O748" s="4"/>
      <c r="P748" s="4"/>
      <c r="Q748" s="4"/>
      <c r="R748" s="4"/>
      <c r="S748" s="4"/>
      <c r="T748" s="4"/>
      <c r="U748" s="4"/>
      <c r="V748" s="4"/>
      <c r="W748" s="4"/>
      <c r="X748" s="4"/>
      <c r="Y748" s="4"/>
      <c r="Z748" s="4"/>
    </row>
    <row r="749" ht="9.75" customHeight="1">
      <c r="A749" s="4"/>
      <c r="B749" s="4"/>
      <c r="C749" s="4"/>
      <c r="D749" s="4"/>
      <c r="E749" s="4"/>
      <c r="F749" s="4"/>
      <c r="G749" s="4"/>
      <c r="H749" s="4"/>
      <c r="I749" s="4"/>
      <c r="J749" s="4"/>
      <c r="K749" s="4"/>
      <c r="L749" s="4"/>
      <c r="M749" s="4"/>
      <c r="N749" s="4"/>
      <c r="O749" s="4"/>
      <c r="P749" s="4"/>
      <c r="Q749" s="4"/>
      <c r="R749" s="4"/>
      <c r="S749" s="4"/>
      <c r="T749" s="4"/>
      <c r="U749" s="4"/>
      <c r="V749" s="4"/>
      <c r="W749" s="4"/>
      <c r="X749" s="4"/>
      <c r="Y749" s="4"/>
      <c r="Z749" s="4"/>
    </row>
    <row r="750" ht="9.75" customHeight="1">
      <c r="A750" s="4"/>
      <c r="B750" s="4"/>
      <c r="C750" s="4"/>
      <c r="D750" s="4"/>
      <c r="E750" s="4"/>
      <c r="F750" s="4"/>
      <c r="G750" s="4"/>
      <c r="H750" s="4"/>
      <c r="I750" s="4"/>
      <c r="J750" s="4"/>
      <c r="K750" s="4"/>
      <c r="L750" s="4"/>
      <c r="M750" s="4"/>
      <c r="N750" s="4"/>
      <c r="O750" s="4"/>
      <c r="P750" s="4"/>
      <c r="Q750" s="4"/>
      <c r="R750" s="4"/>
      <c r="S750" s="4"/>
      <c r="T750" s="4"/>
      <c r="U750" s="4"/>
      <c r="V750" s="4"/>
      <c r="W750" s="4"/>
      <c r="X750" s="4"/>
      <c r="Y750" s="4"/>
      <c r="Z750" s="4"/>
    </row>
    <row r="751" ht="9.75" customHeight="1">
      <c r="A751" s="4"/>
      <c r="B751" s="4"/>
      <c r="C751" s="4"/>
      <c r="D751" s="4"/>
      <c r="E751" s="4"/>
      <c r="F751" s="4"/>
      <c r="G751" s="4"/>
      <c r="H751" s="4"/>
      <c r="I751" s="4"/>
      <c r="J751" s="4"/>
      <c r="K751" s="4"/>
      <c r="L751" s="4"/>
      <c r="M751" s="4"/>
      <c r="N751" s="4"/>
      <c r="O751" s="4"/>
      <c r="P751" s="4"/>
      <c r="Q751" s="4"/>
      <c r="R751" s="4"/>
      <c r="S751" s="4"/>
      <c r="T751" s="4"/>
      <c r="U751" s="4"/>
      <c r="V751" s="4"/>
      <c r="W751" s="4"/>
      <c r="X751" s="4"/>
      <c r="Y751" s="4"/>
      <c r="Z751" s="4"/>
    </row>
    <row r="752" ht="9.75" customHeight="1">
      <c r="A752" s="4"/>
      <c r="B752" s="4"/>
      <c r="C752" s="4"/>
      <c r="D752" s="4"/>
      <c r="E752" s="4"/>
      <c r="F752" s="4"/>
      <c r="G752" s="4"/>
      <c r="H752" s="4"/>
      <c r="I752" s="4"/>
      <c r="J752" s="4"/>
      <c r="K752" s="4"/>
      <c r="L752" s="4"/>
      <c r="M752" s="4"/>
      <c r="N752" s="4"/>
      <c r="O752" s="4"/>
      <c r="P752" s="4"/>
      <c r="Q752" s="4"/>
      <c r="R752" s="4"/>
      <c r="S752" s="4"/>
      <c r="T752" s="4"/>
      <c r="U752" s="4"/>
      <c r="V752" s="4"/>
      <c r="W752" s="4"/>
      <c r="X752" s="4"/>
      <c r="Y752" s="4"/>
      <c r="Z752" s="4"/>
    </row>
    <row r="753" ht="9.75" customHeight="1">
      <c r="A753" s="4"/>
      <c r="B753" s="4"/>
      <c r="C753" s="4"/>
      <c r="D753" s="4"/>
      <c r="E753" s="4"/>
      <c r="F753" s="4"/>
      <c r="G753" s="4"/>
      <c r="H753" s="4"/>
      <c r="I753" s="4"/>
      <c r="J753" s="4"/>
      <c r="K753" s="4"/>
      <c r="L753" s="4"/>
      <c r="M753" s="4"/>
      <c r="N753" s="4"/>
      <c r="O753" s="4"/>
      <c r="P753" s="4"/>
      <c r="Q753" s="4"/>
      <c r="R753" s="4"/>
      <c r="S753" s="4"/>
      <c r="T753" s="4"/>
      <c r="U753" s="4"/>
      <c r="V753" s="4"/>
      <c r="W753" s="4"/>
      <c r="X753" s="4"/>
      <c r="Y753" s="4"/>
      <c r="Z753" s="4"/>
    </row>
    <row r="754" ht="9.75" customHeight="1">
      <c r="A754" s="4"/>
      <c r="B754" s="4"/>
      <c r="C754" s="4"/>
      <c r="D754" s="4"/>
      <c r="E754" s="4"/>
      <c r="F754" s="4"/>
      <c r="G754" s="4"/>
      <c r="H754" s="4"/>
      <c r="I754" s="4"/>
      <c r="J754" s="4"/>
      <c r="K754" s="4"/>
      <c r="L754" s="4"/>
      <c r="M754" s="4"/>
      <c r="N754" s="4"/>
      <c r="O754" s="4"/>
      <c r="P754" s="4"/>
      <c r="Q754" s="4"/>
      <c r="R754" s="4"/>
      <c r="S754" s="4"/>
      <c r="T754" s="4"/>
      <c r="U754" s="4"/>
      <c r="V754" s="4"/>
      <c r="W754" s="4"/>
      <c r="X754" s="4"/>
      <c r="Y754" s="4"/>
      <c r="Z754" s="4"/>
    </row>
    <row r="755" ht="9.75" customHeight="1">
      <c r="A755" s="4"/>
      <c r="B755" s="4"/>
      <c r="C755" s="4"/>
      <c r="D755" s="4"/>
      <c r="E755" s="4"/>
      <c r="F755" s="4"/>
      <c r="G755" s="4"/>
      <c r="H755" s="4"/>
      <c r="I755" s="4"/>
      <c r="J755" s="4"/>
      <c r="K755" s="4"/>
      <c r="L755" s="4"/>
      <c r="M755" s="4"/>
      <c r="N755" s="4"/>
      <c r="O755" s="4"/>
      <c r="P755" s="4"/>
      <c r="Q755" s="4"/>
      <c r="R755" s="4"/>
      <c r="S755" s="4"/>
      <c r="T755" s="4"/>
      <c r="U755" s="4"/>
      <c r="V755" s="4"/>
      <c r="W755" s="4"/>
      <c r="X755" s="4"/>
      <c r="Y755" s="4"/>
      <c r="Z755" s="4"/>
    </row>
    <row r="756" ht="9.75" customHeight="1">
      <c r="A756" s="4"/>
      <c r="B756" s="4"/>
      <c r="C756" s="4"/>
      <c r="D756" s="4"/>
      <c r="E756" s="4"/>
      <c r="F756" s="4"/>
      <c r="G756" s="4"/>
      <c r="H756" s="4"/>
      <c r="I756" s="4"/>
      <c r="J756" s="4"/>
      <c r="K756" s="4"/>
      <c r="L756" s="4"/>
      <c r="M756" s="4"/>
      <c r="N756" s="4"/>
      <c r="O756" s="4"/>
      <c r="P756" s="4"/>
      <c r="Q756" s="4"/>
      <c r="R756" s="4"/>
      <c r="S756" s="4"/>
      <c r="T756" s="4"/>
      <c r="U756" s="4"/>
      <c r="V756" s="4"/>
      <c r="W756" s="4"/>
      <c r="X756" s="4"/>
      <c r="Y756" s="4"/>
      <c r="Z756" s="4"/>
    </row>
    <row r="757" ht="9.75" customHeight="1">
      <c r="A757" s="4"/>
      <c r="B757" s="4"/>
      <c r="C757" s="4"/>
      <c r="D757" s="4"/>
      <c r="E757" s="4"/>
      <c r="F757" s="4"/>
      <c r="G757" s="4"/>
      <c r="H757" s="4"/>
      <c r="I757" s="4"/>
      <c r="J757" s="4"/>
      <c r="K757" s="4"/>
      <c r="L757" s="4"/>
      <c r="M757" s="4"/>
      <c r="N757" s="4"/>
      <c r="O757" s="4"/>
      <c r="P757" s="4"/>
      <c r="Q757" s="4"/>
      <c r="R757" s="4"/>
      <c r="S757" s="4"/>
      <c r="T757" s="4"/>
      <c r="U757" s="4"/>
      <c r="V757" s="4"/>
      <c r="W757" s="4"/>
      <c r="X757" s="4"/>
      <c r="Y757" s="4"/>
      <c r="Z757" s="4"/>
    </row>
    <row r="758" ht="9.75" customHeight="1">
      <c r="A758" s="4"/>
      <c r="B758" s="4"/>
      <c r="C758" s="4"/>
      <c r="D758" s="4"/>
      <c r="E758" s="4"/>
      <c r="F758" s="4"/>
      <c r="G758" s="4"/>
      <c r="H758" s="4"/>
      <c r="I758" s="4"/>
      <c r="J758" s="4"/>
      <c r="K758" s="4"/>
      <c r="L758" s="4"/>
      <c r="M758" s="4"/>
      <c r="N758" s="4"/>
      <c r="O758" s="4"/>
      <c r="P758" s="4"/>
      <c r="Q758" s="4"/>
      <c r="R758" s="4"/>
      <c r="S758" s="4"/>
      <c r="T758" s="4"/>
      <c r="U758" s="4"/>
      <c r="V758" s="4"/>
      <c r="W758" s="4"/>
      <c r="X758" s="4"/>
      <c r="Y758" s="4"/>
      <c r="Z758" s="4"/>
    </row>
    <row r="759" ht="9.75" customHeight="1">
      <c r="A759" s="4"/>
      <c r="B759" s="4"/>
      <c r="C759" s="4"/>
      <c r="D759" s="4"/>
      <c r="E759" s="4"/>
      <c r="F759" s="4"/>
      <c r="G759" s="4"/>
      <c r="H759" s="4"/>
      <c r="I759" s="4"/>
      <c r="J759" s="4"/>
      <c r="K759" s="4"/>
      <c r="L759" s="4"/>
      <c r="M759" s="4"/>
      <c r="N759" s="4"/>
      <c r="O759" s="4"/>
      <c r="P759" s="4"/>
      <c r="Q759" s="4"/>
      <c r="R759" s="4"/>
      <c r="S759" s="4"/>
      <c r="T759" s="4"/>
      <c r="U759" s="4"/>
      <c r="V759" s="4"/>
      <c r="W759" s="4"/>
      <c r="X759" s="4"/>
      <c r="Y759" s="4"/>
      <c r="Z759" s="4"/>
    </row>
    <row r="760" ht="9.75" customHeight="1">
      <c r="A760" s="4"/>
      <c r="B760" s="4"/>
      <c r="C760" s="4"/>
      <c r="D760" s="4"/>
      <c r="E760" s="4"/>
      <c r="F760" s="4"/>
      <c r="G760" s="4"/>
      <c r="H760" s="4"/>
      <c r="I760" s="4"/>
      <c r="J760" s="4"/>
      <c r="K760" s="4"/>
      <c r="L760" s="4"/>
      <c r="M760" s="4"/>
      <c r="N760" s="4"/>
      <c r="O760" s="4"/>
      <c r="P760" s="4"/>
      <c r="Q760" s="4"/>
      <c r="R760" s="4"/>
      <c r="S760" s="4"/>
      <c r="T760" s="4"/>
      <c r="U760" s="4"/>
      <c r="V760" s="4"/>
      <c r="W760" s="4"/>
      <c r="X760" s="4"/>
      <c r="Y760" s="4"/>
      <c r="Z760" s="4"/>
    </row>
    <row r="761" ht="9.75" customHeight="1">
      <c r="A761" s="4"/>
      <c r="B761" s="4"/>
      <c r="C761" s="4"/>
      <c r="D761" s="4"/>
      <c r="E761" s="4"/>
      <c r="F761" s="4"/>
      <c r="G761" s="4"/>
      <c r="H761" s="4"/>
      <c r="I761" s="4"/>
      <c r="J761" s="4"/>
      <c r="K761" s="4"/>
      <c r="L761" s="4"/>
      <c r="M761" s="4"/>
      <c r="N761" s="4"/>
      <c r="O761" s="4"/>
      <c r="P761" s="4"/>
      <c r="Q761" s="4"/>
      <c r="R761" s="4"/>
      <c r="S761" s="4"/>
      <c r="T761" s="4"/>
      <c r="U761" s="4"/>
      <c r="V761" s="4"/>
      <c r="W761" s="4"/>
      <c r="X761" s="4"/>
      <c r="Y761" s="4"/>
      <c r="Z761" s="4"/>
    </row>
    <row r="762" ht="9.75" customHeight="1">
      <c r="A762" s="4"/>
      <c r="B762" s="4"/>
      <c r="C762" s="4"/>
      <c r="D762" s="4"/>
      <c r="E762" s="4"/>
      <c r="F762" s="4"/>
      <c r="G762" s="4"/>
      <c r="H762" s="4"/>
      <c r="I762" s="4"/>
      <c r="J762" s="4"/>
      <c r="K762" s="4"/>
      <c r="L762" s="4"/>
      <c r="M762" s="4"/>
      <c r="N762" s="4"/>
      <c r="O762" s="4"/>
      <c r="P762" s="4"/>
      <c r="Q762" s="4"/>
      <c r="R762" s="4"/>
      <c r="S762" s="4"/>
      <c r="T762" s="4"/>
      <c r="U762" s="4"/>
      <c r="V762" s="4"/>
      <c r="W762" s="4"/>
      <c r="X762" s="4"/>
      <c r="Y762" s="4"/>
      <c r="Z762" s="4"/>
    </row>
    <row r="763" ht="9.75" customHeight="1">
      <c r="A763" s="4"/>
      <c r="B763" s="4"/>
      <c r="C763" s="4"/>
      <c r="D763" s="4"/>
      <c r="E763" s="4"/>
      <c r="F763" s="4"/>
      <c r="G763" s="4"/>
      <c r="H763" s="4"/>
      <c r="I763" s="4"/>
      <c r="J763" s="4"/>
      <c r="K763" s="4"/>
      <c r="L763" s="4"/>
      <c r="M763" s="4"/>
      <c r="N763" s="4"/>
      <c r="O763" s="4"/>
      <c r="P763" s="4"/>
      <c r="Q763" s="4"/>
      <c r="R763" s="4"/>
      <c r="S763" s="4"/>
      <c r="T763" s="4"/>
      <c r="U763" s="4"/>
      <c r="V763" s="4"/>
      <c r="W763" s="4"/>
      <c r="X763" s="4"/>
      <c r="Y763" s="4"/>
      <c r="Z763" s="4"/>
    </row>
    <row r="764" ht="9.75" customHeight="1">
      <c r="A764" s="4"/>
      <c r="B764" s="4"/>
      <c r="C764" s="4"/>
      <c r="D764" s="4"/>
      <c r="E764" s="4"/>
      <c r="F764" s="4"/>
      <c r="G764" s="4"/>
      <c r="H764" s="4"/>
      <c r="I764" s="4"/>
      <c r="J764" s="4"/>
      <c r="K764" s="4"/>
      <c r="L764" s="4"/>
      <c r="M764" s="4"/>
      <c r="N764" s="4"/>
      <c r="O764" s="4"/>
      <c r="P764" s="4"/>
      <c r="Q764" s="4"/>
      <c r="R764" s="4"/>
      <c r="S764" s="4"/>
      <c r="T764" s="4"/>
      <c r="U764" s="4"/>
      <c r="V764" s="4"/>
      <c r="W764" s="4"/>
      <c r="X764" s="4"/>
      <c r="Y764" s="4"/>
      <c r="Z764" s="4"/>
    </row>
    <row r="765" ht="9.75" customHeight="1">
      <c r="A765" s="4"/>
      <c r="B765" s="4"/>
      <c r="C765" s="4"/>
      <c r="D765" s="4"/>
      <c r="E765" s="4"/>
      <c r="F765" s="4"/>
      <c r="G765" s="4"/>
      <c r="H765" s="4"/>
      <c r="I765" s="4"/>
      <c r="J765" s="4"/>
      <c r="K765" s="4"/>
      <c r="L765" s="4"/>
      <c r="M765" s="4"/>
      <c r="N765" s="4"/>
      <c r="O765" s="4"/>
      <c r="P765" s="4"/>
      <c r="Q765" s="4"/>
      <c r="R765" s="4"/>
      <c r="S765" s="4"/>
      <c r="T765" s="4"/>
      <c r="U765" s="4"/>
      <c r="V765" s="4"/>
      <c r="W765" s="4"/>
      <c r="X765" s="4"/>
      <c r="Y765" s="4"/>
      <c r="Z765" s="4"/>
    </row>
    <row r="766" ht="9.75" customHeight="1">
      <c r="A766" s="4"/>
      <c r="B766" s="4"/>
      <c r="C766" s="4"/>
      <c r="D766" s="4"/>
      <c r="E766" s="4"/>
      <c r="F766" s="4"/>
      <c r="G766" s="4"/>
      <c r="H766" s="4"/>
      <c r="I766" s="4"/>
      <c r="J766" s="4"/>
      <c r="K766" s="4"/>
      <c r="L766" s="4"/>
      <c r="M766" s="4"/>
      <c r="N766" s="4"/>
      <c r="O766" s="4"/>
      <c r="P766" s="4"/>
      <c r="Q766" s="4"/>
      <c r="R766" s="4"/>
      <c r="S766" s="4"/>
      <c r="T766" s="4"/>
      <c r="U766" s="4"/>
      <c r="V766" s="4"/>
      <c r="W766" s="4"/>
      <c r="X766" s="4"/>
      <c r="Y766" s="4"/>
      <c r="Z766" s="4"/>
    </row>
    <row r="767" ht="9.75" customHeight="1">
      <c r="A767" s="4"/>
      <c r="B767" s="4"/>
      <c r="C767" s="4"/>
      <c r="D767" s="4"/>
      <c r="E767" s="4"/>
      <c r="F767" s="4"/>
      <c r="G767" s="4"/>
      <c r="H767" s="4"/>
      <c r="I767" s="4"/>
      <c r="J767" s="4"/>
      <c r="K767" s="4"/>
      <c r="L767" s="4"/>
      <c r="M767" s="4"/>
      <c r="N767" s="4"/>
      <c r="O767" s="4"/>
      <c r="P767" s="4"/>
      <c r="Q767" s="4"/>
      <c r="R767" s="4"/>
      <c r="S767" s="4"/>
      <c r="T767" s="4"/>
      <c r="U767" s="4"/>
      <c r="V767" s="4"/>
      <c r="W767" s="4"/>
      <c r="X767" s="4"/>
      <c r="Y767" s="4"/>
      <c r="Z767" s="4"/>
    </row>
    <row r="768" ht="9.75" customHeight="1">
      <c r="A768" s="4"/>
      <c r="B768" s="4"/>
      <c r="C768" s="4"/>
      <c r="D768" s="4"/>
      <c r="E768" s="4"/>
      <c r="F768" s="4"/>
      <c r="G768" s="4"/>
      <c r="H768" s="4"/>
      <c r="I768" s="4"/>
      <c r="J768" s="4"/>
      <c r="K768" s="4"/>
      <c r="L768" s="4"/>
      <c r="M768" s="4"/>
      <c r="N768" s="4"/>
      <c r="O768" s="4"/>
      <c r="P768" s="4"/>
      <c r="Q768" s="4"/>
      <c r="R768" s="4"/>
      <c r="S768" s="4"/>
      <c r="T768" s="4"/>
      <c r="U768" s="4"/>
      <c r="V768" s="4"/>
      <c r="W768" s="4"/>
      <c r="X768" s="4"/>
      <c r="Y768" s="4"/>
      <c r="Z768" s="4"/>
    </row>
    <row r="769" ht="9.75" customHeight="1">
      <c r="A769" s="4"/>
      <c r="B769" s="4"/>
      <c r="C769" s="4"/>
      <c r="D769" s="4"/>
      <c r="E769" s="4"/>
      <c r="F769" s="4"/>
      <c r="G769" s="4"/>
      <c r="H769" s="4"/>
      <c r="I769" s="4"/>
      <c r="J769" s="4"/>
      <c r="K769" s="4"/>
      <c r="L769" s="4"/>
      <c r="M769" s="4"/>
      <c r="N769" s="4"/>
      <c r="O769" s="4"/>
      <c r="P769" s="4"/>
      <c r="Q769" s="4"/>
      <c r="R769" s="4"/>
      <c r="S769" s="4"/>
      <c r="T769" s="4"/>
      <c r="U769" s="4"/>
      <c r="V769" s="4"/>
      <c r="W769" s="4"/>
      <c r="X769" s="4"/>
      <c r="Y769" s="4"/>
      <c r="Z769" s="4"/>
    </row>
    <row r="770" ht="9.75" customHeight="1">
      <c r="A770" s="4"/>
      <c r="B770" s="4"/>
      <c r="C770" s="4"/>
      <c r="D770" s="4"/>
      <c r="E770" s="4"/>
      <c r="F770" s="4"/>
      <c r="G770" s="4"/>
      <c r="H770" s="4"/>
      <c r="I770" s="4"/>
      <c r="J770" s="4"/>
      <c r="K770" s="4"/>
      <c r="L770" s="4"/>
      <c r="M770" s="4"/>
      <c r="N770" s="4"/>
      <c r="O770" s="4"/>
      <c r="P770" s="4"/>
      <c r="Q770" s="4"/>
      <c r="R770" s="4"/>
      <c r="S770" s="4"/>
      <c r="T770" s="4"/>
      <c r="U770" s="4"/>
      <c r="V770" s="4"/>
      <c r="W770" s="4"/>
      <c r="X770" s="4"/>
      <c r="Y770" s="4"/>
      <c r="Z770" s="4"/>
    </row>
    <row r="771" ht="9.75" customHeight="1">
      <c r="A771" s="4"/>
      <c r="B771" s="4"/>
      <c r="C771" s="4"/>
      <c r="D771" s="4"/>
      <c r="E771" s="4"/>
      <c r="F771" s="4"/>
      <c r="G771" s="4"/>
      <c r="H771" s="4"/>
      <c r="I771" s="4"/>
      <c r="J771" s="4"/>
      <c r="K771" s="4"/>
      <c r="L771" s="4"/>
      <c r="M771" s="4"/>
      <c r="N771" s="4"/>
      <c r="O771" s="4"/>
      <c r="P771" s="4"/>
      <c r="Q771" s="4"/>
      <c r="R771" s="4"/>
      <c r="S771" s="4"/>
      <c r="T771" s="4"/>
      <c r="U771" s="4"/>
      <c r="V771" s="4"/>
      <c r="W771" s="4"/>
      <c r="X771" s="4"/>
      <c r="Y771" s="4"/>
      <c r="Z771" s="4"/>
    </row>
    <row r="772" ht="9.75" customHeight="1">
      <c r="A772" s="4"/>
      <c r="B772" s="4"/>
      <c r="C772" s="4"/>
      <c r="D772" s="4"/>
      <c r="E772" s="4"/>
      <c r="F772" s="4"/>
      <c r="G772" s="4"/>
      <c r="H772" s="4"/>
      <c r="I772" s="4"/>
      <c r="J772" s="4"/>
      <c r="K772" s="4"/>
      <c r="L772" s="4"/>
      <c r="M772" s="4"/>
      <c r="N772" s="4"/>
      <c r="O772" s="4"/>
      <c r="P772" s="4"/>
      <c r="Q772" s="4"/>
      <c r="R772" s="4"/>
      <c r="S772" s="4"/>
      <c r="T772" s="4"/>
      <c r="U772" s="4"/>
      <c r="V772" s="4"/>
      <c r="W772" s="4"/>
      <c r="X772" s="4"/>
      <c r="Y772" s="4"/>
      <c r="Z772" s="4"/>
    </row>
    <row r="773" ht="9.75" customHeight="1">
      <c r="A773" s="4"/>
      <c r="B773" s="4"/>
      <c r="C773" s="4"/>
      <c r="D773" s="4"/>
      <c r="E773" s="4"/>
      <c r="F773" s="4"/>
      <c r="G773" s="4"/>
      <c r="H773" s="4"/>
      <c r="I773" s="4"/>
      <c r="J773" s="4"/>
      <c r="K773" s="4"/>
      <c r="L773" s="4"/>
      <c r="M773" s="4"/>
      <c r="N773" s="4"/>
      <c r="O773" s="4"/>
      <c r="P773" s="4"/>
      <c r="Q773" s="4"/>
      <c r="R773" s="4"/>
      <c r="S773" s="4"/>
      <c r="T773" s="4"/>
      <c r="U773" s="4"/>
      <c r="V773" s="4"/>
      <c r="W773" s="4"/>
      <c r="X773" s="4"/>
      <c r="Y773" s="4"/>
      <c r="Z773" s="4"/>
    </row>
    <row r="774" ht="9.75" customHeight="1">
      <c r="A774" s="4"/>
      <c r="B774" s="4"/>
      <c r="C774" s="4"/>
      <c r="D774" s="4"/>
      <c r="E774" s="4"/>
      <c r="F774" s="4"/>
      <c r="G774" s="4"/>
      <c r="H774" s="4"/>
      <c r="I774" s="4"/>
      <c r="J774" s="4"/>
      <c r="K774" s="4"/>
      <c r="L774" s="4"/>
      <c r="M774" s="4"/>
      <c r="N774" s="4"/>
      <c r="O774" s="4"/>
      <c r="P774" s="4"/>
      <c r="Q774" s="4"/>
      <c r="R774" s="4"/>
      <c r="S774" s="4"/>
      <c r="T774" s="4"/>
      <c r="U774" s="4"/>
      <c r="V774" s="4"/>
      <c r="W774" s="4"/>
      <c r="X774" s="4"/>
      <c r="Y774" s="4"/>
      <c r="Z774" s="4"/>
    </row>
    <row r="775" ht="9.75" customHeight="1">
      <c r="A775" s="4"/>
      <c r="B775" s="4"/>
      <c r="C775" s="4"/>
      <c r="D775" s="4"/>
      <c r="E775" s="4"/>
      <c r="F775" s="4"/>
      <c r="G775" s="4"/>
      <c r="H775" s="4"/>
      <c r="I775" s="4"/>
      <c r="J775" s="4"/>
      <c r="K775" s="4"/>
      <c r="L775" s="4"/>
      <c r="M775" s="4"/>
      <c r="N775" s="4"/>
      <c r="O775" s="4"/>
      <c r="P775" s="4"/>
      <c r="Q775" s="4"/>
      <c r="R775" s="4"/>
      <c r="S775" s="4"/>
      <c r="T775" s="4"/>
      <c r="U775" s="4"/>
      <c r="V775" s="4"/>
      <c r="W775" s="4"/>
      <c r="X775" s="4"/>
      <c r="Y775" s="4"/>
      <c r="Z775" s="4"/>
    </row>
    <row r="776" ht="9.75" customHeight="1">
      <c r="A776" s="4"/>
      <c r="B776" s="4"/>
      <c r="C776" s="4"/>
      <c r="D776" s="4"/>
      <c r="E776" s="4"/>
      <c r="F776" s="4"/>
      <c r="G776" s="4"/>
      <c r="H776" s="4"/>
      <c r="I776" s="4"/>
      <c r="J776" s="4"/>
      <c r="K776" s="4"/>
      <c r="L776" s="4"/>
      <c r="M776" s="4"/>
      <c r="N776" s="4"/>
      <c r="O776" s="4"/>
      <c r="P776" s="4"/>
      <c r="Q776" s="4"/>
      <c r="R776" s="4"/>
      <c r="S776" s="4"/>
      <c r="T776" s="4"/>
      <c r="U776" s="4"/>
      <c r="V776" s="4"/>
      <c r="W776" s="4"/>
      <c r="X776" s="4"/>
      <c r="Y776" s="4"/>
      <c r="Z776" s="4"/>
    </row>
    <row r="777" ht="9.75" customHeight="1">
      <c r="A777" s="4"/>
      <c r="B777" s="4"/>
      <c r="C777" s="4"/>
      <c r="D777" s="4"/>
      <c r="E777" s="4"/>
      <c r="F777" s="4"/>
      <c r="G777" s="4"/>
      <c r="H777" s="4"/>
      <c r="I777" s="4"/>
      <c r="J777" s="4"/>
      <c r="K777" s="4"/>
      <c r="L777" s="4"/>
      <c r="M777" s="4"/>
      <c r="N777" s="4"/>
      <c r="O777" s="4"/>
      <c r="P777" s="4"/>
      <c r="Q777" s="4"/>
      <c r="R777" s="4"/>
      <c r="S777" s="4"/>
      <c r="T777" s="4"/>
      <c r="U777" s="4"/>
      <c r="V777" s="4"/>
      <c r="W777" s="4"/>
      <c r="X777" s="4"/>
      <c r="Y777" s="4"/>
      <c r="Z777" s="4"/>
    </row>
    <row r="778" ht="9.75" customHeight="1">
      <c r="A778" s="4"/>
      <c r="B778" s="4"/>
      <c r="C778" s="4"/>
      <c r="D778" s="4"/>
      <c r="E778" s="4"/>
      <c r="F778" s="4"/>
      <c r="G778" s="4"/>
      <c r="H778" s="4"/>
      <c r="I778" s="4"/>
      <c r="J778" s="4"/>
      <c r="K778" s="4"/>
      <c r="L778" s="4"/>
      <c r="M778" s="4"/>
      <c r="N778" s="4"/>
      <c r="O778" s="4"/>
      <c r="P778" s="4"/>
      <c r="Q778" s="4"/>
      <c r="R778" s="4"/>
      <c r="S778" s="4"/>
      <c r="T778" s="4"/>
      <c r="U778" s="4"/>
      <c r="V778" s="4"/>
      <c r="W778" s="4"/>
      <c r="X778" s="4"/>
      <c r="Y778" s="4"/>
      <c r="Z778" s="4"/>
    </row>
    <row r="779" ht="9.75" customHeight="1">
      <c r="A779" s="4"/>
      <c r="B779" s="4"/>
      <c r="C779" s="4"/>
      <c r="D779" s="4"/>
      <c r="E779" s="4"/>
      <c r="F779" s="4"/>
      <c r="G779" s="4"/>
      <c r="H779" s="4"/>
      <c r="I779" s="4"/>
      <c r="J779" s="4"/>
      <c r="K779" s="4"/>
      <c r="L779" s="4"/>
      <c r="M779" s="4"/>
      <c r="N779" s="4"/>
      <c r="O779" s="4"/>
      <c r="P779" s="4"/>
      <c r="Q779" s="4"/>
      <c r="R779" s="4"/>
      <c r="S779" s="4"/>
      <c r="T779" s="4"/>
      <c r="U779" s="4"/>
      <c r="V779" s="4"/>
      <c r="W779" s="4"/>
      <c r="X779" s="4"/>
      <c r="Y779" s="4"/>
      <c r="Z779" s="4"/>
    </row>
    <row r="780" ht="9.75" customHeight="1">
      <c r="A780" s="4"/>
      <c r="B780" s="4"/>
      <c r="C780" s="4"/>
      <c r="D780" s="4"/>
      <c r="E780" s="4"/>
      <c r="F780" s="4"/>
      <c r="G780" s="4"/>
      <c r="H780" s="4"/>
      <c r="I780" s="4"/>
      <c r="J780" s="4"/>
      <c r="K780" s="4"/>
      <c r="L780" s="4"/>
      <c r="M780" s="4"/>
      <c r="N780" s="4"/>
      <c r="O780" s="4"/>
      <c r="P780" s="4"/>
      <c r="Q780" s="4"/>
      <c r="R780" s="4"/>
      <c r="S780" s="4"/>
      <c r="T780" s="4"/>
      <c r="U780" s="4"/>
      <c r="V780" s="4"/>
      <c r="W780" s="4"/>
      <c r="X780" s="4"/>
      <c r="Y780" s="4"/>
      <c r="Z780" s="4"/>
    </row>
    <row r="781" ht="9.75" customHeight="1">
      <c r="A781" s="4"/>
      <c r="B781" s="4"/>
      <c r="C781" s="4"/>
      <c r="D781" s="4"/>
      <c r="E781" s="4"/>
      <c r="F781" s="4"/>
      <c r="G781" s="4"/>
      <c r="H781" s="4"/>
      <c r="I781" s="4"/>
      <c r="J781" s="4"/>
      <c r="K781" s="4"/>
      <c r="L781" s="4"/>
      <c r="M781" s="4"/>
      <c r="N781" s="4"/>
      <c r="O781" s="4"/>
      <c r="P781" s="4"/>
      <c r="Q781" s="4"/>
      <c r="R781" s="4"/>
      <c r="S781" s="4"/>
      <c r="T781" s="4"/>
      <c r="U781" s="4"/>
      <c r="V781" s="4"/>
      <c r="W781" s="4"/>
      <c r="X781" s="4"/>
      <c r="Y781" s="4"/>
      <c r="Z781" s="4"/>
    </row>
    <row r="782" ht="9.75" customHeight="1">
      <c r="A782" s="4"/>
      <c r="B782" s="4"/>
      <c r="C782" s="4"/>
      <c r="D782" s="4"/>
      <c r="E782" s="4"/>
      <c r="F782" s="4"/>
      <c r="G782" s="4"/>
      <c r="H782" s="4"/>
      <c r="I782" s="4"/>
      <c r="J782" s="4"/>
      <c r="K782" s="4"/>
      <c r="L782" s="4"/>
      <c r="M782" s="4"/>
      <c r="N782" s="4"/>
      <c r="O782" s="4"/>
      <c r="P782" s="4"/>
      <c r="Q782" s="4"/>
      <c r="R782" s="4"/>
      <c r="S782" s="4"/>
      <c r="T782" s="4"/>
      <c r="U782" s="4"/>
      <c r="V782" s="4"/>
      <c r="W782" s="4"/>
      <c r="X782" s="4"/>
      <c r="Y782" s="4"/>
      <c r="Z782" s="4"/>
    </row>
    <row r="783" ht="9.75" customHeight="1">
      <c r="A783" s="4"/>
      <c r="B783" s="4"/>
      <c r="C783" s="4"/>
      <c r="D783" s="4"/>
      <c r="E783" s="4"/>
      <c r="F783" s="4"/>
      <c r="G783" s="4"/>
      <c r="H783" s="4"/>
      <c r="I783" s="4"/>
      <c r="J783" s="4"/>
      <c r="K783" s="4"/>
      <c r="L783" s="4"/>
      <c r="M783" s="4"/>
      <c r="N783" s="4"/>
      <c r="O783" s="4"/>
      <c r="P783" s="4"/>
      <c r="Q783" s="4"/>
      <c r="R783" s="4"/>
      <c r="S783" s="4"/>
      <c r="T783" s="4"/>
      <c r="U783" s="4"/>
      <c r="V783" s="4"/>
      <c r="W783" s="4"/>
      <c r="X783" s="4"/>
      <c r="Y783" s="4"/>
      <c r="Z783" s="4"/>
    </row>
    <row r="784" ht="9.75" customHeight="1">
      <c r="A784" s="4"/>
      <c r="B784" s="4"/>
      <c r="C784" s="4"/>
      <c r="D784" s="4"/>
      <c r="E784" s="4"/>
      <c r="F784" s="4"/>
      <c r="G784" s="4"/>
      <c r="H784" s="4"/>
      <c r="I784" s="4"/>
      <c r="J784" s="4"/>
      <c r="K784" s="4"/>
      <c r="L784" s="4"/>
      <c r="M784" s="4"/>
      <c r="N784" s="4"/>
      <c r="O784" s="4"/>
      <c r="P784" s="4"/>
      <c r="Q784" s="4"/>
      <c r="R784" s="4"/>
      <c r="S784" s="4"/>
      <c r="T784" s="4"/>
      <c r="U784" s="4"/>
      <c r="V784" s="4"/>
      <c r="W784" s="4"/>
      <c r="X784" s="4"/>
      <c r="Y784" s="4"/>
      <c r="Z784" s="4"/>
    </row>
    <row r="785" ht="9.75" customHeight="1">
      <c r="A785" s="4"/>
      <c r="B785" s="4"/>
      <c r="C785" s="4"/>
      <c r="D785" s="4"/>
      <c r="E785" s="4"/>
      <c r="F785" s="4"/>
      <c r="G785" s="4"/>
      <c r="H785" s="4"/>
      <c r="I785" s="4"/>
      <c r="J785" s="4"/>
      <c r="K785" s="4"/>
      <c r="L785" s="4"/>
      <c r="M785" s="4"/>
      <c r="N785" s="4"/>
      <c r="O785" s="4"/>
      <c r="P785" s="4"/>
      <c r="Q785" s="4"/>
      <c r="R785" s="4"/>
      <c r="S785" s="4"/>
      <c r="T785" s="4"/>
      <c r="U785" s="4"/>
      <c r="V785" s="4"/>
      <c r="W785" s="4"/>
      <c r="X785" s="4"/>
      <c r="Y785" s="4"/>
      <c r="Z785" s="4"/>
    </row>
    <row r="786" ht="9.75" customHeight="1">
      <c r="A786" s="4"/>
      <c r="B786" s="4"/>
      <c r="C786" s="4"/>
      <c r="D786" s="4"/>
      <c r="E786" s="4"/>
      <c r="F786" s="4"/>
      <c r="G786" s="4"/>
      <c r="H786" s="4"/>
      <c r="I786" s="4"/>
      <c r="J786" s="4"/>
      <c r="K786" s="4"/>
      <c r="L786" s="4"/>
      <c r="M786" s="4"/>
      <c r="N786" s="4"/>
      <c r="O786" s="4"/>
      <c r="P786" s="4"/>
      <c r="Q786" s="4"/>
      <c r="R786" s="4"/>
      <c r="S786" s="4"/>
      <c r="T786" s="4"/>
      <c r="U786" s="4"/>
      <c r="V786" s="4"/>
      <c r="W786" s="4"/>
      <c r="X786" s="4"/>
      <c r="Y786" s="4"/>
      <c r="Z786" s="4"/>
    </row>
    <row r="787" ht="9.75" customHeight="1">
      <c r="A787" s="4"/>
      <c r="B787" s="4"/>
      <c r="C787" s="4"/>
      <c r="D787" s="4"/>
      <c r="E787" s="4"/>
      <c r="F787" s="4"/>
      <c r="G787" s="4"/>
      <c r="H787" s="4"/>
      <c r="I787" s="4"/>
      <c r="J787" s="4"/>
      <c r="K787" s="4"/>
      <c r="L787" s="4"/>
      <c r="M787" s="4"/>
      <c r="N787" s="4"/>
      <c r="O787" s="4"/>
      <c r="P787" s="4"/>
      <c r="Q787" s="4"/>
      <c r="R787" s="4"/>
      <c r="S787" s="4"/>
      <c r="T787" s="4"/>
      <c r="U787" s="4"/>
      <c r="V787" s="4"/>
      <c r="W787" s="4"/>
      <c r="X787" s="4"/>
      <c r="Y787" s="4"/>
      <c r="Z787" s="4"/>
    </row>
    <row r="788" ht="9.75" customHeight="1">
      <c r="A788" s="4"/>
      <c r="B788" s="4"/>
      <c r="C788" s="4"/>
      <c r="D788" s="4"/>
      <c r="E788" s="4"/>
      <c r="F788" s="4"/>
      <c r="G788" s="4"/>
      <c r="H788" s="4"/>
      <c r="I788" s="4"/>
      <c r="J788" s="4"/>
      <c r="K788" s="4"/>
      <c r="L788" s="4"/>
      <c r="M788" s="4"/>
      <c r="N788" s="4"/>
      <c r="O788" s="4"/>
      <c r="P788" s="4"/>
      <c r="Q788" s="4"/>
      <c r="R788" s="4"/>
      <c r="S788" s="4"/>
      <c r="T788" s="4"/>
      <c r="U788" s="4"/>
      <c r="V788" s="4"/>
      <c r="W788" s="4"/>
      <c r="X788" s="4"/>
      <c r="Y788" s="4"/>
      <c r="Z788" s="4"/>
    </row>
    <row r="789" ht="9.75" customHeight="1">
      <c r="A789" s="4"/>
      <c r="B789" s="4"/>
      <c r="C789" s="4"/>
      <c r="D789" s="4"/>
      <c r="E789" s="4"/>
      <c r="F789" s="4"/>
      <c r="G789" s="4"/>
      <c r="H789" s="4"/>
      <c r="I789" s="4"/>
      <c r="J789" s="4"/>
      <c r="K789" s="4"/>
      <c r="L789" s="4"/>
      <c r="M789" s="4"/>
      <c r="N789" s="4"/>
      <c r="O789" s="4"/>
      <c r="P789" s="4"/>
      <c r="Q789" s="4"/>
      <c r="R789" s="4"/>
      <c r="S789" s="4"/>
      <c r="T789" s="4"/>
      <c r="U789" s="4"/>
      <c r="V789" s="4"/>
      <c r="W789" s="4"/>
      <c r="X789" s="4"/>
      <c r="Y789" s="4"/>
      <c r="Z789" s="4"/>
    </row>
    <row r="790" ht="9.75" customHeight="1">
      <c r="A790" s="4"/>
      <c r="B790" s="4"/>
      <c r="C790" s="4"/>
      <c r="D790" s="4"/>
      <c r="E790" s="4"/>
      <c r="F790" s="4"/>
      <c r="G790" s="4"/>
      <c r="H790" s="4"/>
      <c r="I790" s="4"/>
      <c r="J790" s="4"/>
      <c r="K790" s="4"/>
      <c r="L790" s="4"/>
      <c r="M790" s="4"/>
      <c r="N790" s="4"/>
      <c r="O790" s="4"/>
      <c r="P790" s="4"/>
      <c r="Q790" s="4"/>
      <c r="R790" s="4"/>
      <c r="S790" s="4"/>
      <c r="T790" s="4"/>
      <c r="U790" s="4"/>
      <c r="V790" s="4"/>
      <c r="W790" s="4"/>
      <c r="X790" s="4"/>
      <c r="Y790" s="4"/>
      <c r="Z790" s="4"/>
    </row>
    <row r="791" ht="9.75" customHeight="1">
      <c r="A791" s="4"/>
      <c r="B791" s="4"/>
      <c r="C791" s="4"/>
      <c r="D791" s="4"/>
      <c r="E791" s="4"/>
      <c r="F791" s="4"/>
      <c r="G791" s="4"/>
      <c r="H791" s="4"/>
      <c r="I791" s="4"/>
      <c r="J791" s="4"/>
      <c r="K791" s="4"/>
      <c r="L791" s="4"/>
      <c r="M791" s="4"/>
      <c r="N791" s="4"/>
      <c r="O791" s="4"/>
      <c r="P791" s="4"/>
      <c r="Q791" s="4"/>
      <c r="R791" s="4"/>
      <c r="S791" s="4"/>
      <c r="T791" s="4"/>
      <c r="U791" s="4"/>
      <c r="V791" s="4"/>
      <c r="W791" s="4"/>
      <c r="X791" s="4"/>
      <c r="Y791" s="4"/>
      <c r="Z791" s="4"/>
    </row>
    <row r="792" ht="9.75" customHeight="1">
      <c r="A792" s="4"/>
      <c r="B792" s="4"/>
      <c r="C792" s="4"/>
      <c r="D792" s="4"/>
      <c r="E792" s="4"/>
      <c r="F792" s="4"/>
      <c r="G792" s="4"/>
      <c r="H792" s="4"/>
      <c r="I792" s="4"/>
      <c r="J792" s="4"/>
      <c r="K792" s="4"/>
      <c r="L792" s="4"/>
      <c r="M792" s="4"/>
      <c r="N792" s="4"/>
      <c r="O792" s="4"/>
      <c r="P792" s="4"/>
      <c r="Q792" s="4"/>
      <c r="R792" s="4"/>
      <c r="S792" s="4"/>
      <c r="T792" s="4"/>
      <c r="U792" s="4"/>
      <c r="V792" s="4"/>
      <c r="W792" s="4"/>
      <c r="X792" s="4"/>
      <c r="Y792" s="4"/>
      <c r="Z792" s="4"/>
    </row>
    <row r="793" ht="9.75" customHeight="1">
      <c r="A793" s="4"/>
      <c r="B793" s="4"/>
      <c r="C793" s="4"/>
      <c r="D793" s="4"/>
      <c r="E793" s="4"/>
      <c r="F793" s="4"/>
      <c r="G793" s="4"/>
      <c r="H793" s="4"/>
      <c r="I793" s="4"/>
      <c r="J793" s="4"/>
      <c r="K793" s="4"/>
      <c r="L793" s="4"/>
      <c r="M793" s="4"/>
      <c r="N793" s="4"/>
      <c r="O793" s="4"/>
      <c r="P793" s="4"/>
      <c r="Q793" s="4"/>
      <c r="R793" s="4"/>
      <c r="S793" s="4"/>
      <c r="T793" s="4"/>
      <c r="U793" s="4"/>
      <c r="V793" s="4"/>
      <c r="W793" s="4"/>
      <c r="X793" s="4"/>
      <c r="Y793" s="4"/>
      <c r="Z793" s="4"/>
    </row>
    <row r="794" ht="9.75" customHeight="1">
      <c r="A794" s="4"/>
      <c r="B794" s="4"/>
      <c r="C794" s="4"/>
      <c r="D794" s="4"/>
      <c r="E794" s="4"/>
      <c r="F794" s="4"/>
      <c r="G794" s="4"/>
      <c r="H794" s="4"/>
      <c r="I794" s="4"/>
      <c r="J794" s="4"/>
      <c r="K794" s="4"/>
      <c r="L794" s="4"/>
      <c r="M794" s="4"/>
      <c r="N794" s="4"/>
      <c r="O794" s="4"/>
      <c r="P794" s="4"/>
      <c r="Q794" s="4"/>
      <c r="R794" s="4"/>
      <c r="S794" s="4"/>
      <c r="T794" s="4"/>
      <c r="U794" s="4"/>
      <c r="V794" s="4"/>
      <c r="W794" s="4"/>
      <c r="X794" s="4"/>
      <c r="Y794" s="4"/>
      <c r="Z794" s="4"/>
    </row>
    <row r="795" ht="9.75" customHeight="1">
      <c r="A795" s="4"/>
      <c r="B795" s="4"/>
      <c r="C795" s="4"/>
      <c r="D795" s="4"/>
      <c r="E795" s="4"/>
      <c r="F795" s="4"/>
      <c r="G795" s="4"/>
      <c r="H795" s="4"/>
      <c r="I795" s="4"/>
      <c r="J795" s="4"/>
      <c r="K795" s="4"/>
      <c r="L795" s="4"/>
      <c r="M795" s="4"/>
      <c r="N795" s="4"/>
      <c r="O795" s="4"/>
      <c r="P795" s="4"/>
      <c r="Q795" s="4"/>
      <c r="R795" s="4"/>
      <c r="S795" s="4"/>
      <c r="T795" s="4"/>
      <c r="U795" s="4"/>
      <c r="V795" s="4"/>
      <c r="W795" s="4"/>
      <c r="X795" s="4"/>
      <c r="Y795" s="4"/>
      <c r="Z795" s="4"/>
    </row>
    <row r="796" ht="9.75" customHeight="1">
      <c r="A796" s="4"/>
      <c r="B796" s="4"/>
      <c r="C796" s="4"/>
      <c r="D796" s="4"/>
      <c r="E796" s="4"/>
      <c r="F796" s="4"/>
      <c r="G796" s="4"/>
      <c r="H796" s="4"/>
      <c r="I796" s="4"/>
      <c r="J796" s="4"/>
      <c r="K796" s="4"/>
      <c r="L796" s="4"/>
      <c r="M796" s="4"/>
      <c r="N796" s="4"/>
      <c r="O796" s="4"/>
      <c r="P796" s="4"/>
      <c r="Q796" s="4"/>
      <c r="R796" s="4"/>
      <c r="S796" s="4"/>
      <c r="T796" s="4"/>
      <c r="U796" s="4"/>
      <c r="V796" s="4"/>
      <c r="W796" s="4"/>
      <c r="X796" s="4"/>
      <c r="Y796" s="4"/>
      <c r="Z796" s="4"/>
    </row>
    <row r="797" ht="9.75" customHeight="1">
      <c r="A797" s="4"/>
      <c r="B797" s="4"/>
      <c r="C797" s="4"/>
      <c r="D797" s="4"/>
      <c r="E797" s="4"/>
      <c r="F797" s="4"/>
      <c r="G797" s="4"/>
      <c r="H797" s="4"/>
      <c r="I797" s="4"/>
      <c r="J797" s="4"/>
      <c r="K797" s="4"/>
      <c r="L797" s="4"/>
      <c r="M797" s="4"/>
      <c r="N797" s="4"/>
      <c r="O797" s="4"/>
      <c r="P797" s="4"/>
      <c r="Q797" s="4"/>
      <c r="R797" s="4"/>
      <c r="S797" s="4"/>
      <c r="T797" s="4"/>
      <c r="U797" s="4"/>
      <c r="V797" s="4"/>
      <c r="W797" s="4"/>
      <c r="X797" s="4"/>
      <c r="Y797" s="4"/>
      <c r="Z797" s="4"/>
    </row>
    <row r="798" ht="9.75" customHeight="1">
      <c r="A798" s="4"/>
      <c r="B798" s="4"/>
      <c r="C798" s="4"/>
      <c r="D798" s="4"/>
      <c r="E798" s="4"/>
      <c r="F798" s="4"/>
      <c r="G798" s="4"/>
      <c r="H798" s="4"/>
      <c r="I798" s="4"/>
      <c r="J798" s="4"/>
      <c r="K798" s="4"/>
      <c r="L798" s="4"/>
      <c r="M798" s="4"/>
      <c r="N798" s="4"/>
      <c r="O798" s="4"/>
      <c r="P798" s="4"/>
      <c r="Q798" s="4"/>
      <c r="R798" s="4"/>
      <c r="S798" s="4"/>
      <c r="T798" s="4"/>
      <c r="U798" s="4"/>
      <c r="V798" s="4"/>
      <c r="W798" s="4"/>
      <c r="X798" s="4"/>
      <c r="Y798" s="4"/>
      <c r="Z798" s="4"/>
    </row>
    <row r="799" ht="9.75" customHeight="1">
      <c r="A799" s="4"/>
      <c r="B799" s="4"/>
      <c r="C799" s="4"/>
      <c r="D799" s="4"/>
      <c r="E799" s="4"/>
      <c r="F799" s="4"/>
      <c r="G799" s="4"/>
      <c r="H799" s="4"/>
      <c r="I799" s="4"/>
      <c r="J799" s="4"/>
      <c r="K799" s="4"/>
      <c r="L799" s="4"/>
      <c r="M799" s="4"/>
      <c r="N799" s="4"/>
      <c r="O799" s="4"/>
      <c r="P799" s="4"/>
      <c r="Q799" s="4"/>
      <c r="R799" s="4"/>
      <c r="S799" s="4"/>
      <c r="T799" s="4"/>
      <c r="U799" s="4"/>
      <c r="V799" s="4"/>
      <c r="W799" s="4"/>
      <c r="X799" s="4"/>
      <c r="Y799" s="4"/>
      <c r="Z799" s="4"/>
    </row>
    <row r="800" ht="9.75" customHeight="1">
      <c r="A800" s="4"/>
      <c r="B800" s="4"/>
      <c r="C800" s="4"/>
      <c r="D800" s="4"/>
      <c r="E800" s="4"/>
      <c r="F800" s="4"/>
      <c r="G800" s="4"/>
      <c r="H800" s="4"/>
      <c r="I800" s="4"/>
      <c r="J800" s="4"/>
      <c r="K800" s="4"/>
      <c r="L800" s="4"/>
      <c r="M800" s="4"/>
      <c r="N800" s="4"/>
      <c r="O800" s="4"/>
      <c r="P800" s="4"/>
      <c r="Q800" s="4"/>
      <c r="R800" s="4"/>
      <c r="S800" s="4"/>
      <c r="T800" s="4"/>
      <c r="U800" s="4"/>
      <c r="V800" s="4"/>
      <c r="W800" s="4"/>
      <c r="X800" s="4"/>
      <c r="Y800" s="4"/>
      <c r="Z800" s="4"/>
    </row>
    <row r="801" ht="9.75" customHeight="1">
      <c r="A801" s="4"/>
      <c r="B801" s="4"/>
      <c r="C801" s="4"/>
      <c r="D801" s="4"/>
      <c r="E801" s="4"/>
      <c r="F801" s="4"/>
      <c r="G801" s="4"/>
      <c r="H801" s="4"/>
      <c r="I801" s="4"/>
      <c r="J801" s="4"/>
      <c r="K801" s="4"/>
      <c r="L801" s="4"/>
      <c r="M801" s="4"/>
      <c r="N801" s="4"/>
      <c r="O801" s="4"/>
      <c r="P801" s="4"/>
      <c r="Q801" s="4"/>
      <c r="R801" s="4"/>
      <c r="S801" s="4"/>
      <c r="T801" s="4"/>
      <c r="U801" s="4"/>
      <c r="V801" s="4"/>
      <c r="W801" s="4"/>
      <c r="X801" s="4"/>
      <c r="Y801" s="4"/>
      <c r="Z801" s="4"/>
    </row>
    <row r="802" ht="9.75" customHeight="1">
      <c r="A802" s="4"/>
      <c r="B802" s="4"/>
      <c r="C802" s="4"/>
      <c r="D802" s="4"/>
      <c r="E802" s="4"/>
      <c r="F802" s="4"/>
      <c r="G802" s="4"/>
      <c r="H802" s="4"/>
      <c r="I802" s="4"/>
      <c r="J802" s="4"/>
      <c r="K802" s="4"/>
      <c r="L802" s="4"/>
      <c r="M802" s="4"/>
      <c r="N802" s="4"/>
      <c r="O802" s="4"/>
      <c r="P802" s="4"/>
      <c r="Q802" s="4"/>
      <c r="R802" s="4"/>
      <c r="S802" s="4"/>
      <c r="T802" s="4"/>
      <c r="U802" s="4"/>
      <c r="V802" s="4"/>
      <c r="W802" s="4"/>
      <c r="X802" s="4"/>
      <c r="Y802" s="4"/>
      <c r="Z802" s="4"/>
    </row>
    <row r="803" ht="9.75" customHeight="1">
      <c r="A803" s="4"/>
      <c r="B803" s="4"/>
      <c r="C803" s="4"/>
      <c r="D803" s="4"/>
      <c r="E803" s="4"/>
      <c r="F803" s="4"/>
      <c r="G803" s="4"/>
      <c r="H803" s="4"/>
      <c r="I803" s="4"/>
      <c r="J803" s="4"/>
      <c r="K803" s="4"/>
      <c r="L803" s="4"/>
      <c r="M803" s="4"/>
      <c r="N803" s="4"/>
      <c r="O803" s="4"/>
      <c r="P803" s="4"/>
      <c r="Q803" s="4"/>
      <c r="R803" s="4"/>
      <c r="S803" s="4"/>
      <c r="T803" s="4"/>
      <c r="U803" s="4"/>
      <c r="V803" s="4"/>
      <c r="W803" s="4"/>
      <c r="X803" s="4"/>
      <c r="Y803" s="4"/>
      <c r="Z803" s="4"/>
    </row>
    <row r="804" ht="9.75" customHeight="1">
      <c r="A804" s="4"/>
      <c r="B804" s="4"/>
      <c r="C804" s="4"/>
      <c r="D804" s="4"/>
      <c r="E804" s="4"/>
      <c r="F804" s="4"/>
      <c r="G804" s="4"/>
      <c r="H804" s="4"/>
      <c r="I804" s="4"/>
      <c r="J804" s="4"/>
      <c r="K804" s="4"/>
      <c r="L804" s="4"/>
      <c r="M804" s="4"/>
      <c r="N804" s="4"/>
      <c r="O804" s="4"/>
      <c r="P804" s="4"/>
      <c r="Q804" s="4"/>
      <c r="R804" s="4"/>
      <c r="S804" s="4"/>
      <c r="T804" s="4"/>
      <c r="U804" s="4"/>
      <c r="V804" s="4"/>
      <c r="W804" s="4"/>
      <c r="X804" s="4"/>
      <c r="Y804" s="4"/>
      <c r="Z804" s="4"/>
    </row>
    <row r="805" ht="9.75" customHeight="1">
      <c r="A805" s="4"/>
      <c r="B805" s="4"/>
      <c r="C805" s="4"/>
      <c r="D805" s="4"/>
      <c r="E805" s="4"/>
      <c r="F805" s="4"/>
      <c r="G805" s="4"/>
      <c r="H805" s="4"/>
      <c r="I805" s="4"/>
      <c r="J805" s="4"/>
      <c r="K805" s="4"/>
      <c r="L805" s="4"/>
      <c r="M805" s="4"/>
      <c r="N805" s="4"/>
      <c r="O805" s="4"/>
      <c r="P805" s="4"/>
      <c r="Q805" s="4"/>
      <c r="R805" s="4"/>
      <c r="S805" s="4"/>
      <c r="T805" s="4"/>
      <c r="U805" s="4"/>
      <c r="V805" s="4"/>
      <c r="W805" s="4"/>
      <c r="X805" s="4"/>
      <c r="Y805" s="4"/>
      <c r="Z805" s="4"/>
    </row>
    <row r="806" ht="9.75" customHeight="1">
      <c r="A806" s="4"/>
      <c r="B806" s="4"/>
      <c r="C806" s="4"/>
      <c r="D806" s="4"/>
      <c r="E806" s="4"/>
      <c r="F806" s="4"/>
      <c r="G806" s="4"/>
      <c r="H806" s="4"/>
      <c r="I806" s="4"/>
      <c r="J806" s="4"/>
      <c r="K806" s="4"/>
      <c r="L806" s="4"/>
      <c r="M806" s="4"/>
      <c r="N806" s="4"/>
      <c r="O806" s="4"/>
      <c r="P806" s="4"/>
      <c r="Q806" s="4"/>
      <c r="R806" s="4"/>
      <c r="S806" s="4"/>
      <c r="T806" s="4"/>
      <c r="U806" s="4"/>
      <c r="V806" s="4"/>
      <c r="W806" s="4"/>
      <c r="X806" s="4"/>
      <c r="Y806" s="4"/>
      <c r="Z806" s="4"/>
    </row>
    <row r="807" ht="9.75" customHeight="1">
      <c r="A807" s="4"/>
      <c r="B807" s="4"/>
      <c r="C807" s="4"/>
      <c r="D807" s="4"/>
      <c r="E807" s="4"/>
      <c r="F807" s="4"/>
      <c r="G807" s="4"/>
      <c r="H807" s="4"/>
      <c r="I807" s="4"/>
      <c r="J807" s="4"/>
      <c r="K807" s="4"/>
      <c r="L807" s="4"/>
      <c r="M807" s="4"/>
      <c r="N807" s="4"/>
      <c r="O807" s="4"/>
      <c r="P807" s="4"/>
      <c r="Q807" s="4"/>
      <c r="R807" s="4"/>
      <c r="S807" s="4"/>
      <c r="T807" s="4"/>
      <c r="U807" s="4"/>
      <c r="V807" s="4"/>
      <c r="W807" s="4"/>
      <c r="X807" s="4"/>
      <c r="Y807" s="4"/>
      <c r="Z807" s="4"/>
    </row>
    <row r="808" ht="9.75" customHeight="1">
      <c r="A808" s="4"/>
      <c r="B808" s="4"/>
      <c r="C808" s="4"/>
      <c r="D808" s="4"/>
      <c r="E808" s="4"/>
      <c r="F808" s="4"/>
      <c r="G808" s="4"/>
      <c r="H808" s="4"/>
      <c r="I808" s="4"/>
      <c r="J808" s="4"/>
      <c r="K808" s="4"/>
      <c r="L808" s="4"/>
      <c r="M808" s="4"/>
      <c r="N808" s="4"/>
      <c r="O808" s="4"/>
      <c r="P808" s="4"/>
      <c r="Q808" s="4"/>
      <c r="R808" s="4"/>
      <c r="S808" s="4"/>
      <c r="T808" s="4"/>
      <c r="U808" s="4"/>
      <c r="V808" s="4"/>
      <c r="W808" s="4"/>
      <c r="X808" s="4"/>
      <c r="Y808" s="4"/>
      <c r="Z808" s="4"/>
    </row>
    <row r="809" ht="9.75" customHeight="1">
      <c r="A809" s="4"/>
      <c r="B809" s="4"/>
      <c r="C809" s="4"/>
      <c r="D809" s="4"/>
      <c r="E809" s="4"/>
      <c r="F809" s="4"/>
      <c r="G809" s="4"/>
      <c r="H809" s="4"/>
      <c r="I809" s="4"/>
      <c r="J809" s="4"/>
      <c r="K809" s="4"/>
      <c r="L809" s="4"/>
      <c r="M809" s="4"/>
      <c r="N809" s="4"/>
      <c r="O809" s="4"/>
      <c r="P809" s="4"/>
      <c r="Q809" s="4"/>
      <c r="R809" s="4"/>
      <c r="S809" s="4"/>
      <c r="T809" s="4"/>
      <c r="U809" s="4"/>
      <c r="V809" s="4"/>
      <c r="W809" s="4"/>
      <c r="X809" s="4"/>
      <c r="Y809" s="4"/>
      <c r="Z809" s="4"/>
    </row>
    <row r="810" ht="9.75" customHeight="1">
      <c r="A810" s="4"/>
      <c r="B810" s="4"/>
      <c r="C810" s="4"/>
      <c r="D810" s="4"/>
      <c r="E810" s="4"/>
      <c r="F810" s="4"/>
      <c r="G810" s="4"/>
      <c r="H810" s="4"/>
      <c r="I810" s="4"/>
      <c r="J810" s="4"/>
      <c r="K810" s="4"/>
      <c r="L810" s="4"/>
      <c r="M810" s="4"/>
      <c r="N810" s="4"/>
      <c r="O810" s="4"/>
      <c r="P810" s="4"/>
      <c r="Q810" s="4"/>
      <c r="R810" s="4"/>
      <c r="S810" s="4"/>
      <c r="T810" s="4"/>
      <c r="U810" s="4"/>
      <c r="V810" s="4"/>
      <c r="W810" s="4"/>
      <c r="X810" s="4"/>
      <c r="Y810" s="4"/>
      <c r="Z810" s="4"/>
    </row>
    <row r="811" ht="9.75" customHeight="1">
      <c r="A811" s="4"/>
      <c r="B811" s="4"/>
      <c r="C811" s="4"/>
      <c r="D811" s="4"/>
      <c r="E811" s="4"/>
      <c r="F811" s="4"/>
      <c r="G811" s="4"/>
      <c r="H811" s="4"/>
      <c r="I811" s="4"/>
      <c r="J811" s="4"/>
      <c r="K811" s="4"/>
      <c r="L811" s="4"/>
      <c r="M811" s="4"/>
      <c r="N811" s="4"/>
      <c r="O811" s="4"/>
      <c r="P811" s="4"/>
      <c r="Q811" s="4"/>
      <c r="R811" s="4"/>
      <c r="S811" s="4"/>
      <c r="T811" s="4"/>
      <c r="U811" s="4"/>
      <c r="V811" s="4"/>
      <c r="W811" s="4"/>
      <c r="X811" s="4"/>
      <c r="Y811" s="4"/>
      <c r="Z811" s="4"/>
    </row>
    <row r="812" ht="9.75" customHeight="1">
      <c r="A812" s="4"/>
      <c r="B812" s="4"/>
      <c r="C812" s="4"/>
      <c r="D812" s="4"/>
      <c r="E812" s="4"/>
      <c r="F812" s="4"/>
      <c r="G812" s="4"/>
      <c r="H812" s="4"/>
      <c r="I812" s="4"/>
      <c r="J812" s="4"/>
      <c r="K812" s="4"/>
      <c r="L812" s="4"/>
      <c r="M812" s="4"/>
      <c r="N812" s="4"/>
      <c r="O812" s="4"/>
      <c r="P812" s="4"/>
      <c r="Q812" s="4"/>
      <c r="R812" s="4"/>
      <c r="S812" s="4"/>
      <c r="T812" s="4"/>
      <c r="U812" s="4"/>
      <c r="V812" s="4"/>
      <c r="W812" s="4"/>
      <c r="X812" s="4"/>
      <c r="Y812" s="4"/>
      <c r="Z812" s="4"/>
    </row>
    <row r="813" ht="9.75" customHeight="1">
      <c r="A813" s="4"/>
      <c r="B813" s="4"/>
      <c r="C813" s="4"/>
      <c r="D813" s="4"/>
      <c r="E813" s="4"/>
      <c r="F813" s="4"/>
      <c r="G813" s="4"/>
      <c r="H813" s="4"/>
      <c r="I813" s="4"/>
      <c r="J813" s="4"/>
      <c r="K813" s="4"/>
      <c r="L813" s="4"/>
      <c r="M813" s="4"/>
      <c r="N813" s="4"/>
      <c r="O813" s="4"/>
      <c r="P813" s="4"/>
      <c r="Q813" s="4"/>
      <c r="R813" s="4"/>
      <c r="S813" s="4"/>
      <c r="T813" s="4"/>
      <c r="U813" s="4"/>
      <c r="V813" s="4"/>
      <c r="W813" s="4"/>
      <c r="X813" s="4"/>
      <c r="Y813" s="4"/>
      <c r="Z813" s="4"/>
    </row>
    <row r="814" ht="9.75" customHeight="1">
      <c r="A814" s="4"/>
      <c r="B814" s="4"/>
      <c r="C814" s="4"/>
      <c r="D814" s="4"/>
      <c r="E814" s="4"/>
      <c r="F814" s="4"/>
      <c r="G814" s="4"/>
      <c r="H814" s="4"/>
      <c r="I814" s="4"/>
      <c r="J814" s="4"/>
      <c r="K814" s="4"/>
      <c r="L814" s="4"/>
      <c r="M814" s="4"/>
      <c r="N814" s="4"/>
      <c r="O814" s="4"/>
      <c r="P814" s="4"/>
      <c r="Q814" s="4"/>
      <c r="R814" s="4"/>
      <c r="S814" s="4"/>
      <c r="T814" s="4"/>
      <c r="U814" s="4"/>
      <c r="V814" s="4"/>
      <c r="W814" s="4"/>
      <c r="X814" s="4"/>
      <c r="Y814" s="4"/>
      <c r="Z814" s="4"/>
    </row>
    <row r="815" ht="9.75" customHeight="1">
      <c r="A815" s="4"/>
      <c r="B815" s="4"/>
      <c r="C815" s="4"/>
      <c r="D815" s="4"/>
      <c r="E815" s="4"/>
      <c r="F815" s="4"/>
      <c r="G815" s="4"/>
      <c r="H815" s="4"/>
      <c r="I815" s="4"/>
      <c r="J815" s="4"/>
      <c r="K815" s="4"/>
      <c r="L815" s="4"/>
      <c r="M815" s="4"/>
      <c r="N815" s="4"/>
      <c r="O815" s="4"/>
      <c r="P815" s="4"/>
      <c r="Q815" s="4"/>
      <c r="R815" s="4"/>
      <c r="S815" s="4"/>
      <c r="T815" s="4"/>
      <c r="U815" s="4"/>
      <c r="V815" s="4"/>
      <c r="W815" s="4"/>
      <c r="X815" s="4"/>
      <c r="Y815" s="4"/>
      <c r="Z815" s="4"/>
    </row>
    <row r="816" ht="9.75" customHeight="1">
      <c r="A816" s="4"/>
      <c r="B816" s="4"/>
      <c r="C816" s="4"/>
      <c r="D816" s="4"/>
      <c r="E816" s="4"/>
      <c r="F816" s="4"/>
      <c r="G816" s="4"/>
      <c r="H816" s="4"/>
      <c r="I816" s="4"/>
      <c r="J816" s="4"/>
      <c r="K816" s="4"/>
      <c r="L816" s="4"/>
      <c r="M816" s="4"/>
      <c r="N816" s="4"/>
      <c r="O816" s="4"/>
      <c r="P816" s="4"/>
      <c r="Q816" s="4"/>
      <c r="R816" s="4"/>
      <c r="S816" s="4"/>
      <c r="T816" s="4"/>
      <c r="U816" s="4"/>
      <c r="V816" s="4"/>
      <c r="W816" s="4"/>
      <c r="X816" s="4"/>
      <c r="Y816" s="4"/>
      <c r="Z816" s="4"/>
    </row>
    <row r="817" ht="9.75" customHeight="1">
      <c r="A817" s="4"/>
      <c r="B817" s="4"/>
      <c r="C817" s="4"/>
      <c r="D817" s="4"/>
      <c r="E817" s="4"/>
      <c r="F817" s="4"/>
      <c r="G817" s="4"/>
      <c r="H817" s="4"/>
      <c r="I817" s="4"/>
      <c r="J817" s="4"/>
      <c r="K817" s="4"/>
      <c r="L817" s="4"/>
      <c r="M817" s="4"/>
      <c r="N817" s="4"/>
      <c r="O817" s="4"/>
      <c r="P817" s="4"/>
      <c r="Q817" s="4"/>
      <c r="R817" s="4"/>
      <c r="S817" s="4"/>
      <c r="T817" s="4"/>
      <c r="U817" s="4"/>
      <c r="V817" s="4"/>
      <c r="W817" s="4"/>
      <c r="X817" s="4"/>
      <c r="Y817" s="4"/>
      <c r="Z817" s="4"/>
    </row>
    <row r="818" ht="9.75" customHeight="1">
      <c r="A818" s="4"/>
      <c r="B818" s="4"/>
      <c r="C818" s="4"/>
      <c r="D818" s="4"/>
      <c r="E818" s="4"/>
      <c r="F818" s="4"/>
      <c r="G818" s="4"/>
      <c r="H818" s="4"/>
      <c r="I818" s="4"/>
      <c r="J818" s="4"/>
      <c r="K818" s="4"/>
      <c r="L818" s="4"/>
      <c r="M818" s="4"/>
      <c r="N818" s="4"/>
      <c r="O818" s="4"/>
      <c r="P818" s="4"/>
      <c r="Q818" s="4"/>
      <c r="R818" s="4"/>
      <c r="S818" s="4"/>
      <c r="T818" s="4"/>
      <c r="U818" s="4"/>
      <c r="V818" s="4"/>
      <c r="W818" s="4"/>
      <c r="X818" s="4"/>
      <c r="Y818" s="4"/>
      <c r="Z818" s="4"/>
    </row>
    <row r="819" ht="9.75" customHeight="1">
      <c r="A819" s="4"/>
      <c r="B819" s="4"/>
      <c r="C819" s="4"/>
      <c r="D819" s="4"/>
      <c r="E819" s="4"/>
      <c r="F819" s="4"/>
      <c r="G819" s="4"/>
      <c r="H819" s="4"/>
      <c r="I819" s="4"/>
      <c r="J819" s="4"/>
      <c r="K819" s="4"/>
      <c r="L819" s="4"/>
      <c r="M819" s="4"/>
      <c r="N819" s="4"/>
      <c r="O819" s="4"/>
      <c r="P819" s="4"/>
      <c r="Q819" s="4"/>
      <c r="R819" s="4"/>
      <c r="S819" s="4"/>
      <c r="T819" s="4"/>
      <c r="U819" s="4"/>
      <c r="V819" s="4"/>
      <c r="W819" s="4"/>
      <c r="X819" s="4"/>
      <c r="Y819" s="4"/>
      <c r="Z819" s="4"/>
    </row>
    <row r="820" ht="9.75" customHeight="1">
      <c r="A820" s="4"/>
      <c r="B820" s="4"/>
      <c r="C820" s="4"/>
      <c r="D820" s="4"/>
      <c r="E820" s="4"/>
      <c r="F820" s="4"/>
      <c r="G820" s="4"/>
      <c r="H820" s="4"/>
      <c r="I820" s="4"/>
      <c r="J820" s="4"/>
      <c r="K820" s="4"/>
      <c r="L820" s="4"/>
      <c r="M820" s="4"/>
      <c r="N820" s="4"/>
      <c r="O820" s="4"/>
      <c r="P820" s="4"/>
      <c r="Q820" s="4"/>
      <c r="R820" s="4"/>
      <c r="S820" s="4"/>
      <c r="T820" s="4"/>
      <c r="U820" s="4"/>
      <c r="V820" s="4"/>
      <c r="W820" s="4"/>
      <c r="X820" s="4"/>
      <c r="Y820" s="4"/>
      <c r="Z820" s="4"/>
    </row>
    <row r="821" ht="9.75" customHeight="1">
      <c r="A821" s="4"/>
      <c r="B821" s="4"/>
      <c r="C821" s="4"/>
      <c r="D821" s="4"/>
      <c r="E821" s="4"/>
      <c r="F821" s="4"/>
      <c r="G821" s="4"/>
      <c r="H821" s="4"/>
      <c r="I821" s="4"/>
      <c r="J821" s="4"/>
      <c r="K821" s="4"/>
      <c r="L821" s="4"/>
      <c r="M821" s="4"/>
      <c r="N821" s="4"/>
      <c r="O821" s="4"/>
      <c r="P821" s="4"/>
      <c r="Q821" s="4"/>
      <c r="R821" s="4"/>
      <c r="S821" s="4"/>
      <c r="T821" s="4"/>
      <c r="U821" s="4"/>
      <c r="V821" s="4"/>
      <c r="W821" s="4"/>
      <c r="X821" s="4"/>
      <c r="Y821" s="4"/>
      <c r="Z821" s="4"/>
    </row>
    <row r="822" ht="9.75" customHeight="1">
      <c r="A822" s="4"/>
      <c r="B822" s="4"/>
      <c r="C822" s="4"/>
      <c r="D822" s="4"/>
      <c r="E822" s="4"/>
      <c r="F822" s="4"/>
      <c r="G822" s="4"/>
      <c r="H822" s="4"/>
      <c r="I822" s="4"/>
      <c r="J822" s="4"/>
      <c r="K822" s="4"/>
      <c r="L822" s="4"/>
      <c r="M822" s="4"/>
      <c r="N822" s="4"/>
      <c r="O822" s="4"/>
      <c r="P822" s="4"/>
      <c r="Q822" s="4"/>
      <c r="R822" s="4"/>
      <c r="S822" s="4"/>
      <c r="T822" s="4"/>
      <c r="U822" s="4"/>
      <c r="V822" s="4"/>
      <c r="W822" s="4"/>
      <c r="X822" s="4"/>
      <c r="Y822" s="4"/>
      <c r="Z822" s="4"/>
    </row>
    <row r="823" ht="9.75" customHeight="1">
      <c r="A823" s="4"/>
      <c r="B823" s="4"/>
      <c r="C823" s="4"/>
      <c r="D823" s="4"/>
      <c r="E823" s="4"/>
      <c r="F823" s="4"/>
      <c r="G823" s="4"/>
      <c r="H823" s="4"/>
      <c r="I823" s="4"/>
      <c r="J823" s="4"/>
      <c r="K823" s="4"/>
      <c r="L823" s="4"/>
      <c r="M823" s="4"/>
      <c r="N823" s="4"/>
      <c r="O823" s="4"/>
      <c r="P823" s="4"/>
      <c r="Q823" s="4"/>
      <c r="R823" s="4"/>
      <c r="S823" s="4"/>
      <c r="T823" s="4"/>
      <c r="U823" s="4"/>
      <c r="V823" s="4"/>
      <c r="W823" s="4"/>
      <c r="X823" s="4"/>
      <c r="Y823" s="4"/>
      <c r="Z823" s="4"/>
    </row>
    <row r="824" ht="9.75" customHeight="1">
      <c r="A824" s="4"/>
      <c r="B824" s="4"/>
      <c r="C824" s="4"/>
      <c r="D824" s="4"/>
      <c r="E824" s="4"/>
      <c r="F824" s="4"/>
      <c r="G824" s="4"/>
      <c r="H824" s="4"/>
      <c r="I824" s="4"/>
      <c r="J824" s="4"/>
      <c r="K824" s="4"/>
      <c r="L824" s="4"/>
      <c r="M824" s="4"/>
      <c r="N824" s="4"/>
      <c r="O824" s="4"/>
      <c r="P824" s="4"/>
      <c r="Q824" s="4"/>
      <c r="R824" s="4"/>
      <c r="S824" s="4"/>
      <c r="T824" s="4"/>
      <c r="U824" s="4"/>
      <c r="V824" s="4"/>
      <c r="W824" s="4"/>
      <c r="X824" s="4"/>
      <c r="Y824" s="4"/>
      <c r="Z824" s="4"/>
    </row>
    <row r="825" ht="9.75" customHeight="1">
      <c r="A825" s="4"/>
      <c r="B825" s="4"/>
      <c r="C825" s="4"/>
      <c r="D825" s="4"/>
      <c r="E825" s="4"/>
      <c r="F825" s="4"/>
      <c r="G825" s="4"/>
      <c r="H825" s="4"/>
      <c r="I825" s="4"/>
      <c r="J825" s="4"/>
      <c r="K825" s="4"/>
      <c r="L825" s="4"/>
      <c r="M825" s="4"/>
      <c r="N825" s="4"/>
      <c r="O825" s="4"/>
      <c r="P825" s="4"/>
      <c r="Q825" s="4"/>
      <c r="R825" s="4"/>
      <c r="S825" s="4"/>
      <c r="T825" s="4"/>
      <c r="U825" s="4"/>
      <c r="V825" s="4"/>
      <c r="W825" s="4"/>
      <c r="X825" s="4"/>
      <c r="Y825" s="4"/>
      <c r="Z825" s="4"/>
    </row>
    <row r="826" ht="9.75" customHeight="1">
      <c r="A826" s="4"/>
      <c r="B826" s="4"/>
      <c r="C826" s="4"/>
      <c r="D826" s="4"/>
      <c r="E826" s="4"/>
      <c r="F826" s="4"/>
      <c r="G826" s="4"/>
      <c r="H826" s="4"/>
      <c r="I826" s="4"/>
      <c r="J826" s="4"/>
      <c r="K826" s="4"/>
      <c r="L826" s="4"/>
      <c r="M826" s="4"/>
      <c r="N826" s="4"/>
      <c r="O826" s="4"/>
      <c r="P826" s="4"/>
      <c r="Q826" s="4"/>
      <c r="R826" s="4"/>
      <c r="S826" s="4"/>
      <c r="T826" s="4"/>
      <c r="U826" s="4"/>
      <c r="V826" s="4"/>
      <c r="W826" s="4"/>
      <c r="X826" s="4"/>
      <c r="Y826" s="4"/>
      <c r="Z826" s="4"/>
    </row>
    <row r="827" ht="9.75" customHeight="1">
      <c r="A827" s="4"/>
      <c r="B827" s="4"/>
      <c r="C827" s="4"/>
      <c r="D827" s="4"/>
      <c r="E827" s="4"/>
      <c r="F827" s="4"/>
      <c r="G827" s="4"/>
      <c r="H827" s="4"/>
      <c r="I827" s="4"/>
      <c r="J827" s="4"/>
      <c r="K827" s="4"/>
      <c r="L827" s="4"/>
      <c r="M827" s="4"/>
      <c r="N827" s="4"/>
      <c r="O827" s="4"/>
      <c r="P827" s="4"/>
      <c r="Q827" s="4"/>
      <c r="R827" s="4"/>
      <c r="S827" s="4"/>
      <c r="T827" s="4"/>
      <c r="U827" s="4"/>
      <c r="V827" s="4"/>
      <c r="W827" s="4"/>
      <c r="X827" s="4"/>
      <c r="Y827" s="4"/>
      <c r="Z827" s="4"/>
    </row>
    <row r="828" ht="9.75" customHeight="1">
      <c r="A828" s="4"/>
      <c r="B828" s="4"/>
      <c r="C828" s="4"/>
      <c r="D828" s="4"/>
      <c r="E828" s="4"/>
      <c r="F828" s="4"/>
      <c r="G828" s="4"/>
      <c r="H828" s="4"/>
      <c r="I828" s="4"/>
      <c r="J828" s="4"/>
      <c r="K828" s="4"/>
      <c r="L828" s="4"/>
      <c r="M828" s="4"/>
      <c r="N828" s="4"/>
      <c r="O828" s="4"/>
      <c r="P828" s="4"/>
      <c r="Q828" s="4"/>
      <c r="R828" s="4"/>
      <c r="S828" s="4"/>
      <c r="T828" s="4"/>
      <c r="U828" s="4"/>
      <c r="V828" s="4"/>
      <c r="W828" s="4"/>
      <c r="X828" s="4"/>
      <c r="Y828" s="4"/>
      <c r="Z828" s="4"/>
    </row>
    <row r="829" ht="9.75" customHeight="1">
      <c r="A829" s="4"/>
      <c r="B829" s="4"/>
      <c r="C829" s="4"/>
      <c r="D829" s="4"/>
      <c r="E829" s="4"/>
      <c r="F829" s="4"/>
      <c r="G829" s="4"/>
      <c r="H829" s="4"/>
      <c r="I829" s="4"/>
      <c r="J829" s="4"/>
      <c r="K829" s="4"/>
      <c r="L829" s="4"/>
      <c r="M829" s="4"/>
      <c r="N829" s="4"/>
      <c r="O829" s="4"/>
      <c r="P829" s="4"/>
      <c r="Q829" s="4"/>
      <c r="R829" s="4"/>
      <c r="S829" s="4"/>
      <c r="T829" s="4"/>
      <c r="U829" s="4"/>
      <c r="V829" s="4"/>
      <c r="W829" s="4"/>
      <c r="X829" s="4"/>
      <c r="Y829" s="4"/>
      <c r="Z829" s="4"/>
    </row>
    <row r="830" ht="9.75" customHeight="1">
      <c r="A830" s="4"/>
      <c r="B830" s="4"/>
      <c r="C830" s="4"/>
      <c r="D830" s="4"/>
      <c r="E830" s="4"/>
      <c r="F830" s="4"/>
      <c r="G830" s="4"/>
      <c r="H830" s="4"/>
      <c r="I830" s="4"/>
      <c r="J830" s="4"/>
      <c r="K830" s="4"/>
      <c r="L830" s="4"/>
      <c r="M830" s="4"/>
      <c r="N830" s="4"/>
      <c r="O830" s="4"/>
      <c r="P830" s="4"/>
      <c r="Q830" s="4"/>
      <c r="R830" s="4"/>
      <c r="S830" s="4"/>
      <c r="T830" s="4"/>
      <c r="U830" s="4"/>
      <c r="V830" s="4"/>
      <c r="W830" s="4"/>
      <c r="X830" s="4"/>
      <c r="Y830" s="4"/>
      <c r="Z830" s="4"/>
    </row>
    <row r="831" ht="9.75" customHeight="1">
      <c r="A831" s="4"/>
      <c r="B831" s="4"/>
      <c r="C831" s="4"/>
      <c r="D831" s="4"/>
      <c r="E831" s="4"/>
      <c r="F831" s="4"/>
      <c r="G831" s="4"/>
      <c r="H831" s="4"/>
      <c r="I831" s="4"/>
      <c r="J831" s="4"/>
      <c r="K831" s="4"/>
      <c r="L831" s="4"/>
      <c r="M831" s="4"/>
      <c r="N831" s="4"/>
      <c r="O831" s="4"/>
      <c r="P831" s="4"/>
      <c r="Q831" s="4"/>
      <c r="R831" s="4"/>
      <c r="S831" s="4"/>
      <c r="T831" s="4"/>
      <c r="U831" s="4"/>
      <c r="V831" s="4"/>
      <c r="W831" s="4"/>
      <c r="X831" s="4"/>
      <c r="Y831" s="4"/>
      <c r="Z831" s="4"/>
    </row>
    <row r="832" ht="9.75" customHeight="1">
      <c r="A832" s="4"/>
      <c r="B832" s="4"/>
      <c r="C832" s="4"/>
      <c r="D832" s="4"/>
      <c r="E832" s="4"/>
      <c r="F832" s="4"/>
      <c r="G832" s="4"/>
      <c r="H832" s="4"/>
      <c r="I832" s="4"/>
      <c r="J832" s="4"/>
      <c r="K832" s="4"/>
      <c r="L832" s="4"/>
      <c r="M832" s="4"/>
      <c r="N832" s="4"/>
      <c r="O832" s="4"/>
      <c r="P832" s="4"/>
      <c r="Q832" s="4"/>
      <c r="R832" s="4"/>
      <c r="S832" s="4"/>
      <c r="T832" s="4"/>
      <c r="U832" s="4"/>
      <c r="V832" s="4"/>
      <c r="W832" s="4"/>
      <c r="X832" s="4"/>
      <c r="Y832" s="4"/>
      <c r="Z832" s="4"/>
    </row>
    <row r="833" ht="9.75" customHeight="1">
      <c r="A833" s="4"/>
      <c r="B833" s="4"/>
      <c r="C833" s="4"/>
      <c r="D833" s="4"/>
      <c r="E833" s="4"/>
      <c r="F833" s="4"/>
      <c r="G833" s="4"/>
      <c r="H833" s="4"/>
      <c r="I833" s="4"/>
      <c r="J833" s="4"/>
      <c r="K833" s="4"/>
      <c r="L833" s="4"/>
      <c r="M833" s="4"/>
      <c r="N833" s="4"/>
      <c r="O833" s="4"/>
      <c r="P833" s="4"/>
      <c r="Q833" s="4"/>
      <c r="R833" s="4"/>
      <c r="S833" s="4"/>
      <c r="T833" s="4"/>
      <c r="U833" s="4"/>
      <c r="V833" s="4"/>
      <c r="W833" s="4"/>
      <c r="X833" s="4"/>
      <c r="Y833" s="4"/>
      <c r="Z833" s="4"/>
    </row>
    <row r="834" ht="9.75" customHeight="1">
      <c r="A834" s="4"/>
      <c r="B834" s="4"/>
      <c r="C834" s="4"/>
      <c r="D834" s="4"/>
      <c r="E834" s="4"/>
      <c r="F834" s="4"/>
      <c r="G834" s="4"/>
      <c r="H834" s="4"/>
      <c r="I834" s="4"/>
      <c r="J834" s="4"/>
      <c r="K834" s="4"/>
      <c r="L834" s="4"/>
      <c r="M834" s="4"/>
      <c r="N834" s="4"/>
      <c r="O834" s="4"/>
      <c r="P834" s="4"/>
      <c r="Q834" s="4"/>
      <c r="R834" s="4"/>
      <c r="S834" s="4"/>
      <c r="T834" s="4"/>
      <c r="U834" s="4"/>
      <c r="V834" s="4"/>
      <c r="W834" s="4"/>
      <c r="X834" s="4"/>
      <c r="Y834" s="4"/>
      <c r="Z834" s="4"/>
    </row>
    <row r="835" ht="9.75" customHeight="1">
      <c r="A835" s="4"/>
      <c r="B835" s="4"/>
      <c r="C835" s="4"/>
      <c r="D835" s="4"/>
      <c r="E835" s="4"/>
      <c r="F835" s="4"/>
      <c r="G835" s="4"/>
      <c r="H835" s="4"/>
      <c r="I835" s="4"/>
      <c r="J835" s="4"/>
      <c r="K835" s="4"/>
      <c r="L835" s="4"/>
      <c r="M835" s="4"/>
      <c r="N835" s="4"/>
      <c r="O835" s="4"/>
      <c r="P835" s="4"/>
      <c r="Q835" s="4"/>
      <c r="R835" s="4"/>
      <c r="S835" s="4"/>
      <c r="T835" s="4"/>
      <c r="U835" s="4"/>
      <c r="V835" s="4"/>
      <c r="W835" s="4"/>
      <c r="X835" s="4"/>
      <c r="Y835" s="4"/>
      <c r="Z835" s="4"/>
    </row>
    <row r="836" ht="9.75" customHeight="1">
      <c r="A836" s="4"/>
      <c r="B836" s="4"/>
      <c r="C836" s="4"/>
      <c r="D836" s="4"/>
      <c r="E836" s="4"/>
      <c r="F836" s="4"/>
      <c r="G836" s="4"/>
      <c r="H836" s="4"/>
      <c r="I836" s="4"/>
      <c r="J836" s="4"/>
      <c r="K836" s="4"/>
      <c r="L836" s="4"/>
      <c r="M836" s="4"/>
      <c r="N836" s="4"/>
      <c r="O836" s="4"/>
      <c r="P836" s="4"/>
      <c r="Q836" s="4"/>
      <c r="R836" s="4"/>
      <c r="S836" s="4"/>
      <c r="T836" s="4"/>
      <c r="U836" s="4"/>
      <c r="V836" s="4"/>
      <c r="W836" s="4"/>
      <c r="X836" s="4"/>
      <c r="Y836" s="4"/>
      <c r="Z836" s="4"/>
    </row>
    <row r="837" ht="9.75" customHeight="1">
      <c r="A837" s="4"/>
      <c r="B837" s="4"/>
      <c r="C837" s="4"/>
      <c r="D837" s="4"/>
      <c r="E837" s="4"/>
      <c r="F837" s="4"/>
      <c r="G837" s="4"/>
      <c r="H837" s="4"/>
      <c r="I837" s="4"/>
      <c r="J837" s="4"/>
      <c r="K837" s="4"/>
      <c r="L837" s="4"/>
      <c r="M837" s="4"/>
      <c r="N837" s="4"/>
      <c r="O837" s="4"/>
      <c r="P837" s="4"/>
      <c r="Q837" s="4"/>
      <c r="R837" s="4"/>
      <c r="S837" s="4"/>
      <c r="T837" s="4"/>
      <c r="U837" s="4"/>
      <c r="V837" s="4"/>
      <c r="W837" s="4"/>
      <c r="X837" s="4"/>
      <c r="Y837" s="4"/>
      <c r="Z837" s="4"/>
    </row>
    <row r="838" ht="9.75" customHeight="1">
      <c r="A838" s="4"/>
      <c r="B838" s="4"/>
      <c r="C838" s="4"/>
      <c r="D838" s="4"/>
      <c r="E838" s="4"/>
      <c r="F838" s="4"/>
      <c r="G838" s="4"/>
      <c r="H838" s="4"/>
      <c r="I838" s="4"/>
      <c r="J838" s="4"/>
      <c r="K838" s="4"/>
      <c r="L838" s="4"/>
      <c r="M838" s="4"/>
      <c r="N838" s="4"/>
      <c r="O838" s="4"/>
      <c r="P838" s="4"/>
      <c r="Q838" s="4"/>
      <c r="R838" s="4"/>
      <c r="S838" s="4"/>
      <c r="T838" s="4"/>
      <c r="U838" s="4"/>
      <c r="V838" s="4"/>
      <c r="W838" s="4"/>
      <c r="X838" s="4"/>
      <c r="Y838" s="4"/>
      <c r="Z838" s="4"/>
    </row>
    <row r="839" ht="9.75" customHeight="1">
      <c r="A839" s="4"/>
      <c r="B839" s="4"/>
      <c r="C839" s="4"/>
      <c r="D839" s="4"/>
      <c r="E839" s="4"/>
      <c r="F839" s="4"/>
      <c r="G839" s="4"/>
      <c r="H839" s="4"/>
      <c r="I839" s="4"/>
      <c r="J839" s="4"/>
      <c r="K839" s="4"/>
      <c r="L839" s="4"/>
      <c r="M839" s="4"/>
      <c r="N839" s="4"/>
      <c r="O839" s="4"/>
      <c r="P839" s="4"/>
      <c r="Q839" s="4"/>
      <c r="R839" s="4"/>
      <c r="S839" s="4"/>
      <c r="T839" s="4"/>
      <c r="U839" s="4"/>
      <c r="V839" s="4"/>
      <c r="W839" s="4"/>
      <c r="X839" s="4"/>
      <c r="Y839" s="4"/>
      <c r="Z839" s="4"/>
    </row>
    <row r="840" ht="9.75" customHeight="1">
      <c r="A840" s="4"/>
      <c r="B840" s="4"/>
      <c r="C840" s="4"/>
      <c r="D840" s="4"/>
      <c r="E840" s="4"/>
      <c r="F840" s="4"/>
      <c r="G840" s="4"/>
      <c r="H840" s="4"/>
      <c r="I840" s="4"/>
      <c r="J840" s="4"/>
      <c r="K840" s="4"/>
      <c r="L840" s="4"/>
      <c r="M840" s="4"/>
      <c r="N840" s="4"/>
      <c r="O840" s="4"/>
      <c r="P840" s="4"/>
      <c r="Q840" s="4"/>
      <c r="R840" s="4"/>
      <c r="S840" s="4"/>
      <c r="T840" s="4"/>
      <c r="U840" s="4"/>
      <c r="V840" s="4"/>
      <c r="W840" s="4"/>
      <c r="X840" s="4"/>
      <c r="Y840" s="4"/>
      <c r="Z840" s="4"/>
    </row>
    <row r="841" ht="9.75" customHeight="1">
      <c r="A841" s="4"/>
      <c r="B841" s="4"/>
      <c r="C841" s="4"/>
      <c r="D841" s="4"/>
      <c r="E841" s="4"/>
      <c r="F841" s="4"/>
      <c r="G841" s="4"/>
      <c r="H841" s="4"/>
      <c r="I841" s="4"/>
      <c r="J841" s="4"/>
      <c r="K841" s="4"/>
      <c r="L841" s="4"/>
      <c r="M841" s="4"/>
      <c r="N841" s="4"/>
      <c r="O841" s="4"/>
      <c r="P841" s="4"/>
      <c r="Q841" s="4"/>
      <c r="R841" s="4"/>
      <c r="S841" s="4"/>
      <c r="T841" s="4"/>
      <c r="U841" s="4"/>
      <c r="V841" s="4"/>
      <c r="W841" s="4"/>
      <c r="X841" s="4"/>
      <c r="Y841" s="4"/>
      <c r="Z841" s="4"/>
    </row>
    <row r="842" ht="9.75" customHeight="1">
      <c r="A842" s="4"/>
      <c r="B842" s="4"/>
      <c r="C842" s="4"/>
      <c r="D842" s="4"/>
      <c r="E842" s="4"/>
      <c r="F842" s="4"/>
      <c r="G842" s="4"/>
      <c r="H842" s="4"/>
      <c r="I842" s="4"/>
      <c r="J842" s="4"/>
      <c r="K842" s="4"/>
      <c r="L842" s="4"/>
      <c r="M842" s="4"/>
      <c r="N842" s="4"/>
      <c r="O842" s="4"/>
      <c r="P842" s="4"/>
      <c r="Q842" s="4"/>
      <c r="R842" s="4"/>
      <c r="S842" s="4"/>
      <c r="T842" s="4"/>
      <c r="U842" s="4"/>
      <c r="V842" s="4"/>
      <c r="W842" s="4"/>
      <c r="X842" s="4"/>
      <c r="Y842" s="4"/>
      <c r="Z842" s="4"/>
    </row>
    <row r="843" ht="9.75" customHeight="1">
      <c r="A843" s="4"/>
      <c r="B843" s="4"/>
      <c r="C843" s="4"/>
      <c r="D843" s="4"/>
      <c r="E843" s="4"/>
      <c r="F843" s="4"/>
      <c r="G843" s="4"/>
      <c r="H843" s="4"/>
      <c r="I843" s="4"/>
      <c r="J843" s="4"/>
      <c r="K843" s="4"/>
      <c r="L843" s="4"/>
      <c r="M843" s="4"/>
      <c r="N843" s="4"/>
      <c r="O843" s="4"/>
      <c r="P843" s="4"/>
      <c r="Q843" s="4"/>
      <c r="R843" s="4"/>
      <c r="S843" s="4"/>
      <c r="T843" s="4"/>
      <c r="U843" s="4"/>
      <c r="V843" s="4"/>
      <c r="W843" s="4"/>
      <c r="X843" s="4"/>
      <c r="Y843" s="4"/>
      <c r="Z843" s="4"/>
    </row>
    <row r="844" ht="9.75" customHeight="1">
      <c r="A844" s="4"/>
      <c r="B844" s="4"/>
      <c r="C844" s="4"/>
      <c r="D844" s="4"/>
      <c r="E844" s="4"/>
      <c r="F844" s="4"/>
      <c r="G844" s="4"/>
      <c r="H844" s="4"/>
      <c r="I844" s="4"/>
      <c r="J844" s="4"/>
      <c r="K844" s="4"/>
      <c r="L844" s="4"/>
      <c r="M844" s="4"/>
      <c r="N844" s="4"/>
      <c r="O844" s="4"/>
      <c r="P844" s="4"/>
      <c r="Q844" s="4"/>
      <c r="R844" s="4"/>
      <c r="S844" s="4"/>
      <c r="T844" s="4"/>
      <c r="U844" s="4"/>
      <c r="V844" s="4"/>
      <c r="W844" s="4"/>
      <c r="X844" s="4"/>
      <c r="Y844" s="4"/>
      <c r="Z844" s="4"/>
    </row>
    <row r="845" ht="9.75" customHeight="1">
      <c r="A845" s="4"/>
      <c r="B845" s="4"/>
      <c r="C845" s="4"/>
      <c r="D845" s="4"/>
      <c r="E845" s="4"/>
      <c r="F845" s="4"/>
      <c r="G845" s="4"/>
      <c r="H845" s="4"/>
      <c r="I845" s="4"/>
      <c r="J845" s="4"/>
      <c r="K845" s="4"/>
      <c r="L845" s="4"/>
      <c r="M845" s="4"/>
      <c r="N845" s="4"/>
      <c r="O845" s="4"/>
      <c r="P845" s="4"/>
      <c r="Q845" s="4"/>
      <c r="R845" s="4"/>
      <c r="S845" s="4"/>
      <c r="T845" s="4"/>
      <c r="U845" s="4"/>
      <c r="V845" s="4"/>
      <c r="W845" s="4"/>
      <c r="X845" s="4"/>
      <c r="Y845" s="4"/>
      <c r="Z845" s="4"/>
    </row>
    <row r="846" ht="9.75" customHeight="1">
      <c r="A846" s="4"/>
      <c r="B846" s="4"/>
      <c r="C846" s="4"/>
      <c r="D846" s="4"/>
      <c r="E846" s="4"/>
      <c r="F846" s="4"/>
      <c r="G846" s="4"/>
      <c r="H846" s="4"/>
      <c r="I846" s="4"/>
      <c r="J846" s="4"/>
      <c r="K846" s="4"/>
      <c r="L846" s="4"/>
      <c r="M846" s="4"/>
      <c r="N846" s="4"/>
      <c r="O846" s="4"/>
      <c r="P846" s="4"/>
      <c r="Q846" s="4"/>
      <c r="R846" s="4"/>
      <c r="S846" s="4"/>
      <c r="T846" s="4"/>
      <c r="U846" s="4"/>
      <c r="V846" s="4"/>
      <c r="W846" s="4"/>
      <c r="X846" s="4"/>
      <c r="Y846" s="4"/>
      <c r="Z846" s="4"/>
    </row>
    <row r="847" ht="9.75" customHeight="1">
      <c r="A847" s="4"/>
      <c r="B847" s="4"/>
      <c r="C847" s="4"/>
      <c r="D847" s="4"/>
      <c r="E847" s="4"/>
      <c r="F847" s="4"/>
      <c r="G847" s="4"/>
      <c r="H847" s="4"/>
      <c r="I847" s="4"/>
      <c r="J847" s="4"/>
      <c r="K847" s="4"/>
      <c r="L847" s="4"/>
      <c r="M847" s="4"/>
      <c r="N847" s="4"/>
      <c r="O847" s="4"/>
      <c r="P847" s="4"/>
      <c r="Q847" s="4"/>
      <c r="R847" s="4"/>
      <c r="S847" s="4"/>
      <c r="T847" s="4"/>
      <c r="U847" s="4"/>
      <c r="V847" s="4"/>
      <c r="W847" s="4"/>
      <c r="X847" s="4"/>
      <c r="Y847" s="4"/>
      <c r="Z847" s="4"/>
    </row>
    <row r="848" ht="9.75" customHeight="1">
      <c r="A848" s="4"/>
      <c r="B848" s="4"/>
      <c r="C848" s="4"/>
      <c r="D848" s="4"/>
      <c r="E848" s="4"/>
      <c r="F848" s="4"/>
      <c r="G848" s="4"/>
      <c r="H848" s="4"/>
      <c r="I848" s="4"/>
      <c r="J848" s="4"/>
      <c r="K848" s="4"/>
      <c r="L848" s="4"/>
      <c r="M848" s="4"/>
      <c r="N848" s="4"/>
      <c r="O848" s="4"/>
      <c r="P848" s="4"/>
      <c r="Q848" s="4"/>
      <c r="R848" s="4"/>
      <c r="S848" s="4"/>
      <c r="T848" s="4"/>
      <c r="U848" s="4"/>
      <c r="V848" s="4"/>
      <c r="W848" s="4"/>
      <c r="X848" s="4"/>
      <c r="Y848" s="4"/>
      <c r="Z848" s="4"/>
    </row>
    <row r="849" ht="9.75" customHeight="1">
      <c r="A849" s="4"/>
      <c r="B849" s="4"/>
      <c r="C849" s="4"/>
      <c r="D849" s="4"/>
      <c r="E849" s="4"/>
      <c r="F849" s="4"/>
      <c r="G849" s="4"/>
      <c r="H849" s="4"/>
      <c r="I849" s="4"/>
      <c r="J849" s="4"/>
      <c r="K849" s="4"/>
      <c r="L849" s="4"/>
      <c r="M849" s="4"/>
      <c r="N849" s="4"/>
      <c r="O849" s="4"/>
      <c r="P849" s="4"/>
      <c r="Q849" s="4"/>
      <c r="R849" s="4"/>
      <c r="S849" s="4"/>
      <c r="T849" s="4"/>
      <c r="U849" s="4"/>
      <c r="V849" s="4"/>
      <c r="W849" s="4"/>
      <c r="X849" s="4"/>
      <c r="Y849" s="4"/>
      <c r="Z849" s="4"/>
    </row>
    <row r="850" ht="9.75" customHeight="1">
      <c r="A850" s="4"/>
      <c r="B850" s="4"/>
      <c r="C850" s="4"/>
      <c r="D850" s="4"/>
      <c r="E850" s="4"/>
      <c r="F850" s="4"/>
      <c r="G850" s="4"/>
      <c r="H850" s="4"/>
      <c r="I850" s="4"/>
      <c r="J850" s="4"/>
      <c r="K850" s="4"/>
      <c r="L850" s="4"/>
      <c r="M850" s="4"/>
      <c r="N850" s="4"/>
      <c r="O850" s="4"/>
      <c r="P850" s="4"/>
      <c r="Q850" s="4"/>
      <c r="R850" s="4"/>
      <c r="S850" s="4"/>
      <c r="T850" s="4"/>
      <c r="U850" s="4"/>
      <c r="V850" s="4"/>
      <c r="W850" s="4"/>
      <c r="X850" s="4"/>
      <c r="Y850" s="4"/>
      <c r="Z850" s="4"/>
    </row>
    <row r="851" ht="9.75" customHeight="1">
      <c r="A851" s="4"/>
      <c r="B851" s="4"/>
      <c r="C851" s="4"/>
      <c r="D851" s="4"/>
      <c r="E851" s="4"/>
      <c r="F851" s="4"/>
      <c r="G851" s="4"/>
      <c r="H851" s="4"/>
      <c r="I851" s="4"/>
      <c r="J851" s="4"/>
      <c r="K851" s="4"/>
      <c r="L851" s="4"/>
      <c r="M851" s="4"/>
      <c r="N851" s="4"/>
      <c r="O851" s="4"/>
      <c r="P851" s="4"/>
      <c r="Q851" s="4"/>
      <c r="R851" s="4"/>
      <c r="S851" s="4"/>
      <c r="T851" s="4"/>
      <c r="U851" s="4"/>
      <c r="V851" s="4"/>
      <c r="W851" s="4"/>
      <c r="X851" s="4"/>
      <c r="Y851" s="4"/>
      <c r="Z851" s="4"/>
    </row>
    <row r="852" ht="9.75" customHeight="1">
      <c r="A852" s="4"/>
      <c r="B852" s="4"/>
      <c r="C852" s="4"/>
      <c r="D852" s="4"/>
      <c r="E852" s="4"/>
      <c r="F852" s="4"/>
      <c r="G852" s="4"/>
      <c r="H852" s="4"/>
      <c r="I852" s="4"/>
      <c r="J852" s="4"/>
      <c r="K852" s="4"/>
      <c r="L852" s="4"/>
      <c r="M852" s="4"/>
      <c r="N852" s="4"/>
      <c r="O852" s="4"/>
      <c r="P852" s="4"/>
      <c r="Q852" s="4"/>
      <c r="R852" s="4"/>
      <c r="S852" s="4"/>
      <c r="T852" s="4"/>
      <c r="U852" s="4"/>
      <c r="V852" s="4"/>
      <c r="W852" s="4"/>
      <c r="X852" s="4"/>
      <c r="Y852" s="4"/>
      <c r="Z852" s="4"/>
    </row>
    <row r="853" ht="9.75" customHeight="1">
      <c r="A853" s="4"/>
      <c r="B853" s="4"/>
      <c r="C853" s="4"/>
      <c r="D853" s="4"/>
      <c r="E853" s="4"/>
      <c r="F853" s="4"/>
      <c r="G853" s="4"/>
      <c r="H853" s="4"/>
      <c r="I853" s="4"/>
      <c r="J853" s="4"/>
      <c r="K853" s="4"/>
      <c r="L853" s="4"/>
      <c r="M853" s="4"/>
      <c r="N853" s="4"/>
      <c r="O853" s="4"/>
      <c r="P853" s="4"/>
      <c r="Q853" s="4"/>
      <c r="R853" s="4"/>
      <c r="S853" s="4"/>
      <c r="T853" s="4"/>
      <c r="U853" s="4"/>
      <c r="V853" s="4"/>
      <c r="W853" s="4"/>
      <c r="X853" s="4"/>
      <c r="Y853" s="4"/>
      <c r="Z853" s="4"/>
    </row>
    <row r="854" ht="9.75" customHeight="1">
      <c r="A854" s="4"/>
      <c r="B854" s="4"/>
      <c r="C854" s="4"/>
      <c r="D854" s="4"/>
      <c r="E854" s="4"/>
      <c r="F854" s="4"/>
      <c r="G854" s="4"/>
      <c r="H854" s="4"/>
      <c r="I854" s="4"/>
      <c r="J854" s="4"/>
      <c r="K854" s="4"/>
      <c r="L854" s="4"/>
      <c r="M854" s="4"/>
      <c r="N854" s="4"/>
      <c r="O854" s="4"/>
      <c r="P854" s="4"/>
      <c r="Q854" s="4"/>
      <c r="R854" s="4"/>
      <c r="S854" s="4"/>
      <c r="T854" s="4"/>
      <c r="U854" s="4"/>
      <c r="V854" s="4"/>
      <c r="W854" s="4"/>
      <c r="X854" s="4"/>
      <c r="Y854" s="4"/>
      <c r="Z854" s="4"/>
    </row>
    <row r="855" ht="9.75" customHeight="1">
      <c r="A855" s="4"/>
      <c r="B855" s="4"/>
      <c r="C855" s="4"/>
      <c r="D855" s="4"/>
      <c r="E855" s="4"/>
      <c r="F855" s="4"/>
      <c r="G855" s="4"/>
      <c r="H855" s="4"/>
      <c r="I855" s="4"/>
      <c r="J855" s="4"/>
      <c r="K855" s="4"/>
      <c r="L855" s="4"/>
      <c r="M855" s="4"/>
      <c r="N855" s="4"/>
      <c r="O855" s="4"/>
      <c r="P855" s="4"/>
      <c r="Q855" s="4"/>
      <c r="R855" s="4"/>
      <c r="S855" s="4"/>
      <c r="T855" s="4"/>
      <c r="U855" s="4"/>
      <c r="V855" s="4"/>
      <c r="W855" s="4"/>
      <c r="X855" s="4"/>
      <c r="Y855" s="4"/>
      <c r="Z855" s="4"/>
    </row>
    <row r="856" ht="9.75" customHeight="1">
      <c r="A856" s="4"/>
      <c r="B856" s="4"/>
      <c r="C856" s="4"/>
      <c r="D856" s="4"/>
      <c r="E856" s="4"/>
      <c r="F856" s="4"/>
      <c r="G856" s="4"/>
      <c r="H856" s="4"/>
      <c r="I856" s="4"/>
      <c r="J856" s="4"/>
      <c r="K856" s="4"/>
      <c r="L856" s="4"/>
      <c r="M856" s="4"/>
      <c r="N856" s="4"/>
      <c r="O856" s="4"/>
      <c r="P856" s="4"/>
      <c r="Q856" s="4"/>
      <c r="R856" s="4"/>
      <c r="S856" s="4"/>
      <c r="T856" s="4"/>
      <c r="U856" s="4"/>
      <c r="V856" s="4"/>
      <c r="W856" s="4"/>
      <c r="X856" s="4"/>
      <c r="Y856" s="4"/>
      <c r="Z856" s="4"/>
    </row>
    <row r="857" ht="9.75" customHeight="1">
      <c r="A857" s="4"/>
      <c r="B857" s="4"/>
      <c r="C857" s="4"/>
      <c r="D857" s="4"/>
      <c r="E857" s="4"/>
      <c r="F857" s="4"/>
      <c r="G857" s="4"/>
      <c r="H857" s="4"/>
      <c r="I857" s="4"/>
      <c r="J857" s="4"/>
      <c r="K857" s="4"/>
      <c r="L857" s="4"/>
      <c r="M857" s="4"/>
      <c r="N857" s="4"/>
      <c r="O857" s="4"/>
      <c r="P857" s="4"/>
      <c r="Q857" s="4"/>
      <c r="R857" s="4"/>
      <c r="S857" s="4"/>
      <c r="T857" s="4"/>
      <c r="U857" s="4"/>
      <c r="V857" s="4"/>
      <c r="W857" s="4"/>
      <c r="X857" s="4"/>
      <c r="Y857" s="4"/>
      <c r="Z857" s="4"/>
    </row>
    <row r="858" ht="9.75" customHeight="1">
      <c r="A858" s="4"/>
      <c r="B858" s="4"/>
      <c r="C858" s="4"/>
      <c r="D858" s="4"/>
      <c r="E858" s="4"/>
      <c r="F858" s="4"/>
      <c r="G858" s="4"/>
      <c r="H858" s="4"/>
      <c r="I858" s="4"/>
      <c r="J858" s="4"/>
      <c r="K858" s="4"/>
      <c r="L858" s="4"/>
      <c r="M858" s="4"/>
      <c r="N858" s="4"/>
      <c r="O858" s="4"/>
      <c r="P858" s="4"/>
      <c r="Q858" s="4"/>
      <c r="R858" s="4"/>
      <c r="S858" s="4"/>
      <c r="T858" s="4"/>
      <c r="U858" s="4"/>
      <c r="V858" s="4"/>
      <c r="W858" s="4"/>
      <c r="X858" s="4"/>
      <c r="Y858" s="4"/>
      <c r="Z858" s="4"/>
    </row>
    <row r="859" ht="9.75" customHeight="1">
      <c r="A859" s="4"/>
      <c r="B859" s="4"/>
      <c r="C859" s="4"/>
      <c r="D859" s="4"/>
      <c r="E859" s="4"/>
      <c r="F859" s="4"/>
      <c r="G859" s="4"/>
      <c r="H859" s="4"/>
      <c r="I859" s="4"/>
      <c r="J859" s="4"/>
      <c r="K859" s="4"/>
      <c r="L859" s="4"/>
      <c r="M859" s="4"/>
      <c r="N859" s="4"/>
      <c r="O859" s="4"/>
      <c r="P859" s="4"/>
      <c r="Q859" s="4"/>
      <c r="R859" s="4"/>
      <c r="S859" s="4"/>
      <c r="T859" s="4"/>
      <c r="U859" s="4"/>
      <c r="V859" s="4"/>
      <c r="W859" s="4"/>
      <c r="X859" s="4"/>
      <c r="Y859" s="4"/>
      <c r="Z859" s="4"/>
    </row>
    <row r="860" ht="9.75" customHeight="1">
      <c r="A860" s="4"/>
      <c r="B860" s="4"/>
      <c r="C860" s="4"/>
      <c r="D860" s="4"/>
      <c r="E860" s="4"/>
      <c r="F860" s="4"/>
      <c r="G860" s="4"/>
      <c r="H860" s="4"/>
      <c r="I860" s="4"/>
      <c r="J860" s="4"/>
      <c r="K860" s="4"/>
      <c r="L860" s="4"/>
      <c r="M860" s="4"/>
      <c r="N860" s="4"/>
      <c r="O860" s="4"/>
      <c r="P860" s="4"/>
      <c r="Q860" s="4"/>
      <c r="R860" s="4"/>
      <c r="S860" s="4"/>
      <c r="T860" s="4"/>
      <c r="U860" s="4"/>
      <c r="V860" s="4"/>
      <c r="W860" s="4"/>
      <c r="X860" s="4"/>
      <c r="Y860" s="4"/>
      <c r="Z860" s="4"/>
    </row>
    <row r="861" ht="9.75" customHeight="1">
      <c r="A861" s="4"/>
      <c r="B861" s="4"/>
      <c r="C861" s="4"/>
      <c r="D861" s="4"/>
      <c r="E861" s="4"/>
      <c r="F861" s="4"/>
      <c r="G861" s="4"/>
      <c r="H861" s="4"/>
      <c r="I861" s="4"/>
      <c r="J861" s="4"/>
      <c r="K861" s="4"/>
      <c r="L861" s="4"/>
      <c r="M861" s="4"/>
      <c r="N861" s="4"/>
      <c r="O861" s="4"/>
      <c r="P861" s="4"/>
      <c r="Q861" s="4"/>
      <c r="R861" s="4"/>
      <c r="S861" s="4"/>
      <c r="T861" s="4"/>
      <c r="U861" s="4"/>
      <c r="V861" s="4"/>
      <c r="W861" s="4"/>
      <c r="X861" s="4"/>
      <c r="Y861" s="4"/>
      <c r="Z861" s="4"/>
    </row>
    <row r="862" ht="9.75" customHeight="1">
      <c r="A862" s="4"/>
      <c r="B862" s="4"/>
      <c r="C862" s="4"/>
      <c r="D862" s="4"/>
      <c r="E862" s="4"/>
      <c r="F862" s="4"/>
      <c r="G862" s="4"/>
      <c r="H862" s="4"/>
      <c r="I862" s="4"/>
      <c r="J862" s="4"/>
      <c r="K862" s="4"/>
      <c r="L862" s="4"/>
      <c r="M862" s="4"/>
      <c r="N862" s="4"/>
      <c r="O862" s="4"/>
      <c r="P862" s="4"/>
      <c r="Q862" s="4"/>
      <c r="R862" s="4"/>
      <c r="S862" s="4"/>
      <c r="T862" s="4"/>
      <c r="U862" s="4"/>
      <c r="V862" s="4"/>
      <c r="W862" s="4"/>
      <c r="X862" s="4"/>
      <c r="Y862" s="4"/>
      <c r="Z862" s="4"/>
    </row>
    <row r="863" ht="9.75" customHeight="1">
      <c r="A863" s="4"/>
      <c r="B863" s="4"/>
      <c r="C863" s="4"/>
      <c r="D863" s="4"/>
      <c r="E863" s="4"/>
      <c r="F863" s="4"/>
      <c r="G863" s="4"/>
      <c r="H863" s="4"/>
      <c r="I863" s="4"/>
      <c r="J863" s="4"/>
      <c r="K863" s="4"/>
      <c r="L863" s="4"/>
      <c r="M863" s="4"/>
      <c r="N863" s="4"/>
      <c r="O863" s="4"/>
      <c r="P863" s="4"/>
      <c r="Q863" s="4"/>
      <c r="R863" s="4"/>
      <c r="S863" s="4"/>
      <c r="T863" s="4"/>
      <c r="U863" s="4"/>
      <c r="V863" s="4"/>
      <c r="W863" s="4"/>
      <c r="X863" s="4"/>
      <c r="Y863" s="4"/>
      <c r="Z863" s="4"/>
    </row>
    <row r="864" ht="9.75" customHeight="1">
      <c r="A864" s="4"/>
      <c r="B864" s="4"/>
      <c r="C864" s="4"/>
      <c r="D864" s="4"/>
      <c r="E864" s="4"/>
      <c r="F864" s="4"/>
      <c r="G864" s="4"/>
      <c r="H864" s="4"/>
      <c r="I864" s="4"/>
      <c r="J864" s="4"/>
      <c r="K864" s="4"/>
      <c r="L864" s="4"/>
      <c r="M864" s="4"/>
      <c r="N864" s="4"/>
      <c r="O864" s="4"/>
      <c r="P864" s="4"/>
      <c r="Q864" s="4"/>
      <c r="R864" s="4"/>
      <c r="S864" s="4"/>
      <c r="T864" s="4"/>
      <c r="U864" s="4"/>
      <c r="V864" s="4"/>
      <c r="W864" s="4"/>
      <c r="X864" s="4"/>
      <c r="Y864" s="4"/>
      <c r="Z864" s="4"/>
    </row>
    <row r="865" ht="9.75" customHeight="1">
      <c r="A865" s="4"/>
      <c r="B865" s="4"/>
      <c r="C865" s="4"/>
      <c r="D865" s="4"/>
      <c r="E865" s="4"/>
      <c r="F865" s="4"/>
      <c r="G865" s="4"/>
      <c r="H865" s="4"/>
      <c r="I865" s="4"/>
      <c r="J865" s="4"/>
      <c r="K865" s="4"/>
      <c r="L865" s="4"/>
      <c r="M865" s="4"/>
      <c r="N865" s="4"/>
      <c r="O865" s="4"/>
      <c r="P865" s="4"/>
      <c r="Q865" s="4"/>
      <c r="R865" s="4"/>
      <c r="S865" s="4"/>
      <c r="T865" s="4"/>
      <c r="U865" s="4"/>
      <c r="V865" s="4"/>
      <c r="W865" s="4"/>
      <c r="X865" s="4"/>
      <c r="Y865" s="4"/>
      <c r="Z865" s="4"/>
    </row>
    <row r="866" ht="9.75" customHeight="1">
      <c r="A866" s="4"/>
      <c r="B866" s="4"/>
      <c r="C866" s="4"/>
      <c r="D866" s="4"/>
      <c r="E866" s="4"/>
      <c r="F866" s="4"/>
      <c r="G866" s="4"/>
      <c r="H866" s="4"/>
      <c r="I866" s="4"/>
      <c r="J866" s="4"/>
      <c r="K866" s="4"/>
      <c r="L866" s="4"/>
      <c r="M866" s="4"/>
      <c r="N866" s="4"/>
      <c r="O866" s="4"/>
      <c r="P866" s="4"/>
      <c r="Q866" s="4"/>
      <c r="R866" s="4"/>
      <c r="S866" s="4"/>
      <c r="T866" s="4"/>
      <c r="U866" s="4"/>
      <c r="V866" s="4"/>
      <c r="W866" s="4"/>
      <c r="X866" s="4"/>
      <c r="Y866" s="4"/>
      <c r="Z866" s="4"/>
    </row>
    <row r="867" ht="9.75" customHeight="1">
      <c r="A867" s="4"/>
      <c r="B867" s="4"/>
      <c r="C867" s="4"/>
      <c r="D867" s="4"/>
      <c r="E867" s="4"/>
      <c r="F867" s="4"/>
      <c r="G867" s="4"/>
      <c r="H867" s="4"/>
      <c r="I867" s="4"/>
      <c r="J867" s="4"/>
      <c r="K867" s="4"/>
      <c r="L867" s="4"/>
      <c r="M867" s="4"/>
      <c r="N867" s="4"/>
      <c r="O867" s="4"/>
      <c r="P867" s="4"/>
      <c r="Q867" s="4"/>
      <c r="R867" s="4"/>
      <c r="S867" s="4"/>
      <c r="T867" s="4"/>
      <c r="U867" s="4"/>
      <c r="V867" s="4"/>
      <c r="W867" s="4"/>
      <c r="X867" s="4"/>
      <c r="Y867" s="4"/>
      <c r="Z867" s="4"/>
    </row>
    <row r="868" ht="9.75" customHeight="1">
      <c r="A868" s="4"/>
      <c r="B868" s="4"/>
      <c r="C868" s="4"/>
      <c r="D868" s="4"/>
      <c r="E868" s="4"/>
      <c r="F868" s="4"/>
      <c r="G868" s="4"/>
      <c r="H868" s="4"/>
      <c r="I868" s="4"/>
      <c r="J868" s="4"/>
      <c r="K868" s="4"/>
      <c r="L868" s="4"/>
      <c r="M868" s="4"/>
      <c r="N868" s="4"/>
      <c r="O868" s="4"/>
      <c r="P868" s="4"/>
      <c r="Q868" s="4"/>
      <c r="R868" s="4"/>
      <c r="S868" s="4"/>
      <c r="T868" s="4"/>
      <c r="U868" s="4"/>
      <c r="V868" s="4"/>
      <c r="W868" s="4"/>
      <c r="X868" s="4"/>
      <c r="Y868" s="4"/>
      <c r="Z868" s="4"/>
    </row>
    <row r="869" ht="9.75" customHeight="1">
      <c r="A869" s="4"/>
      <c r="B869" s="4"/>
      <c r="C869" s="4"/>
      <c r="D869" s="4"/>
      <c r="E869" s="4"/>
      <c r="F869" s="4"/>
      <c r="G869" s="4"/>
      <c r="H869" s="4"/>
      <c r="I869" s="4"/>
      <c r="J869" s="4"/>
      <c r="K869" s="4"/>
      <c r="L869" s="4"/>
      <c r="M869" s="4"/>
      <c r="N869" s="4"/>
      <c r="O869" s="4"/>
      <c r="P869" s="4"/>
      <c r="Q869" s="4"/>
      <c r="R869" s="4"/>
      <c r="S869" s="4"/>
      <c r="T869" s="4"/>
      <c r="U869" s="4"/>
      <c r="V869" s="4"/>
      <c r="W869" s="4"/>
      <c r="X869" s="4"/>
      <c r="Y869" s="4"/>
      <c r="Z869" s="4"/>
    </row>
    <row r="870" ht="9.75" customHeight="1">
      <c r="A870" s="4"/>
      <c r="B870" s="4"/>
      <c r="C870" s="4"/>
      <c r="D870" s="4"/>
      <c r="E870" s="4"/>
      <c r="F870" s="4"/>
      <c r="G870" s="4"/>
      <c r="H870" s="4"/>
      <c r="I870" s="4"/>
      <c r="J870" s="4"/>
      <c r="K870" s="4"/>
      <c r="L870" s="4"/>
      <c r="M870" s="4"/>
      <c r="N870" s="4"/>
      <c r="O870" s="4"/>
      <c r="P870" s="4"/>
      <c r="Q870" s="4"/>
      <c r="R870" s="4"/>
      <c r="S870" s="4"/>
      <c r="T870" s="4"/>
      <c r="U870" s="4"/>
      <c r="V870" s="4"/>
      <c r="W870" s="4"/>
      <c r="X870" s="4"/>
      <c r="Y870" s="4"/>
      <c r="Z870" s="4"/>
    </row>
    <row r="871" ht="9.75" customHeight="1">
      <c r="A871" s="4"/>
      <c r="B871" s="4"/>
      <c r="C871" s="4"/>
      <c r="D871" s="4"/>
      <c r="E871" s="4"/>
      <c r="F871" s="4"/>
      <c r="G871" s="4"/>
      <c r="H871" s="4"/>
      <c r="I871" s="4"/>
      <c r="J871" s="4"/>
      <c r="K871" s="4"/>
      <c r="L871" s="4"/>
      <c r="M871" s="4"/>
      <c r="N871" s="4"/>
      <c r="O871" s="4"/>
      <c r="P871" s="4"/>
      <c r="Q871" s="4"/>
      <c r="R871" s="4"/>
      <c r="S871" s="4"/>
      <c r="T871" s="4"/>
      <c r="U871" s="4"/>
      <c r="V871" s="4"/>
      <c r="W871" s="4"/>
      <c r="X871" s="4"/>
      <c r="Y871" s="4"/>
      <c r="Z871" s="4"/>
    </row>
    <row r="872" ht="9.75" customHeight="1">
      <c r="A872" s="4"/>
      <c r="B872" s="4"/>
      <c r="C872" s="4"/>
      <c r="D872" s="4"/>
      <c r="E872" s="4"/>
      <c r="F872" s="4"/>
      <c r="G872" s="4"/>
      <c r="H872" s="4"/>
      <c r="I872" s="4"/>
      <c r="J872" s="4"/>
      <c r="K872" s="4"/>
      <c r="L872" s="4"/>
      <c r="M872" s="4"/>
      <c r="N872" s="4"/>
      <c r="O872" s="4"/>
      <c r="P872" s="4"/>
      <c r="Q872" s="4"/>
      <c r="R872" s="4"/>
      <c r="S872" s="4"/>
      <c r="T872" s="4"/>
      <c r="U872" s="4"/>
      <c r="V872" s="4"/>
      <c r="W872" s="4"/>
      <c r="X872" s="4"/>
      <c r="Y872" s="4"/>
      <c r="Z872" s="4"/>
    </row>
    <row r="873" ht="9.75" customHeight="1">
      <c r="A873" s="4"/>
      <c r="B873" s="4"/>
      <c r="C873" s="4"/>
      <c r="D873" s="4"/>
      <c r="E873" s="4"/>
      <c r="F873" s="4"/>
      <c r="G873" s="4"/>
      <c r="H873" s="4"/>
      <c r="I873" s="4"/>
      <c r="J873" s="4"/>
      <c r="K873" s="4"/>
      <c r="L873" s="4"/>
      <c r="M873" s="4"/>
      <c r="N873" s="4"/>
      <c r="O873" s="4"/>
      <c r="P873" s="4"/>
      <c r="Q873" s="4"/>
      <c r="R873" s="4"/>
      <c r="S873" s="4"/>
      <c r="T873" s="4"/>
      <c r="U873" s="4"/>
      <c r="V873" s="4"/>
      <c r="W873" s="4"/>
      <c r="X873" s="4"/>
      <c r="Y873" s="4"/>
      <c r="Z873" s="4"/>
    </row>
    <row r="874" ht="9.75" customHeight="1">
      <c r="A874" s="4"/>
      <c r="B874" s="4"/>
      <c r="C874" s="4"/>
      <c r="D874" s="4"/>
      <c r="E874" s="4"/>
      <c r="F874" s="4"/>
      <c r="G874" s="4"/>
      <c r="H874" s="4"/>
      <c r="I874" s="4"/>
      <c r="J874" s="4"/>
      <c r="K874" s="4"/>
      <c r="L874" s="4"/>
      <c r="M874" s="4"/>
      <c r="N874" s="4"/>
      <c r="O874" s="4"/>
      <c r="P874" s="4"/>
      <c r="Q874" s="4"/>
      <c r="R874" s="4"/>
      <c r="S874" s="4"/>
      <c r="T874" s="4"/>
      <c r="U874" s="4"/>
      <c r="V874" s="4"/>
      <c r="W874" s="4"/>
      <c r="X874" s="4"/>
      <c r="Y874" s="4"/>
      <c r="Z874" s="4"/>
    </row>
    <row r="875" ht="9.75" customHeight="1">
      <c r="A875" s="4"/>
      <c r="B875" s="4"/>
      <c r="C875" s="4"/>
      <c r="D875" s="4"/>
      <c r="E875" s="4"/>
      <c r="F875" s="4"/>
      <c r="G875" s="4"/>
      <c r="H875" s="4"/>
      <c r="I875" s="4"/>
      <c r="J875" s="4"/>
      <c r="K875" s="4"/>
      <c r="L875" s="4"/>
      <c r="M875" s="4"/>
      <c r="N875" s="4"/>
      <c r="O875" s="4"/>
      <c r="P875" s="4"/>
      <c r="Q875" s="4"/>
      <c r="R875" s="4"/>
      <c r="S875" s="4"/>
      <c r="T875" s="4"/>
      <c r="U875" s="4"/>
      <c r="V875" s="4"/>
      <c r="W875" s="4"/>
      <c r="X875" s="4"/>
      <c r="Y875" s="4"/>
      <c r="Z875" s="4"/>
    </row>
    <row r="876" ht="9.75" customHeight="1">
      <c r="A876" s="4"/>
      <c r="B876" s="4"/>
      <c r="C876" s="4"/>
      <c r="D876" s="4"/>
      <c r="E876" s="4"/>
      <c r="F876" s="4"/>
      <c r="G876" s="4"/>
      <c r="H876" s="4"/>
      <c r="I876" s="4"/>
      <c r="J876" s="4"/>
      <c r="K876" s="4"/>
      <c r="L876" s="4"/>
      <c r="M876" s="4"/>
      <c r="N876" s="4"/>
      <c r="O876" s="4"/>
      <c r="P876" s="4"/>
      <c r="Q876" s="4"/>
      <c r="R876" s="4"/>
      <c r="S876" s="4"/>
      <c r="T876" s="4"/>
      <c r="U876" s="4"/>
      <c r="V876" s="4"/>
      <c r="W876" s="4"/>
      <c r="X876" s="4"/>
      <c r="Y876" s="4"/>
      <c r="Z876" s="4"/>
    </row>
    <row r="877" ht="9.75" customHeight="1">
      <c r="A877" s="4"/>
      <c r="B877" s="4"/>
      <c r="C877" s="4"/>
      <c r="D877" s="4"/>
      <c r="E877" s="4"/>
      <c r="F877" s="4"/>
      <c r="G877" s="4"/>
      <c r="H877" s="4"/>
      <c r="I877" s="4"/>
      <c r="J877" s="4"/>
      <c r="K877" s="4"/>
      <c r="L877" s="4"/>
      <c r="M877" s="4"/>
      <c r="N877" s="4"/>
      <c r="O877" s="4"/>
      <c r="P877" s="4"/>
      <c r="Q877" s="4"/>
      <c r="R877" s="4"/>
      <c r="S877" s="4"/>
      <c r="T877" s="4"/>
      <c r="U877" s="4"/>
      <c r="V877" s="4"/>
      <c r="W877" s="4"/>
      <c r="X877" s="4"/>
      <c r="Y877" s="4"/>
      <c r="Z877" s="4"/>
    </row>
    <row r="878" ht="9.75" customHeight="1">
      <c r="A878" s="4"/>
      <c r="B878" s="4"/>
      <c r="C878" s="4"/>
      <c r="D878" s="4"/>
      <c r="E878" s="4"/>
      <c r="F878" s="4"/>
      <c r="G878" s="4"/>
      <c r="H878" s="4"/>
      <c r="I878" s="4"/>
      <c r="J878" s="4"/>
      <c r="K878" s="4"/>
      <c r="L878" s="4"/>
      <c r="M878" s="4"/>
      <c r="N878" s="4"/>
      <c r="O878" s="4"/>
      <c r="P878" s="4"/>
      <c r="Q878" s="4"/>
      <c r="R878" s="4"/>
      <c r="S878" s="4"/>
      <c r="T878" s="4"/>
      <c r="U878" s="4"/>
      <c r="V878" s="4"/>
      <c r="W878" s="4"/>
      <c r="X878" s="4"/>
      <c r="Y878" s="4"/>
      <c r="Z878" s="4"/>
    </row>
    <row r="879" ht="9.75" customHeight="1">
      <c r="A879" s="4"/>
      <c r="B879" s="4"/>
      <c r="C879" s="4"/>
      <c r="D879" s="4"/>
      <c r="E879" s="4"/>
      <c r="F879" s="4"/>
      <c r="G879" s="4"/>
      <c r="H879" s="4"/>
      <c r="I879" s="4"/>
      <c r="J879" s="4"/>
      <c r="K879" s="4"/>
      <c r="L879" s="4"/>
      <c r="M879" s="4"/>
      <c r="N879" s="4"/>
      <c r="O879" s="4"/>
      <c r="P879" s="4"/>
      <c r="Q879" s="4"/>
      <c r="R879" s="4"/>
      <c r="S879" s="4"/>
      <c r="T879" s="4"/>
      <c r="U879" s="4"/>
      <c r="V879" s="4"/>
      <c r="W879" s="4"/>
      <c r="X879" s="4"/>
      <c r="Y879" s="4"/>
      <c r="Z879" s="4"/>
    </row>
    <row r="880" ht="9.75" customHeight="1">
      <c r="A880" s="4"/>
      <c r="B880" s="4"/>
      <c r="C880" s="4"/>
      <c r="D880" s="4"/>
      <c r="E880" s="4"/>
      <c r="F880" s="4"/>
      <c r="G880" s="4"/>
      <c r="H880" s="4"/>
      <c r="I880" s="4"/>
      <c r="J880" s="4"/>
      <c r="K880" s="4"/>
      <c r="L880" s="4"/>
      <c r="M880" s="4"/>
      <c r="N880" s="4"/>
      <c r="O880" s="4"/>
      <c r="P880" s="4"/>
      <c r="Q880" s="4"/>
      <c r="R880" s="4"/>
      <c r="S880" s="4"/>
      <c r="T880" s="4"/>
      <c r="U880" s="4"/>
      <c r="V880" s="4"/>
      <c r="W880" s="4"/>
      <c r="X880" s="4"/>
      <c r="Y880" s="4"/>
      <c r="Z880" s="4"/>
    </row>
    <row r="881" ht="9.75" customHeight="1">
      <c r="A881" s="4"/>
      <c r="B881" s="4"/>
      <c r="C881" s="4"/>
      <c r="D881" s="4"/>
      <c r="E881" s="4"/>
      <c r="F881" s="4"/>
      <c r="G881" s="4"/>
      <c r="H881" s="4"/>
      <c r="I881" s="4"/>
      <c r="J881" s="4"/>
      <c r="K881" s="4"/>
      <c r="L881" s="4"/>
      <c r="M881" s="4"/>
      <c r="N881" s="4"/>
      <c r="O881" s="4"/>
      <c r="P881" s="4"/>
      <c r="Q881" s="4"/>
      <c r="R881" s="4"/>
      <c r="S881" s="4"/>
      <c r="T881" s="4"/>
      <c r="U881" s="4"/>
      <c r="V881" s="4"/>
      <c r="W881" s="4"/>
      <c r="X881" s="4"/>
      <c r="Y881" s="4"/>
      <c r="Z881" s="4"/>
    </row>
    <row r="882" ht="9.75" customHeight="1">
      <c r="A882" s="4"/>
      <c r="B882" s="4"/>
      <c r="C882" s="4"/>
      <c r="D882" s="4"/>
      <c r="E882" s="4"/>
      <c r="F882" s="4"/>
      <c r="G882" s="4"/>
      <c r="H882" s="4"/>
      <c r="I882" s="4"/>
      <c r="J882" s="4"/>
      <c r="K882" s="4"/>
      <c r="L882" s="4"/>
      <c r="M882" s="4"/>
      <c r="N882" s="4"/>
      <c r="O882" s="4"/>
      <c r="P882" s="4"/>
      <c r="Q882" s="4"/>
      <c r="R882" s="4"/>
      <c r="S882" s="4"/>
      <c r="T882" s="4"/>
      <c r="U882" s="4"/>
      <c r="V882" s="4"/>
      <c r="W882" s="4"/>
      <c r="X882" s="4"/>
      <c r="Y882" s="4"/>
      <c r="Z882" s="4"/>
    </row>
    <row r="883" ht="9.75" customHeight="1">
      <c r="A883" s="4"/>
      <c r="B883" s="4"/>
      <c r="C883" s="4"/>
      <c r="D883" s="4"/>
      <c r="E883" s="4"/>
      <c r="F883" s="4"/>
      <c r="G883" s="4"/>
      <c r="H883" s="4"/>
      <c r="I883" s="4"/>
      <c r="J883" s="4"/>
      <c r="K883" s="4"/>
      <c r="L883" s="4"/>
      <c r="M883" s="4"/>
      <c r="N883" s="4"/>
      <c r="O883" s="4"/>
      <c r="P883" s="4"/>
      <c r="Q883" s="4"/>
      <c r="R883" s="4"/>
      <c r="S883" s="4"/>
      <c r="T883" s="4"/>
      <c r="U883" s="4"/>
      <c r="V883" s="4"/>
      <c r="W883" s="4"/>
      <c r="X883" s="4"/>
      <c r="Y883" s="4"/>
      <c r="Z883" s="4"/>
    </row>
    <row r="884" ht="9.75" customHeight="1">
      <c r="A884" s="4"/>
      <c r="B884" s="4"/>
      <c r="C884" s="4"/>
      <c r="D884" s="4"/>
      <c r="E884" s="4"/>
      <c r="F884" s="4"/>
      <c r="G884" s="4"/>
      <c r="H884" s="4"/>
      <c r="I884" s="4"/>
      <c r="J884" s="4"/>
      <c r="K884" s="4"/>
      <c r="L884" s="4"/>
      <c r="M884" s="4"/>
      <c r="N884" s="4"/>
      <c r="O884" s="4"/>
      <c r="P884" s="4"/>
      <c r="Q884" s="4"/>
      <c r="R884" s="4"/>
      <c r="S884" s="4"/>
      <c r="T884" s="4"/>
      <c r="U884" s="4"/>
      <c r="V884" s="4"/>
      <c r="W884" s="4"/>
      <c r="X884" s="4"/>
      <c r="Y884" s="4"/>
      <c r="Z884" s="4"/>
    </row>
    <row r="885" ht="9.75" customHeight="1">
      <c r="A885" s="4"/>
      <c r="B885" s="4"/>
      <c r="C885" s="4"/>
      <c r="D885" s="4"/>
      <c r="E885" s="4"/>
      <c r="F885" s="4"/>
      <c r="G885" s="4"/>
      <c r="H885" s="4"/>
      <c r="I885" s="4"/>
      <c r="J885" s="4"/>
      <c r="K885" s="4"/>
      <c r="L885" s="4"/>
      <c r="M885" s="4"/>
      <c r="N885" s="4"/>
      <c r="O885" s="4"/>
      <c r="P885" s="4"/>
      <c r="Q885" s="4"/>
      <c r="R885" s="4"/>
      <c r="S885" s="4"/>
      <c r="T885" s="4"/>
      <c r="U885" s="4"/>
      <c r="V885" s="4"/>
      <c r="W885" s="4"/>
      <c r="X885" s="4"/>
      <c r="Y885" s="4"/>
      <c r="Z885" s="4"/>
    </row>
    <row r="886" ht="9.75" customHeight="1">
      <c r="A886" s="4"/>
      <c r="B886" s="4"/>
      <c r="C886" s="4"/>
      <c r="D886" s="4"/>
      <c r="E886" s="4"/>
      <c r="F886" s="4"/>
      <c r="G886" s="4"/>
      <c r="H886" s="4"/>
      <c r="I886" s="4"/>
      <c r="J886" s="4"/>
      <c r="K886" s="4"/>
      <c r="L886" s="4"/>
      <c r="M886" s="4"/>
      <c r="N886" s="4"/>
      <c r="O886" s="4"/>
      <c r="P886" s="4"/>
      <c r="Q886" s="4"/>
      <c r="R886" s="4"/>
      <c r="S886" s="4"/>
      <c r="T886" s="4"/>
      <c r="U886" s="4"/>
      <c r="V886" s="4"/>
      <c r="W886" s="4"/>
      <c r="X886" s="4"/>
      <c r="Y886" s="4"/>
      <c r="Z886" s="4"/>
    </row>
    <row r="887" ht="9.75" customHeight="1">
      <c r="A887" s="4"/>
      <c r="B887" s="4"/>
      <c r="C887" s="4"/>
      <c r="D887" s="4"/>
      <c r="E887" s="4"/>
      <c r="F887" s="4"/>
      <c r="G887" s="4"/>
      <c r="H887" s="4"/>
      <c r="I887" s="4"/>
      <c r="J887" s="4"/>
      <c r="K887" s="4"/>
      <c r="L887" s="4"/>
      <c r="M887" s="4"/>
      <c r="N887" s="4"/>
      <c r="O887" s="4"/>
      <c r="P887" s="4"/>
      <c r="Q887" s="4"/>
      <c r="R887" s="4"/>
      <c r="S887" s="4"/>
      <c r="T887" s="4"/>
      <c r="U887" s="4"/>
      <c r="V887" s="4"/>
      <c r="W887" s="4"/>
      <c r="X887" s="4"/>
      <c r="Y887" s="4"/>
      <c r="Z887" s="4"/>
    </row>
    <row r="888" ht="9.75" customHeight="1">
      <c r="A888" s="4"/>
      <c r="B888" s="4"/>
      <c r="C888" s="4"/>
      <c r="D888" s="4"/>
      <c r="E888" s="4"/>
      <c r="F888" s="4"/>
      <c r="G888" s="4"/>
      <c r="H888" s="4"/>
      <c r="I888" s="4"/>
      <c r="J888" s="4"/>
      <c r="K888" s="4"/>
      <c r="L888" s="4"/>
      <c r="M888" s="4"/>
      <c r="N888" s="4"/>
      <c r="O888" s="4"/>
      <c r="P888" s="4"/>
      <c r="Q888" s="4"/>
      <c r="R888" s="4"/>
      <c r="S888" s="4"/>
      <c r="T888" s="4"/>
      <c r="U888" s="4"/>
      <c r="V888" s="4"/>
      <c r="W888" s="4"/>
      <c r="X888" s="4"/>
      <c r="Y888" s="4"/>
      <c r="Z888" s="4"/>
    </row>
    <row r="889" ht="9.75" customHeight="1">
      <c r="A889" s="4"/>
      <c r="B889" s="4"/>
      <c r="C889" s="4"/>
      <c r="D889" s="4"/>
      <c r="E889" s="4"/>
      <c r="F889" s="4"/>
      <c r="G889" s="4"/>
      <c r="H889" s="4"/>
      <c r="I889" s="4"/>
      <c r="J889" s="4"/>
      <c r="K889" s="4"/>
      <c r="L889" s="4"/>
      <c r="M889" s="4"/>
      <c r="N889" s="4"/>
      <c r="O889" s="4"/>
      <c r="P889" s="4"/>
      <c r="Q889" s="4"/>
      <c r="R889" s="4"/>
      <c r="S889" s="4"/>
      <c r="T889" s="4"/>
      <c r="U889" s="4"/>
      <c r="V889" s="4"/>
      <c r="W889" s="4"/>
      <c r="X889" s="4"/>
      <c r="Y889" s="4"/>
      <c r="Z889" s="4"/>
    </row>
    <row r="890" ht="9.75" customHeight="1">
      <c r="A890" s="4"/>
      <c r="B890" s="4"/>
      <c r="C890" s="4"/>
      <c r="D890" s="4"/>
      <c r="E890" s="4"/>
      <c r="F890" s="4"/>
      <c r="G890" s="4"/>
      <c r="H890" s="4"/>
      <c r="I890" s="4"/>
      <c r="J890" s="4"/>
      <c r="K890" s="4"/>
      <c r="L890" s="4"/>
      <c r="M890" s="4"/>
      <c r="N890" s="4"/>
      <c r="O890" s="4"/>
      <c r="P890" s="4"/>
      <c r="Q890" s="4"/>
      <c r="R890" s="4"/>
      <c r="S890" s="4"/>
      <c r="T890" s="4"/>
      <c r="U890" s="4"/>
      <c r="V890" s="4"/>
      <c r="W890" s="4"/>
      <c r="X890" s="4"/>
      <c r="Y890" s="4"/>
      <c r="Z890" s="4"/>
    </row>
    <row r="891" ht="9.75" customHeight="1">
      <c r="A891" s="4"/>
      <c r="B891" s="4"/>
      <c r="C891" s="4"/>
      <c r="D891" s="4"/>
      <c r="E891" s="4"/>
      <c r="F891" s="4"/>
      <c r="G891" s="4"/>
      <c r="H891" s="4"/>
      <c r="I891" s="4"/>
      <c r="J891" s="4"/>
      <c r="K891" s="4"/>
      <c r="L891" s="4"/>
      <c r="M891" s="4"/>
      <c r="N891" s="4"/>
      <c r="O891" s="4"/>
      <c r="P891" s="4"/>
      <c r="Q891" s="4"/>
      <c r="R891" s="4"/>
      <c r="S891" s="4"/>
      <c r="T891" s="4"/>
      <c r="U891" s="4"/>
      <c r="V891" s="4"/>
      <c r="W891" s="4"/>
      <c r="X891" s="4"/>
      <c r="Y891" s="4"/>
      <c r="Z891" s="4"/>
    </row>
    <row r="892" ht="9.75" customHeight="1">
      <c r="A892" s="4"/>
      <c r="B892" s="4"/>
      <c r="C892" s="4"/>
      <c r="D892" s="4"/>
      <c r="E892" s="4"/>
      <c r="F892" s="4"/>
      <c r="G892" s="4"/>
      <c r="H892" s="4"/>
      <c r="I892" s="4"/>
      <c r="J892" s="4"/>
      <c r="K892" s="4"/>
      <c r="L892" s="4"/>
      <c r="M892" s="4"/>
      <c r="N892" s="4"/>
      <c r="O892" s="4"/>
      <c r="P892" s="4"/>
      <c r="Q892" s="4"/>
      <c r="R892" s="4"/>
      <c r="S892" s="4"/>
      <c r="T892" s="4"/>
      <c r="U892" s="4"/>
      <c r="V892" s="4"/>
      <c r="W892" s="4"/>
      <c r="X892" s="4"/>
      <c r="Y892" s="4"/>
      <c r="Z892" s="4"/>
    </row>
    <row r="893" ht="9.75" customHeight="1">
      <c r="A893" s="4"/>
      <c r="B893" s="4"/>
      <c r="C893" s="4"/>
      <c r="D893" s="4"/>
      <c r="E893" s="4"/>
      <c r="F893" s="4"/>
      <c r="G893" s="4"/>
      <c r="H893" s="4"/>
      <c r="I893" s="4"/>
      <c r="J893" s="4"/>
      <c r="K893" s="4"/>
      <c r="L893" s="4"/>
      <c r="M893" s="4"/>
      <c r="N893" s="4"/>
      <c r="O893" s="4"/>
      <c r="P893" s="4"/>
      <c r="Q893" s="4"/>
      <c r="R893" s="4"/>
      <c r="S893" s="4"/>
      <c r="T893" s="4"/>
      <c r="U893" s="4"/>
      <c r="V893" s="4"/>
      <c r="W893" s="4"/>
      <c r="X893" s="4"/>
      <c r="Y893" s="4"/>
      <c r="Z893" s="4"/>
    </row>
    <row r="894" ht="9.75" customHeight="1">
      <c r="A894" s="4"/>
      <c r="B894" s="4"/>
      <c r="C894" s="4"/>
      <c r="D894" s="4"/>
      <c r="E894" s="4"/>
      <c r="F894" s="4"/>
      <c r="G894" s="4"/>
      <c r="H894" s="4"/>
      <c r="I894" s="4"/>
      <c r="J894" s="4"/>
      <c r="K894" s="4"/>
      <c r="L894" s="4"/>
      <c r="M894" s="4"/>
      <c r="N894" s="4"/>
      <c r="O894" s="4"/>
      <c r="P894" s="4"/>
      <c r="Q894" s="4"/>
      <c r="R894" s="4"/>
      <c r="S894" s="4"/>
      <c r="T894" s="4"/>
      <c r="U894" s="4"/>
      <c r="V894" s="4"/>
      <c r="W894" s="4"/>
      <c r="X894" s="4"/>
      <c r="Y894" s="4"/>
      <c r="Z894" s="4"/>
    </row>
    <row r="895" ht="9.75" customHeight="1">
      <c r="A895" s="4"/>
      <c r="B895" s="4"/>
      <c r="C895" s="4"/>
      <c r="D895" s="4"/>
      <c r="E895" s="4"/>
      <c r="F895" s="4"/>
      <c r="G895" s="4"/>
      <c r="H895" s="4"/>
      <c r="I895" s="4"/>
      <c r="J895" s="4"/>
      <c r="K895" s="4"/>
      <c r="L895" s="4"/>
      <c r="M895" s="4"/>
      <c r="N895" s="4"/>
      <c r="O895" s="4"/>
      <c r="P895" s="4"/>
      <c r="Q895" s="4"/>
      <c r="R895" s="4"/>
      <c r="S895" s="4"/>
      <c r="T895" s="4"/>
      <c r="U895" s="4"/>
      <c r="V895" s="4"/>
      <c r="W895" s="4"/>
      <c r="X895" s="4"/>
      <c r="Y895" s="4"/>
      <c r="Z895" s="4"/>
    </row>
    <row r="896" ht="9.75" customHeight="1">
      <c r="A896" s="4"/>
      <c r="B896" s="4"/>
      <c r="C896" s="4"/>
      <c r="D896" s="4"/>
      <c r="E896" s="4"/>
      <c r="F896" s="4"/>
      <c r="G896" s="4"/>
      <c r="H896" s="4"/>
      <c r="I896" s="4"/>
      <c r="J896" s="4"/>
      <c r="K896" s="4"/>
      <c r="L896" s="4"/>
      <c r="M896" s="4"/>
      <c r="N896" s="4"/>
      <c r="O896" s="4"/>
      <c r="P896" s="4"/>
      <c r="Q896" s="4"/>
      <c r="R896" s="4"/>
      <c r="S896" s="4"/>
      <c r="T896" s="4"/>
      <c r="U896" s="4"/>
      <c r="V896" s="4"/>
      <c r="W896" s="4"/>
      <c r="X896" s="4"/>
      <c r="Y896" s="4"/>
      <c r="Z896" s="4"/>
    </row>
    <row r="897" ht="9.75" customHeight="1">
      <c r="A897" s="4"/>
      <c r="B897" s="4"/>
      <c r="C897" s="4"/>
      <c r="D897" s="4"/>
      <c r="E897" s="4"/>
      <c r="F897" s="4"/>
      <c r="G897" s="4"/>
      <c r="H897" s="4"/>
      <c r="I897" s="4"/>
      <c r="J897" s="4"/>
      <c r="K897" s="4"/>
      <c r="L897" s="4"/>
      <c r="M897" s="4"/>
      <c r="N897" s="4"/>
      <c r="O897" s="4"/>
      <c r="P897" s="4"/>
      <c r="Q897" s="4"/>
      <c r="R897" s="4"/>
      <c r="S897" s="4"/>
      <c r="T897" s="4"/>
      <c r="U897" s="4"/>
      <c r="V897" s="4"/>
      <c r="W897" s="4"/>
      <c r="X897" s="4"/>
      <c r="Y897" s="4"/>
      <c r="Z897" s="4"/>
    </row>
    <row r="898" ht="9.75" customHeight="1">
      <c r="A898" s="4"/>
      <c r="B898" s="4"/>
      <c r="C898" s="4"/>
      <c r="D898" s="4"/>
      <c r="E898" s="4"/>
      <c r="F898" s="4"/>
      <c r="G898" s="4"/>
      <c r="H898" s="4"/>
      <c r="I898" s="4"/>
      <c r="J898" s="4"/>
      <c r="K898" s="4"/>
      <c r="L898" s="4"/>
      <c r="M898" s="4"/>
      <c r="N898" s="4"/>
      <c r="O898" s="4"/>
      <c r="P898" s="4"/>
      <c r="Q898" s="4"/>
      <c r="R898" s="4"/>
      <c r="S898" s="4"/>
      <c r="T898" s="4"/>
      <c r="U898" s="4"/>
      <c r="V898" s="4"/>
      <c r="W898" s="4"/>
      <c r="X898" s="4"/>
      <c r="Y898" s="4"/>
      <c r="Z898" s="4"/>
    </row>
    <row r="899" ht="9.75" customHeight="1">
      <c r="A899" s="4"/>
      <c r="B899" s="4"/>
      <c r="C899" s="4"/>
      <c r="D899" s="4"/>
      <c r="E899" s="4"/>
      <c r="F899" s="4"/>
      <c r="G899" s="4"/>
      <c r="H899" s="4"/>
      <c r="I899" s="4"/>
      <c r="J899" s="4"/>
      <c r="K899" s="4"/>
      <c r="L899" s="4"/>
      <c r="M899" s="4"/>
      <c r="N899" s="4"/>
      <c r="O899" s="4"/>
      <c r="P899" s="4"/>
      <c r="Q899" s="4"/>
      <c r="R899" s="4"/>
      <c r="S899" s="4"/>
      <c r="T899" s="4"/>
      <c r="U899" s="4"/>
      <c r="V899" s="4"/>
      <c r="W899" s="4"/>
      <c r="X899" s="4"/>
      <c r="Y899" s="4"/>
      <c r="Z899" s="4"/>
    </row>
    <row r="900" ht="9.75" customHeight="1">
      <c r="A900" s="4"/>
      <c r="B900" s="4"/>
      <c r="C900" s="4"/>
      <c r="D900" s="4"/>
      <c r="E900" s="4"/>
      <c r="F900" s="4"/>
      <c r="G900" s="4"/>
      <c r="H900" s="4"/>
      <c r="I900" s="4"/>
      <c r="J900" s="4"/>
      <c r="K900" s="4"/>
      <c r="L900" s="4"/>
      <c r="M900" s="4"/>
      <c r="N900" s="4"/>
      <c r="O900" s="4"/>
      <c r="P900" s="4"/>
      <c r="Q900" s="4"/>
      <c r="R900" s="4"/>
      <c r="S900" s="4"/>
      <c r="T900" s="4"/>
      <c r="U900" s="4"/>
      <c r="V900" s="4"/>
      <c r="W900" s="4"/>
      <c r="X900" s="4"/>
      <c r="Y900" s="4"/>
      <c r="Z900" s="4"/>
    </row>
    <row r="901" ht="9.75" customHeight="1">
      <c r="A901" s="4"/>
      <c r="B901" s="4"/>
      <c r="C901" s="4"/>
      <c r="D901" s="4"/>
      <c r="E901" s="4"/>
      <c r="F901" s="4"/>
      <c r="G901" s="4"/>
      <c r="H901" s="4"/>
      <c r="I901" s="4"/>
      <c r="J901" s="4"/>
      <c r="K901" s="4"/>
      <c r="L901" s="4"/>
      <c r="M901" s="4"/>
      <c r="N901" s="4"/>
      <c r="O901" s="4"/>
      <c r="P901" s="4"/>
      <c r="Q901" s="4"/>
      <c r="R901" s="4"/>
      <c r="S901" s="4"/>
      <c r="T901" s="4"/>
      <c r="U901" s="4"/>
      <c r="V901" s="4"/>
      <c r="W901" s="4"/>
      <c r="X901" s="4"/>
      <c r="Y901" s="4"/>
      <c r="Z901" s="4"/>
    </row>
    <row r="902" ht="9.75" customHeight="1">
      <c r="A902" s="4"/>
      <c r="B902" s="4"/>
      <c r="C902" s="4"/>
      <c r="D902" s="4"/>
      <c r="E902" s="4"/>
      <c r="F902" s="4"/>
      <c r="G902" s="4"/>
      <c r="H902" s="4"/>
      <c r="I902" s="4"/>
      <c r="J902" s="4"/>
      <c r="K902" s="4"/>
      <c r="L902" s="4"/>
      <c r="M902" s="4"/>
      <c r="N902" s="4"/>
      <c r="O902" s="4"/>
      <c r="P902" s="4"/>
      <c r="Q902" s="4"/>
      <c r="R902" s="4"/>
      <c r="S902" s="4"/>
      <c r="T902" s="4"/>
      <c r="U902" s="4"/>
      <c r="V902" s="4"/>
      <c r="W902" s="4"/>
      <c r="X902" s="4"/>
      <c r="Y902" s="4"/>
      <c r="Z902" s="4"/>
    </row>
    <row r="903" ht="9.75" customHeight="1">
      <c r="A903" s="4"/>
      <c r="B903" s="4"/>
      <c r="C903" s="4"/>
      <c r="D903" s="4"/>
      <c r="E903" s="4"/>
      <c r="F903" s="4"/>
      <c r="G903" s="4"/>
      <c r="H903" s="4"/>
      <c r="I903" s="4"/>
      <c r="J903" s="4"/>
      <c r="K903" s="4"/>
      <c r="L903" s="4"/>
      <c r="M903" s="4"/>
      <c r="N903" s="4"/>
      <c r="O903" s="4"/>
      <c r="P903" s="4"/>
      <c r="Q903" s="4"/>
      <c r="R903" s="4"/>
      <c r="S903" s="4"/>
      <c r="T903" s="4"/>
      <c r="U903" s="4"/>
      <c r="V903" s="4"/>
      <c r="W903" s="4"/>
      <c r="X903" s="4"/>
      <c r="Y903" s="4"/>
      <c r="Z903" s="4"/>
    </row>
    <row r="904" ht="9.75" customHeight="1">
      <c r="A904" s="4"/>
      <c r="B904" s="4"/>
      <c r="C904" s="4"/>
      <c r="D904" s="4"/>
      <c r="E904" s="4"/>
      <c r="F904" s="4"/>
      <c r="G904" s="4"/>
      <c r="H904" s="4"/>
      <c r="I904" s="4"/>
      <c r="J904" s="4"/>
      <c r="K904" s="4"/>
      <c r="L904" s="4"/>
      <c r="M904" s="4"/>
      <c r="N904" s="4"/>
      <c r="O904" s="4"/>
      <c r="P904" s="4"/>
      <c r="Q904" s="4"/>
      <c r="R904" s="4"/>
      <c r="S904" s="4"/>
      <c r="T904" s="4"/>
      <c r="U904" s="4"/>
      <c r="V904" s="4"/>
      <c r="W904" s="4"/>
      <c r="X904" s="4"/>
      <c r="Y904" s="4"/>
      <c r="Z904" s="4"/>
    </row>
    <row r="905" ht="9.75" customHeight="1">
      <c r="A905" s="4"/>
      <c r="B905" s="4"/>
      <c r="C905" s="4"/>
      <c r="D905" s="4"/>
      <c r="E905" s="4"/>
      <c r="F905" s="4"/>
      <c r="G905" s="4"/>
      <c r="H905" s="4"/>
      <c r="I905" s="4"/>
      <c r="J905" s="4"/>
      <c r="K905" s="4"/>
      <c r="L905" s="4"/>
      <c r="M905" s="4"/>
      <c r="N905" s="4"/>
      <c r="O905" s="4"/>
      <c r="P905" s="4"/>
      <c r="Q905" s="4"/>
      <c r="R905" s="4"/>
      <c r="S905" s="4"/>
      <c r="T905" s="4"/>
      <c r="U905" s="4"/>
      <c r="V905" s="4"/>
      <c r="W905" s="4"/>
      <c r="X905" s="4"/>
      <c r="Y905" s="4"/>
      <c r="Z905" s="4"/>
    </row>
    <row r="906" ht="9.75" customHeight="1">
      <c r="A906" s="4"/>
      <c r="B906" s="4"/>
      <c r="C906" s="4"/>
      <c r="D906" s="4"/>
      <c r="E906" s="4"/>
      <c r="F906" s="4"/>
      <c r="G906" s="4"/>
      <c r="H906" s="4"/>
      <c r="I906" s="4"/>
      <c r="J906" s="4"/>
      <c r="K906" s="4"/>
      <c r="L906" s="4"/>
      <c r="M906" s="4"/>
      <c r="N906" s="4"/>
      <c r="O906" s="4"/>
      <c r="P906" s="4"/>
      <c r="Q906" s="4"/>
      <c r="R906" s="4"/>
      <c r="S906" s="4"/>
      <c r="T906" s="4"/>
      <c r="U906" s="4"/>
      <c r="V906" s="4"/>
      <c r="W906" s="4"/>
      <c r="X906" s="4"/>
      <c r="Y906" s="4"/>
      <c r="Z906" s="4"/>
    </row>
    <row r="907" ht="9.75" customHeight="1">
      <c r="A907" s="4"/>
      <c r="B907" s="4"/>
      <c r="C907" s="4"/>
      <c r="D907" s="4"/>
      <c r="E907" s="4"/>
      <c r="F907" s="4"/>
      <c r="G907" s="4"/>
      <c r="H907" s="4"/>
      <c r="I907" s="4"/>
      <c r="J907" s="4"/>
      <c r="K907" s="4"/>
      <c r="L907" s="4"/>
      <c r="M907" s="4"/>
      <c r="N907" s="4"/>
      <c r="O907" s="4"/>
      <c r="P907" s="4"/>
      <c r="Q907" s="4"/>
      <c r="R907" s="4"/>
      <c r="S907" s="4"/>
      <c r="T907" s="4"/>
      <c r="U907" s="4"/>
      <c r="V907" s="4"/>
      <c r="W907" s="4"/>
      <c r="X907" s="4"/>
      <c r="Y907" s="4"/>
      <c r="Z907" s="4"/>
    </row>
    <row r="908" ht="9.75" customHeight="1">
      <c r="A908" s="4"/>
      <c r="B908" s="4"/>
      <c r="C908" s="4"/>
      <c r="D908" s="4"/>
      <c r="E908" s="4"/>
      <c r="F908" s="4"/>
      <c r="G908" s="4"/>
      <c r="H908" s="4"/>
      <c r="I908" s="4"/>
      <c r="J908" s="4"/>
      <c r="K908" s="4"/>
      <c r="L908" s="4"/>
      <c r="M908" s="4"/>
      <c r="N908" s="4"/>
      <c r="O908" s="4"/>
      <c r="P908" s="4"/>
      <c r="Q908" s="4"/>
      <c r="R908" s="4"/>
      <c r="S908" s="4"/>
      <c r="T908" s="4"/>
      <c r="U908" s="4"/>
      <c r="V908" s="4"/>
      <c r="W908" s="4"/>
      <c r="X908" s="4"/>
      <c r="Y908" s="4"/>
      <c r="Z908" s="4"/>
    </row>
    <row r="909" ht="9.75" customHeight="1">
      <c r="A909" s="4"/>
      <c r="B909" s="4"/>
      <c r="C909" s="4"/>
      <c r="D909" s="4"/>
      <c r="E909" s="4"/>
      <c r="F909" s="4"/>
      <c r="G909" s="4"/>
      <c r="H909" s="4"/>
      <c r="I909" s="4"/>
      <c r="J909" s="4"/>
      <c r="K909" s="4"/>
      <c r="L909" s="4"/>
      <c r="M909" s="4"/>
      <c r="N909" s="4"/>
      <c r="O909" s="4"/>
      <c r="P909" s="4"/>
      <c r="Q909" s="4"/>
      <c r="R909" s="4"/>
      <c r="S909" s="4"/>
      <c r="T909" s="4"/>
      <c r="U909" s="4"/>
      <c r="V909" s="4"/>
      <c r="W909" s="4"/>
      <c r="X909" s="4"/>
      <c r="Y909" s="4"/>
      <c r="Z909" s="4"/>
    </row>
    <row r="910" ht="9.75" customHeight="1">
      <c r="A910" s="4"/>
      <c r="B910" s="4"/>
      <c r="C910" s="4"/>
      <c r="D910" s="4"/>
      <c r="E910" s="4"/>
      <c r="F910" s="4"/>
      <c r="G910" s="4"/>
      <c r="H910" s="4"/>
      <c r="I910" s="4"/>
      <c r="J910" s="4"/>
      <c r="K910" s="4"/>
      <c r="L910" s="4"/>
      <c r="M910" s="4"/>
      <c r="N910" s="4"/>
      <c r="O910" s="4"/>
      <c r="P910" s="4"/>
      <c r="Q910" s="4"/>
      <c r="R910" s="4"/>
      <c r="S910" s="4"/>
      <c r="T910" s="4"/>
      <c r="U910" s="4"/>
      <c r="V910" s="4"/>
      <c r="W910" s="4"/>
      <c r="X910" s="4"/>
      <c r="Y910" s="4"/>
      <c r="Z910" s="4"/>
    </row>
    <row r="911" ht="9.75" customHeight="1">
      <c r="A911" s="4"/>
      <c r="B911" s="4"/>
      <c r="C911" s="4"/>
      <c r="D911" s="4"/>
      <c r="E911" s="4"/>
      <c r="F911" s="4"/>
      <c r="G911" s="4"/>
      <c r="H911" s="4"/>
      <c r="I911" s="4"/>
      <c r="J911" s="4"/>
      <c r="K911" s="4"/>
      <c r="L911" s="4"/>
      <c r="M911" s="4"/>
      <c r="N911" s="4"/>
      <c r="O911" s="4"/>
      <c r="P911" s="4"/>
      <c r="Q911" s="4"/>
      <c r="R911" s="4"/>
      <c r="S911" s="4"/>
      <c r="T911" s="4"/>
      <c r="U911" s="4"/>
      <c r="V911" s="4"/>
      <c r="W911" s="4"/>
      <c r="X911" s="4"/>
      <c r="Y911" s="4"/>
      <c r="Z911" s="4"/>
    </row>
    <row r="912" ht="9.75" customHeight="1">
      <c r="A912" s="4"/>
      <c r="B912" s="4"/>
      <c r="C912" s="4"/>
      <c r="D912" s="4"/>
      <c r="E912" s="4"/>
      <c r="F912" s="4"/>
      <c r="G912" s="4"/>
      <c r="H912" s="4"/>
      <c r="I912" s="4"/>
      <c r="J912" s="4"/>
      <c r="K912" s="4"/>
      <c r="L912" s="4"/>
      <c r="M912" s="4"/>
      <c r="N912" s="4"/>
      <c r="O912" s="4"/>
      <c r="P912" s="4"/>
      <c r="Q912" s="4"/>
      <c r="R912" s="4"/>
      <c r="S912" s="4"/>
      <c r="T912" s="4"/>
      <c r="U912" s="4"/>
      <c r="V912" s="4"/>
      <c r="W912" s="4"/>
      <c r="X912" s="4"/>
      <c r="Y912" s="4"/>
      <c r="Z912" s="4"/>
    </row>
    <row r="913" ht="9.75" customHeight="1">
      <c r="A913" s="4"/>
      <c r="B913" s="4"/>
      <c r="C913" s="4"/>
      <c r="D913" s="4"/>
      <c r="E913" s="4"/>
      <c r="F913" s="4"/>
      <c r="G913" s="4"/>
      <c r="H913" s="4"/>
      <c r="I913" s="4"/>
      <c r="J913" s="4"/>
      <c r="K913" s="4"/>
      <c r="L913" s="4"/>
      <c r="M913" s="4"/>
      <c r="N913" s="4"/>
      <c r="O913" s="4"/>
      <c r="P913" s="4"/>
      <c r="Q913" s="4"/>
      <c r="R913" s="4"/>
      <c r="S913" s="4"/>
      <c r="T913" s="4"/>
      <c r="U913" s="4"/>
      <c r="V913" s="4"/>
      <c r="W913" s="4"/>
      <c r="X913" s="4"/>
      <c r="Y913" s="4"/>
      <c r="Z913" s="4"/>
    </row>
    <row r="914" ht="9.75" customHeight="1">
      <c r="A914" s="4"/>
      <c r="B914" s="4"/>
      <c r="C914" s="4"/>
      <c r="D914" s="4"/>
      <c r="E914" s="4"/>
      <c r="F914" s="4"/>
      <c r="G914" s="4"/>
      <c r="H914" s="4"/>
      <c r="I914" s="4"/>
      <c r="J914" s="4"/>
      <c r="K914" s="4"/>
      <c r="L914" s="4"/>
      <c r="M914" s="4"/>
      <c r="N914" s="4"/>
      <c r="O914" s="4"/>
      <c r="P914" s="4"/>
      <c r="Q914" s="4"/>
      <c r="R914" s="4"/>
      <c r="S914" s="4"/>
      <c r="T914" s="4"/>
      <c r="U914" s="4"/>
      <c r="V914" s="4"/>
      <c r="W914" s="4"/>
      <c r="X914" s="4"/>
      <c r="Y914" s="4"/>
      <c r="Z914" s="4"/>
    </row>
    <row r="915" ht="9.75" customHeight="1">
      <c r="A915" s="4"/>
      <c r="B915" s="4"/>
      <c r="C915" s="4"/>
      <c r="D915" s="4"/>
      <c r="E915" s="4"/>
      <c r="F915" s="4"/>
      <c r="G915" s="4"/>
      <c r="H915" s="4"/>
      <c r="I915" s="4"/>
      <c r="J915" s="4"/>
      <c r="K915" s="4"/>
      <c r="L915" s="4"/>
      <c r="M915" s="4"/>
      <c r="N915" s="4"/>
      <c r="O915" s="4"/>
      <c r="P915" s="4"/>
      <c r="Q915" s="4"/>
      <c r="R915" s="4"/>
      <c r="S915" s="4"/>
      <c r="T915" s="4"/>
      <c r="U915" s="4"/>
      <c r="V915" s="4"/>
      <c r="W915" s="4"/>
      <c r="X915" s="4"/>
      <c r="Y915" s="4"/>
      <c r="Z915" s="4"/>
    </row>
    <row r="916" ht="9.75" customHeight="1">
      <c r="A916" s="4"/>
      <c r="B916" s="4"/>
      <c r="C916" s="4"/>
      <c r="D916" s="4"/>
      <c r="E916" s="4"/>
      <c r="F916" s="4"/>
      <c r="G916" s="4"/>
      <c r="H916" s="4"/>
      <c r="I916" s="4"/>
      <c r="J916" s="4"/>
      <c r="K916" s="4"/>
      <c r="L916" s="4"/>
      <c r="M916" s="4"/>
      <c r="N916" s="4"/>
      <c r="O916" s="4"/>
      <c r="P916" s="4"/>
      <c r="Q916" s="4"/>
      <c r="R916" s="4"/>
      <c r="S916" s="4"/>
      <c r="T916" s="4"/>
      <c r="U916" s="4"/>
      <c r="V916" s="4"/>
      <c r="W916" s="4"/>
      <c r="X916" s="4"/>
      <c r="Y916" s="4"/>
      <c r="Z916" s="4"/>
    </row>
    <row r="917" ht="9.75" customHeight="1">
      <c r="A917" s="4"/>
      <c r="B917" s="4"/>
      <c r="C917" s="4"/>
      <c r="D917" s="4"/>
      <c r="E917" s="4"/>
      <c r="F917" s="4"/>
      <c r="G917" s="4"/>
      <c r="H917" s="4"/>
      <c r="I917" s="4"/>
      <c r="J917" s="4"/>
      <c r="K917" s="4"/>
      <c r="L917" s="4"/>
      <c r="M917" s="4"/>
      <c r="N917" s="4"/>
      <c r="O917" s="4"/>
      <c r="P917" s="4"/>
      <c r="Q917" s="4"/>
      <c r="R917" s="4"/>
      <c r="S917" s="4"/>
      <c r="T917" s="4"/>
      <c r="U917" s="4"/>
      <c r="V917" s="4"/>
      <c r="W917" s="4"/>
      <c r="X917" s="4"/>
      <c r="Y917" s="4"/>
      <c r="Z917" s="4"/>
    </row>
    <row r="918" ht="9.75" customHeight="1">
      <c r="A918" s="4"/>
      <c r="B918" s="4"/>
      <c r="C918" s="4"/>
      <c r="D918" s="4"/>
      <c r="E918" s="4"/>
      <c r="F918" s="4"/>
      <c r="G918" s="4"/>
      <c r="H918" s="4"/>
      <c r="I918" s="4"/>
      <c r="J918" s="4"/>
      <c r="K918" s="4"/>
      <c r="L918" s="4"/>
      <c r="M918" s="4"/>
      <c r="N918" s="4"/>
      <c r="O918" s="4"/>
      <c r="P918" s="4"/>
      <c r="Q918" s="4"/>
      <c r="R918" s="4"/>
      <c r="S918" s="4"/>
      <c r="T918" s="4"/>
      <c r="U918" s="4"/>
      <c r="V918" s="4"/>
      <c r="W918" s="4"/>
      <c r="X918" s="4"/>
      <c r="Y918" s="4"/>
      <c r="Z918" s="4"/>
    </row>
    <row r="919" ht="9.75" customHeight="1">
      <c r="A919" s="4"/>
      <c r="B919" s="4"/>
      <c r="C919" s="4"/>
      <c r="D919" s="4"/>
      <c r="E919" s="4"/>
      <c r="F919" s="4"/>
      <c r="G919" s="4"/>
      <c r="H919" s="4"/>
      <c r="I919" s="4"/>
      <c r="J919" s="4"/>
      <c r="K919" s="4"/>
      <c r="L919" s="4"/>
      <c r="M919" s="4"/>
      <c r="N919" s="4"/>
      <c r="O919" s="4"/>
      <c r="P919" s="4"/>
      <c r="Q919" s="4"/>
      <c r="R919" s="4"/>
      <c r="S919" s="4"/>
      <c r="T919" s="4"/>
      <c r="U919" s="4"/>
      <c r="V919" s="4"/>
      <c r="W919" s="4"/>
      <c r="X919" s="4"/>
      <c r="Y919" s="4"/>
      <c r="Z919" s="4"/>
    </row>
    <row r="920" ht="9.75" customHeight="1">
      <c r="A920" s="4"/>
      <c r="B920" s="4"/>
      <c r="C920" s="4"/>
      <c r="D920" s="4"/>
      <c r="E920" s="4"/>
      <c r="F920" s="4"/>
      <c r="G920" s="4"/>
      <c r="H920" s="4"/>
      <c r="I920" s="4"/>
      <c r="J920" s="4"/>
      <c r="K920" s="4"/>
      <c r="L920" s="4"/>
      <c r="M920" s="4"/>
      <c r="N920" s="4"/>
      <c r="O920" s="4"/>
      <c r="P920" s="4"/>
      <c r="Q920" s="4"/>
      <c r="R920" s="4"/>
      <c r="S920" s="4"/>
      <c r="T920" s="4"/>
      <c r="U920" s="4"/>
      <c r="V920" s="4"/>
      <c r="W920" s="4"/>
      <c r="X920" s="4"/>
      <c r="Y920" s="4"/>
      <c r="Z920" s="4"/>
    </row>
    <row r="921" ht="9.75" customHeight="1">
      <c r="A921" s="4"/>
      <c r="B921" s="4"/>
      <c r="C921" s="4"/>
      <c r="D921" s="4"/>
      <c r="E921" s="4"/>
      <c r="F921" s="4"/>
      <c r="G921" s="4"/>
      <c r="H921" s="4"/>
      <c r="I921" s="4"/>
      <c r="J921" s="4"/>
      <c r="K921" s="4"/>
      <c r="L921" s="4"/>
      <c r="M921" s="4"/>
      <c r="N921" s="4"/>
      <c r="O921" s="4"/>
      <c r="P921" s="4"/>
      <c r="Q921" s="4"/>
      <c r="R921" s="4"/>
      <c r="S921" s="4"/>
      <c r="T921" s="4"/>
      <c r="U921" s="4"/>
      <c r="V921" s="4"/>
      <c r="W921" s="4"/>
      <c r="X921" s="4"/>
      <c r="Y921" s="4"/>
      <c r="Z921" s="4"/>
    </row>
    <row r="922" ht="9.75" customHeight="1">
      <c r="A922" s="4"/>
      <c r="B922" s="4"/>
      <c r="C922" s="4"/>
      <c r="D922" s="4"/>
      <c r="E922" s="4"/>
      <c r="F922" s="4"/>
      <c r="G922" s="4"/>
      <c r="H922" s="4"/>
      <c r="I922" s="4"/>
      <c r="J922" s="4"/>
      <c r="K922" s="4"/>
      <c r="L922" s="4"/>
      <c r="M922" s="4"/>
      <c r="N922" s="4"/>
      <c r="O922" s="4"/>
      <c r="P922" s="4"/>
      <c r="Q922" s="4"/>
      <c r="R922" s="4"/>
      <c r="S922" s="4"/>
      <c r="T922" s="4"/>
      <c r="U922" s="4"/>
      <c r="V922" s="4"/>
      <c r="W922" s="4"/>
      <c r="X922" s="4"/>
      <c r="Y922" s="4"/>
      <c r="Z922" s="4"/>
    </row>
    <row r="923" ht="9.75" customHeight="1">
      <c r="A923" s="4"/>
      <c r="B923" s="4"/>
      <c r="C923" s="4"/>
      <c r="D923" s="4"/>
      <c r="E923" s="4"/>
      <c r="F923" s="4"/>
      <c r="G923" s="4"/>
      <c r="H923" s="4"/>
      <c r="I923" s="4"/>
      <c r="J923" s="4"/>
      <c r="K923" s="4"/>
      <c r="L923" s="4"/>
      <c r="M923" s="4"/>
      <c r="N923" s="4"/>
      <c r="O923" s="4"/>
      <c r="P923" s="4"/>
      <c r="Q923" s="4"/>
      <c r="R923" s="4"/>
      <c r="S923" s="4"/>
      <c r="T923" s="4"/>
      <c r="U923" s="4"/>
      <c r="V923" s="4"/>
      <c r="W923" s="4"/>
      <c r="X923" s="4"/>
      <c r="Y923" s="4"/>
      <c r="Z923" s="4"/>
    </row>
    <row r="924" ht="9.75" customHeight="1">
      <c r="A924" s="4"/>
      <c r="B924" s="4"/>
      <c r="C924" s="4"/>
      <c r="D924" s="4"/>
      <c r="E924" s="4"/>
      <c r="F924" s="4"/>
      <c r="G924" s="4"/>
      <c r="H924" s="4"/>
      <c r="I924" s="4"/>
      <c r="J924" s="4"/>
      <c r="K924" s="4"/>
      <c r="L924" s="4"/>
      <c r="M924" s="4"/>
      <c r="N924" s="4"/>
      <c r="O924" s="4"/>
      <c r="P924" s="4"/>
      <c r="Q924" s="4"/>
      <c r="R924" s="4"/>
      <c r="S924" s="4"/>
      <c r="T924" s="4"/>
      <c r="U924" s="4"/>
      <c r="V924" s="4"/>
      <c r="W924" s="4"/>
      <c r="X924" s="4"/>
      <c r="Y924" s="4"/>
      <c r="Z924" s="4"/>
    </row>
    <row r="925" ht="9.75" customHeight="1">
      <c r="A925" s="4"/>
      <c r="B925" s="4"/>
      <c r="C925" s="4"/>
      <c r="D925" s="4"/>
      <c r="E925" s="4"/>
      <c r="F925" s="4"/>
      <c r="G925" s="4"/>
      <c r="H925" s="4"/>
      <c r="I925" s="4"/>
      <c r="J925" s="4"/>
      <c r="K925" s="4"/>
      <c r="L925" s="4"/>
      <c r="M925" s="4"/>
      <c r="N925" s="4"/>
      <c r="O925" s="4"/>
      <c r="P925" s="4"/>
      <c r="Q925" s="4"/>
      <c r="R925" s="4"/>
      <c r="S925" s="4"/>
      <c r="T925" s="4"/>
      <c r="U925" s="4"/>
      <c r="V925" s="4"/>
      <c r="W925" s="4"/>
      <c r="X925" s="4"/>
      <c r="Y925" s="4"/>
      <c r="Z925" s="4"/>
    </row>
    <row r="926" ht="9.75" customHeight="1">
      <c r="A926" s="4"/>
      <c r="B926" s="4"/>
      <c r="C926" s="4"/>
      <c r="D926" s="4"/>
      <c r="E926" s="4"/>
      <c r="F926" s="4"/>
      <c r="G926" s="4"/>
      <c r="H926" s="4"/>
      <c r="I926" s="4"/>
      <c r="J926" s="4"/>
      <c r="K926" s="4"/>
      <c r="L926" s="4"/>
      <c r="M926" s="4"/>
      <c r="N926" s="4"/>
      <c r="O926" s="4"/>
      <c r="P926" s="4"/>
      <c r="Q926" s="4"/>
      <c r="R926" s="4"/>
      <c r="S926" s="4"/>
      <c r="T926" s="4"/>
      <c r="U926" s="4"/>
      <c r="V926" s="4"/>
      <c r="W926" s="4"/>
      <c r="X926" s="4"/>
      <c r="Y926" s="4"/>
      <c r="Z926" s="4"/>
    </row>
    <row r="927" ht="9.75" customHeight="1">
      <c r="A927" s="4"/>
      <c r="B927" s="4"/>
      <c r="C927" s="4"/>
      <c r="D927" s="4"/>
      <c r="E927" s="4"/>
      <c r="F927" s="4"/>
      <c r="G927" s="4"/>
      <c r="H927" s="4"/>
      <c r="I927" s="4"/>
      <c r="J927" s="4"/>
      <c r="K927" s="4"/>
      <c r="L927" s="4"/>
      <c r="M927" s="4"/>
      <c r="N927" s="4"/>
      <c r="O927" s="4"/>
      <c r="P927" s="4"/>
      <c r="Q927" s="4"/>
      <c r="R927" s="4"/>
      <c r="S927" s="4"/>
      <c r="T927" s="4"/>
      <c r="U927" s="4"/>
      <c r="V927" s="4"/>
      <c r="W927" s="4"/>
      <c r="X927" s="4"/>
      <c r="Y927" s="4"/>
      <c r="Z927" s="4"/>
    </row>
    <row r="928" ht="9.75" customHeight="1">
      <c r="A928" s="4"/>
      <c r="B928" s="4"/>
      <c r="C928" s="4"/>
      <c r="D928" s="4"/>
      <c r="E928" s="4"/>
      <c r="F928" s="4"/>
      <c r="G928" s="4"/>
      <c r="H928" s="4"/>
      <c r="I928" s="4"/>
      <c r="J928" s="4"/>
      <c r="K928" s="4"/>
      <c r="L928" s="4"/>
      <c r="M928" s="4"/>
      <c r="N928" s="4"/>
      <c r="O928" s="4"/>
      <c r="P928" s="4"/>
      <c r="Q928" s="4"/>
      <c r="R928" s="4"/>
      <c r="S928" s="4"/>
      <c r="T928" s="4"/>
      <c r="U928" s="4"/>
      <c r="V928" s="4"/>
      <c r="W928" s="4"/>
      <c r="X928" s="4"/>
      <c r="Y928" s="4"/>
      <c r="Z928" s="4"/>
    </row>
    <row r="929" ht="9.75" customHeight="1">
      <c r="A929" s="4"/>
      <c r="B929" s="4"/>
      <c r="C929" s="4"/>
      <c r="D929" s="4"/>
      <c r="E929" s="4"/>
      <c r="F929" s="4"/>
      <c r="G929" s="4"/>
      <c r="H929" s="4"/>
      <c r="I929" s="4"/>
      <c r="J929" s="4"/>
      <c r="K929" s="4"/>
      <c r="L929" s="4"/>
      <c r="M929" s="4"/>
      <c r="N929" s="4"/>
      <c r="O929" s="4"/>
      <c r="P929" s="4"/>
      <c r="Q929" s="4"/>
      <c r="R929" s="4"/>
      <c r="S929" s="4"/>
      <c r="T929" s="4"/>
      <c r="U929" s="4"/>
      <c r="V929" s="4"/>
      <c r="W929" s="4"/>
      <c r="X929" s="4"/>
      <c r="Y929" s="4"/>
      <c r="Z929" s="4"/>
    </row>
    <row r="930" ht="9.75" customHeight="1">
      <c r="A930" s="4"/>
      <c r="B930" s="4"/>
      <c r="C930" s="4"/>
      <c r="D930" s="4"/>
      <c r="E930" s="4"/>
      <c r="F930" s="4"/>
      <c r="G930" s="4"/>
      <c r="H930" s="4"/>
      <c r="I930" s="4"/>
      <c r="J930" s="4"/>
      <c r="K930" s="4"/>
      <c r="L930" s="4"/>
      <c r="M930" s="4"/>
      <c r="N930" s="4"/>
      <c r="O930" s="4"/>
      <c r="P930" s="4"/>
      <c r="Q930" s="4"/>
      <c r="R930" s="4"/>
      <c r="S930" s="4"/>
      <c r="T930" s="4"/>
      <c r="U930" s="4"/>
      <c r="V930" s="4"/>
      <c r="W930" s="4"/>
      <c r="X930" s="4"/>
      <c r="Y930" s="4"/>
      <c r="Z930" s="4"/>
    </row>
    <row r="931" ht="9.75" customHeight="1">
      <c r="A931" s="4"/>
      <c r="B931" s="4"/>
      <c r="C931" s="4"/>
      <c r="D931" s="4"/>
      <c r="E931" s="4"/>
      <c r="F931" s="4"/>
      <c r="G931" s="4"/>
      <c r="H931" s="4"/>
      <c r="I931" s="4"/>
      <c r="J931" s="4"/>
      <c r="K931" s="4"/>
      <c r="L931" s="4"/>
      <c r="M931" s="4"/>
      <c r="N931" s="4"/>
      <c r="O931" s="4"/>
      <c r="P931" s="4"/>
      <c r="Q931" s="4"/>
      <c r="R931" s="4"/>
      <c r="S931" s="4"/>
      <c r="T931" s="4"/>
      <c r="U931" s="4"/>
      <c r="V931" s="4"/>
      <c r="W931" s="4"/>
      <c r="X931" s="4"/>
      <c r="Y931" s="4"/>
      <c r="Z931" s="4"/>
    </row>
    <row r="932" ht="9.75" customHeight="1">
      <c r="A932" s="4"/>
      <c r="B932" s="4"/>
      <c r="C932" s="4"/>
      <c r="D932" s="4"/>
      <c r="E932" s="4"/>
      <c r="F932" s="4"/>
      <c r="G932" s="4"/>
      <c r="H932" s="4"/>
      <c r="I932" s="4"/>
      <c r="J932" s="4"/>
      <c r="K932" s="4"/>
      <c r="L932" s="4"/>
      <c r="M932" s="4"/>
      <c r="N932" s="4"/>
      <c r="O932" s="4"/>
      <c r="P932" s="4"/>
      <c r="Q932" s="4"/>
      <c r="R932" s="4"/>
      <c r="S932" s="4"/>
      <c r="T932" s="4"/>
      <c r="U932" s="4"/>
      <c r="V932" s="4"/>
      <c r="W932" s="4"/>
      <c r="X932" s="4"/>
      <c r="Y932" s="4"/>
      <c r="Z932" s="4"/>
    </row>
    <row r="933" ht="9.75" customHeight="1">
      <c r="A933" s="4"/>
      <c r="B933" s="4"/>
      <c r="C933" s="4"/>
      <c r="D933" s="4"/>
      <c r="E933" s="4"/>
      <c r="F933" s="4"/>
      <c r="G933" s="4"/>
      <c r="H933" s="4"/>
      <c r="I933" s="4"/>
      <c r="J933" s="4"/>
      <c r="K933" s="4"/>
      <c r="L933" s="4"/>
      <c r="M933" s="4"/>
      <c r="N933" s="4"/>
      <c r="O933" s="4"/>
      <c r="P933" s="4"/>
      <c r="Q933" s="4"/>
      <c r="R933" s="4"/>
      <c r="S933" s="4"/>
      <c r="T933" s="4"/>
      <c r="U933" s="4"/>
      <c r="V933" s="4"/>
      <c r="W933" s="4"/>
      <c r="X933" s="4"/>
      <c r="Y933" s="4"/>
      <c r="Z933" s="4"/>
    </row>
    <row r="934" ht="9.75" customHeight="1">
      <c r="A934" s="4"/>
      <c r="B934" s="4"/>
      <c r="C934" s="4"/>
      <c r="D934" s="4"/>
      <c r="E934" s="4"/>
      <c r="F934" s="4"/>
      <c r="G934" s="4"/>
      <c r="H934" s="4"/>
      <c r="I934" s="4"/>
      <c r="J934" s="4"/>
      <c r="K934" s="4"/>
      <c r="L934" s="4"/>
      <c r="M934" s="4"/>
      <c r="N934" s="4"/>
      <c r="O934" s="4"/>
      <c r="P934" s="4"/>
      <c r="Q934" s="4"/>
      <c r="R934" s="4"/>
      <c r="S934" s="4"/>
      <c r="T934" s="4"/>
      <c r="U934" s="4"/>
      <c r="V934" s="4"/>
      <c r="W934" s="4"/>
      <c r="X934" s="4"/>
      <c r="Y934" s="4"/>
      <c r="Z934" s="4"/>
    </row>
    <row r="935" ht="9.75" customHeight="1">
      <c r="A935" s="4"/>
      <c r="B935" s="4"/>
      <c r="C935" s="4"/>
      <c r="D935" s="4"/>
      <c r="E935" s="4"/>
      <c r="F935" s="4"/>
      <c r="G935" s="4"/>
      <c r="H935" s="4"/>
      <c r="I935" s="4"/>
      <c r="J935" s="4"/>
      <c r="K935" s="4"/>
      <c r="L935" s="4"/>
      <c r="M935" s="4"/>
      <c r="N935" s="4"/>
      <c r="O935" s="4"/>
      <c r="P935" s="4"/>
      <c r="Q935" s="4"/>
      <c r="R935" s="4"/>
      <c r="S935" s="4"/>
      <c r="T935" s="4"/>
      <c r="U935" s="4"/>
      <c r="V935" s="4"/>
      <c r="W935" s="4"/>
      <c r="X935" s="4"/>
      <c r="Y935" s="4"/>
      <c r="Z935" s="4"/>
    </row>
    <row r="936" ht="9.75" customHeight="1">
      <c r="A936" s="4"/>
      <c r="B936" s="4"/>
      <c r="C936" s="4"/>
      <c r="D936" s="4"/>
      <c r="E936" s="4"/>
      <c r="F936" s="4"/>
      <c r="G936" s="4"/>
      <c r="H936" s="4"/>
      <c r="I936" s="4"/>
      <c r="J936" s="4"/>
      <c r="K936" s="4"/>
      <c r="L936" s="4"/>
      <c r="M936" s="4"/>
      <c r="N936" s="4"/>
      <c r="O936" s="4"/>
      <c r="P936" s="4"/>
      <c r="Q936" s="4"/>
      <c r="R936" s="4"/>
      <c r="S936" s="4"/>
      <c r="T936" s="4"/>
      <c r="U936" s="4"/>
      <c r="V936" s="4"/>
      <c r="W936" s="4"/>
      <c r="X936" s="4"/>
      <c r="Y936" s="4"/>
      <c r="Z936" s="4"/>
    </row>
    <row r="937" ht="9.75" customHeight="1">
      <c r="A937" s="4"/>
      <c r="B937" s="4"/>
      <c r="C937" s="4"/>
      <c r="D937" s="4"/>
      <c r="E937" s="4"/>
      <c r="F937" s="4"/>
      <c r="G937" s="4"/>
      <c r="H937" s="4"/>
      <c r="I937" s="4"/>
      <c r="J937" s="4"/>
      <c r="K937" s="4"/>
      <c r="L937" s="4"/>
      <c r="M937" s="4"/>
      <c r="N937" s="4"/>
      <c r="O937" s="4"/>
      <c r="P937" s="4"/>
      <c r="Q937" s="4"/>
      <c r="R937" s="4"/>
      <c r="S937" s="4"/>
      <c r="T937" s="4"/>
      <c r="U937" s="4"/>
      <c r="V937" s="4"/>
      <c r="W937" s="4"/>
      <c r="X937" s="4"/>
      <c r="Y937" s="4"/>
      <c r="Z937" s="4"/>
    </row>
    <row r="938" ht="9.75" customHeight="1">
      <c r="A938" s="4"/>
      <c r="B938" s="4"/>
      <c r="C938" s="4"/>
      <c r="D938" s="4"/>
      <c r="E938" s="4"/>
      <c r="F938" s="4"/>
      <c r="G938" s="4"/>
      <c r="H938" s="4"/>
      <c r="I938" s="4"/>
      <c r="J938" s="4"/>
      <c r="K938" s="4"/>
      <c r="L938" s="4"/>
      <c r="M938" s="4"/>
      <c r="N938" s="4"/>
      <c r="O938" s="4"/>
      <c r="P938" s="4"/>
      <c r="Q938" s="4"/>
      <c r="R938" s="4"/>
      <c r="S938" s="4"/>
      <c r="T938" s="4"/>
      <c r="U938" s="4"/>
      <c r="V938" s="4"/>
      <c r="W938" s="4"/>
      <c r="X938" s="4"/>
      <c r="Y938" s="4"/>
      <c r="Z938" s="4"/>
    </row>
    <row r="939" ht="9.75" customHeight="1">
      <c r="A939" s="4"/>
      <c r="B939" s="4"/>
      <c r="C939" s="4"/>
      <c r="D939" s="4"/>
      <c r="E939" s="4"/>
      <c r="F939" s="4"/>
      <c r="G939" s="4"/>
      <c r="H939" s="4"/>
      <c r="I939" s="4"/>
      <c r="J939" s="4"/>
      <c r="K939" s="4"/>
      <c r="L939" s="4"/>
      <c r="M939" s="4"/>
      <c r="N939" s="4"/>
      <c r="O939" s="4"/>
      <c r="P939" s="4"/>
      <c r="Q939" s="4"/>
      <c r="R939" s="4"/>
      <c r="S939" s="4"/>
      <c r="T939" s="4"/>
      <c r="U939" s="4"/>
      <c r="V939" s="4"/>
      <c r="W939" s="4"/>
      <c r="X939" s="4"/>
      <c r="Y939" s="4"/>
      <c r="Z939" s="4"/>
    </row>
    <row r="940" ht="9.75" customHeight="1">
      <c r="A940" s="4"/>
      <c r="B940" s="4"/>
      <c r="C940" s="4"/>
      <c r="D940" s="4"/>
      <c r="E940" s="4"/>
      <c r="F940" s="4"/>
      <c r="G940" s="4"/>
      <c r="H940" s="4"/>
      <c r="I940" s="4"/>
      <c r="J940" s="4"/>
      <c r="K940" s="4"/>
      <c r="L940" s="4"/>
      <c r="M940" s="4"/>
      <c r="N940" s="4"/>
      <c r="O940" s="4"/>
      <c r="P940" s="4"/>
      <c r="Q940" s="4"/>
      <c r="R940" s="4"/>
      <c r="S940" s="4"/>
      <c r="T940" s="4"/>
      <c r="U940" s="4"/>
      <c r="V940" s="4"/>
      <c r="W940" s="4"/>
      <c r="X940" s="4"/>
      <c r="Y940" s="4"/>
      <c r="Z940" s="4"/>
    </row>
    <row r="941" ht="9.75" customHeight="1">
      <c r="A941" s="4"/>
      <c r="B941" s="4"/>
      <c r="C941" s="4"/>
      <c r="D941" s="4"/>
      <c r="E941" s="4"/>
      <c r="F941" s="4"/>
      <c r="G941" s="4"/>
      <c r="H941" s="4"/>
      <c r="I941" s="4"/>
      <c r="J941" s="4"/>
      <c r="K941" s="4"/>
      <c r="L941" s="4"/>
      <c r="M941" s="4"/>
      <c r="N941" s="4"/>
      <c r="O941" s="4"/>
      <c r="P941" s="4"/>
      <c r="Q941" s="4"/>
      <c r="R941" s="4"/>
      <c r="S941" s="4"/>
      <c r="T941" s="4"/>
      <c r="U941" s="4"/>
      <c r="V941" s="4"/>
      <c r="W941" s="4"/>
      <c r="X941" s="4"/>
      <c r="Y941" s="4"/>
      <c r="Z941" s="4"/>
    </row>
    <row r="942" ht="9.75" customHeight="1">
      <c r="A942" s="4"/>
      <c r="B942" s="4"/>
      <c r="C942" s="4"/>
      <c r="D942" s="4"/>
      <c r="E942" s="4"/>
      <c r="F942" s="4"/>
      <c r="G942" s="4"/>
      <c r="H942" s="4"/>
      <c r="I942" s="4"/>
      <c r="J942" s="4"/>
      <c r="K942" s="4"/>
      <c r="L942" s="4"/>
      <c r="M942" s="4"/>
      <c r="N942" s="4"/>
      <c r="O942" s="4"/>
      <c r="P942" s="4"/>
      <c r="Q942" s="4"/>
      <c r="R942" s="4"/>
      <c r="S942" s="4"/>
      <c r="T942" s="4"/>
      <c r="U942" s="4"/>
      <c r="V942" s="4"/>
      <c r="W942" s="4"/>
      <c r="X942" s="4"/>
      <c r="Y942" s="4"/>
      <c r="Z942" s="4"/>
    </row>
    <row r="943" ht="9.75" customHeight="1">
      <c r="A943" s="4"/>
      <c r="B943" s="4"/>
      <c r="C943" s="4"/>
      <c r="D943" s="4"/>
      <c r="E943" s="4"/>
      <c r="F943" s="4"/>
      <c r="G943" s="4"/>
      <c r="H943" s="4"/>
      <c r="I943" s="4"/>
      <c r="J943" s="4"/>
      <c r="K943" s="4"/>
      <c r="L943" s="4"/>
      <c r="M943" s="4"/>
      <c r="N943" s="4"/>
      <c r="O943" s="4"/>
      <c r="P943" s="4"/>
      <c r="Q943" s="4"/>
      <c r="R943" s="4"/>
      <c r="S943" s="4"/>
      <c r="T943" s="4"/>
      <c r="U943" s="4"/>
      <c r="V943" s="4"/>
      <c r="W943" s="4"/>
      <c r="X943" s="4"/>
      <c r="Y943" s="4"/>
      <c r="Z943" s="4"/>
    </row>
    <row r="944" ht="9.75" customHeight="1">
      <c r="A944" s="4"/>
      <c r="B944" s="4"/>
      <c r="C944" s="4"/>
      <c r="D944" s="4"/>
      <c r="E944" s="4"/>
      <c r="F944" s="4"/>
      <c r="G944" s="4"/>
      <c r="H944" s="4"/>
      <c r="I944" s="4"/>
      <c r="J944" s="4"/>
      <c r="K944" s="4"/>
      <c r="L944" s="4"/>
      <c r="M944" s="4"/>
      <c r="N944" s="4"/>
      <c r="O944" s="4"/>
      <c r="P944" s="4"/>
      <c r="Q944" s="4"/>
      <c r="R944" s="4"/>
      <c r="S944" s="4"/>
      <c r="T944" s="4"/>
      <c r="U944" s="4"/>
      <c r="V944" s="4"/>
      <c r="W944" s="4"/>
      <c r="X944" s="4"/>
      <c r="Y944" s="4"/>
      <c r="Z944" s="4"/>
    </row>
    <row r="945" ht="9.75" customHeight="1">
      <c r="A945" s="4"/>
      <c r="B945" s="4"/>
      <c r="C945" s="4"/>
      <c r="D945" s="4"/>
      <c r="E945" s="4"/>
      <c r="F945" s="4"/>
      <c r="G945" s="4"/>
      <c r="H945" s="4"/>
      <c r="I945" s="4"/>
      <c r="J945" s="4"/>
      <c r="K945" s="4"/>
      <c r="L945" s="4"/>
      <c r="M945" s="4"/>
      <c r="N945" s="4"/>
      <c r="O945" s="4"/>
      <c r="P945" s="4"/>
      <c r="Q945" s="4"/>
      <c r="R945" s="4"/>
      <c r="S945" s="4"/>
      <c r="T945" s="4"/>
      <c r="U945" s="4"/>
      <c r="V945" s="4"/>
      <c r="W945" s="4"/>
      <c r="X945" s="4"/>
      <c r="Y945" s="4"/>
      <c r="Z945" s="4"/>
    </row>
    <row r="946" ht="9.75" customHeight="1">
      <c r="A946" s="4"/>
      <c r="B946" s="4"/>
      <c r="C946" s="4"/>
      <c r="D946" s="4"/>
      <c r="E946" s="4"/>
      <c r="F946" s="4"/>
      <c r="G946" s="4"/>
      <c r="H946" s="4"/>
      <c r="I946" s="4"/>
      <c r="J946" s="4"/>
      <c r="K946" s="4"/>
      <c r="L946" s="4"/>
      <c r="M946" s="4"/>
      <c r="N946" s="4"/>
      <c r="O946" s="4"/>
      <c r="P946" s="4"/>
      <c r="Q946" s="4"/>
      <c r="R946" s="4"/>
      <c r="S946" s="4"/>
      <c r="T946" s="4"/>
      <c r="U946" s="4"/>
      <c r="V946" s="4"/>
      <c r="W946" s="4"/>
      <c r="X946" s="4"/>
      <c r="Y946" s="4"/>
      <c r="Z946" s="4"/>
    </row>
    <row r="947" ht="9.75" customHeight="1">
      <c r="A947" s="4"/>
      <c r="B947" s="4"/>
      <c r="C947" s="4"/>
      <c r="D947" s="4"/>
      <c r="E947" s="4"/>
      <c r="F947" s="4"/>
      <c r="G947" s="4"/>
      <c r="H947" s="4"/>
      <c r="I947" s="4"/>
      <c r="J947" s="4"/>
      <c r="K947" s="4"/>
      <c r="L947" s="4"/>
      <c r="M947" s="4"/>
      <c r="N947" s="4"/>
      <c r="O947" s="4"/>
      <c r="P947" s="4"/>
      <c r="Q947" s="4"/>
      <c r="R947" s="4"/>
      <c r="S947" s="4"/>
      <c r="T947" s="4"/>
      <c r="U947" s="4"/>
      <c r="V947" s="4"/>
      <c r="W947" s="4"/>
      <c r="X947" s="4"/>
      <c r="Y947" s="4"/>
      <c r="Z947" s="4"/>
    </row>
    <row r="948" ht="9.75" customHeight="1">
      <c r="A948" s="4"/>
      <c r="B948" s="4"/>
      <c r="C948" s="4"/>
      <c r="D948" s="4"/>
      <c r="E948" s="4"/>
      <c r="F948" s="4"/>
      <c r="G948" s="4"/>
      <c r="H948" s="4"/>
      <c r="I948" s="4"/>
      <c r="J948" s="4"/>
      <c r="K948" s="4"/>
      <c r="L948" s="4"/>
      <c r="M948" s="4"/>
      <c r="N948" s="4"/>
      <c r="O948" s="4"/>
      <c r="P948" s="4"/>
      <c r="Q948" s="4"/>
      <c r="R948" s="4"/>
      <c r="S948" s="4"/>
      <c r="T948" s="4"/>
      <c r="U948" s="4"/>
      <c r="V948" s="4"/>
      <c r="W948" s="4"/>
      <c r="X948" s="4"/>
      <c r="Y948" s="4"/>
      <c r="Z948" s="4"/>
    </row>
    <row r="949" ht="9.75" customHeight="1">
      <c r="A949" s="4"/>
      <c r="B949" s="4"/>
      <c r="C949" s="4"/>
      <c r="D949" s="4"/>
      <c r="E949" s="4"/>
      <c r="F949" s="4"/>
      <c r="G949" s="4"/>
      <c r="H949" s="4"/>
      <c r="I949" s="4"/>
      <c r="J949" s="4"/>
      <c r="K949" s="4"/>
      <c r="L949" s="4"/>
      <c r="M949" s="4"/>
      <c r="N949" s="4"/>
      <c r="O949" s="4"/>
      <c r="P949" s="4"/>
      <c r="Q949" s="4"/>
      <c r="R949" s="4"/>
      <c r="S949" s="4"/>
      <c r="T949" s="4"/>
      <c r="U949" s="4"/>
      <c r="V949" s="4"/>
      <c r="W949" s="4"/>
      <c r="X949" s="4"/>
      <c r="Y949" s="4"/>
      <c r="Z949" s="4"/>
    </row>
    <row r="950" ht="9.75" customHeight="1">
      <c r="A950" s="4"/>
      <c r="B950" s="4"/>
      <c r="C950" s="4"/>
      <c r="D950" s="4"/>
      <c r="E950" s="4"/>
      <c r="F950" s="4"/>
      <c r="G950" s="4"/>
      <c r="H950" s="4"/>
      <c r="I950" s="4"/>
      <c r="J950" s="4"/>
      <c r="K950" s="4"/>
      <c r="L950" s="4"/>
      <c r="M950" s="4"/>
      <c r="N950" s="4"/>
      <c r="O950" s="4"/>
      <c r="P950" s="4"/>
      <c r="Q950" s="4"/>
      <c r="R950" s="4"/>
      <c r="S950" s="4"/>
      <c r="T950" s="4"/>
      <c r="U950" s="4"/>
      <c r="V950" s="4"/>
      <c r="W950" s="4"/>
      <c r="X950" s="4"/>
      <c r="Y950" s="4"/>
      <c r="Z950" s="4"/>
    </row>
    <row r="951" ht="9.75" customHeight="1">
      <c r="A951" s="4"/>
      <c r="B951" s="4"/>
      <c r="C951" s="4"/>
      <c r="D951" s="4"/>
      <c r="E951" s="4"/>
      <c r="F951" s="4"/>
      <c r="G951" s="4"/>
      <c r="H951" s="4"/>
      <c r="I951" s="4"/>
      <c r="J951" s="4"/>
      <c r="K951" s="4"/>
      <c r="L951" s="4"/>
      <c r="M951" s="4"/>
      <c r="N951" s="4"/>
      <c r="O951" s="4"/>
      <c r="P951" s="4"/>
      <c r="Q951" s="4"/>
      <c r="R951" s="4"/>
      <c r="S951" s="4"/>
      <c r="T951" s="4"/>
      <c r="U951" s="4"/>
      <c r="V951" s="4"/>
      <c r="W951" s="4"/>
      <c r="X951" s="4"/>
      <c r="Y951" s="4"/>
      <c r="Z951" s="4"/>
    </row>
    <row r="952" ht="9.75" customHeight="1">
      <c r="A952" s="4"/>
      <c r="B952" s="4"/>
      <c r="C952" s="4"/>
      <c r="D952" s="4"/>
      <c r="E952" s="4"/>
      <c r="F952" s="4"/>
      <c r="G952" s="4"/>
      <c r="H952" s="4"/>
      <c r="I952" s="4"/>
      <c r="J952" s="4"/>
      <c r="K952" s="4"/>
      <c r="L952" s="4"/>
      <c r="M952" s="4"/>
      <c r="N952" s="4"/>
      <c r="O952" s="4"/>
      <c r="P952" s="4"/>
      <c r="Q952" s="4"/>
      <c r="R952" s="4"/>
      <c r="S952" s="4"/>
      <c r="T952" s="4"/>
      <c r="U952" s="4"/>
      <c r="V952" s="4"/>
      <c r="W952" s="4"/>
      <c r="X952" s="4"/>
      <c r="Y952" s="4"/>
      <c r="Z952" s="4"/>
    </row>
    <row r="953" ht="9.75" customHeight="1">
      <c r="A953" s="4"/>
      <c r="B953" s="4"/>
      <c r="C953" s="4"/>
      <c r="D953" s="4"/>
      <c r="E953" s="4"/>
      <c r="F953" s="4"/>
      <c r="G953" s="4"/>
      <c r="H953" s="4"/>
      <c r="I953" s="4"/>
      <c r="J953" s="4"/>
      <c r="K953" s="4"/>
      <c r="L953" s="4"/>
      <c r="M953" s="4"/>
      <c r="N953" s="4"/>
      <c r="O953" s="4"/>
      <c r="P953" s="4"/>
      <c r="Q953" s="4"/>
      <c r="R953" s="4"/>
      <c r="S953" s="4"/>
      <c r="T953" s="4"/>
      <c r="U953" s="4"/>
      <c r="V953" s="4"/>
      <c r="W953" s="4"/>
      <c r="X953" s="4"/>
      <c r="Y953" s="4"/>
      <c r="Z953" s="4"/>
    </row>
    <row r="954" ht="9.75" customHeight="1">
      <c r="A954" s="4"/>
      <c r="B954" s="4"/>
      <c r="C954" s="4"/>
      <c r="D954" s="4"/>
      <c r="E954" s="4"/>
      <c r="F954" s="4"/>
      <c r="G954" s="4"/>
      <c r="H954" s="4"/>
      <c r="I954" s="4"/>
      <c r="J954" s="4"/>
      <c r="K954" s="4"/>
      <c r="L954" s="4"/>
      <c r="M954" s="4"/>
      <c r="N954" s="4"/>
      <c r="O954" s="4"/>
      <c r="P954" s="4"/>
      <c r="Q954" s="4"/>
      <c r="R954" s="4"/>
      <c r="S954" s="4"/>
      <c r="T954" s="4"/>
      <c r="U954" s="4"/>
      <c r="V954" s="4"/>
      <c r="W954" s="4"/>
      <c r="X954" s="4"/>
      <c r="Y954" s="4"/>
      <c r="Z954" s="4"/>
    </row>
    <row r="955" ht="9.75" customHeight="1">
      <c r="A955" s="4"/>
      <c r="B955" s="4"/>
      <c r="C955" s="4"/>
      <c r="D955" s="4"/>
      <c r="E955" s="4"/>
      <c r="F955" s="4"/>
      <c r="G955" s="4"/>
      <c r="H955" s="4"/>
      <c r="I955" s="4"/>
      <c r="J955" s="4"/>
      <c r="K955" s="4"/>
      <c r="L955" s="4"/>
      <c r="M955" s="4"/>
      <c r="N955" s="4"/>
      <c r="O955" s="4"/>
      <c r="P955" s="4"/>
      <c r="Q955" s="4"/>
      <c r="R955" s="4"/>
      <c r="S955" s="4"/>
      <c r="T955" s="4"/>
      <c r="U955" s="4"/>
      <c r="V955" s="4"/>
      <c r="W955" s="4"/>
      <c r="X955" s="4"/>
      <c r="Y955" s="4"/>
      <c r="Z955" s="4"/>
    </row>
    <row r="956" ht="9.75" customHeight="1">
      <c r="A956" s="4"/>
      <c r="B956" s="4"/>
      <c r="C956" s="4"/>
      <c r="D956" s="4"/>
      <c r="E956" s="4"/>
      <c r="F956" s="4"/>
      <c r="G956" s="4"/>
      <c r="H956" s="4"/>
      <c r="I956" s="4"/>
      <c r="J956" s="4"/>
      <c r="K956" s="4"/>
      <c r="L956" s="4"/>
      <c r="M956" s="4"/>
      <c r="N956" s="4"/>
      <c r="O956" s="4"/>
      <c r="P956" s="4"/>
      <c r="Q956" s="4"/>
      <c r="R956" s="4"/>
      <c r="S956" s="4"/>
      <c r="T956" s="4"/>
      <c r="U956" s="4"/>
      <c r="V956" s="4"/>
      <c r="W956" s="4"/>
      <c r="X956" s="4"/>
      <c r="Y956" s="4"/>
      <c r="Z956" s="4"/>
    </row>
    <row r="957" ht="9.75" customHeight="1">
      <c r="A957" s="4"/>
      <c r="B957" s="4"/>
      <c r="C957" s="4"/>
      <c r="D957" s="4"/>
      <c r="E957" s="4"/>
      <c r="F957" s="4"/>
      <c r="G957" s="4"/>
      <c r="H957" s="4"/>
      <c r="I957" s="4"/>
      <c r="J957" s="4"/>
      <c r="K957" s="4"/>
      <c r="L957" s="4"/>
      <c r="M957" s="4"/>
      <c r="N957" s="4"/>
      <c r="O957" s="4"/>
      <c r="P957" s="4"/>
      <c r="Q957" s="4"/>
      <c r="R957" s="4"/>
      <c r="S957" s="4"/>
      <c r="T957" s="4"/>
      <c r="U957" s="4"/>
      <c r="V957" s="4"/>
      <c r="W957" s="4"/>
      <c r="X957" s="4"/>
      <c r="Y957" s="4"/>
      <c r="Z957" s="4"/>
    </row>
    <row r="958" ht="9.75" customHeight="1">
      <c r="A958" s="4"/>
      <c r="B958" s="4"/>
      <c r="C958" s="4"/>
      <c r="D958" s="4"/>
      <c r="E958" s="4"/>
      <c r="F958" s="4"/>
      <c r="G958" s="4"/>
      <c r="H958" s="4"/>
      <c r="I958" s="4"/>
      <c r="J958" s="4"/>
      <c r="K958" s="4"/>
      <c r="L958" s="4"/>
      <c r="M958" s="4"/>
      <c r="N958" s="4"/>
      <c r="O958" s="4"/>
      <c r="P958" s="4"/>
      <c r="Q958" s="4"/>
      <c r="R958" s="4"/>
      <c r="S958" s="4"/>
      <c r="T958" s="4"/>
      <c r="U958" s="4"/>
      <c r="V958" s="4"/>
      <c r="W958" s="4"/>
      <c r="X958" s="4"/>
      <c r="Y958" s="4"/>
      <c r="Z958" s="4"/>
    </row>
    <row r="959" ht="9.75" customHeight="1">
      <c r="A959" s="4"/>
      <c r="B959" s="4"/>
      <c r="C959" s="4"/>
      <c r="D959" s="4"/>
      <c r="E959" s="4"/>
      <c r="F959" s="4"/>
      <c r="G959" s="4"/>
      <c r="H959" s="4"/>
      <c r="I959" s="4"/>
      <c r="J959" s="4"/>
      <c r="K959" s="4"/>
      <c r="L959" s="4"/>
      <c r="M959" s="4"/>
      <c r="N959" s="4"/>
      <c r="O959" s="4"/>
      <c r="P959" s="4"/>
      <c r="Q959" s="4"/>
      <c r="R959" s="4"/>
      <c r="S959" s="4"/>
      <c r="T959" s="4"/>
      <c r="U959" s="4"/>
      <c r="V959" s="4"/>
      <c r="W959" s="4"/>
      <c r="X959" s="4"/>
      <c r="Y959" s="4"/>
      <c r="Z959" s="4"/>
    </row>
    <row r="960" ht="9.75" customHeight="1">
      <c r="A960" s="4"/>
      <c r="B960" s="4"/>
      <c r="C960" s="4"/>
      <c r="D960" s="4"/>
      <c r="E960" s="4"/>
      <c r="F960" s="4"/>
      <c r="G960" s="4"/>
      <c r="H960" s="4"/>
      <c r="I960" s="4"/>
      <c r="J960" s="4"/>
      <c r="K960" s="4"/>
      <c r="L960" s="4"/>
      <c r="M960" s="4"/>
      <c r="N960" s="4"/>
      <c r="O960" s="4"/>
      <c r="P960" s="4"/>
      <c r="Q960" s="4"/>
      <c r="R960" s="4"/>
      <c r="S960" s="4"/>
      <c r="T960" s="4"/>
      <c r="U960" s="4"/>
      <c r="V960" s="4"/>
      <c r="W960" s="4"/>
      <c r="X960" s="4"/>
      <c r="Y960" s="4"/>
      <c r="Z960" s="4"/>
    </row>
    <row r="961" ht="9.75" customHeight="1">
      <c r="A961" s="4"/>
      <c r="B961" s="4"/>
      <c r="C961" s="4"/>
      <c r="D961" s="4"/>
      <c r="E961" s="4"/>
      <c r="F961" s="4"/>
      <c r="G961" s="4"/>
      <c r="H961" s="4"/>
      <c r="I961" s="4"/>
      <c r="J961" s="4"/>
      <c r="K961" s="4"/>
      <c r="L961" s="4"/>
      <c r="M961" s="4"/>
      <c r="N961" s="4"/>
      <c r="O961" s="4"/>
      <c r="P961" s="4"/>
      <c r="Q961" s="4"/>
      <c r="R961" s="4"/>
      <c r="S961" s="4"/>
      <c r="T961" s="4"/>
      <c r="U961" s="4"/>
      <c r="V961" s="4"/>
      <c r="W961" s="4"/>
      <c r="X961" s="4"/>
      <c r="Y961" s="4"/>
      <c r="Z961" s="4"/>
    </row>
    <row r="962" ht="9.75" customHeight="1">
      <c r="A962" s="4"/>
      <c r="B962" s="4"/>
      <c r="C962" s="4"/>
      <c r="D962" s="4"/>
      <c r="E962" s="4"/>
      <c r="F962" s="4"/>
      <c r="G962" s="4"/>
      <c r="H962" s="4"/>
      <c r="I962" s="4"/>
      <c r="J962" s="4"/>
      <c r="K962" s="4"/>
      <c r="L962" s="4"/>
      <c r="M962" s="4"/>
      <c r="N962" s="4"/>
      <c r="O962" s="4"/>
      <c r="P962" s="4"/>
      <c r="Q962" s="4"/>
      <c r="R962" s="4"/>
      <c r="S962" s="4"/>
      <c r="T962" s="4"/>
      <c r="U962" s="4"/>
      <c r="V962" s="4"/>
      <c r="W962" s="4"/>
      <c r="X962" s="4"/>
      <c r="Y962" s="4"/>
      <c r="Z962" s="4"/>
    </row>
    <row r="963" ht="9.75" customHeight="1">
      <c r="A963" s="4"/>
      <c r="B963" s="4"/>
      <c r="C963" s="4"/>
      <c r="D963" s="4"/>
      <c r="E963" s="4"/>
      <c r="F963" s="4"/>
      <c r="G963" s="4"/>
      <c r="H963" s="4"/>
      <c r="I963" s="4"/>
      <c r="J963" s="4"/>
      <c r="K963" s="4"/>
      <c r="L963" s="4"/>
      <c r="M963" s="4"/>
      <c r="N963" s="4"/>
      <c r="O963" s="4"/>
      <c r="P963" s="4"/>
      <c r="Q963" s="4"/>
      <c r="R963" s="4"/>
      <c r="S963" s="4"/>
      <c r="T963" s="4"/>
      <c r="U963" s="4"/>
      <c r="V963" s="4"/>
      <c r="W963" s="4"/>
      <c r="X963" s="4"/>
      <c r="Y963" s="4"/>
      <c r="Z963" s="4"/>
    </row>
    <row r="964" ht="9.75" customHeight="1">
      <c r="A964" s="4"/>
      <c r="B964" s="4"/>
      <c r="C964" s="4"/>
      <c r="D964" s="4"/>
      <c r="E964" s="4"/>
      <c r="F964" s="4"/>
      <c r="G964" s="4"/>
      <c r="H964" s="4"/>
      <c r="I964" s="4"/>
      <c r="J964" s="4"/>
      <c r="K964" s="4"/>
      <c r="L964" s="4"/>
      <c r="M964" s="4"/>
      <c r="N964" s="4"/>
      <c r="O964" s="4"/>
      <c r="P964" s="4"/>
      <c r="Q964" s="4"/>
      <c r="R964" s="4"/>
      <c r="S964" s="4"/>
      <c r="T964" s="4"/>
      <c r="U964" s="4"/>
      <c r="V964" s="4"/>
      <c r="W964" s="4"/>
      <c r="X964" s="4"/>
      <c r="Y964" s="4"/>
      <c r="Z964" s="4"/>
    </row>
    <row r="965" ht="9.75" customHeight="1">
      <c r="A965" s="4"/>
      <c r="B965" s="4"/>
      <c r="C965" s="4"/>
      <c r="D965" s="4"/>
      <c r="E965" s="4"/>
      <c r="F965" s="4"/>
      <c r="G965" s="4"/>
      <c r="H965" s="4"/>
      <c r="I965" s="4"/>
      <c r="J965" s="4"/>
      <c r="K965" s="4"/>
      <c r="L965" s="4"/>
      <c r="M965" s="4"/>
      <c r="N965" s="4"/>
      <c r="O965" s="4"/>
      <c r="P965" s="4"/>
      <c r="Q965" s="4"/>
      <c r="R965" s="4"/>
      <c r="S965" s="4"/>
      <c r="T965" s="4"/>
      <c r="U965" s="4"/>
      <c r="V965" s="4"/>
      <c r="W965" s="4"/>
      <c r="X965" s="4"/>
      <c r="Y965" s="4"/>
      <c r="Z965" s="4"/>
    </row>
    <row r="966" ht="9.75" customHeight="1">
      <c r="A966" s="4"/>
      <c r="B966" s="4"/>
      <c r="C966" s="4"/>
      <c r="D966" s="4"/>
      <c r="E966" s="4"/>
      <c r="F966" s="4"/>
      <c r="G966" s="4"/>
      <c r="H966" s="4"/>
      <c r="I966" s="4"/>
      <c r="J966" s="4"/>
      <c r="K966" s="4"/>
      <c r="L966" s="4"/>
      <c r="M966" s="4"/>
      <c r="N966" s="4"/>
      <c r="O966" s="4"/>
      <c r="P966" s="4"/>
      <c r="Q966" s="4"/>
      <c r="R966" s="4"/>
      <c r="S966" s="4"/>
      <c r="T966" s="4"/>
      <c r="U966" s="4"/>
      <c r="V966" s="4"/>
      <c r="W966" s="4"/>
      <c r="X966" s="4"/>
      <c r="Y966" s="4"/>
      <c r="Z966" s="4"/>
    </row>
    <row r="967" ht="9.75" customHeight="1">
      <c r="A967" s="4"/>
      <c r="B967" s="4"/>
      <c r="C967" s="4"/>
      <c r="D967" s="4"/>
      <c r="E967" s="4"/>
      <c r="F967" s="4"/>
      <c r="G967" s="4"/>
      <c r="H967" s="4"/>
      <c r="I967" s="4"/>
      <c r="J967" s="4"/>
      <c r="K967" s="4"/>
      <c r="L967" s="4"/>
      <c r="M967" s="4"/>
      <c r="N967" s="4"/>
      <c r="O967" s="4"/>
      <c r="P967" s="4"/>
      <c r="Q967" s="4"/>
      <c r="R967" s="4"/>
      <c r="S967" s="4"/>
      <c r="T967" s="4"/>
      <c r="U967" s="4"/>
      <c r="V967" s="4"/>
      <c r="W967" s="4"/>
      <c r="X967" s="4"/>
      <c r="Y967" s="4"/>
      <c r="Z967" s="4"/>
    </row>
    <row r="968" ht="9.75" customHeight="1">
      <c r="A968" s="4"/>
      <c r="B968" s="4"/>
      <c r="C968" s="4"/>
      <c r="D968" s="4"/>
      <c r="E968" s="4"/>
      <c r="F968" s="4"/>
      <c r="G968" s="4"/>
      <c r="H968" s="4"/>
      <c r="I968" s="4"/>
      <c r="J968" s="4"/>
      <c r="K968" s="4"/>
      <c r="L968" s="4"/>
      <c r="M968" s="4"/>
      <c r="N968" s="4"/>
      <c r="O968" s="4"/>
      <c r="P968" s="4"/>
      <c r="Q968" s="4"/>
      <c r="R968" s="4"/>
      <c r="S968" s="4"/>
      <c r="T968" s="4"/>
      <c r="U968" s="4"/>
      <c r="V968" s="4"/>
      <c r="W968" s="4"/>
      <c r="X968" s="4"/>
      <c r="Y968" s="4"/>
      <c r="Z968" s="4"/>
    </row>
    <row r="969" ht="9.75" customHeight="1">
      <c r="A969" s="4"/>
      <c r="B969" s="4"/>
      <c r="C969" s="4"/>
      <c r="D969" s="4"/>
      <c r="E969" s="4"/>
      <c r="F969" s="4"/>
      <c r="G969" s="4"/>
      <c r="H969" s="4"/>
      <c r="I969" s="4"/>
      <c r="J969" s="4"/>
      <c r="K969" s="4"/>
      <c r="L969" s="4"/>
      <c r="M969" s="4"/>
      <c r="N969" s="4"/>
      <c r="O969" s="4"/>
      <c r="P969" s="4"/>
      <c r="Q969" s="4"/>
      <c r="R969" s="4"/>
      <c r="S969" s="4"/>
      <c r="T969" s="4"/>
      <c r="U969" s="4"/>
      <c r="V969" s="4"/>
      <c r="W969" s="4"/>
      <c r="X969" s="4"/>
      <c r="Y969" s="4"/>
      <c r="Z969" s="4"/>
    </row>
    <row r="970" ht="9.75" customHeight="1">
      <c r="A970" s="4"/>
      <c r="B970" s="4"/>
      <c r="C970" s="4"/>
      <c r="D970" s="4"/>
      <c r="E970" s="4"/>
      <c r="F970" s="4"/>
      <c r="G970" s="4"/>
      <c r="H970" s="4"/>
      <c r="I970" s="4"/>
      <c r="J970" s="4"/>
      <c r="K970" s="4"/>
      <c r="L970" s="4"/>
      <c r="M970" s="4"/>
      <c r="N970" s="4"/>
      <c r="O970" s="4"/>
      <c r="P970" s="4"/>
      <c r="Q970" s="4"/>
      <c r="R970" s="4"/>
      <c r="S970" s="4"/>
      <c r="T970" s="4"/>
      <c r="U970" s="4"/>
      <c r="V970" s="4"/>
      <c r="W970" s="4"/>
      <c r="X970" s="4"/>
      <c r="Y970" s="4"/>
      <c r="Z970" s="4"/>
    </row>
    <row r="971" ht="9.75" customHeight="1">
      <c r="A971" s="4"/>
      <c r="B971" s="4"/>
      <c r="C971" s="4"/>
      <c r="D971" s="4"/>
      <c r="E971" s="4"/>
      <c r="F971" s="4"/>
      <c r="G971" s="4"/>
      <c r="H971" s="4"/>
      <c r="I971" s="4"/>
      <c r="J971" s="4"/>
      <c r="K971" s="4"/>
      <c r="L971" s="4"/>
      <c r="M971" s="4"/>
      <c r="N971" s="4"/>
      <c r="O971" s="4"/>
      <c r="P971" s="4"/>
      <c r="Q971" s="4"/>
      <c r="R971" s="4"/>
      <c r="S971" s="4"/>
      <c r="T971" s="4"/>
      <c r="U971" s="4"/>
      <c r="V971" s="4"/>
      <c r="W971" s="4"/>
      <c r="X971" s="4"/>
      <c r="Y971" s="4"/>
      <c r="Z971" s="4"/>
    </row>
    <row r="972" ht="9.75" customHeight="1">
      <c r="A972" s="4"/>
      <c r="B972" s="4"/>
      <c r="C972" s="4"/>
      <c r="D972" s="4"/>
      <c r="E972" s="4"/>
      <c r="F972" s="4"/>
      <c r="G972" s="4"/>
      <c r="H972" s="4"/>
      <c r="I972" s="4"/>
      <c r="J972" s="4"/>
      <c r="K972" s="4"/>
      <c r="L972" s="4"/>
      <c r="M972" s="4"/>
      <c r="N972" s="4"/>
      <c r="O972" s="4"/>
      <c r="P972" s="4"/>
      <c r="Q972" s="4"/>
      <c r="R972" s="4"/>
      <c r="S972" s="4"/>
      <c r="T972" s="4"/>
      <c r="U972" s="4"/>
      <c r="V972" s="4"/>
      <c r="W972" s="4"/>
      <c r="X972" s="4"/>
      <c r="Y972" s="4"/>
      <c r="Z972" s="4"/>
    </row>
    <row r="973" ht="9.75" customHeight="1">
      <c r="A973" s="4"/>
      <c r="B973" s="4"/>
      <c r="C973" s="4"/>
      <c r="D973" s="4"/>
      <c r="E973" s="4"/>
      <c r="F973" s="4"/>
      <c r="G973" s="4"/>
      <c r="H973" s="4"/>
      <c r="I973" s="4"/>
      <c r="J973" s="4"/>
      <c r="K973" s="4"/>
      <c r="L973" s="4"/>
      <c r="M973" s="4"/>
      <c r="N973" s="4"/>
      <c r="O973" s="4"/>
      <c r="P973" s="4"/>
      <c r="Q973" s="4"/>
      <c r="R973" s="4"/>
      <c r="S973" s="4"/>
      <c r="T973" s="4"/>
      <c r="U973" s="4"/>
      <c r="V973" s="4"/>
      <c r="W973" s="4"/>
      <c r="X973" s="4"/>
      <c r="Y973" s="4"/>
      <c r="Z973" s="4"/>
    </row>
    <row r="974" ht="9.75" customHeight="1">
      <c r="A974" s="4"/>
      <c r="B974" s="4"/>
      <c r="C974" s="4"/>
      <c r="D974" s="4"/>
      <c r="E974" s="4"/>
      <c r="F974" s="4"/>
      <c r="G974" s="4"/>
      <c r="H974" s="4"/>
      <c r="I974" s="4"/>
      <c r="J974" s="4"/>
      <c r="K974" s="4"/>
      <c r="L974" s="4"/>
      <c r="M974" s="4"/>
      <c r="N974" s="4"/>
      <c r="O974" s="4"/>
      <c r="P974" s="4"/>
      <c r="Q974" s="4"/>
      <c r="R974" s="4"/>
      <c r="S974" s="4"/>
      <c r="T974" s="4"/>
      <c r="U974" s="4"/>
      <c r="V974" s="4"/>
      <c r="W974" s="4"/>
      <c r="X974" s="4"/>
      <c r="Y974" s="4"/>
      <c r="Z974" s="4"/>
    </row>
    <row r="975" ht="9.75" customHeight="1">
      <c r="A975" s="4"/>
      <c r="B975" s="4"/>
      <c r="C975" s="4"/>
      <c r="D975" s="4"/>
      <c r="E975" s="4"/>
      <c r="F975" s="4"/>
      <c r="G975" s="4"/>
      <c r="H975" s="4"/>
      <c r="I975" s="4"/>
      <c r="J975" s="4"/>
      <c r="K975" s="4"/>
      <c r="L975" s="4"/>
      <c r="M975" s="4"/>
      <c r="N975" s="4"/>
      <c r="O975" s="4"/>
      <c r="P975" s="4"/>
      <c r="Q975" s="4"/>
      <c r="R975" s="4"/>
      <c r="S975" s="4"/>
      <c r="T975" s="4"/>
      <c r="U975" s="4"/>
      <c r="V975" s="4"/>
      <c r="W975" s="4"/>
      <c r="X975" s="4"/>
      <c r="Y975" s="4"/>
      <c r="Z975" s="4"/>
    </row>
    <row r="976" ht="9.75" customHeight="1">
      <c r="A976" s="4"/>
      <c r="B976" s="4"/>
      <c r="C976" s="4"/>
      <c r="D976" s="4"/>
      <c r="E976" s="4"/>
      <c r="F976" s="4"/>
      <c r="G976" s="4"/>
      <c r="H976" s="4"/>
      <c r="I976" s="4"/>
      <c r="J976" s="4"/>
      <c r="K976" s="4"/>
      <c r="L976" s="4"/>
      <c r="M976" s="4"/>
      <c r="N976" s="4"/>
      <c r="O976" s="4"/>
      <c r="P976" s="4"/>
      <c r="Q976" s="4"/>
      <c r="R976" s="4"/>
      <c r="S976" s="4"/>
      <c r="T976" s="4"/>
      <c r="U976" s="4"/>
      <c r="V976" s="4"/>
      <c r="W976" s="4"/>
      <c r="X976" s="4"/>
      <c r="Y976" s="4"/>
      <c r="Z976" s="4"/>
    </row>
    <row r="977" ht="9.75" customHeight="1">
      <c r="A977" s="4"/>
      <c r="B977" s="4"/>
      <c r="C977" s="4"/>
      <c r="D977" s="4"/>
      <c r="E977" s="4"/>
      <c r="F977" s="4"/>
      <c r="G977" s="4"/>
      <c r="H977" s="4"/>
      <c r="I977" s="4"/>
      <c r="J977" s="4"/>
      <c r="K977" s="4"/>
      <c r="L977" s="4"/>
      <c r="M977" s="4"/>
      <c r="N977" s="4"/>
      <c r="O977" s="4"/>
      <c r="P977" s="4"/>
      <c r="Q977" s="4"/>
      <c r="R977" s="4"/>
      <c r="S977" s="4"/>
      <c r="T977" s="4"/>
      <c r="U977" s="4"/>
      <c r="V977" s="4"/>
      <c r="W977" s="4"/>
      <c r="X977" s="4"/>
      <c r="Y977" s="4"/>
      <c r="Z977" s="4"/>
    </row>
    <row r="978" ht="9.75" customHeight="1">
      <c r="A978" s="4"/>
      <c r="B978" s="4"/>
      <c r="C978" s="4"/>
      <c r="D978" s="4"/>
      <c r="E978" s="4"/>
      <c r="F978" s="4"/>
      <c r="G978" s="4"/>
      <c r="H978" s="4"/>
      <c r="I978" s="4"/>
      <c r="J978" s="4"/>
      <c r="K978" s="4"/>
      <c r="L978" s="4"/>
      <c r="M978" s="4"/>
      <c r="N978" s="4"/>
      <c r="O978" s="4"/>
      <c r="P978" s="4"/>
      <c r="Q978" s="4"/>
      <c r="R978" s="4"/>
      <c r="S978" s="4"/>
      <c r="T978" s="4"/>
      <c r="U978" s="4"/>
      <c r="V978" s="4"/>
      <c r="W978" s="4"/>
      <c r="X978" s="4"/>
      <c r="Y978" s="4"/>
      <c r="Z978" s="4"/>
    </row>
    <row r="979" ht="9.75" customHeight="1">
      <c r="A979" s="4"/>
      <c r="B979" s="4"/>
      <c r="C979" s="4"/>
      <c r="D979" s="4"/>
      <c r="E979" s="4"/>
      <c r="F979" s="4"/>
      <c r="G979" s="4"/>
      <c r="H979" s="4"/>
      <c r="I979" s="4"/>
      <c r="J979" s="4"/>
      <c r="K979" s="4"/>
      <c r="L979" s="4"/>
      <c r="M979" s="4"/>
      <c r="N979" s="4"/>
      <c r="O979" s="4"/>
      <c r="P979" s="4"/>
      <c r="Q979" s="4"/>
      <c r="R979" s="4"/>
      <c r="S979" s="4"/>
      <c r="T979" s="4"/>
      <c r="U979" s="4"/>
      <c r="V979" s="4"/>
      <c r="W979" s="4"/>
      <c r="X979" s="4"/>
      <c r="Y979" s="4"/>
      <c r="Z979" s="4"/>
    </row>
    <row r="980" ht="9.75" customHeight="1">
      <c r="A980" s="4"/>
      <c r="B980" s="4"/>
      <c r="C980" s="4"/>
      <c r="D980" s="4"/>
      <c r="E980" s="4"/>
      <c r="F980" s="4"/>
      <c r="G980" s="4"/>
      <c r="H980" s="4"/>
      <c r="I980" s="4"/>
      <c r="J980" s="4"/>
      <c r="K980" s="4"/>
      <c r="L980" s="4"/>
      <c r="M980" s="4"/>
      <c r="N980" s="4"/>
      <c r="O980" s="4"/>
      <c r="P980" s="4"/>
      <c r="Q980" s="4"/>
      <c r="R980" s="4"/>
      <c r="S980" s="4"/>
      <c r="T980" s="4"/>
      <c r="U980" s="4"/>
      <c r="V980" s="4"/>
      <c r="W980" s="4"/>
      <c r="X980" s="4"/>
      <c r="Y980" s="4"/>
      <c r="Z980" s="4"/>
    </row>
    <row r="981" ht="9.75" customHeight="1">
      <c r="A981" s="4"/>
      <c r="B981" s="4"/>
      <c r="C981" s="4"/>
      <c r="D981" s="4"/>
      <c r="E981" s="4"/>
      <c r="F981" s="4"/>
      <c r="G981" s="4"/>
      <c r="H981" s="4"/>
      <c r="I981" s="4"/>
      <c r="J981" s="4"/>
      <c r="K981" s="4"/>
      <c r="L981" s="4"/>
      <c r="M981" s="4"/>
      <c r="N981" s="4"/>
      <c r="O981" s="4"/>
      <c r="P981" s="4"/>
      <c r="Q981" s="4"/>
      <c r="R981" s="4"/>
      <c r="S981" s="4"/>
      <c r="T981" s="4"/>
      <c r="U981" s="4"/>
      <c r="V981" s="4"/>
      <c r="W981" s="4"/>
      <c r="X981" s="4"/>
      <c r="Y981" s="4"/>
      <c r="Z981" s="4"/>
    </row>
    <row r="982" ht="9.75" customHeight="1">
      <c r="A982" s="4"/>
      <c r="B982" s="4"/>
      <c r="C982" s="4"/>
      <c r="D982" s="4"/>
      <c r="E982" s="4"/>
      <c r="F982" s="4"/>
      <c r="G982" s="4"/>
      <c r="H982" s="4"/>
      <c r="I982" s="4"/>
      <c r="J982" s="4"/>
      <c r="K982" s="4"/>
      <c r="L982" s="4"/>
      <c r="M982" s="4"/>
      <c r="N982" s="4"/>
      <c r="O982" s="4"/>
      <c r="P982" s="4"/>
      <c r="Q982" s="4"/>
      <c r="R982" s="4"/>
      <c r="S982" s="4"/>
      <c r="T982" s="4"/>
      <c r="U982" s="4"/>
      <c r="V982" s="4"/>
      <c r="W982" s="4"/>
      <c r="X982" s="4"/>
      <c r="Y982" s="4"/>
      <c r="Z982" s="4"/>
    </row>
    <row r="983" ht="9.75" customHeight="1">
      <c r="A983" s="4"/>
      <c r="B983" s="4"/>
      <c r="C983" s="4"/>
      <c r="D983" s="4"/>
      <c r="E983" s="4"/>
      <c r="F983" s="4"/>
      <c r="G983" s="4"/>
      <c r="H983" s="4"/>
      <c r="I983" s="4"/>
      <c r="J983" s="4"/>
      <c r="K983" s="4"/>
      <c r="L983" s="4"/>
      <c r="M983" s="4"/>
      <c r="N983" s="4"/>
      <c r="O983" s="4"/>
      <c r="P983" s="4"/>
      <c r="Q983" s="4"/>
      <c r="R983" s="4"/>
      <c r="S983" s="4"/>
      <c r="T983" s="4"/>
      <c r="U983" s="4"/>
      <c r="V983" s="4"/>
      <c r="W983" s="4"/>
      <c r="X983" s="4"/>
      <c r="Y983" s="4"/>
      <c r="Z983" s="4"/>
    </row>
    <row r="984" ht="9.75" customHeight="1">
      <c r="A984" s="4"/>
      <c r="B984" s="4"/>
      <c r="C984" s="4"/>
      <c r="D984" s="4"/>
      <c r="E984" s="4"/>
      <c r="F984" s="4"/>
      <c r="G984" s="4"/>
      <c r="H984" s="4"/>
      <c r="I984" s="4"/>
      <c r="J984" s="4"/>
      <c r="K984" s="4"/>
      <c r="L984" s="4"/>
      <c r="M984" s="4"/>
      <c r="N984" s="4"/>
      <c r="O984" s="4"/>
      <c r="P984" s="4"/>
      <c r="Q984" s="4"/>
      <c r="R984" s="4"/>
      <c r="S984" s="4"/>
      <c r="T984" s="4"/>
      <c r="U984" s="4"/>
      <c r="V984" s="4"/>
      <c r="W984" s="4"/>
      <c r="X984" s="4"/>
      <c r="Y984" s="4"/>
      <c r="Z984" s="4"/>
    </row>
    <row r="985" ht="9.75" customHeight="1">
      <c r="A985" s="4"/>
      <c r="B985" s="4"/>
      <c r="C985" s="4"/>
      <c r="D985" s="4"/>
      <c r="E985" s="4"/>
      <c r="F985" s="4"/>
      <c r="G985" s="4"/>
      <c r="H985" s="4"/>
      <c r="I985" s="4"/>
      <c r="J985" s="4"/>
      <c r="K985" s="4"/>
      <c r="L985" s="4"/>
      <c r="M985" s="4"/>
      <c r="N985" s="4"/>
      <c r="O985" s="4"/>
      <c r="P985" s="4"/>
      <c r="Q985" s="4"/>
      <c r="R985" s="4"/>
      <c r="S985" s="4"/>
      <c r="T985" s="4"/>
      <c r="U985" s="4"/>
      <c r="V985" s="4"/>
      <c r="W985" s="4"/>
      <c r="X985" s="4"/>
      <c r="Y985" s="4"/>
      <c r="Z985" s="4"/>
    </row>
    <row r="986" ht="9.75" customHeight="1">
      <c r="A986" s="4"/>
      <c r="B986" s="4"/>
      <c r="C986" s="4"/>
      <c r="D986" s="4"/>
      <c r="E986" s="4"/>
      <c r="F986" s="4"/>
      <c r="G986" s="4"/>
      <c r="H986" s="4"/>
      <c r="I986" s="4"/>
      <c r="J986" s="4"/>
      <c r="K986" s="4"/>
      <c r="L986" s="4"/>
      <c r="M986" s="4"/>
      <c r="N986" s="4"/>
      <c r="O986" s="4"/>
      <c r="P986" s="4"/>
      <c r="Q986" s="4"/>
      <c r="R986" s="4"/>
      <c r="S986" s="4"/>
      <c r="T986" s="4"/>
      <c r="U986" s="4"/>
      <c r="V986" s="4"/>
      <c r="W986" s="4"/>
      <c r="X986" s="4"/>
      <c r="Y986" s="4"/>
      <c r="Z986" s="4"/>
    </row>
    <row r="987" ht="9.75" customHeight="1">
      <c r="A987" s="4"/>
      <c r="B987" s="4"/>
      <c r="C987" s="4"/>
      <c r="D987" s="4"/>
      <c r="E987" s="4"/>
      <c r="F987" s="4"/>
      <c r="G987" s="4"/>
      <c r="H987" s="4"/>
      <c r="I987" s="4"/>
      <c r="J987" s="4"/>
      <c r="K987" s="4"/>
      <c r="L987" s="4"/>
      <c r="M987" s="4"/>
      <c r="N987" s="4"/>
      <c r="O987" s="4"/>
      <c r="P987" s="4"/>
      <c r="Q987" s="4"/>
      <c r="R987" s="4"/>
      <c r="S987" s="4"/>
      <c r="T987" s="4"/>
      <c r="U987" s="4"/>
      <c r="V987" s="4"/>
      <c r="W987" s="4"/>
      <c r="X987" s="4"/>
      <c r="Y987" s="4"/>
      <c r="Z987" s="4"/>
    </row>
    <row r="988" ht="9.75" customHeight="1">
      <c r="A988" s="4"/>
      <c r="B988" s="4"/>
      <c r="C988" s="4"/>
      <c r="D988" s="4"/>
      <c r="E988" s="4"/>
      <c r="F988" s="4"/>
      <c r="G988" s="4"/>
      <c r="H988" s="4"/>
      <c r="I988" s="4"/>
      <c r="J988" s="4"/>
      <c r="K988" s="4"/>
      <c r="L988" s="4"/>
      <c r="M988" s="4"/>
      <c r="N988" s="4"/>
      <c r="O988" s="4"/>
      <c r="P988" s="4"/>
      <c r="Q988" s="4"/>
      <c r="R988" s="4"/>
      <c r="S988" s="4"/>
      <c r="T988" s="4"/>
      <c r="U988" s="4"/>
      <c r="V988" s="4"/>
      <c r="W988" s="4"/>
      <c r="X988" s="4"/>
      <c r="Y988" s="4"/>
      <c r="Z988" s="4"/>
    </row>
    <row r="989" ht="9.75" customHeight="1">
      <c r="A989" s="4"/>
      <c r="B989" s="4"/>
      <c r="C989" s="4"/>
      <c r="D989" s="4"/>
      <c r="E989" s="4"/>
      <c r="F989" s="4"/>
      <c r="G989" s="4"/>
      <c r="H989" s="4"/>
      <c r="I989" s="4"/>
      <c r="J989" s="4"/>
      <c r="K989" s="4"/>
      <c r="L989" s="4"/>
      <c r="M989" s="4"/>
      <c r="N989" s="4"/>
      <c r="O989" s="4"/>
      <c r="P989" s="4"/>
      <c r="Q989" s="4"/>
      <c r="R989" s="4"/>
      <c r="S989" s="4"/>
      <c r="T989" s="4"/>
      <c r="U989" s="4"/>
      <c r="V989" s="4"/>
      <c r="W989" s="4"/>
      <c r="X989" s="4"/>
      <c r="Y989" s="4"/>
      <c r="Z989" s="4"/>
    </row>
    <row r="990" ht="9.75" customHeight="1">
      <c r="A990" s="4"/>
      <c r="B990" s="4"/>
      <c r="C990" s="4"/>
      <c r="D990" s="4"/>
      <c r="E990" s="4"/>
      <c r="F990" s="4"/>
      <c r="G990" s="4"/>
      <c r="H990" s="4"/>
      <c r="I990" s="4"/>
      <c r="J990" s="4"/>
      <c r="K990" s="4"/>
      <c r="L990" s="4"/>
      <c r="M990" s="4"/>
      <c r="N990" s="4"/>
      <c r="O990" s="4"/>
      <c r="P990" s="4"/>
      <c r="Q990" s="4"/>
      <c r="R990" s="4"/>
      <c r="S990" s="4"/>
      <c r="T990" s="4"/>
      <c r="U990" s="4"/>
      <c r="V990" s="4"/>
      <c r="W990" s="4"/>
      <c r="X990" s="4"/>
      <c r="Y990" s="4"/>
      <c r="Z990" s="4"/>
    </row>
    <row r="991" ht="9.75" customHeight="1">
      <c r="A991" s="4"/>
      <c r="B991" s="4"/>
      <c r="C991" s="4"/>
      <c r="D991" s="4"/>
      <c r="E991" s="4"/>
      <c r="F991" s="4"/>
      <c r="G991" s="4"/>
      <c r="H991" s="4"/>
      <c r="I991" s="4"/>
      <c r="J991" s="4"/>
      <c r="K991" s="4"/>
      <c r="L991" s="4"/>
      <c r="M991" s="4"/>
      <c r="N991" s="4"/>
      <c r="O991" s="4"/>
      <c r="P991" s="4"/>
      <c r="Q991" s="4"/>
      <c r="R991" s="4"/>
      <c r="S991" s="4"/>
      <c r="T991" s="4"/>
      <c r="U991" s="4"/>
      <c r="V991" s="4"/>
      <c r="W991" s="4"/>
      <c r="X991" s="4"/>
      <c r="Y991" s="4"/>
      <c r="Z991" s="4"/>
    </row>
    <row r="992" ht="9.75" customHeight="1">
      <c r="A992" s="4"/>
      <c r="B992" s="4"/>
      <c r="C992" s="4"/>
      <c r="D992" s="4"/>
      <c r="E992" s="4"/>
      <c r="F992" s="4"/>
      <c r="G992" s="4"/>
      <c r="H992" s="4"/>
      <c r="I992" s="4"/>
      <c r="J992" s="4"/>
      <c r="K992" s="4"/>
      <c r="L992" s="4"/>
      <c r="M992" s="4"/>
      <c r="N992" s="4"/>
      <c r="O992" s="4"/>
      <c r="P992" s="4"/>
      <c r="Q992" s="4"/>
      <c r="R992" s="4"/>
      <c r="S992" s="4"/>
      <c r="T992" s="4"/>
      <c r="U992" s="4"/>
      <c r="V992" s="4"/>
      <c r="W992" s="4"/>
      <c r="X992" s="4"/>
      <c r="Y992" s="4"/>
      <c r="Z992" s="4"/>
    </row>
    <row r="993" ht="9.75" customHeight="1">
      <c r="A993" s="4"/>
      <c r="B993" s="4"/>
      <c r="C993" s="4"/>
      <c r="D993" s="4"/>
      <c r="E993" s="4"/>
      <c r="F993" s="4"/>
      <c r="G993" s="4"/>
      <c r="H993" s="4"/>
      <c r="I993" s="4"/>
      <c r="J993" s="4"/>
      <c r="K993" s="4"/>
      <c r="L993" s="4"/>
      <c r="M993" s="4"/>
      <c r="N993" s="4"/>
      <c r="O993" s="4"/>
      <c r="P993" s="4"/>
      <c r="Q993" s="4"/>
      <c r="R993" s="4"/>
      <c r="S993" s="4"/>
      <c r="T993" s="4"/>
      <c r="U993" s="4"/>
      <c r="V993" s="4"/>
      <c r="W993" s="4"/>
      <c r="X993" s="4"/>
      <c r="Y993" s="4"/>
      <c r="Z993" s="4"/>
    </row>
    <row r="994" ht="9.75" customHeight="1">
      <c r="A994" s="4"/>
      <c r="B994" s="4"/>
      <c r="C994" s="4"/>
      <c r="D994" s="4"/>
      <c r="E994" s="4"/>
      <c r="F994" s="4"/>
      <c r="G994" s="4"/>
      <c r="H994" s="4"/>
      <c r="I994" s="4"/>
      <c r="J994" s="4"/>
      <c r="K994" s="4"/>
      <c r="L994" s="4"/>
      <c r="M994" s="4"/>
      <c r="N994" s="4"/>
      <c r="O994" s="4"/>
      <c r="P994" s="4"/>
      <c r="Q994" s="4"/>
      <c r="R994" s="4"/>
      <c r="S994" s="4"/>
      <c r="T994" s="4"/>
      <c r="U994" s="4"/>
      <c r="V994" s="4"/>
      <c r="W994" s="4"/>
      <c r="X994" s="4"/>
      <c r="Y994" s="4"/>
      <c r="Z994" s="4"/>
    </row>
    <row r="995" ht="9.75" customHeight="1">
      <c r="A995" s="4"/>
      <c r="B995" s="4"/>
      <c r="C995" s="4"/>
      <c r="D995" s="4"/>
      <c r="E995" s="4"/>
      <c r="F995" s="4"/>
      <c r="G995" s="4"/>
      <c r="H995" s="4"/>
      <c r="I995" s="4"/>
      <c r="J995" s="4"/>
      <c r="K995" s="4"/>
      <c r="L995" s="4"/>
      <c r="M995" s="4"/>
      <c r="N995" s="4"/>
      <c r="O995" s="4"/>
      <c r="P995" s="4"/>
      <c r="Q995" s="4"/>
      <c r="R995" s="4"/>
      <c r="S995" s="4"/>
      <c r="T995" s="4"/>
      <c r="U995" s="4"/>
      <c r="V995" s="4"/>
      <c r="W995" s="4"/>
      <c r="X995" s="4"/>
      <c r="Y995" s="4"/>
      <c r="Z995" s="4"/>
    </row>
    <row r="996" ht="9.75" customHeight="1">
      <c r="A996" s="4"/>
      <c r="B996" s="4"/>
      <c r="C996" s="4"/>
      <c r="D996" s="4"/>
      <c r="E996" s="4"/>
      <c r="F996" s="4"/>
      <c r="G996" s="4"/>
      <c r="H996" s="4"/>
      <c r="I996" s="4"/>
      <c r="J996" s="4"/>
      <c r="K996" s="4"/>
      <c r="L996" s="4"/>
      <c r="M996" s="4"/>
      <c r="N996" s="4"/>
      <c r="O996" s="4"/>
      <c r="P996" s="4"/>
      <c r="Q996" s="4"/>
      <c r="R996" s="4"/>
      <c r="S996" s="4"/>
      <c r="T996" s="4"/>
      <c r="U996" s="4"/>
      <c r="V996" s="4"/>
      <c r="W996" s="4"/>
      <c r="X996" s="4"/>
      <c r="Y996" s="4"/>
      <c r="Z996" s="4"/>
    </row>
    <row r="997" ht="9.75" customHeight="1">
      <c r="A997" s="4"/>
      <c r="B997" s="4"/>
      <c r="C997" s="4"/>
      <c r="D997" s="4"/>
      <c r="E997" s="4"/>
      <c r="F997" s="4"/>
      <c r="G997" s="4"/>
      <c r="H997" s="4"/>
      <c r="I997" s="4"/>
      <c r="J997" s="4"/>
      <c r="K997" s="4"/>
      <c r="L997" s="4"/>
      <c r="M997" s="4"/>
      <c r="N997" s="4"/>
      <c r="O997" s="4"/>
      <c r="P997" s="4"/>
      <c r="Q997" s="4"/>
      <c r="R997" s="4"/>
      <c r="S997" s="4"/>
      <c r="T997" s="4"/>
      <c r="U997" s="4"/>
      <c r="V997" s="4"/>
      <c r="W997" s="4"/>
      <c r="X997" s="4"/>
      <c r="Y997" s="4"/>
      <c r="Z997" s="4"/>
    </row>
    <row r="998" ht="9.75" customHeight="1">
      <c r="A998" s="4"/>
      <c r="B998" s="4"/>
      <c r="C998" s="4"/>
      <c r="D998" s="4"/>
      <c r="E998" s="4"/>
      <c r="F998" s="4"/>
      <c r="G998" s="4"/>
      <c r="H998" s="4"/>
      <c r="I998" s="4"/>
      <c r="J998" s="4"/>
      <c r="K998" s="4"/>
      <c r="L998" s="4"/>
      <c r="M998" s="4"/>
      <c r="N998" s="4"/>
      <c r="O998" s="4"/>
      <c r="P998" s="4"/>
      <c r="Q998" s="4"/>
      <c r="R998" s="4"/>
      <c r="S998" s="4"/>
      <c r="T998" s="4"/>
      <c r="U998" s="4"/>
      <c r="V998" s="4"/>
      <c r="W998" s="4"/>
      <c r="X998" s="4"/>
      <c r="Y998" s="4"/>
      <c r="Z998" s="4"/>
    </row>
    <row r="999" ht="9.75" customHeight="1">
      <c r="A999" s="4"/>
      <c r="B999" s="4"/>
      <c r="C999" s="4"/>
      <c r="D999" s="4"/>
      <c r="E999" s="4"/>
      <c r="F999" s="4"/>
      <c r="G999" s="4"/>
      <c r="H999" s="4"/>
      <c r="I999" s="4"/>
      <c r="J999" s="4"/>
      <c r="K999" s="4"/>
      <c r="L999" s="4"/>
      <c r="M999" s="4"/>
      <c r="N999" s="4"/>
      <c r="O999" s="4"/>
      <c r="P999" s="4"/>
      <c r="Q999" s="4"/>
      <c r="R999" s="4"/>
      <c r="S999" s="4"/>
      <c r="T999" s="4"/>
      <c r="U999" s="4"/>
      <c r="V999" s="4"/>
      <c r="W999" s="4"/>
      <c r="X999" s="4"/>
      <c r="Y999" s="4"/>
      <c r="Z999" s="4"/>
    </row>
    <row r="1000" ht="9.75" customHeight="1">
      <c r="A1000" s="4"/>
      <c r="B1000" s="4"/>
      <c r="C1000" s="4"/>
      <c r="D1000" s="4"/>
      <c r="E1000" s="4"/>
      <c r="F1000" s="4"/>
      <c r="G1000" s="4"/>
      <c r="H1000" s="4"/>
      <c r="I1000" s="4"/>
      <c r="J1000" s="4"/>
      <c r="K1000" s="4"/>
      <c r="L1000" s="4"/>
      <c r="M1000" s="4"/>
      <c r="N1000" s="4"/>
      <c r="O1000" s="4"/>
      <c r="P1000" s="4"/>
      <c r="Q1000" s="4"/>
      <c r="R1000" s="4"/>
      <c r="S1000" s="4"/>
      <c r="T1000" s="4"/>
      <c r="U1000" s="4"/>
      <c r="V1000" s="4"/>
      <c r="W1000" s="4"/>
      <c r="X1000" s="4"/>
      <c r="Y1000" s="4"/>
      <c r="Z1000" s="4"/>
    </row>
  </sheetData>
  <autoFilter ref="$A$12:$F$555"/>
  <mergeCells count="11">
    <mergeCell ref="C6:D6"/>
    <mergeCell ref="C7:D7"/>
    <mergeCell ref="C8:D8"/>
    <mergeCell ref="B10:C10"/>
    <mergeCell ref="B1:F1"/>
    <mergeCell ref="C2:D2"/>
    <mergeCell ref="H2:I2"/>
    <mergeCell ref="K2:L2"/>
    <mergeCell ref="C3:D3"/>
    <mergeCell ref="C4:D4"/>
    <mergeCell ref="C5:D5"/>
  </mergeCells>
  <conditionalFormatting sqref="H13:I39 H40 H41:I53 H55:I60 H62:I130 H133:I178 H180:I223 H225:I242 H244:I256 H258:I265 H268:I278 H280:I301 H303:I307 H309:I322 H324:I360 H362:I364 H377:I554 I323 I361 I365:I376 K13:L39 K41:L53 K55:L59 K62:L96 K98:L105 K107:L130 K141:L178 K180:L187 K190:L222 K225:L232 K234:L242 K244:L244 K245:K249 K250:L254 K258:L265 K268:L278 K280:L294 K296:L301 K303:L304 K306:L307 K309:L310 K312:L313 K315:L317 K319:L322 K324:L325 K326 K327:L337 K339:L360 K362:L364 K377:L554 L188:L189 L223 L233">
    <cfRule type="cellIs" dxfId="0" priority="1" operator="notEqual">
      <formula>0</formula>
    </cfRule>
  </conditionalFormatting>
  <conditionalFormatting sqref="I40 I179 I243">
    <cfRule type="cellIs" dxfId="0" priority="2" operator="notEqual">
      <formula>0</formula>
    </cfRule>
  </conditionalFormatting>
  <conditionalFormatting sqref="H9">
    <cfRule type="cellIs" dxfId="0" priority="3" operator="notEqual">
      <formula>0</formula>
    </cfRule>
  </conditionalFormatting>
  <conditionalFormatting sqref="H179">
    <cfRule type="cellIs" dxfId="0" priority="4" operator="notEqual">
      <formula>0</formula>
    </cfRule>
  </conditionalFormatting>
  <conditionalFormatting sqref="I302">
    <cfRule type="cellIs" dxfId="0" priority="5" operator="notEqual">
      <formula>0</formula>
    </cfRule>
  </conditionalFormatting>
  <conditionalFormatting sqref="H302">
    <cfRule type="cellIs" dxfId="0" priority="6" operator="notEqual">
      <formula>0</formula>
    </cfRule>
  </conditionalFormatting>
  <conditionalFormatting sqref="I308">
    <cfRule type="cellIs" dxfId="0" priority="7" operator="notEqual">
      <formula>0</formula>
    </cfRule>
  </conditionalFormatting>
  <conditionalFormatting sqref="H308">
    <cfRule type="cellIs" dxfId="0" priority="8" operator="notEqual">
      <formula>0</formula>
    </cfRule>
  </conditionalFormatting>
  <conditionalFormatting sqref="I279">
    <cfRule type="cellIs" dxfId="0" priority="9" operator="notEqual">
      <formula>0</formula>
    </cfRule>
  </conditionalFormatting>
  <conditionalFormatting sqref="H279">
    <cfRule type="cellIs" dxfId="0" priority="10" operator="notEqual">
      <formula>0</formula>
    </cfRule>
  </conditionalFormatting>
  <conditionalFormatting sqref="H361">
    <cfRule type="cellIs" dxfId="0" priority="11" operator="notEqual">
      <formula>0</formula>
    </cfRule>
  </conditionalFormatting>
  <conditionalFormatting sqref="H365:H376">
    <cfRule type="cellIs" dxfId="0" priority="12" operator="notEqual">
      <formula>0</formula>
    </cfRule>
  </conditionalFormatting>
  <conditionalFormatting sqref="H323">
    <cfRule type="cellIs" dxfId="0" priority="13" operator="notEqual">
      <formula>0</formula>
    </cfRule>
  </conditionalFormatting>
  <conditionalFormatting sqref="H267:I267">
    <cfRule type="cellIs" dxfId="0" priority="14" operator="notEqual">
      <formula>0</formula>
    </cfRule>
  </conditionalFormatting>
  <conditionalFormatting sqref="H266:I266">
    <cfRule type="cellIs" dxfId="0" priority="15" operator="notEqual">
      <formula>0</formula>
    </cfRule>
  </conditionalFormatting>
  <conditionalFormatting sqref="F2:F7">
    <cfRule type="expression" dxfId="1" priority="16">
      <formula>($F$2-$F$2)&lt;&gt;0</formula>
    </cfRule>
  </conditionalFormatting>
  <conditionalFormatting sqref="L326 L361 L365:L376">
    <cfRule type="cellIs" dxfId="0" priority="17" operator="notEqual">
      <formula>0</formula>
    </cfRule>
  </conditionalFormatting>
  <conditionalFormatting sqref="L179">
    <cfRule type="cellIs" dxfId="0" priority="18" operator="notEqual">
      <formula>0</formula>
    </cfRule>
  </conditionalFormatting>
  <conditionalFormatting sqref="K9">
    <cfRule type="cellIs" dxfId="0" priority="19" operator="notEqual">
      <formula>0</formula>
    </cfRule>
  </conditionalFormatting>
  <conditionalFormatting sqref="K179">
    <cfRule type="cellIs" dxfId="0" priority="20" operator="notEqual">
      <formula>0</formula>
    </cfRule>
  </conditionalFormatting>
  <conditionalFormatting sqref="K365:K376">
    <cfRule type="cellIs" dxfId="0" priority="21" operator="notEqual">
      <formula>0</formula>
    </cfRule>
  </conditionalFormatting>
  <conditionalFormatting sqref="K361">
    <cfRule type="cellIs" dxfId="0" priority="22" operator="notEqual">
      <formula>0</formula>
    </cfRule>
  </conditionalFormatting>
  <conditionalFormatting sqref="K267:L267">
    <cfRule type="cellIs" dxfId="0" priority="23" operator="notEqual">
      <formula>0</formula>
    </cfRule>
  </conditionalFormatting>
  <conditionalFormatting sqref="K266:L266">
    <cfRule type="cellIs" dxfId="0" priority="24" operator="notEqual">
      <formula>0</formula>
    </cfRule>
  </conditionalFormatting>
  <conditionalFormatting sqref="K40:L40">
    <cfRule type="cellIs" dxfId="0" priority="25" operator="notEqual">
      <formula>0</formula>
    </cfRule>
  </conditionalFormatting>
  <conditionalFormatting sqref="K60:L60">
    <cfRule type="cellIs" dxfId="0" priority="26" operator="notEqual">
      <formula>0</formula>
    </cfRule>
  </conditionalFormatting>
  <conditionalFormatting sqref="H61:I61">
    <cfRule type="cellIs" dxfId="0" priority="27" operator="notEqual">
      <formula>0</formula>
    </cfRule>
  </conditionalFormatting>
  <conditionalFormatting sqref="K61:L61">
    <cfRule type="cellIs" dxfId="0" priority="28" operator="notEqual">
      <formula>0</formula>
    </cfRule>
  </conditionalFormatting>
  <conditionalFormatting sqref="K97:L97">
    <cfRule type="cellIs" dxfId="0" priority="29" operator="notEqual">
      <formula>0</formula>
    </cfRule>
  </conditionalFormatting>
  <conditionalFormatting sqref="K106:L106">
    <cfRule type="cellIs" dxfId="0" priority="30" operator="notEqual">
      <formula>0</formula>
    </cfRule>
  </conditionalFormatting>
  <conditionalFormatting sqref="I131">
    <cfRule type="cellIs" dxfId="0" priority="31" operator="notEqual">
      <formula>0</formula>
    </cfRule>
  </conditionalFormatting>
  <conditionalFormatting sqref="K131:L131">
    <cfRule type="cellIs" dxfId="0" priority="32" operator="notEqual">
      <formula>0</formula>
    </cfRule>
  </conditionalFormatting>
  <conditionalFormatting sqref="H132:I132">
    <cfRule type="cellIs" dxfId="0" priority="33" operator="notEqual">
      <formula>0</formula>
    </cfRule>
  </conditionalFormatting>
  <conditionalFormatting sqref="H131">
    <cfRule type="cellIs" dxfId="0" priority="34" operator="notEqual">
      <formula>0</formula>
    </cfRule>
  </conditionalFormatting>
  <conditionalFormatting sqref="K132:L140">
    <cfRule type="cellIs" dxfId="0" priority="35" operator="notEqual">
      <formula>0</formula>
    </cfRule>
  </conditionalFormatting>
  <conditionalFormatting sqref="H54:I54 L54">
    <cfRule type="cellIs" dxfId="0" priority="36" operator="notEqual">
      <formula>0</formula>
    </cfRule>
  </conditionalFormatting>
  <conditionalFormatting sqref="K54">
    <cfRule type="cellIs" dxfId="0" priority="37" operator="notEqual">
      <formula>0</formula>
    </cfRule>
  </conditionalFormatting>
  <conditionalFormatting sqref="K223">
    <cfRule type="cellIs" dxfId="0" priority="38" operator="notEqual">
      <formula>0</formula>
    </cfRule>
  </conditionalFormatting>
  <conditionalFormatting sqref="H224:I224 L224">
    <cfRule type="cellIs" dxfId="0" priority="39" operator="notEqual">
      <formula>0</formula>
    </cfRule>
  </conditionalFormatting>
  <conditionalFormatting sqref="K224">
    <cfRule type="cellIs" dxfId="0" priority="40" operator="notEqual">
      <formula>0</formula>
    </cfRule>
  </conditionalFormatting>
  <conditionalFormatting sqref="K188">
    <cfRule type="cellIs" dxfId="0" priority="41" operator="notEqual">
      <formula>0</formula>
    </cfRule>
  </conditionalFormatting>
  <conditionalFormatting sqref="K189">
    <cfRule type="cellIs" dxfId="0" priority="42" operator="notEqual">
      <formula>0</formula>
    </cfRule>
  </conditionalFormatting>
  <conditionalFormatting sqref="K233">
    <cfRule type="cellIs" dxfId="0" priority="43" operator="notEqual">
      <formula>0</formula>
    </cfRule>
  </conditionalFormatting>
  <conditionalFormatting sqref="L243">
    <cfRule type="cellIs" dxfId="0" priority="44" operator="notEqual">
      <formula>0</formula>
    </cfRule>
  </conditionalFormatting>
  <conditionalFormatting sqref="K243">
    <cfRule type="cellIs" dxfId="0" priority="45" operator="notEqual">
      <formula>0</formula>
    </cfRule>
  </conditionalFormatting>
  <conditionalFormatting sqref="L245:L249">
    <cfRule type="cellIs" dxfId="0" priority="46" operator="notEqual">
      <formula>0</formula>
    </cfRule>
  </conditionalFormatting>
  <conditionalFormatting sqref="L279">
    <cfRule type="cellIs" dxfId="0" priority="47" operator="notEqual">
      <formula>0</formula>
    </cfRule>
  </conditionalFormatting>
  <conditionalFormatting sqref="K279">
    <cfRule type="cellIs" dxfId="0" priority="48" operator="notEqual">
      <formula>0</formula>
    </cfRule>
  </conditionalFormatting>
  <conditionalFormatting sqref="L295">
    <cfRule type="cellIs" dxfId="0" priority="49" operator="notEqual">
      <formula>0</formula>
    </cfRule>
  </conditionalFormatting>
  <conditionalFormatting sqref="K295">
    <cfRule type="cellIs" dxfId="0" priority="50" operator="notEqual">
      <formula>0</formula>
    </cfRule>
  </conditionalFormatting>
  <conditionalFormatting sqref="L305">
    <cfRule type="cellIs" dxfId="0" priority="51" operator="notEqual">
      <formula>0</formula>
    </cfRule>
  </conditionalFormatting>
  <conditionalFormatting sqref="K305">
    <cfRule type="cellIs" dxfId="0" priority="52" operator="notEqual">
      <formula>0</formula>
    </cfRule>
  </conditionalFormatting>
  <conditionalFormatting sqref="L302">
    <cfRule type="cellIs" dxfId="0" priority="53" operator="notEqual">
      <formula>0</formula>
    </cfRule>
  </conditionalFormatting>
  <conditionalFormatting sqref="K302">
    <cfRule type="cellIs" dxfId="0" priority="54" operator="notEqual">
      <formula>0</formula>
    </cfRule>
  </conditionalFormatting>
  <conditionalFormatting sqref="L308">
    <cfRule type="cellIs" dxfId="0" priority="55" operator="notEqual">
      <formula>0</formula>
    </cfRule>
  </conditionalFormatting>
  <conditionalFormatting sqref="K308">
    <cfRule type="cellIs" dxfId="0" priority="56" operator="notEqual">
      <formula>0</formula>
    </cfRule>
  </conditionalFormatting>
  <conditionalFormatting sqref="L255">
    <cfRule type="cellIs" dxfId="0" priority="57" operator="notEqual">
      <formula>0</formula>
    </cfRule>
  </conditionalFormatting>
  <conditionalFormatting sqref="K255">
    <cfRule type="cellIs" dxfId="0" priority="58" operator="notEqual">
      <formula>0</formula>
    </cfRule>
  </conditionalFormatting>
  <conditionalFormatting sqref="L256">
    <cfRule type="cellIs" dxfId="0" priority="59" operator="notEqual">
      <formula>0</formula>
    </cfRule>
  </conditionalFormatting>
  <conditionalFormatting sqref="K256">
    <cfRule type="cellIs" dxfId="0" priority="60" operator="notEqual">
      <formula>0</formula>
    </cfRule>
  </conditionalFormatting>
  <conditionalFormatting sqref="L311">
    <cfRule type="cellIs" dxfId="0" priority="61" operator="notEqual">
      <formula>0</formula>
    </cfRule>
  </conditionalFormatting>
  <conditionalFormatting sqref="K311">
    <cfRule type="cellIs" dxfId="0" priority="62" operator="notEqual">
      <formula>0</formula>
    </cfRule>
  </conditionalFormatting>
  <conditionalFormatting sqref="L314">
    <cfRule type="cellIs" dxfId="0" priority="63" operator="notEqual">
      <formula>0</formula>
    </cfRule>
  </conditionalFormatting>
  <conditionalFormatting sqref="K314">
    <cfRule type="cellIs" dxfId="0" priority="64" operator="notEqual">
      <formula>0</formula>
    </cfRule>
  </conditionalFormatting>
  <conditionalFormatting sqref="L318">
    <cfRule type="cellIs" dxfId="0" priority="65" operator="notEqual">
      <formula>0</formula>
    </cfRule>
  </conditionalFormatting>
  <conditionalFormatting sqref="K318">
    <cfRule type="cellIs" dxfId="0" priority="66" operator="notEqual">
      <formula>0</formula>
    </cfRule>
  </conditionalFormatting>
  <conditionalFormatting sqref="L323">
    <cfRule type="cellIs" dxfId="0" priority="67" operator="notEqual">
      <formula>0</formula>
    </cfRule>
  </conditionalFormatting>
  <conditionalFormatting sqref="K323">
    <cfRule type="cellIs" dxfId="0" priority="68" operator="notEqual">
      <formula>0</formula>
    </cfRule>
  </conditionalFormatting>
  <conditionalFormatting sqref="L338">
    <cfRule type="cellIs" dxfId="0" priority="69" operator="notEqual">
      <formula>0</formula>
    </cfRule>
  </conditionalFormatting>
  <conditionalFormatting sqref="K338">
    <cfRule type="cellIs" dxfId="0" priority="70" operator="notEqual">
      <formula>0</formula>
    </cfRule>
  </conditionalFormatting>
  <printOptions/>
  <pageMargins bottom="0.75" footer="0.0" header="0.0" left="0.7" right="0.7" top="0.75"/>
  <pageSetup paperSize="9" orientation="portrait"/>
  <headerFooter>
    <oddFooter>&amp;L_x000D_#000000 Data sensitivity - Restricted</oddFooter>
  </headerFooter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 outlineLevelRow="1"/>
  <cols>
    <col customWidth="1" min="1" max="1" width="13.0"/>
    <col customWidth="1" min="2" max="2" width="9.14"/>
    <col customWidth="1" min="3" max="3" width="50.86"/>
    <col customWidth="1" min="4" max="4" width="5.71"/>
    <col customWidth="1" min="5" max="7" width="11.43"/>
    <col customWidth="1" min="8" max="8" width="10.43"/>
    <col customWidth="1" min="9" max="9" width="5.14"/>
    <col customWidth="1" min="10" max="26" width="11.43"/>
  </cols>
  <sheetData>
    <row r="1" ht="12.0" customHeight="1" outlineLevel="1">
      <c r="A1" s="320"/>
      <c r="B1" s="320"/>
      <c r="C1" s="321" t="s">
        <v>830</v>
      </c>
      <c r="D1" s="2"/>
      <c r="E1" s="2"/>
      <c r="F1" s="2"/>
      <c r="G1" s="322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</row>
    <row r="2" ht="12.0" customHeight="1" outlineLevel="1">
      <c r="A2" s="320"/>
      <c r="B2" s="320"/>
      <c r="C2" s="245" t="s">
        <v>831</v>
      </c>
      <c r="D2" s="323"/>
      <c r="E2" s="324" t="s">
        <v>832</v>
      </c>
      <c r="G2" s="325">
        <f>G115</f>
        <v>42499</v>
      </c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</row>
    <row r="3" ht="12.0" customHeight="1" outlineLevel="1">
      <c r="A3" s="320"/>
      <c r="B3" s="320"/>
      <c r="C3" s="245" t="s">
        <v>833</v>
      </c>
      <c r="D3" s="323"/>
      <c r="E3" s="324" t="s">
        <v>834</v>
      </c>
      <c r="G3" s="325">
        <f>G2/E6</f>
        <v>10624.75</v>
      </c>
      <c r="H3" s="4" t="s">
        <v>835</v>
      </c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</row>
    <row r="4" ht="9.75" customHeight="1" outlineLevel="1">
      <c r="A4" s="246"/>
      <c r="B4" s="246"/>
      <c r="C4" s="245" t="s">
        <v>836</v>
      </c>
      <c r="D4" s="246"/>
      <c r="E4" s="247"/>
      <c r="F4" s="246"/>
      <c r="G4" s="248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</row>
    <row r="5" ht="9.75" customHeight="1" outlineLevel="1">
      <c r="A5" s="246"/>
      <c r="B5" s="246"/>
      <c r="C5" s="245"/>
      <c r="D5" s="246"/>
      <c r="E5" s="246"/>
      <c r="F5" s="246"/>
      <c r="G5" s="248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</row>
    <row r="6" ht="9.75" customHeight="1" outlineLevel="1">
      <c r="A6" s="326"/>
      <c r="B6" s="327"/>
      <c r="C6" s="328" t="s">
        <v>837</v>
      </c>
      <c r="D6" s="329"/>
      <c r="E6" s="330">
        <v>4.0</v>
      </c>
      <c r="F6" s="331"/>
      <c r="G6" s="332"/>
      <c r="H6" s="333"/>
      <c r="I6" s="333"/>
      <c r="J6" s="333"/>
      <c r="K6" s="333"/>
      <c r="L6" s="333"/>
      <c r="M6" s="333"/>
      <c r="N6" s="333"/>
      <c r="O6" s="333"/>
      <c r="P6" s="333"/>
      <c r="Q6" s="333"/>
      <c r="R6" s="333"/>
      <c r="S6" s="333"/>
      <c r="T6" s="333"/>
      <c r="U6" s="333"/>
      <c r="V6" s="333"/>
      <c r="W6" s="333"/>
      <c r="X6" s="333"/>
      <c r="Y6" s="333"/>
      <c r="Z6" s="333"/>
    </row>
    <row r="7" ht="9.75" customHeight="1" outlineLevel="1">
      <c r="A7" s="326"/>
      <c r="B7" s="327"/>
      <c r="C7" s="334" t="s">
        <v>838</v>
      </c>
      <c r="D7" s="335"/>
      <c r="E7" s="336">
        <v>1.0</v>
      </c>
      <c r="F7" s="337"/>
      <c r="G7" s="338"/>
      <c r="H7" s="333"/>
      <c r="I7" s="333"/>
      <c r="J7" s="333"/>
      <c r="K7" s="333"/>
      <c r="L7" s="333"/>
      <c r="M7" s="333"/>
      <c r="N7" s="333"/>
      <c r="O7" s="333"/>
      <c r="P7" s="333"/>
      <c r="Q7" s="333"/>
      <c r="R7" s="333"/>
      <c r="S7" s="333"/>
      <c r="T7" s="333"/>
      <c r="U7" s="333"/>
      <c r="V7" s="333"/>
      <c r="W7" s="333"/>
      <c r="X7" s="333"/>
      <c r="Y7" s="333"/>
      <c r="Z7" s="333"/>
    </row>
    <row r="8" ht="9.75" customHeight="1" outlineLevel="1">
      <c r="A8" s="326"/>
      <c r="B8" s="327"/>
      <c r="C8" s="334" t="s">
        <v>839</v>
      </c>
      <c r="D8" s="335"/>
      <c r="E8" s="339">
        <v>8.0</v>
      </c>
      <c r="F8" s="337"/>
      <c r="G8" s="338"/>
      <c r="H8" s="333"/>
      <c r="I8" s="333"/>
      <c r="J8" s="333"/>
      <c r="K8" s="333"/>
      <c r="L8" s="333"/>
      <c r="M8" s="333"/>
      <c r="N8" s="333"/>
      <c r="O8" s="333"/>
      <c r="P8" s="333"/>
      <c r="Q8" s="333"/>
      <c r="R8" s="333"/>
      <c r="S8" s="333"/>
      <c r="T8" s="333"/>
      <c r="U8" s="333"/>
      <c r="V8" s="333"/>
      <c r="W8" s="333"/>
      <c r="X8" s="333"/>
      <c r="Y8" s="333"/>
      <c r="Z8" s="333"/>
    </row>
    <row r="9" ht="3.75" customHeight="1" outlineLevel="1">
      <c r="A9" s="326"/>
      <c r="B9" s="327"/>
      <c r="C9" s="334"/>
      <c r="D9" s="335"/>
      <c r="E9" s="337"/>
      <c r="F9" s="337"/>
      <c r="G9" s="338"/>
      <c r="H9" s="333"/>
      <c r="I9" s="333"/>
      <c r="J9" s="333"/>
      <c r="K9" s="333"/>
      <c r="L9" s="333"/>
      <c r="M9" s="333"/>
      <c r="N9" s="333"/>
      <c r="O9" s="333"/>
      <c r="P9" s="333"/>
      <c r="Q9" s="333"/>
      <c r="R9" s="333"/>
      <c r="S9" s="333"/>
      <c r="T9" s="333"/>
      <c r="U9" s="333"/>
      <c r="V9" s="333"/>
      <c r="W9" s="333"/>
      <c r="X9" s="333"/>
      <c r="Y9" s="333"/>
      <c r="Z9" s="333"/>
    </row>
    <row r="10" ht="9.75" customHeight="1" outlineLevel="1">
      <c r="A10" s="326"/>
      <c r="B10" s="327"/>
      <c r="C10" s="334" t="s">
        <v>840</v>
      </c>
      <c r="D10" s="340"/>
      <c r="E10" s="341"/>
      <c r="F10" s="337"/>
      <c r="G10" s="342"/>
      <c r="H10" s="333"/>
      <c r="I10" s="333"/>
      <c r="J10" s="333"/>
      <c r="K10" s="333"/>
      <c r="L10" s="333"/>
      <c r="M10" s="333"/>
      <c r="N10" s="333"/>
      <c r="O10" s="333"/>
      <c r="P10" s="333"/>
      <c r="Q10" s="333"/>
      <c r="R10" s="333"/>
      <c r="S10" s="333"/>
      <c r="T10" s="333"/>
      <c r="U10" s="333"/>
      <c r="V10" s="333"/>
      <c r="W10" s="333"/>
      <c r="X10" s="333"/>
      <c r="Y10" s="333"/>
      <c r="Z10" s="333"/>
    </row>
    <row r="11" ht="9.75" customHeight="1" outlineLevel="1">
      <c r="A11" s="326"/>
      <c r="B11" s="327"/>
      <c r="C11" s="334" t="s">
        <v>841</v>
      </c>
      <c r="D11" s="340"/>
      <c r="E11" s="341"/>
      <c r="F11" s="337"/>
      <c r="G11" s="338"/>
      <c r="H11" s="333"/>
      <c r="I11" s="333"/>
      <c r="J11" s="333"/>
      <c r="K11" s="333"/>
      <c r="L11" s="333"/>
      <c r="M11" s="333"/>
      <c r="N11" s="333"/>
      <c r="O11" s="333"/>
      <c r="P11" s="333"/>
      <c r="Q11" s="333"/>
      <c r="R11" s="333"/>
      <c r="S11" s="333"/>
      <c r="T11" s="333"/>
      <c r="U11" s="333"/>
      <c r="V11" s="333"/>
      <c r="W11" s="333"/>
      <c r="X11" s="333"/>
      <c r="Y11" s="333"/>
      <c r="Z11" s="333"/>
    </row>
    <row r="12" ht="9.75" customHeight="1" outlineLevel="1">
      <c r="A12" s="326"/>
      <c r="B12" s="327"/>
      <c r="C12" s="334" t="s">
        <v>842</v>
      </c>
      <c r="D12" s="340"/>
      <c r="E12" s="341"/>
      <c r="F12" s="337"/>
      <c r="G12" s="338"/>
      <c r="H12" s="333"/>
      <c r="I12" s="333"/>
      <c r="J12" s="333"/>
      <c r="K12" s="333"/>
      <c r="L12" s="333"/>
      <c r="M12" s="333"/>
      <c r="N12" s="333"/>
      <c r="O12" s="333"/>
      <c r="P12" s="333"/>
      <c r="Q12" s="333"/>
      <c r="R12" s="333"/>
      <c r="S12" s="333"/>
      <c r="T12" s="333"/>
      <c r="U12" s="333"/>
      <c r="V12" s="333"/>
      <c r="W12" s="333"/>
      <c r="X12" s="333"/>
      <c r="Y12" s="333"/>
      <c r="Z12" s="333"/>
    </row>
    <row r="13" ht="9.75" customHeight="1" outlineLevel="1">
      <c r="A13" s="343"/>
      <c r="B13" s="344"/>
      <c r="C13" s="334" t="s">
        <v>843</v>
      </c>
      <c r="D13" s="340">
        <v>4.0</v>
      </c>
      <c r="E13" s="341"/>
      <c r="F13" s="345"/>
      <c r="G13" s="346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</row>
    <row r="14" ht="9.75" customHeight="1" outlineLevel="1">
      <c r="A14" s="343"/>
      <c r="B14" s="344"/>
      <c r="C14" s="347" t="s">
        <v>844</v>
      </c>
      <c r="D14" s="348"/>
      <c r="E14" s="349"/>
      <c r="F14" s="256"/>
      <c r="G14" s="257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</row>
    <row r="15" ht="9.75" customHeight="1">
      <c r="A15" s="350" t="s">
        <v>845</v>
      </c>
      <c r="B15" s="350" t="s">
        <v>846</v>
      </c>
      <c r="C15" s="37" t="s">
        <v>706</v>
      </c>
      <c r="D15" s="38" t="s">
        <v>17</v>
      </c>
      <c r="E15" s="38" t="s">
        <v>707</v>
      </c>
      <c r="F15" s="351" t="s">
        <v>708</v>
      </c>
      <c r="G15" s="352" t="s">
        <v>709</v>
      </c>
      <c r="H15" s="353" t="s">
        <v>847</v>
      </c>
      <c r="I15" s="182"/>
      <c r="J15" s="182"/>
      <c r="K15" s="182"/>
      <c r="L15" s="182"/>
      <c r="M15" s="182"/>
      <c r="N15" s="182"/>
      <c r="O15" s="182"/>
      <c r="P15" s="182"/>
      <c r="Q15" s="182"/>
      <c r="R15" s="182"/>
      <c r="S15" s="182"/>
      <c r="T15" s="182"/>
      <c r="U15" s="182"/>
      <c r="V15" s="182"/>
      <c r="W15" s="182"/>
      <c r="X15" s="182"/>
      <c r="Y15" s="182"/>
      <c r="Z15" s="182"/>
    </row>
    <row r="16" ht="9.75" customHeight="1">
      <c r="A16" s="194"/>
      <c r="B16" s="354"/>
      <c r="C16" s="355" t="s">
        <v>712</v>
      </c>
      <c r="D16" s="356"/>
      <c r="E16" s="356">
        <v>0.0</v>
      </c>
      <c r="F16" s="357">
        <v>0.0</v>
      </c>
      <c r="G16" s="358">
        <v>0.0</v>
      </c>
      <c r="H16" s="4"/>
      <c r="I16" s="359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</row>
    <row r="17" ht="9.75" customHeight="1">
      <c r="A17" s="360"/>
      <c r="B17" s="361"/>
      <c r="C17" s="194" t="s">
        <v>25</v>
      </c>
      <c r="D17" s="277"/>
      <c r="E17" s="277"/>
      <c r="F17" s="278"/>
      <c r="G17" s="279"/>
      <c r="H17" s="4"/>
      <c r="I17" s="359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</row>
    <row r="18" ht="9.75" customHeight="1">
      <c r="A18" s="360" t="s">
        <v>848</v>
      </c>
      <c r="B18" s="362">
        <v>41821.0</v>
      </c>
      <c r="C18" s="146" t="s">
        <v>26</v>
      </c>
      <c r="D18" s="281" t="s">
        <v>34</v>
      </c>
      <c r="E18" s="282">
        <f>$E$6</f>
        <v>4</v>
      </c>
      <c r="F18" s="283">
        <v>50.0</v>
      </c>
      <c r="G18" s="284">
        <f>E18*F18</f>
        <v>200</v>
      </c>
      <c r="H18" s="4"/>
      <c r="I18" s="359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</row>
    <row r="19" ht="9.75" customHeight="1">
      <c r="A19" s="360"/>
      <c r="B19" s="361"/>
      <c r="C19" s="363" t="s">
        <v>713</v>
      </c>
      <c r="D19" s="364"/>
      <c r="E19" s="364"/>
      <c r="F19" s="365"/>
      <c r="G19" s="366">
        <f>SUM(G18)</f>
        <v>200</v>
      </c>
      <c r="H19" s="367">
        <f>G19</f>
        <v>200</v>
      </c>
      <c r="I19" s="359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</row>
    <row r="20" ht="9.75" customHeight="1">
      <c r="A20" s="360"/>
      <c r="B20" s="361"/>
      <c r="C20" s="194" t="s">
        <v>29</v>
      </c>
      <c r="D20" s="277"/>
      <c r="E20" s="277"/>
      <c r="F20" s="278"/>
      <c r="G20" s="279"/>
      <c r="H20" s="4"/>
      <c r="I20" s="368"/>
      <c r="J20" s="368"/>
      <c r="K20" s="368"/>
      <c r="L20" s="368"/>
      <c r="M20" s="368"/>
      <c r="N20" s="368"/>
      <c r="O20" s="368"/>
      <c r="P20" s="368"/>
      <c r="Q20" s="368"/>
      <c r="R20" s="368"/>
      <c r="S20" s="368"/>
      <c r="T20" s="368"/>
      <c r="U20" s="368"/>
      <c r="V20" s="368"/>
      <c r="W20" s="368"/>
      <c r="X20" s="368"/>
      <c r="Y20" s="368"/>
      <c r="Z20" s="368"/>
    </row>
    <row r="21" ht="9.75" customHeight="1">
      <c r="A21" s="360" t="s">
        <v>848</v>
      </c>
      <c r="B21" s="362">
        <v>41821.0</v>
      </c>
      <c r="C21" s="146" t="s">
        <v>30</v>
      </c>
      <c r="D21" s="281" t="s">
        <v>34</v>
      </c>
      <c r="E21" s="282">
        <f t="shared" ref="E21:E22" si="1">$E$6</f>
        <v>4</v>
      </c>
      <c r="F21" s="283">
        <v>45.0</v>
      </c>
      <c r="G21" s="284">
        <f t="shared" ref="G21:G24" si="2">E21*F21</f>
        <v>180</v>
      </c>
      <c r="H21" s="4"/>
      <c r="I21" s="368"/>
      <c r="J21" s="368"/>
      <c r="K21" s="368"/>
      <c r="L21" s="368"/>
      <c r="M21" s="368"/>
      <c r="N21" s="368"/>
      <c r="O21" s="368"/>
      <c r="P21" s="368"/>
      <c r="Q21" s="368"/>
      <c r="R21" s="368"/>
      <c r="S21" s="368"/>
      <c r="T21" s="368"/>
      <c r="U21" s="368"/>
      <c r="V21" s="368"/>
      <c r="W21" s="368"/>
      <c r="X21" s="368"/>
      <c r="Y21" s="368"/>
      <c r="Z21" s="368"/>
    </row>
    <row r="22" ht="9.75" customHeight="1">
      <c r="A22" s="360"/>
      <c r="B22" s="361"/>
      <c r="C22" s="115" t="s">
        <v>849</v>
      </c>
      <c r="D22" s="277" t="s">
        <v>34</v>
      </c>
      <c r="E22" s="282">
        <f t="shared" si="1"/>
        <v>4</v>
      </c>
      <c r="F22" s="278">
        <v>33.0</v>
      </c>
      <c r="G22" s="279">
        <f t="shared" si="2"/>
        <v>132</v>
      </c>
      <c r="H22" s="4"/>
      <c r="I22" s="368"/>
      <c r="J22" s="368"/>
      <c r="K22" s="368"/>
      <c r="L22" s="368"/>
      <c r="M22" s="368"/>
      <c r="N22" s="368"/>
      <c r="O22" s="368"/>
      <c r="P22" s="368"/>
      <c r="Q22" s="368"/>
      <c r="R22" s="368"/>
      <c r="S22" s="368"/>
      <c r="T22" s="368"/>
      <c r="U22" s="368"/>
      <c r="V22" s="368"/>
      <c r="W22" s="368"/>
      <c r="X22" s="368"/>
      <c r="Y22" s="368"/>
      <c r="Z22" s="368"/>
    </row>
    <row r="23" ht="9.75" customHeight="1">
      <c r="A23" s="360"/>
      <c r="B23" s="361"/>
      <c r="C23" s="115" t="s">
        <v>850</v>
      </c>
      <c r="D23" s="277" t="s">
        <v>34</v>
      </c>
      <c r="E23" s="369">
        <f t="shared" ref="E23:E24" si="3">$E$7</f>
        <v>1</v>
      </c>
      <c r="F23" s="278">
        <v>75.0</v>
      </c>
      <c r="G23" s="279">
        <f t="shared" si="2"/>
        <v>75</v>
      </c>
      <c r="H23" s="4"/>
      <c r="I23" s="368"/>
      <c r="J23" s="368"/>
      <c r="K23" s="368"/>
      <c r="L23" s="368"/>
      <c r="M23" s="368"/>
      <c r="N23" s="368"/>
      <c r="O23" s="368"/>
      <c r="P23" s="368"/>
      <c r="Q23" s="368"/>
      <c r="R23" s="368"/>
      <c r="S23" s="368"/>
      <c r="T23" s="368"/>
      <c r="U23" s="368"/>
      <c r="V23" s="368"/>
      <c r="W23" s="368"/>
      <c r="X23" s="368"/>
      <c r="Y23" s="368"/>
      <c r="Z23" s="368"/>
    </row>
    <row r="24" ht="9.75" customHeight="1">
      <c r="A24" s="360"/>
      <c r="B24" s="361"/>
      <c r="C24" s="120" t="s">
        <v>715</v>
      </c>
      <c r="D24" s="308" t="s">
        <v>32</v>
      </c>
      <c r="E24" s="369">
        <f t="shared" si="3"/>
        <v>1</v>
      </c>
      <c r="F24" s="309">
        <v>380.0</v>
      </c>
      <c r="G24" s="279">
        <f t="shared" si="2"/>
        <v>380</v>
      </c>
      <c r="H24" s="4"/>
      <c r="I24" s="368"/>
      <c r="J24" s="368"/>
      <c r="K24" s="368"/>
      <c r="L24" s="368"/>
      <c r="M24" s="368"/>
      <c r="N24" s="368"/>
      <c r="O24" s="368"/>
      <c r="P24" s="368"/>
      <c r="Q24" s="368"/>
      <c r="R24" s="368"/>
      <c r="S24" s="368"/>
      <c r="T24" s="368"/>
      <c r="U24" s="368"/>
      <c r="V24" s="368"/>
      <c r="W24" s="368"/>
      <c r="X24" s="368"/>
      <c r="Y24" s="368"/>
      <c r="Z24" s="368"/>
    </row>
    <row r="25" ht="9.75" customHeight="1">
      <c r="A25" s="360"/>
      <c r="B25" s="361"/>
      <c r="C25" s="363" t="s">
        <v>713</v>
      </c>
      <c r="D25" s="364"/>
      <c r="E25" s="364"/>
      <c r="F25" s="365"/>
      <c r="G25" s="366">
        <f>SUM(G21:G24)</f>
        <v>767</v>
      </c>
      <c r="H25" s="367">
        <f>G25</f>
        <v>767</v>
      </c>
      <c r="I25" s="368"/>
      <c r="J25" s="368"/>
      <c r="K25" s="368"/>
      <c r="L25" s="368"/>
      <c r="M25" s="368"/>
      <c r="N25" s="368"/>
      <c r="O25" s="368"/>
      <c r="P25" s="368"/>
      <c r="Q25" s="368"/>
      <c r="R25" s="368"/>
      <c r="S25" s="368"/>
      <c r="T25" s="368"/>
      <c r="U25" s="368"/>
      <c r="V25" s="368"/>
      <c r="W25" s="368"/>
      <c r="X25" s="368"/>
      <c r="Y25" s="368"/>
      <c r="Z25" s="368"/>
    </row>
    <row r="26" ht="9.75" customHeight="1">
      <c r="A26" s="360"/>
      <c r="B26" s="361"/>
      <c r="C26" s="194" t="s">
        <v>38</v>
      </c>
      <c r="D26" s="277"/>
      <c r="E26" s="277"/>
      <c r="F26" s="278"/>
      <c r="G26" s="279"/>
      <c r="H26" s="4"/>
      <c r="I26" s="368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</row>
    <row r="27" ht="9.75" customHeight="1">
      <c r="A27" s="360" t="s">
        <v>848</v>
      </c>
      <c r="B27" s="362">
        <v>41821.0</v>
      </c>
      <c r="C27" s="146" t="s">
        <v>851</v>
      </c>
      <c r="D27" s="281" t="s">
        <v>34</v>
      </c>
      <c r="E27" s="282">
        <f>$E$6</f>
        <v>4</v>
      </c>
      <c r="F27" s="283">
        <v>60.0</v>
      </c>
      <c r="G27" s="284">
        <f>E27*F27</f>
        <v>240</v>
      </c>
      <c r="H27" s="4"/>
      <c r="I27" s="368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</row>
    <row r="28" ht="9.75" customHeight="1">
      <c r="A28" s="360"/>
      <c r="B28" s="361"/>
      <c r="C28" s="291"/>
      <c r="D28" s="277"/>
      <c r="E28" s="292"/>
      <c r="F28" s="278"/>
      <c r="G28" s="279"/>
      <c r="H28" s="4"/>
      <c r="I28" s="368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</row>
    <row r="29" ht="9.75" customHeight="1">
      <c r="A29" s="360"/>
      <c r="B29" s="361"/>
      <c r="C29" s="146" t="s">
        <v>246</v>
      </c>
      <c r="D29" s="281"/>
      <c r="E29" s="282"/>
      <c r="F29" s="283"/>
      <c r="G29" s="284"/>
      <c r="H29" s="4"/>
      <c r="I29" s="368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</row>
    <row r="30" ht="9.75" customHeight="1">
      <c r="A30" s="360"/>
      <c r="B30" s="361"/>
      <c r="C30" s="291" t="s">
        <v>716</v>
      </c>
      <c r="D30" s="277" t="s">
        <v>34</v>
      </c>
      <c r="E30" s="277"/>
      <c r="F30" s="278"/>
      <c r="G30" s="279"/>
      <c r="H30" s="4"/>
      <c r="I30" s="368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</row>
    <row r="31" ht="9.75" customHeight="1">
      <c r="A31" s="360"/>
      <c r="B31" s="361"/>
      <c r="C31" s="115" t="s">
        <v>41</v>
      </c>
      <c r="D31" s="277" t="s">
        <v>34</v>
      </c>
      <c r="E31" s="277"/>
      <c r="F31" s="278"/>
      <c r="G31" s="279"/>
      <c r="H31" s="4"/>
      <c r="I31" s="368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</row>
    <row r="32" ht="9.75" customHeight="1">
      <c r="A32" s="360"/>
      <c r="B32" s="361"/>
      <c r="C32" s="120" t="s">
        <v>42</v>
      </c>
      <c r="D32" s="308" t="s">
        <v>32</v>
      </c>
      <c r="E32" s="308"/>
      <c r="F32" s="309"/>
      <c r="G32" s="370"/>
      <c r="H32" s="4"/>
      <c r="I32" s="368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</row>
    <row r="33" ht="9.75" customHeight="1">
      <c r="A33" s="360"/>
      <c r="B33" s="361"/>
      <c r="C33" s="363" t="s">
        <v>713</v>
      </c>
      <c r="D33" s="364"/>
      <c r="E33" s="364"/>
      <c r="F33" s="365"/>
      <c r="G33" s="366">
        <f>SUM(G27:G32)</f>
        <v>240</v>
      </c>
      <c r="H33" s="367">
        <f>G33</f>
        <v>240</v>
      </c>
      <c r="I33" s="368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</row>
    <row r="34" ht="9.75" customHeight="1">
      <c r="A34" s="360"/>
      <c r="B34" s="361"/>
      <c r="C34" s="194" t="s">
        <v>44</v>
      </c>
      <c r="D34" s="277"/>
      <c r="E34" s="277"/>
      <c r="F34" s="278"/>
      <c r="G34" s="279"/>
      <c r="H34" s="4"/>
      <c r="I34" s="368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</row>
    <row r="35" ht="9.75" customHeight="1">
      <c r="A35" s="360" t="s">
        <v>848</v>
      </c>
      <c r="B35" s="362">
        <v>41821.0</v>
      </c>
      <c r="C35" s="146" t="s">
        <v>851</v>
      </c>
      <c r="D35" s="281" t="s">
        <v>34</v>
      </c>
      <c r="E35" s="371"/>
      <c r="F35" s="283">
        <v>50.0</v>
      </c>
      <c r="G35" s="284">
        <f>E35*F35</f>
        <v>0</v>
      </c>
      <c r="H35" s="4"/>
      <c r="I35" s="368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</row>
    <row r="36" ht="9.75" customHeight="1">
      <c r="A36" s="360"/>
      <c r="B36" s="361"/>
      <c r="C36" s="291"/>
      <c r="D36" s="277"/>
      <c r="E36" s="292"/>
      <c r="F36" s="278"/>
      <c r="G36" s="279"/>
      <c r="H36" s="4"/>
      <c r="I36" s="368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</row>
    <row r="37" ht="9.75" customHeight="1">
      <c r="A37" s="360"/>
      <c r="B37" s="361"/>
      <c r="C37" s="146" t="s">
        <v>246</v>
      </c>
      <c r="D37" s="281"/>
      <c r="E37" s="282"/>
      <c r="F37" s="283"/>
      <c r="G37" s="284"/>
      <c r="H37" s="4"/>
      <c r="I37" s="368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</row>
    <row r="38" ht="9.75" customHeight="1">
      <c r="A38" s="360"/>
      <c r="B38" s="361"/>
      <c r="C38" s="115" t="s">
        <v>45</v>
      </c>
      <c r="D38" s="277" t="s">
        <v>32</v>
      </c>
      <c r="E38" s="277"/>
      <c r="F38" s="278"/>
      <c r="G38" s="279"/>
      <c r="H38" s="4"/>
      <c r="I38" s="368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</row>
    <row r="39" ht="9.75" customHeight="1">
      <c r="A39" s="360"/>
      <c r="B39" s="361"/>
      <c r="C39" s="115" t="s">
        <v>46</v>
      </c>
      <c r="D39" s="277" t="s">
        <v>32</v>
      </c>
      <c r="E39" s="277"/>
      <c r="F39" s="278"/>
      <c r="G39" s="279"/>
      <c r="H39" s="4"/>
      <c r="I39" s="368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</row>
    <row r="40" ht="9.75" customHeight="1">
      <c r="A40" s="360"/>
      <c r="B40" s="361"/>
      <c r="C40" s="363" t="s">
        <v>713</v>
      </c>
      <c r="D40" s="364"/>
      <c r="E40" s="364"/>
      <c r="F40" s="365"/>
      <c r="G40" s="366">
        <f>SUM(G35:G39)</f>
        <v>0</v>
      </c>
      <c r="H40" s="367">
        <f>G40</f>
        <v>0</v>
      </c>
      <c r="I40" s="368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</row>
    <row r="41" ht="9.75" customHeight="1">
      <c r="A41" s="360"/>
      <c r="B41" s="361"/>
      <c r="C41" s="194" t="s">
        <v>49</v>
      </c>
      <c r="D41" s="277"/>
      <c r="E41" s="277"/>
      <c r="F41" s="278"/>
      <c r="G41" s="279"/>
      <c r="H41" s="4"/>
      <c r="I41" s="368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</row>
    <row r="42" ht="9.75" customHeight="1">
      <c r="A42" s="360" t="s">
        <v>848</v>
      </c>
      <c r="B42" s="362">
        <v>41821.0</v>
      </c>
      <c r="C42" s="146" t="s">
        <v>851</v>
      </c>
      <c r="D42" s="281" t="s">
        <v>34</v>
      </c>
      <c r="E42" s="282">
        <f>$E$6</f>
        <v>4</v>
      </c>
      <c r="F42" s="283">
        <v>65.0</v>
      </c>
      <c r="G42" s="284">
        <f>E42*F42</f>
        <v>260</v>
      </c>
      <c r="H42" s="4"/>
      <c r="I42" s="368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</row>
    <row r="43" ht="9.75" customHeight="1">
      <c r="A43" s="360"/>
      <c r="B43" s="361"/>
      <c r="C43" s="291"/>
      <c r="D43" s="277"/>
      <c r="E43" s="292"/>
      <c r="F43" s="278"/>
      <c r="G43" s="279"/>
      <c r="H43" s="4"/>
      <c r="I43" s="368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</row>
    <row r="44" ht="9.75" customHeight="1">
      <c r="A44" s="360"/>
      <c r="B44" s="361"/>
      <c r="C44" s="146" t="s">
        <v>246</v>
      </c>
      <c r="D44" s="281"/>
      <c r="E44" s="282"/>
      <c r="F44" s="283"/>
      <c r="G44" s="284"/>
      <c r="H44" s="4"/>
      <c r="I44" s="368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</row>
    <row r="45" ht="9.75" customHeight="1">
      <c r="A45" s="360"/>
      <c r="B45" s="361"/>
      <c r="C45" s="115" t="s">
        <v>852</v>
      </c>
      <c r="D45" s="277" t="s">
        <v>51</v>
      </c>
      <c r="E45" s="277"/>
      <c r="F45" s="278"/>
      <c r="G45" s="279"/>
      <c r="H45" s="4"/>
      <c r="I45" s="368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</row>
    <row r="46" ht="9.75" customHeight="1">
      <c r="A46" s="360"/>
      <c r="B46" s="361"/>
      <c r="C46" s="120" t="s">
        <v>718</v>
      </c>
      <c r="D46" s="308" t="s">
        <v>34</v>
      </c>
      <c r="E46" s="308"/>
      <c r="F46" s="309"/>
      <c r="G46" s="370"/>
      <c r="H46" s="4"/>
      <c r="I46" s="368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</row>
    <row r="47" ht="9.75" customHeight="1">
      <c r="A47" s="360"/>
      <c r="B47" s="361"/>
      <c r="C47" s="120" t="s">
        <v>719</v>
      </c>
      <c r="D47" s="308" t="s">
        <v>32</v>
      </c>
      <c r="E47" s="308"/>
      <c r="F47" s="309"/>
      <c r="G47" s="370"/>
      <c r="H47" s="4"/>
      <c r="I47" s="368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</row>
    <row r="48" ht="9.75" customHeight="1">
      <c r="A48" s="360"/>
      <c r="B48" s="361"/>
      <c r="C48" s="120" t="s">
        <v>720</v>
      </c>
      <c r="D48" s="308" t="s">
        <v>32</v>
      </c>
      <c r="E48" s="308"/>
      <c r="F48" s="309"/>
      <c r="G48" s="370"/>
      <c r="H48" s="4"/>
      <c r="I48" s="368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</row>
    <row r="49" ht="9.75" customHeight="1">
      <c r="A49" s="360"/>
      <c r="B49" s="361"/>
      <c r="C49" s="363" t="s">
        <v>713</v>
      </c>
      <c r="D49" s="364"/>
      <c r="E49" s="364"/>
      <c r="F49" s="365"/>
      <c r="G49" s="366">
        <f>SUM(G42:G48)</f>
        <v>260</v>
      </c>
      <c r="H49" s="367">
        <f>G49</f>
        <v>260</v>
      </c>
      <c r="I49" s="368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</row>
    <row r="50" ht="9.75" customHeight="1">
      <c r="A50" s="360"/>
      <c r="B50" s="361"/>
      <c r="C50" s="194" t="s">
        <v>63</v>
      </c>
      <c r="D50" s="277"/>
      <c r="E50" s="277"/>
      <c r="F50" s="278"/>
      <c r="G50" s="279"/>
      <c r="H50" s="4"/>
      <c r="I50" s="368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</row>
    <row r="51" ht="9.75" customHeight="1">
      <c r="A51" s="360"/>
      <c r="B51" s="361"/>
      <c r="C51" s="110" t="s">
        <v>64</v>
      </c>
      <c r="D51" s="293"/>
      <c r="E51" s="294"/>
      <c r="F51" s="295"/>
      <c r="G51" s="296"/>
      <c r="H51" s="4"/>
      <c r="I51" s="368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</row>
    <row r="52" ht="9.75" customHeight="1">
      <c r="A52" s="360"/>
      <c r="B52" s="361">
        <v>2003.0</v>
      </c>
      <c r="C52" s="120" t="s">
        <v>65</v>
      </c>
      <c r="D52" s="308" t="s">
        <v>34</v>
      </c>
      <c r="E52" s="308"/>
      <c r="F52" s="309">
        <v>65300.0</v>
      </c>
      <c r="G52" s="370">
        <f>F52*E52</f>
        <v>0</v>
      </c>
      <c r="H52" s="4"/>
      <c r="I52" s="368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</row>
    <row r="53" ht="9.75" customHeight="1">
      <c r="A53" s="360"/>
      <c r="B53" s="361"/>
      <c r="C53" s="120"/>
      <c r="D53" s="308"/>
      <c r="E53" s="308"/>
      <c r="F53" s="309"/>
      <c r="G53" s="370"/>
      <c r="H53" s="4"/>
      <c r="I53" s="368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</row>
    <row r="54" ht="9.75" customHeight="1">
      <c r="A54" s="360"/>
      <c r="B54" s="361"/>
      <c r="C54" s="363" t="s">
        <v>713</v>
      </c>
      <c r="D54" s="364"/>
      <c r="E54" s="364"/>
      <c r="F54" s="365"/>
      <c r="G54" s="366">
        <f>SUM(G50:G53)</f>
        <v>0</v>
      </c>
      <c r="H54" s="367">
        <f>G54</f>
        <v>0</v>
      </c>
      <c r="I54" s="368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</row>
    <row r="55" ht="9.75" customHeight="1">
      <c r="A55" s="360"/>
      <c r="B55" s="361"/>
      <c r="C55" s="194" t="s">
        <v>853</v>
      </c>
      <c r="D55" s="372"/>
      <c r="E55" s="372"/>
      <c r="F55" s="373"/>
      <c r="G55" s="374"/>
      <c r="H55" s="367"/>
      <c r="I55" s="368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</row>
    <row r="56" ht="9.75" customHeight="1">
      <c r="A56" s="360"/>
      <c r="B56" s="361"/>
      <c r="C56" s="110"/>
      <c r="D56" s="293"/>
      <c r="E56" s="294"/>
      <c r="F56" s="295"/>
      <c r="G56" s="296"/>
      <c r="H56" s="367"/>
      <c r="I56" s="368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</row>
    <row r="57" ht="9.75" customHeight="1">
      <c r="A57" s="360" t="s">
        <v>848</v>
      </c>
      <c r="B57" s="362">
        <v>41821.0</v>
      </c>
      <c r="C57" s="120" t="s">
        <v>854</v>
      </c>
      <c r="D57" s="277" t="s">
        <v>34</v>
      </c>
      <c r="E57" s="375">
        <f t="shared" ref="E57:E58" si="4">$E$7</f>
        <v>1</v>
      </c>
      <c r="F57" s="278">
        <v>1100.0</v>
      </c>
      <c r="G57" s="370">
        <f t="shared" ref="G57:G61" si="5">F57*E57</f>
        <v>1100</v>
      </c>
      <c r="H57" s="367"/>
      <c r="I57" s="368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</row>
    <row r="58" ht="9.75" customHeight="1">
      <c r="A58" s="360" t="s">
        <v>848</v>
      </c>
      <c r="B58" s="362">
        <v>41821.0</v>
      </c>
      <c r="C58" s="120" t="s">
        <v>855</v>
      </c>
      <c r="D58" s="277" t="s">
        <v>34</v>
      </c>
      <c r="E58" s="375">
        <f t="shared" si="4"/>
        <v>1</v>
      </c>
      <c r="F58" s="278">
        <v>4000.0</v>
      </c>
      <c r="G58" s="370">
        <f t="shared" si="5"/>
        <v>4000</v>
      </c>
      <c r="H58" s="367"/>
      <c r="I58" s="368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</row>
    <row r="59" ht="9.75" customHeight="1">
      <c r="A59" s="360"/>
      <c r="B59" s="361"/>
      <c r="C59" s="120" t="s">
        <v>856</v>
      </c>
      <c r="D59" s="277" t="s">
        <v>34</v>
      </c>
      <c r="E59" s="375"/>
      <c r="F59" s="278">
        <v>5000.0</v>
      </c>
      <c r="G59" s="370">
        <f t="shared" si="5"/>
        <v>0</v>
      </c>
      <c r="H59" s="367"/>
      <c r="I59" s="368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</row>
    <row r="60" ht="9.75" customHeight="1">
      <c r="A60" s="360" t="s">
        <v>848</v>
      </c>
      <c r="B60" s="362">
        <v>41821.0</v>
      </c>
      <c r="C60" s="120" t="s">
        <v>857</v>
      </c>
      <c r="D60" s="277" t="s">
        <v>34</v>
      </c>
      <c r="E60" s="282">
        <f>$E$6</f>
        <v>4</v>
      </c>
      <c r="F60" s="278">
        <v>470.0</v>
      </c>
      <c r="G60" s="370">
        <f t="shared" si="5"/>
        <v>1880</v>
      </c>
      <c r="H60" s="367"/>
      <c r="I60" s="368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</row>
    <row r="61" ht="9.75" customHeight="1">
      <c r="A61" s="360" t="s">
        <v>848</v>
      </c>
      <c r="B61" s="362">
        <v>41821.0</v>
      </c>
      <c r="C61" s="376" t="s">
        <v>858</v>
      </c>
      <c r="D61" s="375" t="s">
        <v>34</v>
      </c>
      <c r="E61" s="375">
        <f>$E$7</f>
        <v>1</v>
      </c>
      <c r="F61" s="377">
        <v>250.0</v>
      </c>
      <c r="G61" s="378">
        <f t="shared" si="5"/>
        <v>250</v>
      </c>
      <c r="H61" s="367"/>
      <c r="I61" s="368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</row>
    <row r="62" ht="9.75" customHeight="1">
      <c r="A62" s="360"/>
      <c r="B62" s="361"/>
      <c r="C62" s="363" t="s">
        <v>713</v>
      </c>
      <c r="D62" s="364"/>
      <c r="E62" s="364"/>
      <c r="F62" s="365"/>
      <c r="G62" s="366">
        <f>SUM(G55:G61)</f>
        <v>7230</v>
      </c>
      <c r="H62" s="367">
        <f>G62</f>
        <v>7230</v>
      </c>
      <c r="I62" s="368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</row>
    <row r="63" ht="9.75" customHeight="1">
      <c r="A63" s="360"/>
      <c r="B63" s="361"/>
      <c r="C63" s="194" t="s">
        <v>859</v>
      </c>
      <c r="D63" s="372"/>
      <c r="E63" s="372"/>
      <c r="F63" s="373"/>
      <c r="G63" s="374"/>
      <c r="H63" s="367"/>
      <c r="I63" s="368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</row>
    <row r="64" ht="9.75" customHeight="1">
      <c r="A64" s="360"/>
      <c r="B64" s="361"/>
      <c r="C64" s="120" t="s">
        <v>860</v>
      </c>
      <c r="D64" s="277" t="s">
        <v>34</v>
      </c>
      <c r="E64" s="379" t="str">
        <f t="shared" ref="E64:E68" si="6">D10</f>
        <v/>
      </c>
      <c r="F64" s="278">
        <v>2000.0</v>
      </c>
      <c r="G64" s="370">
        <f t="shared" ref="G64:G68" si="7">F64*E64</f>
        <v>0</v>
      </c>
      <c r="H64" s="367"/>
      <c r="I64" s="368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</row>
    <row r="65" ht="9.75" customHeight="1">
      <c r="A65" s="360" t="s">
        <v>848</v>
      </c>
      <c r="B65" s="362">
        <v>41821.0</v>
      </c>
      <c r="C65" s="120" t="s">
        <v>861</v>
      </c>
      <c r="D65" s="277" t="s">
        <v>34</v>
      </c>
      <c r="E65" s="379" t="str">
        <f t="shared" si="6"/>
        <v/>
      </c>
      <c r="F65" s="278">
        <v>2220.0</v>
      </c>
      <c r="G65" s="370">
        <f t="shared" si="7"/>
        <v>0</v>
      </c>
      <c r="H65" s="367"/>
      <c r="I65" s="368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</row>
    <row r="66" ht="9.75" customHeight="1">
      <c r="A66" s="360" t="s">
        <v>848</v>
      </c>
      <c r="B66" s="362">
        <v>41821.0</v>
      </c>
      <c r="C66" s="120" t="s">
        <v>862</v>
      </c>
      <c r="D66" s="277" t="s">
        <v>34</v>
      </c>
      <c r="E66" s="379" t="str">
        <f t="shared" si="6"/>
        <v/>
      </c>
      <c r="F66" s="278">
        <v>2600.0</v>
      </c>
      <c r="G66" s="370">
        <f t="shared" si="7"/>
        <v>0</v>
      </c>
      <c r="H66" s="367"/>
      <c r="I66" s="368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</row>
    <row r="67" ht="9.75" customHeight="1">
      <c r="A67" s="360" t="s">
        <v>848</v>
      </c>
      <c r="B67" s="362">
        <v>41821.0</v>
      </c>
      <c r="C67" s="120" t="s">
        <v>863</v>
      </c>
      <c r="D67" s="277" t="s">
        <v>34</v>
      </c>
      <c r="E67" s="379">
        <f t="shared" si="6"/>
        <v>4</v>
      </c>
      <c r="F67" s="278">
        <v>3200.0</v>
      </c>
      <c r="G67" s="370">
        <f t="shared" si="7"/>
        <v>12800</v>
      </c>
      <c r="H67" s="367"/>
      <c r="I67" s="368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</row>
    <row r="68" ht="9.75" customHeight="1">
      <c r="A68" s="360" t="s">
        <v>848</v>
      </c>
      <c r="B68" s="362">
        <v>41821.0</v>
      </c>
      <c r="C68" s="120" t="s">
        <v>864</v>
      </c>
      <c r="D68" s="277" t="s">
        <v>34</v>
      </c>
      <c r="E68" s="379" t="str">
        <f t="shared" si="6"/>
        <v/>
      </c>
      <c r="F68" s="380">
        <v>3500.0</v>
      </c>
      <c r="G68" s="370">
        <f t="shared" si="7"/>
        <v>0</v>
      </c>
      <c r="H68" s="367"/>
      <c r="I68" s="368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</row>
    <row r="69" ht="9.75" customHeight="1">
      <c r="A69" s="360"/>
      <c r="B69" s="361"/>
      <c r="C69" s="363" t="s">
        <v>713</v>
      </c>
      <c r="D69" s="364"/>
      <c r="E69" s="364"/>
      <c r="F69" s="365"/>
      <c r="G69" s="366">
        <f>SUM(G64:G68)</f>
        <v>12800</v>
      </c>
      <c r="H69" s="367">
        <f>G69</f>
        <v>12800</v>
      </c>
      <c r="I69" s="368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</row>
    <row r="70" ht="9.75" customHeight="1">
      <c r="A70" s="360"/>
      <c r="B70" s="361"/>
      <c r="C70" s="194" t="s">
        <v>865</v>
      </c>
      <c r="D70" s="372"/>
      <c r="E70" s="372"/>
      <c r="F70" s="373"/>
      <c r="G70" s="374"/>
      <c r="H70" s="367"/>
      <c r="I70" s="368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</row>
    <row r="71" ht="9.75" customHeight="1">
      <c r="A71" s="360" t="s">
        <v>848</v>
      </c>
      <c r="B71" s="362">
        <v>41821.0</v>
      </c>
      <c r="C71" s="381" t="s">
        <v>866</v>
      </c>
      <c r="D71" s="369" t="s">
        <v>34</v>
      </c>
      <c r="E71" s="369">
        <f>$E$7</f>
        <v>1</v>
      </c>
      <c r="F71" s="382">
        <v>10000.0</v>
      </c>
      <c r="G71" s="383">
        <f>E71*F71</f>
        <v>10000</v>
      </c>
      <c r="H71" s="4"/>
      <c r="I71" s="368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</row>
    <row r="72" ht="9.75" customHeight="1">
      <c r="A72" s="360"/>
      <c r="B72" s="361"/>
      <c r="C72" s="363" t="s">
        <v>713</v>
      </c>
      <c r="D72" s="364"/>
      <c r="E72" s="364"/>
      <c r="F72" s="365"/>
      <c r="G72" s="366">
        <f>G71</f>
        <v>10000</v>
      </c>
      <c r="H72" s="367">
        <f>G72</f>
        <v>10000</v>
      </c>
      <c r="I72" s="368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</row>
    <row r="73" ht="9.75" customHeight="1">
      <c r="A73" s="360"/>
      <c r="B73" s="361"/>
      <c r="C73" s="194" t="s">
        <v>867</v>
      </c>
      <c r="D73" s="372"/>
      <c r="E73" s="372"/>
      <c r="F73" s="373"/>
      <c r="G73" s="374"/>
      <c r="H73" s="367"/>
      <c r="I73" s="368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</row>
    <row r="74" ht="9.75" customHeight="1">
      <c r="A74" s="360"/>
      <c r="B74" s="362"/>
      <c r="C74" s="381" t="s">
        <v>868</v>
      </c>
      <c r="D74" s="369" t="s">
        <v>34</v>
      </c>
      <c r="E74" s="384">
        <v>1.0</v>
      </c>
      <c r="F74" s="382">
        <v>2400.0</v>
      </c>
      <c r="G74" s="383">
        <f>E74*F74</f>
        <v>2400</v>
      </c>
      <c r="H74" s="4"/>
      <c r="I74" s="368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</row>
    <row r="75" ht="9.75" customHeight="1">
      <c r="A75" s="360"/>
      <c r="B75" s="361"/>
      <c r="C75" s="363" t="s">
        <v>713</v>
      </c>
      <c r="D75" s="364"/>
      <c r="E75" s="364"/>
      <c r="F75" s="365"/>
      <c r="G75" s="366">
        <f>G74</f>
        <v>2400</v>
      </c>
      <c r="H75" s="367">
        <f>G75</f>
        <v>2400</v>
      </c>
      <c r="I75" s="368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</row>
    <row r="76" ht="9.75" customHeight="1">
      <c r="A76" s="360"/>
      <c r="B76" s="361"/>
      <c r="C76" s="194" t="s">
        <v>869</v>
      </c>
      <c r="D76" s="372"/>
      <c r="E76" s="372"/>
      <c r="F76" s="373"/>
      <c r="G76" s="374"/>
      <c r="H76" s="367"/>
      <c r="I76" s="368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</row>
    <row r="77" ht="9.75" customHeight="1">
      <c r="A77" s="360"/>
      <c r="B77" s="362"/>
      <c r="C77" s="115" t="s">
        <v>307</v>
      </c>
      <c r="D77" s="277" t="s">
        <v>34</v>
      </c>
      <c r="E77" s="384">
        <v>1.0</v>
      </c>
      <c r="F77" s="278">
        <v>400.0</v>
      </c>
      <c r="G77" s="279">
        <f>E77*F77</f>
        <v>400</v>
      </c>
      <c r="H77" s="4"/>
      <c r="I77" s="368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</row>
    <row r="78" ht="9.75" customHeight="1">
      <c r="A78" s="360"/>
      <c r="B78" s="361"/>
      <c r="C78" s="363" t="s">
        <v>713</v>
      </c>
      <c r="D78" s="364"/>
      <c r="E78" s="364"/>
      <c r="F78" s="365"/>
      <c r="G78" s="366">
        <f>G77</f>
        <v>400</v>
      </c>
      <c r="H78" s="367">
        <f>G78</f>
        <v>400</v>
      </c>
      <c r="I78" s="368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</row>
    <row r="79" ht="9.75" customHeight="1">
      <c r="A79" s="360"/>
      <c r="B79" s="361"/>
      <c r="C79" s="194" t="s">
        <v>605</v>
      </c>
      <c r="D79" s="277"/>
      <c r="E79" s="277"/>
      <c r="F79" s="278"/>
      <c r="G79" s="279"/>
      <c r="H79" s="4"/>
      <c r="I79" s="368"/>
      <c r="J79" s="368"/>
      <c r="K79" s="368"/>
      <c r="L79" s="368"/>
      <c r="M79" s="368"/>
      <c r="N79" s="368"/>
      <c r="O79" s="368"/>
      <c r="P79" s="368"/>
      <c r="Q79" s="368"/>
      <c r="R79" s="368"/>
      <c r="S79" s="368"/>
      <c r="T79" s="368"/>
      <c r="U79" s="368"/>
      <c r="V79" s="368"/>
      <c r="W79" s="368"/>
      <c r="X79" s="368"/>
      <c r="Y79" s="368"/>
      <c r="Z79" s="368"/>
    </row>
    <row r="80" ht="9.75" customHeight="1">
      <c r="A80" s="360" t="s">
        <v>848</v>
      </c>
      <c r="B80" s="362">
        <v>41821.0</v>
      </c>
      <c r="C80" s="203" t="s">
        <v>870</v>
      </c>
      <c r="D80" s="310" t="s">
        <v>34</v>
      </c>
      <c r="E80" s="369">
        <f>$E$7</f>
        <v>1</v>
      </c>
      <c r="F80" s="309">
        <v>710.0</v>
      </c>
      <c r="G80" s="370">
        <f t="shared" ref="G80:G81" si="8">F80*E80</f>
        <v>710</v>
      </c>
      <c r="H80" s="4"/>
      <c r="I80" s="368"/>
      <c r="J80" s="368"/>
      <c r="K80" s="368"/>
      <c r="L80" s="368"/>
      <c r="M80" s="368"/>
      <c r="N80" s="368"/>
      <c r="O80" s="368"/>
      <c r="P80" s="368"/>
      <c r="Q80" s="368"/>
      <c r="R80" s="368"/>
      <c r="S80" s="368"/>
      <c r="T80" s="368"/>
      <c r="U80" s="368"/>
      <c r="V80" s="368"/>
      <c r="W80" s="368"/>
      <c r="X80" s="368"/>
      <c r="Y80" s="368"/>
      <c r="Z80" s="368"/>
    </row>
    <row r="81" ht="9.75" customHeight="1">
      <c r="A81" s="360"/>
      <c r="B81" s="361"/>
      <c r="C81" s="203" t="s">
        <v>871</v>
      </c>
      <c r="D81" s="310" t="s">
        <v>34</v>
      </c>
      <c r="E81" s="308"/>
      <c r="F81" s="385"/>
      <c r="G81" s="370">
        <f t="shared" si="8"/>
        <v>0</v>
      </c>
      <c r="H81" s="4"/>
      <c r="I81" s="368"/>
      <c r="J81" s="368"/>
      <c r="K81" s="368"/>
      <c r="L81" s="368"/>
      <c r="M81" s="368"/>
      <c r="N81" s="368"/>
      <c r="O81" s="368"/>
      <c r="P81" s="368"/>
      <c r="Q81" s="368"/>
      <c r="R81" s="368"/>
      <c r="S81" s="368"/>
      <c r="T81" s="368"/>
      <c r="U81" s="368"/>
      <c r="V81" s="368"/>
      <c r="W81" s="368"/>
      <c r="X81" s="368"/>
      <c r="Y81" s="368"/>
      <c r="Z81" s="368"/>
    </row>
    <row r="82" ht="9.75" customHeight="1">
      <c r="A82" s="360"/>
      <c r="B82" s="361"/>
      <c r="C82" s="363" t="s">
        <v>713</v>
      </c>
      <c r="D82" s="364"/>
      <c r="E82" s="364"/>
      <c r="F82" s="365"/>
      <c r="G82" s="366">
        <f>SUM(G80:G81)</f>
        <v>710</v>
      </c>
      <c r="H82" s="367">
        <f>G82</f>
        <v>710</v>
      </c>
      <c r="I82" s="368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</row>
    <row r="83" ht="9.75" customHeight="1">
      <c r="A83" s="360"/>
      <c r="B83" s="361"/>
      <c r="C83" s="194" t="s">
        <v>872</v>
      </c>
      <c r="D83" s="356"/>
      <c r="E83" s="356"/>
      <c r="F83" s="357"/>
      <c r="G83" s="358"/>
      <c r="H83" s="4"/>
      <c r="I83" s="368"/>
      <c r="J83" s="368"/>
      <c r="K83" s="368"/>
      <c r="L83" s="368"/>
      <c r="M83" s="368"/>
      <c r="N83" s="368"/>
      <c r="O83" s="368"/>
      <c r="P83" s="368"/>
      <c r="Q83" s="368"/>
      <c r="R83" s="368"/>
      <c r="S83" s="368"/>
      <c r="T83" s="368"/>
      <c r="U83" s="368"/>
      <c r="V83" s="368"/>
      <c r="W83" s="368"/>
      <c r="X83" s="368"/>
      <c r="Y83" s="368"/>
      <c r="Z83" s="368"/>
    </row>
    <row r="84" ht="9.75" customHeight="1">
      <c r="A84" s="360" t="s">
        <v>848</v>
      </c>
      <c r="B84" s="362">
        <v>41821.0</v>
      </c>
      <c r="C84" s="381" t="s">
        <v>866</v>
      </c>
      <c r="D84" s="369" t="s">
        <v>34</v>
      </c>
      <c r="E84" s="369">
        <f>$E$7</f>
        <v>1</v>
      </c>
      <c r="F84" s="382">
        <v>2200.0</v>
      </c>
      <c r="G84" s="383">
        <f>E84*F84</f>
        <v>2200</v>
      </c>
      <c r="H84" s="4"/>
      <c r="I84" s="368"/>
      <c r="J84" s="368"/>
      <c r="K84" s="368"/>
      <c r="L84" s="368"/>
      <c r="M84" s="368"/>
      <c r="N84" s="368"/>
      <c r="O84" s="368"/>
      <c r="P84" s="368"/>
      <c r="Q84" s="368"/>
      <c r="R84" s="368"/>
      <c r="S84" s="368"/>
      <c r="T84" s="368"/>
      <c r="U84" s="368"/>
      <c r="V84" s="368"/>
      <c r="W84" s="368"/>
      <c r="X84" s="368"/>
      <c r="Y84" s="368"/>
      <c r="Z84" s="368"/>
    </row>
    <row r="85" ht="9.75" customHeight="1">
      <c r="A85" s="360"/>
      <c r="B85" s="361"/>
      <c r="C85" s="363" t="s">
        <v>713</v>
      </c>
      <c r="D85" s="364"/>
      <c r="E85" s="364"/>
      <c r="F85" s="365"/>
      <c r="G85" s="366">
        <f>SUM(G84)</f>
        <v>2200</v>
      </c>
      <c r="H85" s="367">
        <f>G85</f>
        <v>2200</v>
      </c>
      <c r="I85" s="368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</row>
    <row r="86" ht="9.75" customHeight="1">
      <c r="A86" s="360"/>
      <c r="B86" s="361"/>
      <c r="C86" s="194" t="s">
        <v>873</v>
      </c>
      <c r="D86" s="277"/>
      <c r="E86" s="277"/>
      <c r="F86" s="278"/>
      <c r="G86" s="279"/>
      <c r="H86" s="4"/>
      <c r="I86" s="368"/>
      <c r="J86" s="368"/>
      <c r="K86" s="368"/>
      <c r="L86" s="368"/>
      <c r="M86" s="368"/>
      <c r="N86" s="368"/>
      <c r="O86" s="368"/>
      <c r="P86" s="368"/>
      <c r="Q86" s="368"/>
      <c r="R86" s="368"/>
      <c r="S86" s="368"/>
      <c r="T86" s="368"/>
      <c r="U86" s="368"/>
      <c r="V86" s="368"/>
      <c r="W86" s="368"/>
      <c r="X86" s="368"/>
      <c r="Y86" s="368"/>
      <c r="Z86" s="368"/>
    </row>
    <row r="87" ht="9.75" customHeight="1">
      <c r="A87" s="360" t="s">
        <v>848</v>
      </c>
      <c r="B87" s="362">
        <v>41821.0</v>
      </c>
      <c r="C87" s="203" t="s">
        <v>874</v>
      </c>
      <c r="D87" s="310" t="s">
        <v>34</v>
      </c>
      <c r="E87" s="386">
        <f>SUM(D10:D11)</f>
        <v>0</v>
      </c>
      <c r="F87" s="309">
        <v>155.0</v>
      </c>
      <c r="G87" s="370">
        <f t="shared" ref="G87:G89" si="9">F87*E87</f>
        <v>0</v>
      </c>
      <c r="H87" s="4"/>
      <c r="I87" s="368"/>
      <c r="J87" s="368"/>
      <c r="K87" s="368"/>
      <c r="L87" s="368"/>
      <c r="M87" s="368"/>
      <c r="N87" s="368"/>
      <c r="O87" s="368"/>
      <c r="P87" s="368"/>
      <c r="Q87" s="368"/>
      <c r="R87" s="368"/>
      <c r="S87" s="368"/>
      <c r="T87" s="368"/>
      <c r="U87" s="368"/>
      <c r="V87" s="368"/>
      <c r="W87" s="368"/>
      <c r="X87" s="368"/>
      <c r="Y87" s="368"/>
      <c r="Z87" s="368"/>
    </row>
    <row r="88" ht="9.75" customHeight="1">
      <c r="A88" s="360" t="s">
        <v>848</v>
      </c>
      <c r="B88" s="362">
        <v>41821.0</v>
      </c>
      <c r="C88" s="203" t="s">
        <v>875</v>
      </c>
      <c r="D88" s="310" t="s">
        <v>34</v>
      </c>
      <c r="E88" s="386">
        <f>SUM(D12:D13)</f>
        <v>4</v>
      </c>
      <c r="F88" s="309">
        <v>170.0</v>
      </c>
      <c r="G88" s="370">
        <f t="shared" si="9"/>
        <v>680</v>
      </c>
      <c r="H88" s="4"/>
      <c r="I88" s="368"/>
      <c r="J88" s="368"/>
      <c r="K88" s="368"/>
      <c r="L88" s="368"/>
      <c r="M88" s="368"/>
      <c r="N88" s="368"/>
      <c r="O88" s="368"/>
      <c r="P88" s="368"/>
      <c r="Q88" s="368"/>
      <c r="R88" s="368"/>
      <c r="S88" s="368"/>
      <c r="T88" s="368"/>
      <c r="U88" s="368"/>
      <c r="V88" s="368"/>
      <c r="W88" s="368"/>
      <c r="X88" s="368"/>
      <c r="Y88" s="368"/>
      <c r="Z88" s="368"/>
    </row>
    <row r="89" ht="9.75" customHeight="1">
      <c r="A89" s="360" t="s">
        <v>848</v>
      </c>
      <c r="B89" s="362">
        <v>41821.0</v>
      </c>
      <c r="C89" s="203" t="s">
        <v>876</v>
      </c>
      <c r="D89" s="310" t="s">
        <v>34</v>
      </c>
      <c r="E89" s="386" t="str">
        <f>D14</f>
        <v/>
      </c>
      <c r="F89" s="309">
        <v>170.0</v>
      </c>
      <c r="G89" s="370">
        <f t="shared" si="9"/>
        <v>0</v>
      </c>
      <c r="H89" s="4"/>
      <c r="I89" s="368"/>
      <c r="J89" s="368"/>
      <c r="K89" s="368"/>
      <c r="L89" s="368"/>
      <c r="M89" s="368"/>
      <c r="N89" s="368"/>
      <c r="O89" s="368"/>
      <c r="P89" s="368"/>
      <c r="Q89" s="368"/>
      <c r="R89" s="368"/>
      <c r="S89" s="368"/>
      <c r="T89" s="368"/>
      <c r="U89" s="368"/>
      <c r="V89" s="368"/>
      <c r="W89" s="368"/>
      <c r="X89" s="368"/>
      <c r="Y89" s="368"/>
      <c r="Z89" s="368"/>
    </row>
    <row r="90" ht="9.75" customHeight="1">
      <c r="A90" s="360" t="s">
        <v>848</v>
      </c>
      <c r="B90" s="362">
        <v>41821.0</v>
      </c>
      <c r="C90" s="146" t="s">
        <v>877</v>
      </c>
      <c r="D90" s="281" t="s">
        <v>34</v>
      </c>
      <c r="E90" s="282">
        <f>$E$6</f>
        <v>4</v>
      </c>
      <c r="F90" s="283">
        <v>33.0</v>
      </c>
      <c r="G90" s="284">
        <f>E90*F90</f>
        <v>132</v>
      </c>
      <c r="H90" s="4"/>
      <c r="I90" s="368"/>
      <c r="J90" s="368"/>
      <c r="K90" s="368"/>
      <c r="L90" s="368"/>
      <c r="M90" s="368"/>
      <c r="N90" s="368"/>
      <c r="O90" s="368"/>
      <c r="P90" s="368"/>
      <c r="Q90" s="368"/>
      <c r="R90" s="368"/>
      <c r="S90" s="368"/>
      <c r="T90" s="368"/>
      <c r="U90" s="368"/>
      <c r="V90" s="368"/>
      <c r="W90" s="368"/>
      <c r="X90" s="368"/>
      <c r="Y90" s="368"/>
      <c r="Z90" s="368"/>
    </row>
    <row r="91" ht="9.75" customHeight="1">
      <c r="A91" s="360"/>
      <c r="B91" s="361"/>
      <c r="C91" s="363" t="s">
        <v>713</v>
      </c>
      <c r="D91" s="364"/>
      <c r="E91" s="364"/>
      <c r="F91" s="365"/>
      <c r="G91" s="366">
        <f>SUM(G87:G90)</f>
        <v>812</v>
      </c>
      <c r="H91" s="367">
        <f>G91</f>
        <v>812</v>
      </c>
      <c r="I91" s="368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</row>
    <row r="92" ht="9.75" customHeight="1">
      <c r="A92" s="360"/>
      <c r="B92" s="361"/>
      <c r="C92" s="194" t="s">
        <v>595</v>
      </c>
      <c r="D92" s="356"/>
      <c r="E92" s="356"/>
      <c r="F92" s="357"/>
      <c r="G92" s="358"/>
      <c r="H92" s="4"/>
      <c r="I92" s="368"/>
      <c r="J92" s="368"/>
      <c r="K92" s="368"/>
      <c r="L92" s="368"/>
      <c r="M92" s="368"/>
      <c r="N92" s="368"/>
      <c r="O92" s="368"/>
      <c r="P92" s="368"/>
      <c r="Q92" s="368"/>
      <c r="R92" s="368"/>
      <c r="S92" s="368"/>
      <c r="T92" s="368"/>
      <c r="U92" s="368"/>
      <c r="V92" s="368"/>
      <c r="W92" s="368"/>
      <c r="X92" s="368"/>
      <c r="Y92" s="368"/>
      <c r="Z92" s="368"/>
    </row>
    <row r="93" ht="9.75" customHeight="1">
      <c r="A93" s="360" t="s">
        <v>848</v>
      </c>
      <c r="B93" s="362">
        <v>41821.0</v>
      </c>
      <c r="C93" s="146" t="s">
        <v>851</v>
      </c>
      <c r="D93" s="281" t="s">
        <v>34</v>
      </c>
      <c r="E93" s="282">
        <f>$E$6</f>
        <v>4</v>
      </c>
      <c r="F93" s="283">
        <v>130.0</v>
      </c>
      <c r="G93" s="284">
        <f>E93*F93</f>
        <v>520</v>
      </c>
      <c r="H93" s="4"/>
      <c r="I93" s="368"/>
      <c r="J93" s="368"/>
      <c r="K93" s="368"/>
      <c r="L93" s="368"/>
      <c r="M93" s="368"/>
      <c r="N93" s="368"/>
      <c r="O93" s="368"/>
      <c r="P93" s="368"/>
      <c r="Q93" s="368"/>
      <c r="R93" s="368"/>
      <c r="S93" s="368"/>
      <c r="T93" s="368"/>
      <c r="U93" s="368"/>
      <c r="V93" s="368"/>
      <c r="W93" s="368"/>
      <c r="X93" s="368"/>
      <c r="Y93" s="368"/>
      <c r="Z93" s="368"/>
    </row>
    <row r="94" ht="9.75" customHeight="1">
      <c r="A94" s="360"/>
      <c r="B94" s="361"/>
      <c r="C94" s="363" t="s">
        <v>713</v>
      </c>
      <c r="D94" s="364"/>
      <c r="E94" s="364"/>
      <c r="F94" s="365"/>
      <c r="G94" s="366">
        <f>SUM(G93)</f>
        <v>520</v>
      </c>
      <c r="H94" s="367">
        <f>G94</f>
        <v>520</v>
      </c>
      <c r="I94" s="368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</row>
    <row r="95" ht="9.75" customHeight="1">
      <c r="A95" s="360"/>
      <c r="B95" s="361"/>
      <c r="C95" s="194" t="s">
        <v>878</v>
      </c>
      <c r="D95" s="356"/>
      <c r="E95" s="356"/>
      <c r="F95" s="357"/>
      <c r="G95" s="358"/>
      <c r="H95" s="4"/>
      <c r="I95" s="368"/>
      <c r="J95" s="368"/>
      <c r="K95" s="368"/>
      <c r="L95" s="368"/>
      <c r="M95" s="368"/>
      <c r="N95" s="368"/>
      <c r="O95" s="368"/>
      <c r="P95" s="368"/>
      <c r="Q95" s="368"/>
      <c r="R95" s="368"/>
      <c r="S95" s="368"/>
      <c r="T95" s="368"/>
      <c r="U95" s="368"/>
      <c r="V95" s="368"/>
      <c r="W95" s="368"/>
      <c r="X95" s="368"/>
      <c r="Y95" s="368"/>
      <c r="Z95" s="368"/>
    </row>
    <row r="96" ht="9.75" customHeight="1">
      <c r="A96" s="360" t="s">
        <v>848</v>
      </c>
      <c r="B96" s="362">
        <v>41821.0</v>
      </c>
      <c r="C96" s="381" t="s">
        <v>879</v>
      </c>
      <c r="D96" s="369" t="s">
        <v>34</v>
      </c>
      <c r="E96" s="384">
        <v>1.0</v>
      </c>
      <c r="F96" s="382">
        <v>3000.0</v>
      </c>
      <c r="G96" s="383">
        <f>E96*F96</f>
        <v>3000</v>
      </c>
      <c r="H96" s="4"/>
      <c r="I96" s="368"/>
      <c r="J96" s="368"/>
      <c r="K96" s="368"/>
      <c r="L96" s="368"/>
      <c r="M96" s="368"/>
      <c r="N96" s="368"/>
      <c r="O96" s="368"/>
      <c r="P96" s="368"/>
      <c r="Q96" s="368"/>
      <c r="R96" s="368"/>
      <c r="S96" s="368"/>
      <c r="T96" s="368"/>
      <c r="U96" s="368"/>
      <c r="V96" s="368"/>
      <c r="W96" s="368"/>
      <c r="X96" s="368"/>
      <c r="Y96" s="368"/>
      <c r="Z96" s="368"/>
    </row>
    <row r="97" ht="9.75" customHeight="1">
      <c r="A97" s="360"/>
      <c r="B97" s="361"/>
      <c r="C97" s="363" t="s">
        <v>713</v>
      </c>
      <c r="D97" s="364"/>
      <c r="E97" s="364"/>
      <c r="F97" s="365"/>
      <c r="G97" s="366">
        <f>SUM(G96)</f>
        <v>3000</v>
      </c>
      <c r="H97" s="367">
        <f>G97</f>
        <v>3000</v>
      </c>
      <c r="I97" s="368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</row>
    <row r="98" ht="9.75" customHeight="1">
      <c r="A98" s="360"/>
      <c r="B98" s="361"/>
      <c r="C98" s="194" t="s">
        <v>880</v>
      </c>
      <c r="D98" s="356"/>
      <c r="E98" s="356"/>
      <c r="F98" s="357"/>
      <c r="G98" s="358"/>
      <c r="H98" s="4"/>
      <c r="I98" s="368"/>
      <c r="J98" s="368"/>
      <c r="K98" s="368"/>
      <c r="L98" s="368"/>
      <c r="M98" s="368"/>
      <c r="N98" s="368"/>
      <c r="O98" s="368"/>
      <c r="P98" s="368"/>
      <c r="Q98" s="368"/>
      <c r="R98" s="368"/>
      <c r="S98" s="368"/>
      <c r="T98" s="368"/>
      <c r="U98" s="368"/>
      <c r="V98" s="368"/>
      <c r="W98" s="368"/>
      <c r="X98" s="368"/>
      <c r="Y98" s="368"/>
      <c r="Z98" s="368"/>
    </row>
    <row r="99" ht="9.75" customHeight="1">
      <c r="A99" s="360" t="s">
        <v>848</v>
      </c>
      <c r="B99" s="362">
        <v>41821.0</v>
      </c>
      <c r="C99" s="146" t="s">
        <v>881</v>
      </c>
      <c r="D99" s="281" t="s">
        <v>34</v>
      </c>
      <c r="E99" s="282">
        <f>$E$6</f>
        <v>4</v>
      </c>
      <c r="F99" s="283">
        <v>40.0</v>
      </c>
      <c r="G99" s="284">
        <f t="shared" ref="G99:G100" si="10">E99*F99</f>
        <v>160</v>
      </c>
      <c r="H99" s="4"/>
      <c r="I99" s="368"/>
      <c r="J99" s="368"/>
      <c r="K99" s="368"/>
      <c r="L99" s="368"/>
      <c r="M99" s="368"/>
      <c r="N99" s="368"/>
      <c r="O99" s="368"/>
      <c r="P99" s="368"/>
      <c r="Q99" s="368"/>
      <c r="R99" s="368"/>
      <c r="S99" s="368"/>
      <c r="T99" s="368"/>
      <c r="U99" s="368"/>
      <c r="V99" s="368"/>
      <c r="W99" s="368"/>
      <c r="X99" s="368"/>
      <c r="Y99" s="368"/>
      <c r="Z99" s="368"/>
    </row>
    <row r="100" ht="9.75" customHeight="1">
      <c r="A100" s="360"/>
      <c r="B100" s="362"/>
      <c r="C100" s="387" t="s">
        <v>882</v>
      </c>
      <c r="D100" s="388" t="s">
        <v>34</v>
      </c>
      <c r="E100" s="389">
        <f>IF(E8&lt;&gt;0,1,0)</f>
        <v>1</v>
      </c>
      <c r="F100" s="380">
        <v>800.0</v>
      </c>
      <c r="G100" s="390">
        <f t="shared" si="10"/>
        <v>800</v>
      </c>
      <c r="H100" s="4"/>
      <c r="I100" s="368"/>
      <c r="J100" s="368"/>
      <c r="K100" s="368"/>
      <c r="L100" s="368"/>
      <c r="M100" s="368"/>
      <c r="N100" s="368"/>
      <c r="O100" s="368"/>
      <c r="P100" s="368"/>
      <c r="Q100" s="368"/>
      <c r="R100" s="368"/>
      <c r="S100" s="368"/>
      <c r="T100" s="368"/>
      <c r="U100" s="368"/>
      <c r="V100" s="368"/>
      <c r="W100" s="368"/>
      <c r="X100" s="368"/>
      <c r="Y100" s="368"/>
      <c r="Z100" s="368"/>
    </row>
    <row r="101" ht="9.75" customHeight="1">
      <c r="A101" s="360"/>
      <c r="B101" s="362"/>
      <c r="C101" s="146" t="s">
        <v>496</v>
      </c>
      <c r="D101" s="391"/>
      <c r="E101" s="392"/>
      <c r="F101" s="385"/>
      <c r="G101" s="393"/>
      <c r="H101" s="4"/>
      <c r="I101" s="368"/>
      <c r="J101" s="368"/>
      <c r="K101" s="368"/>
      <c r="L101" s="368"/>
      <c r="M101" s="368"/>
      <c r="N101" s="368"/>
      <c r="O101" s="368"/>
      <c r="P101" s="368"/>
      <c r="Q101" s="368"/>
      <c r="R101" s="368"/>
      <c r="S101" s="368"/>
      <c r="T101" s="368"/>
      <c r="U101" s="368"/>
      <c r="V101" s="368"/>
      <c r="W101" s="368"/>
      <c r="X101" s="368"/>
      <c r="Y101" s="368"/>
      <c r="Z101" s="368"/>
    </row>
    <row r="102" ht="9.75" customHeight="1">
      <c r="A102" s="360"/>
      <c r="B102" s="362"/>
      <c r="C102" s="203" t="s">
        <v>883</v>
      </c>
      <c r="D102" s="310" t="s">
        <v>34</v>
      </c>
      <c r="E102" s="386">
        <f t="shared" ref="E102:E106" si="11">SUM(D25:D26)</f>
        <v>0</v>
      </c>
      <c r="F102" s="309">
        <v>2500.0</v>
      </c>
      <c r="G102" s="370">
        <f t="shared" ref="G102:G106" si="12">F102*E102</f>
        <v>0</v>
      </c>
      <c r="H102" s="4"/>
      <c r="I102" s="368"/>
      <c r="J102" s="368">
        <f>14000/340</f>
        <v>41.17647059</v>
      </c>
      <c r="K102" s="368"/>
      <c r="L102" s="368"/>
      <c r="M102" s="368"/>
      <c r="N102" s="368"/>
      <c r="O102" s="368"/>
      <c r="P102" s="368"/>
      <c r="Q102" s="368"/>
      <c r="R102" s="368"/>
      <c r="S102" s="368"/>
      <c r="T102" s="368"/>
      <c r="U102" s="368"/>
      <c r="V102" s="368"/>
      <c r="W102" s="368"/>
      <c r="X102" s="368"/>
      <c r="Y102" s="368"/>
      <c r="Z102" s="368"/>
    </row>
    <row r="103" ht="9.75" customHeight="1">
      <c r="A103" s="360"/>
      <c r="B103" s="362"/>
      <c r="C103" s="203" t="s">
        <v>884</v>
      </c>
      <c r="D103" s="310" t="s">
        <v>34</v>
      </c>
      <c r="E103" s="386">
        <f t="shared" si="11"/>
        <v>0</v>
      </c>
      <c r="F103" s="309">
        <f>230+110+160</f>
        <v>500</v>
      </c>
      <c r="G103" s="370">
        <f t="shared" si="12"/>
        <v>0</v>
      </c>
      <c r="H103" s="4"/>
      <c r="I103" s="368"/>
      <c r="J103" s="368"/>
      <c r="K103" s="368"/>
      <c r="L103" s="368"/>
      <c r="M103" s="368"/>
      <c r="N103" s="368"/>
      <c r="O103" s="368"/>
      <c r="P103" s="368"/>
      <c r="Q103" s="368"/>
      <c r="R103" s="368"/>
      <c r="S103" s="368"/>
      <c r="T103" s="368"/>
      <c r="U103" s="368"/>
      <c r="V103" s="368"/>
      <c r="W103" s="368"/>
      <c r="X103" s="368"/>
      <c r="Y103" s="368"/>
      <c r="Z103" s="368"/>
    </row>
    <row r="104" ht="9.75" customHeight="1">
      <c r="A104" s="360"/>
      <c r="B104" s="362"/>
      <c r="C104" s="203" t="s">
        <v>885</v>
      </c>
      <c r="D104" s="310" t="s">
        <v>34</v>
      </c>
      <c r="E104" s="386">
        <f t="shared" si="11"/>
        <v>0</v>
      </c>
      <c r="F104" s="309">
        <v>700.0</v>
      </c>
      <c r="G104" s="370">
        <f t="shared" si="12"/>
        <v>0</v>
      </c>
      <c r="H104" s="4"/>
      <c r="I104" s="368"/>
      <c r="J104" s="368"/>
      <c r="K104" s="368"/>
      <c r="L104" s="368"/>
      <c r="M104" s="368"/>
      <c r="N104" s="368"/>
      <c r="O104" s="368"/>
      <c r="P104" s="368"/>
      <c r="Q104" s="368"/>
      <c r="R104" s="368"/>
      <c r="S104" s="368"/>
      <c r="T104" s="368"/>
      <c r="U104" s="368"/>
      <c r="V104" s="368"/>
      <c r="W104" s="368"/>
      <c r="X104" s="368"/>
      <c r="Y104" s="368"/>
      <c r="Z104" s="368"/>
    </row>
    <row r="105" ht="9.75" customHeight="1">
      <c r="A105" s="360"/>
      <c r="B105" s="362"/>
      <c r="C105" s="203" t="s">
        <v>886</v>
      </c>
      <c r="D105" s="310" t="s">
        <v>34</v>
      </c>
      <c r="E105" s="386">
        <f t="shared" si="11"/>
        <v>0</v>
      </c>
      <c r="F105" s="309">
        <v>5.0</v>
      </c>
      <c r="G105" s="370">
        <f t="shared" si="12"/>
        <v>0</v>
      </c>
      <c r="H105" s="4"/>
      <c r="I105" s="368"/>
      <c r="J105" s="368"/>
      <c r="K105" s="368"/>
      <c r="L105" s="368"/>
      <c r="M105" s="368"/>
      <c r="N105" s="368"/>
      <c r="O105" s="368"/>
      <c r="P105" s="368"/>
      <c r="Q105" s="368"/>
      <c r="R105" s="368"/>
      <c r="S105" s="368"/>
      <c r="T105" s="368"/>
      <c r="U105" s="368"/>
      <c r="V105" s="368"/>
      <c r="W105" s="368"/>
      <c r="X105" s="368"/>
      <c r="Y105" s="368"/>
      <c r="Z105" s="368"/>
    </row>
    <row r="106" ht="9.75" customHeight="1">
      <c r="A106" s="360"/>
      <c r="B106" s="362"/>
      <c r="C106" s="203"/>
      <c r="D106" s="310" t="s">
        <v>34</v>
      </c>
      <c r="E106" s="386">
        <f t="shared" si="11"/>
        <v>0</v>
      </c>
      <c r="F106" s="309">
        <v>155.0</v>
      </c>
      <c r="G106" s="370">
        <f t="shared" si="12"/>
        <v>0</v>
      </c>
      <c r="H106" s="4"/>
      <c r="I106" s="368"/>
      <c r="J106" s="368"/>
      <c r="K106" s="368"/>
      <c r="L106" s="368"/>
      <c r="M106" s="368"/>
      <c r="N106" s="368"/>
      <c r="O106" s="368"/>
      <c r="P106" s="368"/>
      <c r="Q106" s="368"/>
      <c r="R106" s="368"/>
      <c r="S106" s="368"/>
      <c r="T106" s="368"/>
      <c r="U106" s="368"/>
      <c r="V106" s="368"/>
      <c r="W106" s="368"/>
      <c r="X106" s="368"/>
      <c r="Y106" s="368"/>
      <c r="Z106" s="368"/>
    </row>
    <row r="107" ht="9.75" customHeight="1">
      <c r="A107" s="360"/>
      <c r="B107" s="361"/>
      <c r="C107" s="363" t="s">
        <v>713</v>
      </c>
      <c r="D107" s="364"/>
      <c r="E107" s="364"/>
      <c r="F107" s="365"/>
      <c r="G107" s="366">
        <f>SUM(G99:G100)</f>
        <v>960</v>
      </c>
      <c r="H107" s="367">
        <f>G107</f>
        <v>960</v>
      </c>
      <c r="I107" s="368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</row>
    <row r="108" ht="9.75" customHeight="1">
      <c r="A108" s="360"/>
      <c r="B108" s="361"/>
      <c r="C108" s="194" t="s">
        <v>887</v>
      </c>
      <c r="D108" s="356"/>
      <c r="E108" s="356"/>
      <c r="F108" s="357"/>
      <c r="G108" s="358"/>
      <c r="H108" s="4"/>
      <c r="I108" s="368"/>
      <c r="J108" s="368"/>
      <c r="K108" s="368"/>
      <c r="L108" s="368"/>
      <c r="M108" s="368"/>
      <c r="N108" s="368"/>
      <c r="O108" s="368"/>
      <c r="P108" s="368"/>
      <c r="Q108" s="368"/>
      <c r="R108" s="368"/>
      <c r="S108" s="368"/>
      <c r="T108" s="368"/>
      <c r="U108" s="368"/>
      <c r="V108" s="368"/>
      <c r="W108" s="368"/>
      <c r="X108" s="368"/>
      <c r="Y108" s="368"/>
      <c r="Z108" s="368"/>
    </row>
    <row r="109" ht="9.75" customHeight="1">
      <c r="A109" s="360"/>
      <c r="B109" s="362"/>
      <c r="C109" s="387" t="s">
        <v>888</v>
      </c>
      <c r="D109" s="388" t="s">
        <v>34</v>
      </c>
      <c r="E109" s="389">
        <v>0.0</v>
      </c>
      <c r="F109" s="380">
        <v>1000.0</v>
      </c>
      <c r="G109" s="390">
        <f>E109*F109</f>
        <v>0</v>
      </c>
      <c r="H109" s="4"/>
      <c r="I109" s="368"/>
      <c r="J109" s="368"/>
      <c r="K109" s="368"/>
      <c r="L109" s="368"/>
      <c r="M109" s="368"/>
      <c r="N109" s="368"/>
      <c r="O109" s="368"/>
      <c r="P109" s="368"/>
      <c r="Q109" s="368"/>
      <c r="R109" s="368"/>
      <c r="S109" s="368"/>
      <c r="T109" s="368"/>
      <c r="U109" s="368"/>
      <c r="V109" s="368"/>
      <c r="W109" s="368"/>
      <c r="X109" s="368"/>
      <c r="Y109" s="368"/>
      <c r="Z109" s="368"/>
    </row>
    <row r="110" ht="9.75" customHeight="1">
      <c r="A110" s="360"/>
      <c r="B110" s="361"/>
      <c r="C110" s="363" t="s">
        <v>713</v>
      </c>
      <c r="D110" s="364"/>
      <c r="E110" s="364"/>
      <c r="F110" s="365"/>
      <c r="G110" s="366">
        <f>SUM(G109)</f>
        <v>0</v>
      </c>
      <c r="H110" s="367">
        <f>G110</f>
        <v>0</v>
      </c>
      <c r="I110" s="368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</row>
    <row r="111" ht="9.75" customHeight="1">
      <c r="A111" s="360"/>
      <c r="B111" s="361"/>
      <c r="C111" s="394"/>
      <c r="D111" s="395"/>
      <c r="E111" s="395"/>
      <c r="F111" s="396"/>
      <c r="G111" s="397"/>
      <c r="H111" s="367"/>
      <c r="I111" s="368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</row>
    <row r="112" ht="9.75" customHeight="1">
      <c r="A112" s="360"/>
      <c r="B112" s="361"/>
      <c r="C112" s="394"/>
      <c r="D112" s="395"/>
      <c r="E112" s="395"/>
      <c r="F112" s="396"/>
      <c r="G112" s="397"/>
      <c r="H112" s="367"/>
      <c r="I112" s="368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</row>
    <row r="113" ht="9.75" customHeight="1">
      <c r="A113" s="360"/>
      <c r="B113" s="361"/>
      <c r="C113" s="394"/>
      <c r="D113" s="395"/>
      <c r="E113" s="395"/>
      <c r="F113" s="396"/>
      <c r="G113" s="397"/>
      <c r="H113" s="367"/>
      <c r="I113" s="368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</row>
    <row r="114" ht="9.75" customHeight="1">
      <c r="A114" s="360"/>
      <c r="B114" s="361"/>
      <c r="C114" s="394"/>
      <c r="D114" s="395"/>
      <c r="E114" s="395"/>
      <c r="F114" s="396"/>
      <c r="G114" s="397"/>
      <c r="H114" s="367"/>
      <c r="I114" s="368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</row>
    <row r="115" ht="9.75" customHeight="1">
      <c r="A115" s="398"/>
      <c r="B115" s="399"/>
      <c r="C115" s="400" t="s">
        <v>889</v>
      </c>
      <c r="D115" s="401"/>
      <c r="E115" s="401"/>
      <c r="F115" s="402"/>
      <c r="G115" s="403">
        <f>SUM(G16:G114)/2</f>
        <v>42499</v>
      </c>
      <c r="H115" s="404">
        <f>SUM(H16:H114)</f>
        <v>42499</v>
      </c>
      <c r="I115" s="405">
        <f>G115/H115</f>
        <v>1</v>
      </c>
      <c r="J115" s="368"/>
      <c r="K115" s="368"/>
      <c r="L115" s="368"/>
      <c r="M115" s="368"/>
      <c r="N115" s="368"/>
      <c r="O115" s="368"/>
      <c r="P115" s="368"/>
      <c r="Q115" s="368"/>
      <c r="R115" s="368"/>
      <c r="S115" s="368"/>
      <c r="T115" s="368"/>
      <c r="U115" s="368"/>
      <c r="V115" s="368"/>
      <c r="W115" s="368"/>
      <c r="X115" s="368"/>
      <c r="Y115" s="368"/>
      <c r="Z115" s="368"/>
    </row>
    <row r="116" ht="9.75" customHeight="1">
      <c r="A116" s="343"/>
      <c r="B116" s="344"/>
      <c r="C116" s="182"/>
      <c r="D116" s="406"/>
      <c r="E116" s="406"/>
      <c r="F116" s="407"/>
      <c r="G116" s="407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</row>
    <row r="117" ht="9.75" customHeight="1">
      <c r="A117" s="343"/>
      <c r="B117" s="344"/>
      <c r="C117" s="182"/>
      <c r="D117" s="406"/>
      <c r="E117" s="406"/>
      <c r="F117" s="407"/>
      <c r="G117" s="407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</row>
    <row r="118" ht="9.75" customHeight="1">
      <c r="A118" s="343"/>
      <c r="B118" s="344"/>
      <c r="C118" s="182"/>
      <c r="D118" s="406"/>
      <c r="E118" s="406"/>
      <c r="F118" s="407"/>
      <c r="G118" s="407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</row>
    <row r="119" ht="9.75" customHeight="1">
      <c r="A119" s="343"/>
      <c r="B119" s="344"/>
      <c r="C119" s="182"/>
      <c r="D119" s="406"/>
      <c r="E119" s="406"/>
      <c r="F119" s="407"/>
      <c r="G119" s="407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</row>
    <row r="120" ht="9.75" customHeight="1">
      <c r="A120" s="343"/>
      <c r="B120" s="344"/>
      <c r="C120" s="182"/>
      <c r="D120" s="406"/>
      <c r="E120" s="406"/>
      <c r="F120" s="407"/>
      <c r="G120" s="407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</row>
    <row r="121" ht="9.75" customHeight="1">
      <c r="A121" s="343"/>
      <c r="B121" s="344"/>
      <c r="C121" s="182"/>
      <c r="D121" s="406"/>
      <c r="E121" s="406"/>
      <c r="F121" s="407"/>
      <c r="G121" s="407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</row>
    <row r="122" ht="9.75" customHeight="1">
      <c r="A122" s="343"/>
      <c r="B122" s="344"/>
      <c r="C122" s="182"/>
      <c r="D122" s="406"/>
      <c r="E122" s="406"/>
      <c r="F122" s="407"/>
      <c r="G122" s="407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</row>
    <row r="123" ht="9.75" customHeight="1">
      <c r="A123" s="343"/>
      <c r="B123" s="344"/>
      <c r="C123" s="182"/>
      <c r="D123" s="406"/>
      <c r="E123" s="406"/>
      <c r="F123" s="407"/>
      <c r="G123" s="407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</row>
    <row r="124" ht="9.75" customHeight="1">
      <c r="A124" s="343"/>
      <c r="B124" s="344"/>
      <c r="C124" s="182"/>
      <c r="D124" s="406"/>
      <c r="E124" s="406"/>
      <c r="F124" s="407"/>
      <c r="G124" s="407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</row>
    <row r="125" ht="9.75" customHeight="1">
      <c r="A125" s="343"/>
      <c r="B125" s="344"/>
      <c r="C125" s="182"/>
      <c r="D125" s="406"/>
      <c r="E125" s="406"/>
      <c r="F125" s="407"/>
      <c r="G125" s="407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</row>
    <row r="126" ht="9.75" customHeight="1">
      <c r="A126" s="343"/>
      <c r="B126" s="344"/>
      <c r="C126" s="182"/>
      <c r="D126" s="406"/>
      <c r="E126" s="406"/>
      <c r="F126" s="407"/>
      <c r="G126" s="407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  <c r="Z126" s="4"/>
    </row>
    <row r="127" ht="9.75" customHeight="1">
      <c r="A127" s="343"/>
      <c r="B127" s="344"/>
      <c r="C127" s="182"/>
      <c r="D127" s="406"/>
      <c r="E127" s="406"/>
      <c r="F127" s="407"/>
      <c r="G127" s="407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</row>
    <row r="128" ht="9.75" customHeight="1">
      <c r="A128" s="343"/>
      <c r="B128" s="344"/>
      <c r="C128" s="182"/>
      <c r="D128" s="406"/>
      <c r="E128" s="406"/>
      <c r="F128" s="407"/>
      <c r="G128" s="407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</row>
    <row r="129" ht="9.75" customHeight="1">
      <c r="A129" s="343"/>
      <c r="B129" s="344"/>
      <c r="C129" s="182"/>
      <c r="D129" s="406"/>
      <c r="E129" s="406"/>
      <c r="F129" s="407"/>
      <c r="G129" s="407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</row>
    <row r="130" ht="9.75" customHeight="1">
      <c r="A130" s="343"/>
      <c r="B130" s="344"/>
      <c r="C130" s="182"/>
      <c r="D130" s="406"/>
      <c r="E130" s="406"/>
      <c r="F130" s="407"/>
      <c r="G130" s="407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</row>
    <row r="131" ht="9.75" customHeight="1">
      <c r="A131" s="343"/>
      <c r="B131" s="344"/>
      <c r="C131" s="182"/>
      <c r="D131" s="406"/>
      <c r="E131" s="406"/>
      <c r="F131" s="407"/>
      <c r="G131" s="407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</row>
    <row r="132" ht="9.75" customHeight="1">
      <c r="A132" s="343"/>
      <c r="B132" s="344"/>
      <c r="C132" s="182"/>
      <c r="D132" s="406"/>
      <c r="E132" s="406"/>
      <c r="F132" s="407"/>
      <c r="G132" s="407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</row>
    <row r="133" ht="9.75" customHeight="1">
      <c r="A133" s="343"/>
      <c r="B133" s="344"/>
      <c r="C133" s="182"/>
      <c r="D133" s="406"/>
      <c r="E133" s="406"/>
      <c r="F133" s="407"/>
      <c r="G133" s="407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</row>
    <row r="134" ht="9.75" customHeight="1">
      <c r="A134" s="343"/>
      <c r="B134" s="344"/>
      <c r="C134" s="182"/>
      <c r="D134" s="406"/>
      <c r="E134" s="406"/>
      <c r="F134" s="407"/>
      <c r="G134" s="407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</row>
    <row r="135" ht="9.75" customHeight="1">
      <c r="A135" s="343"/>
      <c r="B135" s="344"/>
      <c r="C135" s="182"/>
      <c r="D135" s="406"/>
      <c r="E135" s="406"/>
      <c r="F135" s="407"/>
      <c r="G135" s="407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</row>
    <row r="136" ht="9.75" customHeight="1">
      <c r="A136" s="343"/>
      <c r="B136" s="344"/>
      <c r="C136" s="182"/>
      <c r="D136" s="406"/>
      <c r="E136" s="406"/>
      <c r="F136" s="407"/>
      <c r="G136" s="407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</row>
    <row r="137" ht="9.75" customHeight="1">
      <c r="A137" s="343"/>
      <c r="B137" s="344"/>
      <c r="C137" s="182"/>
      <c r="D137" s="406"/>
      <c r="E137" s="406"/>
      <c r="F137" s="407"/>
      <c r="G137" s="407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</row>
    <row r="138" ht="9.75" customHeight="1">
      <c r="A138" s="343"/>
      <c r="B138" s="344"/>
      <c r="C138" s="182"/>
      <c r="D138" s="406"/>
      <c r="E138" s="406"/>
      <c r="F138" s="407"/>
      <c r="G138" s="407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</row>
    <row r="139" ht="9.75" customHeight="1">
      <c r="A139" s="343"/>
      <c r="B139" s="344"/>
      <c r="C139" s="182"/>
      <c r="D139" s="406"/>
      <c r="E139" s="406"/>
      <c r="F139" s="407"/>
      <c r="G139" s="407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</row>
    <row r="140" ht="9.75" customHeight="1">
      <c r="A140" s="343"/>
      <c r="B140" s="344"/>
      <c r="C140" s="182"/>
      <c r="D140" s="406"/>
      <c r="E140" s="406"/>
      <c r="F140" s="407"/>
      <c r="G140" s="407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</row>
    <row r="141" ht="9.75" customHeight="1">
      <c r="A141" s="343"/>
      <c r="B141" s="344"/>
      <c r="C141" s="182"/>
      <c r="D141" s="406"/>
      <c r="E141" s="406"/>
      <c r="F141" s="407"/>
      <c r="G141" s="407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</row>
    <row r="142" ht="9.75" customHeight="1">
      <c r="A142" s="343"/>
      <c r="B142" s="344"/>
      <c r="C142" s="182"/>
      <c r="D142" s="406"/>
      <c r="E142" s="406"/>
      <c r="F142" s="407"/>
      <c r="G142" s="407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</row>
    <row r="143" ht="9.75" customHeight="1">
      <c r="A143" s="343"/>
      <c r="B143" s="344"/>
      <c r="C143" s="182"/>
      <c r="D143" s="406"/>
      <c r="E143" s="406"/>
      <c r="F143" s="407"/>
      <c r="G143" s="407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</row>
    <row r="144" ht="9.75" customHeight="1">
      <c r="A144" s="343"/>
      <c r="B144" s="344"/>
      <c r="C144" s="182"/>
      <c r="D144" s="406"/>
      <c r="E144" s="406"/>
      <c r="F144" s="407"/>
      <c r="G144" s="407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</row>
    <row r="145" ht="9.75" customHeight="1">
      <c r="A145" s="343"/>
      <c r="B145" s="344"/>
      <c r="C145" s="182"/>
      <c r="D145" s="406"/>
      <c r="E145" s="406"/>
      <c r="F145" s="407"/>
      <c r="G145" s="407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</row>
    <row r="146" ht="9.75" customHeight="1">
      <c r="A146" s="343"/>
      <c r="B146" s="344"/>
      <c r="C146" s="182"/>
      <c r="D146" s="406"/>
      <c r="E146" s="406"/>
      <c r="F146" s="407"/>
      <c r="G146" s="407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</row>
    <row r="147" ht="9.75" customHeight="1">
      <c r="A147" s="343"/>
      <c r="B147" s="344"/>
      <c r="C147" s="182"/>
      <c r="D147" s="406"/>
      <c r="E147" s="406"/>
      <c r="F147" s="407"/>
      <c r="G147" s="407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</row>
    <row r="148" ht="9.75" customHeight="1">
      <c r="A148" s="343"/>
      <c r="B148" s="344"/>
      <c r="C148" s="182"/>
      <c r="D148" s="406"/>
      <c r="E148" s="406"/>
      <c r="F148" s="407"/>
      <c r="G148" s="407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</row>
    <row r="149" ht="9.75" customHeight="1">
      <c r="A149" s="343"/>
      <c r="B149" s="344"/>
      <c r="C149" s="182"/>
      <c r="D149" s="406"/>
      <c r="E149" s="406"/>
      <c r="F149" s="407"/>
      <c r="G149" s="407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4"/>
    </row>
    <row r="150" ht="9.75" customHeight="1">
      <c r="A150" s="343"/>
      <c r="B150" s="344"/>
      <c r="C150" s="182"/>
      <c r="D150" s="406"/>
      <c r="E150" s="406"/>
      <c r="F150" s="407"/>
      <c r="G150" s="407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</row>
    <row r="151" ht="9.75" customHeight="1">
      <c r="A151" s="343"/>
      <c r="B151" s="344"/>
      <c r="C151" s="182"/>
      <c r="D151" s="406"/>
      <c r="E151" s="406"/>
      <c r="F151" s="407"/>
      <c r="G151" s="407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</row>
    <row r="152" ht="9.75" customHeight="1">
      <c r="A152" s="343"/>
      <c r="B152" s="344"/>
      <c r="C152" s="182"/>
      <c r="D152" s="406"/>
      <c r="E152" s="406"/>
      <c r="F152" s="407"/>
      <c r="G152" s="407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</row>
    <row r="153" ht="9.75" customHeight="1">
      <c r="A153" s="343"/>
      <c r="B153" s="344"/>
      <c r="C153" s="182"/>
      <c r="D153" s="406"/>
      <c r="E153" s="406"/>
      <c r="F153" s="407"/>
      <c r="G153" s="407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</row>
    <row r="154" ht="9.75" customHeight="1">
      <c r="A154" s="343"/>
      <c r="B154" s="344"/>
      <c r="C154" s="182"/>
      <c r="D154" s="406"/>
      <c r="E154" s="406"/>
      <c r="F154" s="407"/>
      <c r="G154" s="407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</row>
    <row r="155" ht="9.75" customHeight="1">
      <c r="A155" s="343"/>
      <c r="B155" s="344"/>
      <c r="C155" s="182"/>
      <c r="D155" s="406"/>
      <c r="E155" s="406"/>
      <c r="F155" s="407"/>
      <c r="G155" s="407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/>
    </row>
    <row r="156" ht="9.75" customHeight="1">
      <c r="A156" s="343"/>
      <c r="B156" s="344"/>
      <c r="C156" s="182"/>
      <c r="D156" s="406"/>
      <c r="E156" s="406"/>
      <c r="F156" s="407"/>
      <c r="G156" s="407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</row>
    <row r="157" ht="9.75" customHeight="1">
      <c r="A157" s="343"/>
      <c r="B157" s="344"/>
      <c r="C157" s="182"/>
      <c r="D157" s="406"/>
      <c r="E157" s="406"/>
      <c r="F157" s="407"/>
      <c r="G157" s="407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</row>
    <row r="158" ht="9.75" customHeight="1">
      <c r="A158" s="343"/>
      <c r="B158" s="344"/>
      <c r="C158" s="182"/>
      <c r="D158" s="406"/>
      <c r="E158" s="406"/>
      <c r="F158" s="407"/>
      <c r="G158" s="407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</row>
    <row r="159" ht="9.75" customHeight="1">
      <c r="A159" s="343"/>
      <c r="B159" s="344"/>
      <c r="C159" s="182"/>
      <c r="D159" s="406"/>
      <c r="E159" s="406"/>
      <c r="F159" s="407"/>
      <c r="G159" s="407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</row>
    <row r="160" ht="9.75" customHeight="1">
      <c r="A160" s="343"/>
      <c r="B160" s="344"/>
      <c r="C160" s="182"/>
      <c r="D160" s="406"/>
      <c r="E160" s="406"/>
      <c r="F160" s="407"/>
      <c r="G160" s="407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</row>
    <row r="161" ht="9.75" customHeight="1">
      <c r="A161" s="343"/>
      <c r="B161" s="344"/>
      <c r="C161" s="182"/>
      <c r="D161" s="406"/>
      <c r="E161" s="406"/>
      <c r="F161" s="407"/>
      <c r="G161" s="407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  <c r="Z161" s="4"/>
    </row>
    <row r="162" ht="9.75" customHeight="1">
      <c r="A162" s="343"/>
      <c r="B162" s="344"/>
      <c r="C162" s="182"/>
      <c r="D162" s="406"/>
      <c r="E162" s="406"/>
      <c r="F162" s="407"/>
      <c r="G162" s="407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</row>
    <row r="163" ht="9.75" customHeight="1">
      <c r="A163" s="343"/>
      <c r="B163" s="344"/>
      <c r="C163" s="182"/>
      <c r="D163" s="406"/>
      <c r="E163" s="406"/>
      <c r="F163" s="407"/>
      <c r="G163" s="407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</row>
    <row r="164" ht="9.75" customHeight="1">
      <c r="A164" s="343"/>
      <c r="B164" s="344"/>
      <c r="C164" s="182"/>
      <c r="D164" s="406"/>
      <c r="E164" s="406"/>
      <c r="F164" s="407"/>
      <c r="G164" s="407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</row>
    <row r="165" ht="9.75" customHeight="1">
      <c r="A165" s="343"/>
      <c r="B165" s="344"/>
      <c r="C165" s="182"/>
      <c r="D165" s="406"/>
      <c r="E165" s="406"/>
      <c r="F165" s="407"/>
      <c r="G165" s="407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</row>
    <row r="166" ht="9.75" customHeight="1">
      <c r="A166" s="343"/>
      <c r="B166" s="344"/>
      <c r="C166" s="182"/>
      <c r="D166" s="406"/>
      <c r="E166" s="406"/>
      <c r="F166" s="407"/>
      <c r="G166" s="407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</row>
    <row r="167" ht="9.75" customHeight="1">
      <c r="A167" s="343"/>
      <c r="B167" s="344"/>
      <c r="C167" s="182"/>
      <c r="D167" s="406"/>
      <c r="E167" s="406"/>
      <c r="F167" s="407"/>
      <c r="G167" s="407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  <c r="Z167" s="4"/>
    </row>
    <row r="168" ht="9.75" customHeight="1">
      <c r="A168" s="343"/>
      <c r="B168" s="344"/>
      <c r="C168" s="182"/>
      <c r="D168" s="406"/>
      <c r="E168" s="406"/>
      <c r="F168" s="407"/>
      <c r="G168" s="407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</row>
    <row r="169" ht="9.75" customHeight="1">
      <c r="A169" s="343"/>
      <c r="B169" s="344"/>
      <c r="C169" s="182"/>
      <c r="D169" s="406"/>
      <c r="E169" s="406"/>
      <c r="F169" s="407"/>
      <c r="G169" s="407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</row>
    <row r="170" ht="9.75" customHeight="1">
      <c r="A170" s="343"/>
      <c r="B170" s="344"/>
      <c r="C170" s="182"/>
      <c r="D170" s="406"/>
      <c r="E170" s="406"/>
      <c r="F170" s="407"/>
      <c r="G170" s="407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</row>
    <row r="171" ht="9.75" customHeight="1">
      <c r="A171" s="343"/>
      <c r="B171" s="344"/>
      <c r="C171" s="182"/>
      <c r="D171" s="406"/>
      <c r="E171" s="406"/>
      <c r="F171" s="407"/>
      <c r="G171" s="407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</row>
    <row r="172" ht="9.75" customHeight="1">
      <c r="A172" s="343"/>
      <c r="B172" s="344"/>
      <c r="C172" s="182"/>
      <c r="D172" s="406"/>
      <c r="E172" s="406"/>
      <c r="F172" s="407"/>
      <c r="G172" s="407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</row>
    <row r="173" ht="9.75" customHeight="1">
      <c r="A173" s="343"/>
      <c r="B173" s="344"/>
      <c r="C173" s="182"/>
      <c r="D173" s="406"/>
      <c r="E173" s="406"/>
      <c r="F173" s="407"/>
      <c r="G173" s="407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4"/>
      <c r="Y173" s="4"/>
      <c r="Z173" s="4"/>
    </row>
    <row r="174" ht="9.75" customHeight="1">
      <c r="A174" s="343"/>
      <c r="B174" s="344"/>
      <c r="C174" s="182"/>
      <c r="D174" s="406"/>
      <c r="E174" s="406"/>
      <c r="F174" s="407"/>
      <c r="G174" s="407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  <c r="Z174" s="4"/>
    </row>
    <row r="175" ht="9.75" customHeight="1">
      <c r="A175" s="343"/>
      <c r="B175" s="344"/>
      <c r="C175" s="182"/>
      <c r="D175" s="406"/>
      <c r="E175" s="406"/>
      <c r="F175" s="407"/>
      <c r="G175" s="407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</row>
    <row r="176" ht="9.75" customHeight="1">
      <c r="A176" s="343"/>
      <c r="B176" s="344"/>
      <c r="C176" s="182"/>
      <c r="D176" s="406"/>
      <c r="E176" s="406"/>
      <c r="F176" s="407"/>
      <c r="G176" s="407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</row>
    <row r="177" ht="9.75" customHeight="1">
      <c r="A177" s="343"/>
      <c r="B177" s="344"/>
      <c r="C177" s="182"/>
      <c r="D177" s="406"/>
      <c r="E177" s="406"/>
      <c r="F177" s="407"/>
      <c r="G177" s="407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</row>
    <row r="178" ht="9.75" customHeight="1">
      <c r="A178" s="343"/>
      <c r="B178" s="344"/>
      <c r="C178" s="182"/>
      <c r="D178" s="406"/>
      <c r="E178" s="406"/>
      <c r="F178" s="407"/>
      <c r="G178" s="407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</row>
    <row r="179" ht="9.75" customHeight="1">
      <c r="A179" s="343"/>
      <c r="B179" s="344"/>
      <c r="C179" s="182"/>
      <c r="D179" s="406"/>
      <c r="E179" s="406"/>
      <c r="F179" s="407"/>
      <c r="G179" s="407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4"/>
      <c r="Y179" s="4"/>
      <c r="Z179" s="4"/>
    </row>
    <row r="180" ht="9.75" customHeight="1">
      <c r="A180" s="343"/>
      <c r="B180" s="344"/>
      <c r="C180" s="182"/>
      <c r="D180" s="406"/>
      <c r="E180" s="406"/>
      <c r="F180" s="407"/>
      <c r="G180" s="407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</row>
    <row r="181" ht="9.75" customHeight="1">
      <c r="A181" s="343"/>
      <c r="B181" s="344"/>
      <c r="C181" s="182"/>
      <c r="D181" s="406"/>
      <c r="E181" s="406"/>
      <c r="F181" s="407"/>
      <c r="G181" s="407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</row>
    <row r="182" ht="9.75" customHeight="1">
      <c r="A182" s="343"/>
      <c r="B182" s="344"/>
      <c r="C182" s="182"/>
      <c r="D182" s="406"/>
      <c r="E182" s="406"/>
      <c r="F182" s="407"/>
      <c r="G182" s="407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</row>
    <row r="183" ht="9.75" customHeight="1">
      <c r="A183" s="343"/>
      <c r="B183" s="344"/>
      <c r="C183" s="182"/>
      <c r="D183" s="406"/>
      <c r="E183" s="406"/>
      <c r="F183" s="407"/>
      <c r="G183" s="407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</row>
    <row r="184" ht="9.75" customHeight="1">
      <c r="A184" s="343"/>
      <c r="B184" s="344"/>
      <c r="C184" s="182"/>
      <c r="D184" s="406"/>
      <c r="E184" s="406"/>
      <c r="F184" s="407"/>
      <c r="G184" s="407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</row>
    <row r="185" ht="9.75" customHeight="1">
      <c r="A185" s="343"/>
      <c r="B185" s="344"/>
      <c r="C185" s="182"/>
      <c r="D185" s="406"/>
      <c r="E185" s="406"/>
      <c r="F185" s="407"/>
      <c r="G185" s="407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4"/>
      <c r="Y185" s="4"/>
      <c r="Z185" s="4"/>
    </row>
    <row r="186" ht="9.75" customHeight="1">
      <c r="A186" s="343"/>
      <c r="B186" s="344"/>
      <c r="C186" s="182"/>
      <c r="D186" s="406"/>
      <c r="E186" s="406"/>
      <c r="F186" s="407"/>
      <c r="G186" s="407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</row>
    <row r="187" ht="9.75" customHeight="1">
      <c r="A187" s="343"/>
      <c r="B187" s="344"/>
      <c r="C187" s="182"/>
      <c r="D187" s="406"/>
      <c r="E187" s="406"/>
      <c r="F187" s="407"/>
      <c r="G187" s="407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</row>
    <row r="188" ht="9.75" customHeight="1">
      <c r="A188" s="343"/>
      <c r="B188" s="344"/>
      <c r="C188" s="182"/>
      <c r="D188" s="406"/>
      <c r="E188" s="406"/>
      <c r="F188" s="407"/>
      <c r="G188" s="407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</row>
    <row r="189" ht="9.75" customHeight="1">
      <c r="A189" s="343"/>
      <c r="B189" s="344"/>
      <c r="C189" s="182"/>
      <c r="D189" s="406"/>
      <c r="E189" s="406"/>
      <c r="F189" s="407"/>
      <c r="G189" s="407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</row>
    <row r="190" ht="9.75" customHeight="1">
      <c r="A190" s="343"/>
      <c r="B190" s="344"/>
      <c r="C190" s="182"/>
      <c r="D190" s="406"/>
      <c r="E190" s="406"/>
      <c r="F190" s="407"/>
      <c r="G190" s="407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</row>
    <row r="191" ht="9.75" customHeight="1">
      <c r="A191" s="343"/>
      <c r="B191" s="344"/>
      <c r="C191" s="182"/>
      <c r="D191" s="406"/>
      <c r="E191" s="406"/>
      <c r="F191" s="407"/>
      <c r="G191" s="407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4"/>
      <c r="Y191" s="4"/>
      <c r="Z191" s="4"/>
    </row>
    <row r="192" ht="9.75" customHeight="1">
      <c r="A192" s="343"/>
      <c r="B192" s="344"/>
      <c r="C192" s="182"/>
      <c r="D192" s="406"/>
      <c r="E192" s="406"/>
      <c r="F192" s="407"/>
      <c r="G192" s="407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</row>
    <row r="193" ht="9.75" customHeight="1">
      <c r="A193" s="343"/>
      <c r="B193" s="344"/>
      <c r="C193" s="182"/>
      <c r="D193" s="406"/>
      <c r="E193" s="406"/>
      <c r="F193" s="407"/>
      <c r="G193" s="407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</row>
    <row r="194" ht="9.75" customHeight="1">
      <c r="A194" s="343"/>
      <c r="B194" s="344"/>
      <c r="C194" s="182"/>
      <c r="D194" s="406"/>
      <c r="E194" s="406"/>
      <c r="F194" s="407"/>
      <c r="G194" s="407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</row>
    <row r="195" ht="9.75" customHeight="1">
      <c r="A195" s="343"/>
      <c r="B195" s="344"/>
      <c r="C195" s="182"/>
      <c r="D195" s="406"/>
      <c r="E195" s="406"/>
      <c r="F195" s="407"/>
      <c r="G195" s="407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</row>
    <row r="196" ht="9.75" customHeight="1">
      <c r="A196" s="343"/>
      <c r="B196" s="344"/>
      <c r="C196" s="182"/>
      <c r="D196" s="406"/>
      <c r="E196" s="406"/>
      <c r="F196" s="407"/>
      <c r="G196" s="407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</row>
    <row r="197" ht="9.75" customHeight="1">
      <c r="A197" s="343"/>
      <c r="B197" s="344"/>
      <c r="C197" s="182"/>
      <c r="D197" s="406"/>
      <c r="E197" s="406"/>
      <c r="F197" s="407"/>
      <c r="G197" s="407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  <c r="Z197" s="4"/>
    </row>
    <row r="198" ht="9.75" customHeight="1">
      <c r="A198" s="343"/>
      <c r="B198" s="344"/>
      <c r="C198" s="182"/>
      <c r="D198" s="406"/>
      <c r="E198" s="406"/>
      <c r="F198" s="407"/>
      <c r="G198" s="407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</row>
    <row r="199" ht="9.75" customHeight="1">
      <c r="A199" s="343"/>
      <c r="B199" s="344"/>
      <c r="C199" s="182"/>
      <c r="D199" s="406"/>
      <c r="E199" s="406"/>
      <c r="F199" s="407"/>
      <c r="G199" s="407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</row>
    <row r="200" ht="9.75" customHeight="1">
      <c r="A200" s="343"/>
      <c r="B200" s="344"/>
      <c r="C200" s="182"/>
      <c r="D200" s="406"/>
      <c r="E200" s="406"/>
      <c r="F200" s="407"/>
      <c r="G200" s="407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</row>
    <row r="201" ht="9.75" customHeight="1">
      <c r="A201" s="343"/>
      <c r="B201" s="344"/>
      <c r="C201" s="182"/>
      <c r="D201" s="406"/>
      <c r="E201" s="406"/>
      <c r="F201" s="407"/>
      <c r="G201" s="407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</row>
    <row r="202" ht="9.75" customHeight="1">
      <c r="A202" s="343"/>
      <c r="B202" s="344"/>
      <c r="C202" s="182"/>
      <c r="D202" s="406"/>
      <c r="E202" s="406"/>
      <c r="F202" s="407"/>
      <c r="G202" s="407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4"/>
      <c r="Y202" s="4"/>
      <c r="Z202" s="4"/>
    </row>
    <row r="203" ht="9.75" customHeight="1">
      <c r="A203" s="343"/>
      <c r="B203" s="344"/>
      <c r="C203" s="182"/>
      <c r="D203" s="406"/>
      <c r="E203" s="406"/>
      <c r="F203" s="407"/>
      <c r="G203" s="407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</row>
    <row r="204" ht="9.75" customHeight="1">
      <c r="A204" s="343"/>
      <c r="B204" s="344"/>
      <c r="C204" s="182"/>
      <c r="D204" s="406"/>
      <c r="E204" s="406"/>
      <c r="F204" s="407"/>
      <c r="G204" s="407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</row>
    <row r="205" ht="9.75" customHeight="1">
      <c r="A205" s="343"/>
      <c r="B205" s="344"/>
      <c r="C205" s="182"/>
      <c r="D205" s="406"/>
      <c r="E205" s="406"/>
      <c r="F205" s="407"/>
      <c r="G205" s="407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</row>
    <row r="206" ht="9.75" customHeight="1">
      <c r="A206" s="343"/>
      <c r="B206" s="344"/>
      <c r="C206" s="182"/>
      <c r="D206" s="406"/>
      <c r="E206" s="406"/>
      <c r="F206" s="407"/>
      <c r="G206" s="407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</row>
    <row r="207" ht="9.75" customHeight="1">
      <c r="A207" s="343"/>
      <c r="B207" s="344"/>
      <c r="C207" s="182"/>
      <c r="D207" s="406"/>
      <c r="E207" s="406"/>
      <c r="F207" s="407"/>
      <c r="G207" s="407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</row>
    <row r="208" ht="9.75" customHeight="1">
      <c r="A208" s="343"/>
      <c r="B208" s="344"/>
      <c r="C208" s="182"/>
      <c r="D208" s="406"/>
      <c r="E208" s="406"/>
      <c r="F208" s="407"/>
      <c r="G208" s="407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  <c r="Z208" s="4"/>
    </row>
    <row r="209" ht="9.75" customHeight="1">
      <c r="A209" s="343"/>
      <c r="B209" s="344"/>
      <c r="C209" s="182"/>
      <c r="D209" s="406"/>
      <c r="E209" s="406"/>
      <c r="F209" s="407"/>
      <c r="G209" s="407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</row>
    <row r="210" ht="9.75" customHeight="1">
      <c r="A210" s="343"/>
      <c r="B210" s="344"/>
      <c r="C210" s="182"/>
      <c r="D210" s="406"/>
      <c r="E210" s="406"/>
      <c r="F210" s="407"/>
      <c r="G210" s="407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</row>
    <row r="211" ht="9.75" customHeight="1">
      <c r="A211" s="343"/>
      <c r="B211" s="344"/>
      <c r="C211" s="182"/>
      <c r="D211" s="406"/>
      <c r="E211" s="406"/>
      <c r="F211" s="407"/>
      <c r="G211" s="407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</row>
    <row r="212" ht="9.75" customHeight="1">
      <c r="A212" s="343"/>
      <c r="B212" s="344"/>
      <c r="C212" s="182"/>
      <c r="D212" s="406"/>
      <c r="E212" s="406"/>
      <c r="F212" s="407"/>
      <c r="G212" s="407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</row>
    <row r="213" ht="9.75" customHeight="1">
      <c r="A213" s="343"/>
      <c r="B213" s="344"/>
      <c r="C213" s="182"/>
      <c r="D213" s="406"/>
      <c r="E213" s="406"/>
      <c r="F213" s="407"/>
      <c r="G213" s="407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</row>
    <row r="214" ht="9.75" customHeight="1">
      <c r="A214" s="343"/>
      <c r="B214" s="344"/>
      <c r="C214" s="182"/>
      <c r="D214" s="406"/>
      <c r="E214" s="406"/>
      <c r="F214" s="407"/>
      <c r="G214" s="407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4"/>
      <c r="Y214" s="4"/>
      <c r="Z214" s="4"/>
    </row>
    <row r="215" ht="9.75" customHeight="1">
      <c r="A215" s="343"/>
      <c r="B215" s="344"/>
      <c r="C215" s="182"/>
      <c r="D215" s="406"/>
      <c r="E215" s="406"/>
      <c r="F215" s="407"/>
      <c r="G215" s="407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4"/>
    </row>
    <row r="216" ht="9.75" customHeight="1">
      <c r="A216" s="343"/>
      <c r="B216" s="344"/>
      <c r="C216" s="182"/>
      <c r="D216" s="406"/>
      <c r="E216" s="406"/>
      <c r="F216" s="407"/>
      <c r="G216" s="407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</row>
    <row r="217" ht="9.75" customHeight="1">
      <c r="A217" s="343"/>
      <c r="B217" s="344"/>
      <c r="C217" s="182"/>
      <c r="D217" s="406"/>
      <c r="E217" s="406"/>
      <c r="F217" s="407"/>
      <c r="G217" s="407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</row>
    <row r="218" ht="9.75" customHeight="1">
      <c r="A218" s="343"/>
      <c r="B218" s="344"/>
      <c r="C218" s="182"/>
      <c r="D218" s="406"/>
      <c r="E218" s="406"/>
      <c r="F218" s="407"/>
      <c r="G218" s="407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</row>
    <row r="219" ht="9.75" customHeight="1">
      <c r="A219" s="343"/>
      <c r="B219" s="344"/>
      <c r="C219" s="182"/>
      <c r="D219" s="406"/>
      <c r="E219" s="406"/>
      <c r="F219" s="407"/>
      <c r="G219" s="407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</row>
    <row r="220" ht="9.75" customHeight="1">
      <c r="A220" s="343"/>
      <c r="B220" s="344"/>
      <c r="C220" s="182"/>
      <c r="D220" s="406"/>
      <c r="E220" s="406"/>
      <c r="F220" s="407"/>
      <c r="G220" s="407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4"/>
      <c r="Y220" s="4"/>
      <c r="Z220" s="4"/>
    </row>
    <row r="221" ht="9.75" customHeight="1">
      <c r="A221" s="343"/>
      <c r="B221" s="344"/>
      <c r="C221" s="182"/>
      <c r="D221" s="406"/>
      <c r="E221" s="406"/>
      <c r="F221" s="407"/>
      <c r="G221" s="407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</row>
    <row r="222" ht="9.75" customHeight="1">
      <c r="A222" s="343"/>
      <c r="B222" s="344"/>
      <c r="C222" s="182"/>
      <c r="D222" s="406"/>
      <c r="E222" s="406"/>
      <c r="F222" s="407"/>
      <c r="G222" s="407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</row>
    <row r="223" ht="9.75" customHeight="1">
      <c r="A223" s="343"/>
      <c r="B223" s="344"/>
      <c r="C223" s="182"/>
      <c r="D223" s="406"/>
      <c r="E223" s="406"/>
      <c r="F223" s="407"/>
      <c r="G223" s="407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</row>
    <row r="224" ht="9.75" customHeight="1">
      <c r="A224" s="343"/>
      <c r="B224" s="344"/>
      <c r="C224" s="182"/>
      <c r="D224" s="406"/>
      <c r="E224" s="406"/>
      <c r="F224" s="407"/>
      <c r="G224" s="407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</row>
    <row r="225" ht="9.75" customHeight="1">
      <c r="A225" s="343"/>
      <c r="B225" s="344"/>
      <c r="C225" s="182"/>
      <c r="D225" s="406"/>
      <c r="E225" s="406"/>
      <c r="F225" s="407"/>
      <c r="G225" s="407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</row>
    <row r="226" ht="9.75" customHeight="1">
      <c r="A226" s="343"/>
      <c r="B226" s="344"/>
      <c r="C226" s="182"/>
      <c r="D226" s="406"/>
      <c r="E226" s="406"/>
      <c r="F226" s="407"/>
      <c r="G226" s="407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4"/>
      <c r="Y226" s="4"/>
      <c r="Z226" s="4"/>
    </row>
    <row r="227" ht="9.75" customHeight="1">
      <c r="A227" s="343"/>
      <c r="B227" s="344"/>
      <c r="C227" s="182"/>
      <c r="D227" s="406"/>
      <c r="E227" s="406"/>
      <c r="F227" s="407"/>
      <c r="G227" s="407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</row>
    <row r="228" ht="9.75" customHeight="1">
      <c r="A228" s="343"/>
      <c r="B228" s="344"/>
      <c r="C228" s="182"/>
      <c r="D228" s="406"/>
      <c r="E228" s="406"/>
      <c r="F228" s="407"/>
      <c r="G228" s="407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4"/>
    </row>
    <row r="229" ht="9.75" customHeight="1">
      <c r="A229" s="343"/>
      <c r="B229" s="344"/>
      <c r="C229" s="182"/>
      <c r="D229" s="406"/>
      <c r="E229" s="406"/>
      <c r="F229" s="407"/>
      <c r="G229" s="407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  <c r="Z229" s="4"/>
    </row>
    <row r="230" ht="9.75" customHeight="1">
      <c r="A230" s="343"/>
      <c r="B230" s="344"/>
      <c r="C230" s="182"/>
      <c r="D230" s="406"/>
      <c r="E230" s="406"/>
      <c r="F230" s="407"/>
      <c r="G230" s="407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</row>
    <row r="231" ht="9.75" customHeight="1">
      <c r="A231" s="343"/>
      <c r="B231" s="344"/>
      <c r="C231" s="182"/>
      <c r="D231" s="406"/>
      <c r="E231" s="406"/>
      <c r="F231" s="407"/>
      <c r="G231" s="407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</row>
    <row r="232" ht="9.75" customHeight="1">
      <c r="A232" s="343"/>
      <c r="B232" s="344"/>
      <c r="C232" s="182"/>
      <c r="D232" s="406"/>
      <c r="E232" s="406"/>
      <c r="F232" s="407"/>
      <c r="G232" s="407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/>
      <c r="X232" s="4"/>
      <c r="Y232" s="4"/>
      <c r="Z232" s="4"/>
    </row>
    <row r="233" ht="9.75" customHeight="1">
      <c r="A233" s="343"/>
      <c r="B233" s="344"/>
      <c r="C233" s="182"/>
      <c r="D233" s="406"/>
      <c r="E233" s="406"/>
      <c r="F233" s="407"/>
      <c r="G233" s="407"/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</row>
    <row r="234" ht="9.75" customHeight="1">
      <c r="A234" s="343"/>
      <c r="B234" s="344"/>
      <c r="C234" s="182"/>
      <c r="D234" s="406"/>
      <c r="E234" s="406"/>
      <c r="F234" s="407"/>
      <c r="G234" s="407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</row>
    <row r="235" ht="9.75" customHeight="1">
      <c r="A235" s="343"/>
      <c r="B235" s="344"/>
      <c r="C235" s="182"/>
      <c r="D235" s="406"/>
      <c r="E235" s="406"/>
      <c r="F235" s="407"/>
      <c r="G235" s="407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4"/>
    </row>
    <row r="236" ht="9.75" customHeight="1">
      <c r="A236" s="343"/>
      <c r="B236" s="344"/>
      <c r="C236" s="182"/>
      <c r="D236" s="406"/>
      <c r="E236" s="406"/>
      <c r="F236" s="407"/>
      <c r="G236" s="407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/>
    </row>
    <row r="237" ht="9.75" customHeight="1">
      <c r="A237" s="343"/>
      <c r="B237" s="344"/>
      <c r="C237" s="182"/>
      <c r="D237" s="406"/>
      <c r="E237" s="406"/>
      <c r="F237" s="407"/>
      <c r="G237" s="407"/>
      <c r="H237" s="4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</row>
    <row r="238" ht="9.75" customHeight="1">
      <c r="A238" s="343"/>
      <c r="B238" s="344"/>
      <c r="C238" s="182"/>
      <c r="D238" s="406"/>
      <c r="E238" s="406"/>
      <c r="F238" s="407"/>
      <c r="G238" s="407"/>
      <c r="H238" s="4"/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4"/>
      <c r="X238" s="4"/>
      <c r="Y238" s="4"/>
      <c r="Z238" s="4"/>
    </row>
    <row r="239" ht="9.75" customHeight="1">
      <c r="A239" s="343"/>
      <c r="B239" s="344"/>
      <c r="C239" s="182"/>
      <c r="D239" s="406"/>
      <c r="E239" s="406"/>
      <c r="F239" s="407"/>
      <c r="G239" s="407"/>
      <c r="H239" s="4"/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4"/>
      <c r="Y239" s="4"/>
      <c r="Z239" s="4"/>
    </row>
    <row r="240" ht="9.75" customHeight="1">
      <c r="A240" s="343"/>
      <c r="B240" s="344"/>
      <c r="C240" s="182"/>
      <c r="D240" s="406"/>
      <c r="E240" s="406"/>
      <c r="F240" s="407"/>
      <c r="G240" s="407"/>
      <c r="H240" s="4"/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4"/>
      <c r="Y240" s="4"/>
      <c r="Z240" s="4"/>
    </row>
    <row r="241" ht="9.75" customHeight="1">
      <c r="A241" s="343"/>
      <c r="B241" s="344"/>
      <c r="C241" s="182"/>
      <c r="D241" s="406"/>
      <c r="E241" s="406"/>
      <c r="F241" s="407"/>
      <c r="G241" s="407"/>
      <c r="H241" s="4"/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4"/>
      <c r="Y241" s="4"/>
      <c r="Z241" s="4"/>
    </row>
    <row r="242" ht="9.75" customHeight="1">
      <c r="A242" s="343"/>
      <c r="B242" s="344"/>
      <c r="C242" s="182"/>
      <c r="D242" s="406"/>
      <c r="E242" s="406"/>
      <c r="F242" s="407"/>
      <c r="G242" s="407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</row>
    <row r="243" ht="9.75" customHeight="1">
      <c r="A243" s="343"/>
      <c r="B243" s="344"/>
      <c r="C243" s="182"/>
      <c r="D243" s="406"/>
      <c r="E243" s="406"/>
      <c r="F243" s="407"/>
      <c r="G243" s="407"/>
      <c r="H243" s="4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  <c r="Z243" s="4"/>
    </row>
    <row r="244" ht="9.75" customHeight="1">
      <c r="A244" s="343"/>
      <c r="B244" s="344"/>
      <c r="C244" s="182"/>
      <c r="D244" s="406"/>
      <c r="E244" s="406"/>
      <c r="F244" s="407"/>
      <c r="G244" s="407"/>
      <c r="H244" s="4"/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4"/>
      <c r="V244" s="4"/>
      <c r="W244" s="4"/>
      <c r="X244" s="4"/>
      <c r="Y244" s="4"/>
      <c r="Z244" s="4"/>
    </row>
    <row r="245" ht="9.75" customHeight="1">
      <c r="A245" s="343"/>
      <c r="B245" s="344"/>
      <c r="C245" s="182"/>
      <c r="D245" s="406"/>
      <c r="E245" s="406"/>
      <c r="F245" s="407"/>
      <c r="G245" s="407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4"/>
      <c r="Z245" s="4"/>
    </row>
    <row r="246" ht="9.75" customHeight="1">
      <c r="A246" s="343"/>
      <c r="B246" s="344"/>
      <c r="C246" s="182"/>
      <c r="D246" s="406"/>
      <c r="E246" s="406"/>
      <c r="F246" s="407"/>
      <c r="G246" s="407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  <c r="Z246" s="4"/>
    </row>
    <row r="247" ht="9.75" customHeight="1">
      <c r="A247" s="343"/>
      <c r="B247" s="344"/>
      <c r="C247" s="182"/>
      <c r="D247" s="406"/>
      <c r="E247" s="406"/>
      <c r="F247" s="407"/>
      <c r="G247" s="407"/>
      <c r="H247" s="4"/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  <c r="Z247" s="4"/>
    </row>
    <row r="248" ht="9.75" customHeight="1">
      <c r="A248" s="343"/>
      <c r="B248" s="344"/>
      <c r="C248" s="182"/>
      <c r="D248" s="406"/>
      <c r="E248" s="406"/>
      <c r="F248" s="407"/>
      <c r="G248" s="407"/>
      <c r="H248" s="4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  <c r="Z248" s="4"/>
    </row>
    <row r="249" ht="9.75" customHeight="1">
      <c r="A249" s="343"/>
      <c r="B249" s="344"/>
      <c r="C249" s="182"/>
      <c r="D249" s="406"/>
      <c r="E249" s="406"/>
      <c r="F249" s="407"/>
      <c r="G249" s="407"/>
      <c r="H249" s="4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  <c r="Z249" s="4"/>
    </row>
    <row r="250" ht="9.75" customHeight="1">
      <c r="A250" s="343"/>
      <c r="B250" s="344"/>
      <c r="C250" s="182"/>
      <c r="D250" s="406"/>
      <c r="E250" s="406"/>
      <c r="F250" s="407"/>
      <c r="G250" s="407"/>
      <c r="H250" s="4"/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4"/>
      <c r="U250" s="4"/>
      <c r="V250" s="4"/>
      <c r="W250" s="4"/>
      <c r="X250" s="4"/>
      <c r="Y250" s="4"/>
      <c r="Z250" s="4"/>
    </row>
    <row r="251" ht="9.75" customHeight="1">
      <c r="A251" s="343"/>
      <c r="B251" s="344"/>
      <c r="C251" s="182"/>
      <c r="D251" s="406"/>
      <c r="E251" s="406"/>
      <c r="F251" s="407"/>
      <c r="G251" s="407"/>
      <c r="H251" s="4"/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4"/>
      <c r="Y251" s="4"/>
      <c r="Z251" s="4"/>
    </row>
    <row r="252" ht="9.75" customHeight="1">
      <c r="A252" s="343"/>
      <c r="B252" s="344"/>
      <c r="C252" s="182"/>
      <c r="D252" s="406"/>
      <c r="E252" s="406"/>
      <c r="F252" s="407"/>
      <c r="G252" s="407"/>
      <c r="H252" s="4"/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4"/>
      <c r="Y252" s="4"/>
      <c r="Z252" s="4"/>
    </row>
    <row r="253" ht="9.75" customHeight="1">
      <c r="A253" s="343"/>
      <c r="B253" s="344"/>
      <c r="C253" s="182"/>
      <c r="D253" s="406"/>
      <c r="E253" s="406"/>
      <c r="F253" s="407"/>
      <c r="G253" s="407"/>
      <c r="H253" s="4"/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4"/>
      <c r="Y253" s="4"/>
      <c r="Z253" s="4"/>
    </row>
    <row r="254" ht="9.75" customHeight="1">
      <c r="A254" s="343"/>
      <c r="B254" s="344"/>
      <c r="C254" s="182"/>
      <c r="D254" s="406"/>
      <c r="E254" s="406"/>
      <c r="F254" s="407"/>
      <c r="G254" s="407"/>
      <c r="H254" s="4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  <c r="Z254" s="4"/>
    </row>
    <row r="255" ht="9.75" customHeight="1">
      <c r="A255" s="343"/>
      <c r="B255" s="344"/>
      <c r="C255" s="182"/>
      <c r="D255" s="406"/>
      <c r="E255" s="406"/>
      <c r="F255" s="407"/>
      <c r="G255" s="407"/>
      <c r="H255" s="4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4"/>
      <c r="Y255" s="4"/>
      <c r="Z255" s="4"/>
    </row>
    <row r="256" ht="9.75" customHeight="1">
      <c r="A256" s="343"/>
      <c r="B256" s="344"/>
      <c r="C256" s="182"/>
      <c r="D256" s="406"/>
      <c r="E256" s="406"/>
      <c r="F256" s="407"/>
      <c r="G256" s="407"/>
      <c r="H256" s="4"/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4"/>
      <c r="U256" s="4"/>
      <c r="V256" s="4"/>
      <c r="W256" s="4"/>
      <c r="X256" s="4"/>
      <c r="Y256" s="4"/>
      <c r="Z256" s="4"/>
    </row>
    <row r="257" ht="9.75" customHeight="1">
      <c r="A257" s="343"/>
      <c r="B257" s="344"/>
      <c r="C257" s="182"/>
      <c r="D257" s="406"/>
      <c r="E257" s="406"/>
      <c r="F257" s="407"/>
      <c r="G257" s="407"/>
      <c r="H257" s="4"/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4"/>
      <c r="Y257" s="4"/>
      <c r="Z257" s="4"/>
    </row>
    <row r="258" ht="9.75" customHeight="1">
      <c r="A258" s="343"/>
      <c r="B258" s="344"/>
      <c r="C258" s="182"/>
      <c r="D258" s="406"/>
      <c r="E258" s="406"/>
      <c r="F258" s="407"/>
      <c r="G258" s="407"/>
      <c r="H258" s="4"/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  <c r="Z258" s="4"/>
    </row>
    <row r="259" ht="9.75" customHeight="1">
      <c r="A259" s="343"/>
      <c r="B259" s="344"/>
      <c r="C259" s="182"/>
      <c r="D259" s="406"/>
      <c r="E259" s="406"/>
      <c r="F259" s="407"/>
      <c r="G259" s="407"/>
      <c r="H259" s="4"/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4"/>
      <c r="Y259" s="4"/>
      <c r="Z259" s="4"/>
    </row>
    <row r="260" ht="9.75" customHeight="1">
      <c r="A260" s="343"/>
      <c r="B260" s="344"/>
      <c r="C260" s="182"/>
      <c r="D260" s="406"/>
      <c r="E260" s="406"/>
      <c r="F260" s="407"/>
      <c r="G260" s="407"/>
      <c r="H260" s="4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4"/>
      <c r="Y260" s="4"/>
      <c r="Z260" s="4"/>
    </row>
    <row r="261" ht="9.75" customHeight="1">
      <c r="A261" s="343"/>
      <c r="B261" s="344"/>
      <c r="C261" s="182"/>
      <c r="D261" s="406"/>
      <c r="E261" s="406"/>
      <c r="F261" s="407"/>
      <c r="G261" s="407"/>
      <c r="H261" s="4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4"/>
      <c r="Y261" s="4"/>
      <c r="Z261" s="4"/>
    </row>
    <row r="262" ht="9.75" customHeight="1">
      <c r="A262" s="343"/>
      <c r="B262" s="344"/>
      <c r="C262" s="182"/>
      <c r="D262" s="406"/>
      <c r="E262" s="406"/>
      <c r="F262" s="407"/>
      <c r="G262" s="407"/>
      <c r="H262" s="4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4"/>
      <c r="Y262" s="4"/>
      <c r="Z262" s="4"/>
    </row>
    <row r="263" ht="9.75" customHeight="1">
      <c r="A263" s="343"/>
      <c r="B263" s="344"/>
      <c r="C263" s="182"/>
      <c r="D263" s="406"/>
      <c r="E263" s="406"/>
      <c r="F263" s="407"/>
      <c r="G263" s="407"/>
      <c r="H263" s="4"/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4"/>
      <c r="Y263" s="4"/>
      <c r="Z263" s="4"/>
    </row>
    <row r="264" ht="9.75" customHeight="1">
      <c r="A264" s="343"/>
      <c r="B264" s="344"/>
      <c r="C264" s="182"/>
      <c r="D264" s="406"/>
      <c r="E264" s="406"/>
      <c r="F264" s="407"/>
      <c r="G264" s="407"/>
      <c r="H264" s="4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4"/>
      <c r="Y264" s="4"/>
      <c r="Z264" s="4"/>
    </row>
    <row r="265" ht="9.75" customHeight="1">
      <c r="A265" s="343"/>
      <c r="B265" s="344"/>
      <c r="C265" s="182"/>
      <c r="D265" s="406"/>
      <c r="E265" s="406"/>
      <c r="F265" s="407"/>
      <c r="G265" s="407"/>
      <c r="H265" s="4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4"/>
      <c r="Y265" s="4"/>
      <c r="Z265" s="4"/>
    </row>
    <row r="266" ht="9.75" customHeight="1">
      <c r="A266" s="343"/>
      <c r="B266" s="344"/>
      <c r="C266" s="182"/>
      <c r="D266" s="406"/>
      <c r="E266" s="406"/>
      <c r="F266" s="407"/>
      <c r="G266" s="407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  <c r="V266" s="4"/>
      <c r="W266" s="4"/>
      <c r="X266" s="4"/>
      <c r="Y266" s="4"/>
      <c r="Z266" s="4"/>
    </row>
    <row r="267" ht="9.75" customHeight="1">
      <c r="A267" s="343"/>
      <c r="B267" s="344"/>
      <c r="C267" s="182"/>
      <c r="D267" s="406"/>
      <c r="E267" s="406"/>
      <c r="F267" s="407"/>
      <c r="G267" s="407"/>
      <c r="H267" s="4"/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4"/>
      <c r="U267" s="4"/>
      <c r="V267" s="4"/>
      <c r="W267" s="4"/>
      <c r="X267" s="4"/>
      <c r="Y267" s="4"/>
      <c r="Z267" s="4"/>
    </row>
    <row r="268" ht="9.75" customHeight="1">
      <c r="A268" s="343"/>
      <c r="B268" s="344"/>
      <c r="C268" s="182"/>
      <c r="D268" s="406"/>
      <c r="E268" s="406"/>
      <c r="F268" s="407"/>
      <c r="G268" s="407"/>
      <c r="H268" s="4"/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4"/>
      <c r="U268" s="4"/>
      <c r="V268" s="4"/>
      <c r="W268" s="4"/>
      <c r="X268" s="4"/>
      <c r="Y268" s="4"/>
      <c r="Z268" s="4"/>
    </row>
    <row r="269" ht="9.75" customHeight="1">
      <c r="A269" s="343"/>
      <c r="B269" s="344"/>
      <c r="C269" s="182"/>
      <c r="D269" s="406"/>
      <c r="E269" s="406"/>
      <c r="F269" s="407"/>
      <c r="G269" s="407"/>
      <c r="H269" s="4"/>
      <c r="I269" s="4"/>
      <c r="J269" s="4"/>
      <c r="K269" s="4"/>
      <c r="L269" s="4"/>
      <c r="M269" s="4"/>
      <c r="N269" s="4"/>
      <c r="O269" s="4"/>
      <c r="P269" s="4"/>
      <c r="Q269" s="4"/>
      <c r="R269" s="4"/>
      <c r="S269" s="4"/>
      <c r="T269" s="4"/>
      <c r="U269" s="4"/>
      <c r="V269" s="4"/>
      <c r="W269" s="4"/>
      <c r="X269" s="4"/>
      <c r="Y269" s="4"/>
      <c r="Z269" s="4"/>
    </row>
    <row r="270" ht="9.75" customHeight="1">
      <c r="A270" s="343"/>
      <c r="B270" s="344"/>
      <c r="C270" s="182"/>
      <c r="D270" s="406"/>
      <c r="E270" s="406"/>
      <c r="F270" s="407"/>
      <c r="G270" s="407"/>
      <c r="H270" s="4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  <c r="Y270" s="4"/>
      <c r="Z270" s="4"/>
    </row>
    <row r="271" ht="9.75" customHeight="1">
      <c r="A271" s="343"/>
      <c r="B271" s="344"/>
      <c r="C271" s="182"/>
      <c r="D271" s="406"/>
      <c r="E271" s="406"/>
      <c r="F271" s="407"/>
      <c r="G271" s="407"/>
      <c r="H271" s="4"/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4"/>
      <c r="Y271" s="4"/>
      <c r="Z271" s="4"/>
    </row>
    <row r="272" ht="9.75" customHeight="1">
      <c r="A272" s="343"/>
      <c r="B272" s="344"/>
      <c r="C272" s="182"/>
      <c r="D272" s="406"/>
      <c r="E272" s="406"/>
      <c r="F272" s="407"/>
      <c r="G272" s="407"/>
      <c r="H272" s="4"/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4"/>
      <c r="Y272" s="4"/>
      <c r="Z272" s="4"/>
    </row>
    <row r="273" ht="9.75" customHeight="1">
      <c r="A273" s="343"/>
      <c r="B273" s="344"/>
      <c r="C273" s="182"/>
      <c r="D273" s="406"/>
      <c r="E273" s="406"/>
      <c r="F273" s="407"/>
      <c r="G273" s="407"/>
      <c r="H273" s="4"/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4"/>
      <c r="Y273" s="4"/>
      <c r="Z273" s="4"/>
    </row>
    <row r="274" ht="9.75" customHeight="1">
      <c r="A274" s="343"/>
      <c r="B274" s="344"/>
      <c r="C274" s="182"/>
      <c r="D274" s="406"/>
      <c r="E274" s="406"/>
      <c r="F274" s="407"/>
      <c r="G274" s="407"/>
      <c r="H274" s="4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4"/>
      <c r="Y274" s="4"/>
      <c r="Z274" s="4"/>
    </row>
    <row r="275" ht="9.75" customHeight="1">
      <c r="A275" s="343"/>
      <c r="B275" s="344"/>
      <c r="C275" s="182"/>
      <c r="D275" s="406"/>
      <c r="E275" s="406"/>
      <c r="F275" s="407"/>
      <c r="G275" s="407"/>
      <c r="H275" s="4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4"/>
      <c r="Y275" s="4"/>
      <c r="Z275" s="4"/>
    </row>
    <row r="276" ht="9.75" customHeight="1">
      <c r="A276" s="343"/>
      <c r="B276" s="344"/>
      <c r="C276" s="182"/>
      <c r="D276" s="406"/>
      <c r="E276" s="406"/>
      <c r="F276" s="407"/>
      <c r="G276" s="407"/>
      <c r="H276" s="4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4"/>
      <c r="Y276" s="4"/>
      <c r="Z276" s="4"/>
    </row>
    <row r="277" ht="9.75" customHeight="1">
      <c r="A277" s="343"/>
      <c r="B277" s="344"/>
      <c r="C277" s="182"/>
      <c r="D277" s="406"/>
      <c r="E277" s="406"/>
      <c r="F277" s="407"/>
      <c r="G277" s="407"/>
      <c r="H277" s="4"/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4"/>
      <c r="U277" s="4"/>
      <c r="V277" s="4"/>
      <c r="W277" s="4"/>
      <c r="X277" s="4"/>
      <c r="Y277" s="4"/>
      <c r="Z277" s="4"/>
    </row>
    <row r="278" ht="9.75" customHeight="1">
      <c r="A278" s="343"/>
      <c r="B278" s="344"/>
      <c r="C278" s="182"/>
      <c r="D278" s="406"/>
      <c r="E278" s="406"/>
      <c r="F278" s="407"/>
      <c r="G278" s="407"/>
      <c r="H278" s="4"/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4"/>
      <c r="Y278" s="4"/>
      <c r="Z278" s="4"/>
    </row>
    <row r="279" ht="9.75" customHeight="1">
      <c r="A279" s="343"/>
      <c r="B279" s="344"/>
      <c r="C279" s="182"/>
      <c r="D279" s="406"/>
      <c r="E279" s="406"/>
      <c r="F279" s="407"/>
      <c r="G279" s="407"/>
      <c r="H279" s="4"/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4"/>
      <c r="X279" s="4"/>
      <c r="Y279" s="4"/>
      <c r="Z279" s="4"/>
    </row>
    <row r="280" ht="9.75" customHeight="1">
      <c r="A280" s="343"/>
      <c r="B280" s="344"/>
      <c r="C280" s="182"/>
      <c r="D280" s="406"/>
      <c r="E280" s="406"/>
      <c r="F280" s="407"/>
      <c r="G280" s="407"/>
      <c r="H280" s="4"/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4"/>
      <c r="Y280" s="4"/>
      <c r="Z280" s="4"/>
    </row>
    <row r="281" ht="9.75" customHeight="1">
      <c r="A281" s="343"/>
      <c r="B281" s="344"/>
      <c r="C281" s="182"/>
      <c r="D281" s="406"/>
      <c r="E281" s="406"/>
      <c r="F281" s="407"/>
      <c r="G281" s="407"/>
      <c r="H281" s="4"/>
      <c r="I281" s="4"/>
      <c r="J281" s="4"/>
      <c r="K281" s="4"/>
      <c r="L281" s="4"/>
      <c r="M281" s="4"/>
      <c r="N281" s="4"/>
      <c r="O281" s="4"/>
      <c r="P281" s="4"/>
      <c r="Q281" s="4"/>
      <c r="R281" s="4"/>
      <c r="S281" s="4"/>
      <c r="T281" s="4"/>
      <c r="U281" s="4"/>
      <c r="V281" s="4"/>
      <c r="W281" s="4"/>
      <c r="X281" s="4"/>
      <c r="Y281" s="4"/>
      <c r="Z281" s="4"/>
    </row>
    <row r="282" ht="9.75" customHeight="1">
      <c r="A282" s="343"/>
      <c r="B282" s="344"/>
      <c r="C282" s="182"/>
      <c r="D282" s="406"/>
      <c r="E282" s="406"/>
      <c r="F282" s="407"/>
      <c r="G282" s="407"/>
      <c r="H282" s="4"/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4"/>
      <c r="U282" s="4"/>
      <c r="V282" s="4"/>
      <c r="W282" s="4"/>
      <c r="X282" s="4"/>
      <c r="Y282" s="4"/>
      <c r="Z282" s="4"/>
    </row>
    <row r="283" ht="9.75" customHeight="1">
      <c r="A283" s="343"/>
      <c r="B283" s="344"/>
      <c r="C283" s="182"/>
      <c r="D283" s="406"/>
      <c r="E283" s="406"/>
      <c r="F283" s="407"/>
      <c r="G283" s="407"/>
      <c r="H283" s="4"/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4"/>
      <c r="U283" s="4"/>
      <c r="V283" s="4"/>
      <c r="W283" s="4"/>
      <c r="X283" s="4"/>
      <c r="Y283" s="4"/>
      <c r="Z283" s="4"/>
    </row>
    <row r="284" ht="9.75" customHeight="1">
      <c r="A284" s="343"/>
      <c r="B284" s="344"/>
      <c r="C284" s="182"/>
      <c r="D284" s="406"/>
      <c r="E284" s="406"/>
      <c r="F284" s="407"/>
      <c r="G284" s="407"/>
      <c r="H284" s="4"/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4"/>
      <c r="Y284" s="4"/>
      <c r="Z284" s="4"/>
    </row>
    <row r="285" ht="9.75" customHeight="1">
      <c r="A285" s="343"/>
      <c r="B285" s="344"/>
      <c r="C285" s="182"/>
      <c r="D285" s="406"/>
      <c r="E285" s="406"/>
      <c r="F285" s="407"/>
      <c r="G285" s="407"/>
      <c r="H285" s="4"/>
      <c r="I285" s="4"/>
      <c r="J285" s="4"/>
      <c r="K285" s="4"/>
      <c r="L285" s="4"/>
      <c r="M285" s="4"/>
      <c r="N285" s="4"/>
      <c r="O285" s="4"/>
      <c r="P285" s="4"/>
      <c r="Q285" s="4"/>
      <c r="R285" s="4"/>
      <c r="S285" s="4"/>
      <c r="T285" s="4"/>
      <c r="U285" s="4"/>
      <c r="V285" s="4"/>
      <c r="W285" s="4"/>
      <c r="X285" s="4"/>
      <c r="Y285" s="4"/>
      <c r="Z285" s="4"/>
    </row>
    <row r="286" ht="9.75" customHeight="1">
      <c r="A286" s="343"/>
      <c r="B286" s="344"/>
      <c r="C286" s="182"/>
      <c r="D286" s="406"/>
      <c r="E286" s="406"/>
      <c r="F286" s="407"/>
      <c r="G286" s="407"/>
      <c r="H286" s="4"/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4"/>
      <c r="Y286" s="4"/>
      <c r="Z286" s="4"/>
    </row>
    <row r="287" ht="9.75" customHeight="1">
      <c r="A287" s="343"/>
      <c r="B287" s="344"/>
      <c r="C287" s="182"/>
      <c r="D287" s="406"/>
      <c r="E287" s="406"/>
      <c r="F287" s="407"/>
      <c r="G287" s="407"/>
      <c r="H287" s="4"/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4"/>
      <c r="U287" s="4"/>
      <c r="V287" s="4"/>
      <c r="W287" s="4"/>
      <c r="X287" s="4"/>
      <c r="Y287" s="4"/>
      <c r="Z287" s="4"/>
    </row>
    <row r="288" ht="9.75" customHeight="1">
      <c r="A288" s="343"/>
      <c r="B288" s="344"/>
      <c r="C288" s="182"/>
      <c r="D288" s="406"/>
      <c r="E288" s="406"/>
      <c r="F288" s="407"/>
      <c r="G288" s="407"/>
      <c r="H288" s="4"/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4"/>
      <c r="T288" s="4"/>
      <c r="U288" s="4"/>
      <c r="V288" s="4"/>
      <c r="W288" s="4"/>
      <c r="X288" s="4"/>
      <c r="Y288" s="4"/>
      <c r="Z288" s="4"/>
    </row>
    <row r="289" ht="9.75" customHeight="1">
      <c r="A289" s="343"/>
      <c r="B289" s="344"/>
      <c r="C289" s="182"/>
      <c r="D289" s="406"/>
      <c r="E289" s="406"/>
      <c r="F289" s="407"/>
      <c r="G289" s="407"/>
      <c r="H289" s="4"/>
      <c r="I289" s="4"/>
      <c r="J289" s="4"/>
      <c r="K289" s="4"/>
      <c r="L289" s="4"/>
      <c r="M289" s="4"/>
      <c r="N289" s="4"/>
      <c r="O289" s="4"/>
      <c r="P289" s="4"/>
      <c r="Q289" s="4"/>
      <c r="R289" s="4"/>
      <c r="S289" s="4"/>
      <c r="T289" s="4"/>
      <c r="U289" s="4"/>
      <c r="V289" s="4"/>
      <c r="W289" s="4"/>
      <c r="X289" s="4"/>
      <c r="Y289" s="4"/>
      <c r="Z289" s="4"/>
    </row>
    <row r="290" ht="9.75" customHeight="1">
      <c r="A290" s="343"/>
      <c r="B290" s="344"/>
      <c r="C290" s="182"/>
      <c r="D290" s="406"/>
      <c r="E290" s="406"/>
      <c r="F290" s="407"/>
      <c r="G290" s="407"/>
      <c r="H290" s="4"/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  <c r="Y290" s="4"/>
      <c r="Z290" s="4"/>
    </row>
    <row r="291" ht="9.75" customHeight="1">
      <c r="A291" s="343"/>
      <c r="B291" s="344"/>
      <c r="C291" s="182"/>
      <c r="D291" s="406"/>
      <c r="E291" s="406"/>
      <c r="F291" s="407"/>
      <c r="G291" s="407"/>
      <c r="H291" s="4"/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4"/>
      <c r="T291" s="4"/>
      <c r="U291" s="4"/>
      <c r="V291" s="4"/>
      <c r="W291" s="4"/>
      <c r="X291" s="4"/>
      <c r="Y291" s="4"/>
      <c r="Z291" s="4"/>
    </row>
    <row r="292" ht="9.75" customHeight="1">
      <c r="A292" s="343"/>
      <c r="B292" s="344"/>
      <c r="C292" s="182"/>
      <c r="D292" s="406"/>
      <c r="E292" s="406"/>
      <c r="F292" s="407"/>
      <c r="G292" s="407"/>
      <c r="H292" s="4"/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4"/>
      <c r="Y292" s="4"/>
      <c r="Z292" s="4"/>
    </row>
    <row r="293" ht="9.75" customHeight="1">
      <c r="A293" s="343"/>
      <c r="B293" s="344"/>
      <c r="C293" s="182"/>
      <c r="D293" s="406"/>
      <c r="E293" s="406"/>
      <c r="F293" s="407"/>
      <c r="G293" s="407"/>
      <c r="H293" s="4"/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4"/>
      <c r="U293" s="4"/>
      <c r="V293" s="4"/>
      <c r="W293" s="4"/>
      <c r="X293" s="4"/>
      <c r="Y293" s="4"/>
      <c r="Z293" s="4"/>
    </row>
    <row r="294" ht="9.75" customHeight="1">
      <c r="A294" s="343"/>
      <c r="B294" s="344"/>
      <c r="C294" s="182"/>
      <c r="D294" s="406"/>
      <c r="E294" s="406"/>
      <c r="F294" s="407"/>
      <c r="G294" s="407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</row>
    <row r="295" ht="9.75" customHeight="1">
      <c r="A295" s="343"/>
      <c r="B295" s="344"/>
      <c r="C295" s="182"/>
      <c r="D295" s="406"/>
      <c r="E295" s="406"/>
      <c r="F295" s="407"/>
      <c r="G295" s="407"/>
      <c r="H295" s="4"/>
      <c r="I295" s="4"/>
      <c r="J295" s="4"/>
      <c r="K295" s="4"/>
      <c r="L295" s="4"/>
      <c r="M295" s="4"/>
      <c r="N295" s="4"/>
      <c r="O295" s="4"/>
      <c r="P295" s="4"/>
      <c r="Q295" s="4"/>
      <c r="R295" s="4"/>
      <c r="S295" s="4"/>
      <c r="T295" s="4"/>
      <c r="U295" s="4"/>
      <c r="V295" s="4"/>
      <c r="W295" s="4"/>
      <c r="X295" s="4"/>
      <c r="Y295" s="4"/>
      <c r="Z295" s="4"/>
    </row>
    <row r="296" ht="9.75" customHeight="1">
      <c r="A296" s="343"/>
      <c r="B296" s="344"/>
      <c r="C296" s="182"/>
      <c r="D296" s="406"/>
      <c r="E296" s="406"/>
      <c r="F296" s="407"/>
      <c r="G296" s="407"/>
      <c r="H296" s="4"/>
      <c r="I296" s="4"/>
      <c r="J296" s="4"/>
      <c r="K296" s="4"/>
      <c r="L296" s="4"/>
      <c r="M296" s="4"/>
      <c r="N296" s="4"/>
      <c r="O296" s="4"/>
      <c r="P296" s="4"/>
      <c r="Q296" s="4"/>
      <c r="R296" s="4"/>
      <c r="S296" s="4"/>
      <c r="T296" s="4"/>
      <c r="U296" s="4"/>
      <c r="V296" s="4"/>
      <c r="W296" s="4"/>
      <c r="X296" s="4"/>
      <c r="Y296" s="4"/>
      <c r="Z296" s="4"/>
    </row>
    <row r="297" ht="9.75" customHeight="1">
      <c r="A297" s="343"/>
      <c r="B297" s="344"/>
      <c r="C297" s="182"/>
      <c r="D297" s="406"/>
      <c r="E297" s="406"/>
      <c r="F297" s="407"/>
      <c r="G297" s="407"/>
      <c r="H297" s="4"/>
      <c r="I297" s="4"/>
      <c r="J297" s="4"/>
      <c r="K297" s="4"/>
      <c r="L297" s="4"/>
      <c r="M297" s="4"/>
      <c r="N297" s="4"/>
      <c r="O297" s="4"/>
      <c r="P297" s="4"/>
      <c r="Q297" s="4"/>
      <c r="R297" s="4"/>
      <c r="S297" s="4"/>
      <c r="T297" s="4"/>
      <c r="U297" s="4"/>
      <c r="V297" s="4"/>
      <c r="W297" s="4"/>
      <c r="X297" s="4"/>
      <c r="Y297" s="4"/>
      <c r="Z297" s="4"/>
    </row>
    <row r="298" ht="9.75" customHeight="1">
      <c r="A298" s="343"/>
      <c r="B298" s="344"/>
      <c r="C298" s="182"/>
      <c r="D298" s="406"/>
      <c r="E298" s="406"/>
      <c r="F298" s="407"/>
      <c r="G298" s="407"/>
      <c r="H298" s="4"/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4"/>
      <c r="V298" s="4"/>
      <c r="W298" s="4"/>
      <c r="X298" s="4"/>
      <c r="Y298" s="4"/>
      <c r="Z298" s="4"/>
    </row>
    <row r="299" ht="9.75" customHeight="1">
      <c r="A299" s="343"/>
      <c r="B299" s="344"/>
      <c r="C299" s="182"/>
      <c r="D299" s="406"/>
      <c r="E299" s="406"/>
      <c r="F299" s="407"/>
      <c r="G299" s="407"/>
      <c r="H299" s="4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4"/>
      <c r="V299" s="4"/>
      <c r="W299" s="4"/>
      <c r="X299" s="4"/>
      <c r="Y299" s="4"/>
      <c r="Z299" s="4"/>
    </row>
    <row r="300" ht="9.75" customHeight="1">
      <c r="A300" s="343"/>
      <c r="B300" s="344"/>
      <c r="C300" s="182"/>
      <c r="D300" s="406"/>
      <c r="E300" s="406"/>
      <c r="F300" s="407"/>
      <c r="G300" s="407"/>
      <c r="H300" s="4"/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  <c r="V300" s="4"/>
      <c r="W300" s="4"/>
      <c r="X300" s="4"/>
      <c r="Y300" s="4"/>
      <c r="Z300" s="4"/>
    </row>
    <row r="301" ht="9.75" customHeight="1">
      <c r="A301" s="343"/>
      <c r="B301" s="344"/>
      <c r="C301" s="182"/>
      <c r="D301" s="406"/>
      <c r="E301" s="406"/>
      <c r="F301" s="407"/>
      <c r="G301" s="407"/>
      <c r="H301" s="4"/>
      <c r="I301" s="4"/>
      <c r="J301" s="4"/>
      <c r="K301" s="4"/>
      <c r="L301" s="4"/>
      <c r="M301" s="4"/>
      <c r="N301" s="4"/>
      <c r="O301" s="4"/>
      <c r="P301" s="4"/>
      <c r="Q301" s="4"/>
      <c r="R301" s="4"/>
      <c r="S301" s="4"/>
      <c r="T301" s="4"/>
      <c r="U301" s="4"/>
      <c r="V301" s="4"/>
      <c r="W301" s="4"/>
      <c r="X301" s="4"/>
      <c r="Y301" s="4"/>
      <c r="Z301" s="4"/>
    </row>
    <row r="302" ht="9.75" customHeight="1">
      <c r="A302" s="343"/>
      <c r="B302" s="344"/>
      <c r="C302" s="182"/>
      <c r="D302" s="406"/>
      <c r="E302" s="406"/>
      <c r="F302" s="407"/>
      <c r="G302" s="407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</row>
    <row r="303" ht="9.75" customHeight="1">
      <c r="A303" s="343"/>
      <c r="B303" s="344"/>
      <c r="C303" s="182"/>
      <c r="D303" s="406"/>
      <c r="E303" s="406"/>
      <c r="F303" s="407"/>
      <c r="G303" s="407"/>
      <c r="H303" s="4"/>
      <c r="I303" s="4"/>
      <c r="J303" s="4"/>
      <c r="K303" s="4"/>
      <c r="L303" s="4"/>
      <c r="M303" s="4"/>
      <c r="N303" s="4"/>
      <c r="O303" s="4"/>
      <c r="P303" s="4"/>
      <c r="Q303" s="4"/>
      <c r="R303" s="4"/>
      <c r="S303" s="4"/>
      <c r="T303" s="4"/>
      <c r="U303" s="4"/>
      <c r="V303" s="4"/>
      <c r="W303" s="4"/>
      <c r="X303" s="4"/>
      <c r="Y303" s="4"/>
      <c r="Z303" s="4"/>
    </row>
    <row r="304" ht="9.75" customHeight="1">
      <c r="A304" s="343"/>
      <c r="B304" s="344"/>
      <c r="C304" s="182"/>
      <c r="D304" s="406"/>
      <c r="E304" s="406"/>
      <c r="F304" s="407"/>
      <c r="G304" s="407"/>
      <c r="H304" s="4"/>
      <c r="I304" s="4"/>
      <c r="J304" s="4"/>
      <c r="K304" s="4"/>
      <c r="L304" s="4"/>
      <c r="M304" s="4"/>
      <c r="N304" s="4"/>
      <c r="O304" s="4"/>
      <c r="P304" s="4"/>
      <c r="Q304" s="4"/>
      <c r="R304" s="4"/>
      <c r="S304" s="4"/>
      <c r="T304" s="4"/>
      <c r="U304" s="4"/>
      <c r="V304" s="4"/>
      <c r="W304" s="4"/>
      <c r="X304" s="4"/>
      <c r="Y304" s="4"/>
      <c r="Z304" s="4"/>
    </row>
    <row r="305" ht="9.75" customHeight="1">
      <c r="A305" s="343"/>
      <c r="B305" s="344"/>
      <c r="C305" s="182"/>
      <c r="D305" s="406"/>
      <c r="E305" s="406"/>
      <c r="F305" s="407"/>
      <c r="G305" s="407"/>
      <c r="H305" s="4"/>
      <c r="I305" s="4"/>
      <c r="J305" s="4"/>
      <c r="K305" s="4"/>
      <c r="L305" s="4"/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4"/>
      <c r="X305" s="4"/>
      <c r="Y305" s="4"/>
      <c r="Z305" s="4"/>
    </row>
    <row r="306" ht="9.75" customHeight="1">
      <c r="A306" s="343"/>
      <c r="B306" s="344"/>
      <c r="C306" s="182"/>
      <c r="D306" s="406"/>
      <c r="E306" s="406"/>
      <c r="F306" s="407"/>
      <c r="G306" s="407"/>
      <c r="H306" s="4"/>
      <c r="I306" s="4"/>
      <c r="J306" s="4"/>
      <c r="K306" s="4"/>
      <c r="L306" s="4"/>
      <c r="M306" s="4"/>
      <c r="N306" s="4"/>
      <c r="O306" s="4"/>
      <c r="P306" s="4"/>
      <c r="Q306" s="4"/>
      <c r="R306" s="4"/>
      <c r="S306" s="4"/>
      <c r="T306" s="4"/>
      <c r="U306" s="4"/>
      <c r="V306" s="4"/>
      <c r="W306" s="4"/>
      <c r="X306" s="4"/>
      <c r="Y306" s="4"/>
      <c r="Z306" s="4"/>
    </row>
    <row r="307" ht="9.75" customHeight="1">
      <c r="A307" s="343"/>
      <c r="B307" s="344"/>
      <c r="C307" s="182"/>
      <c r="D307" s="406"/>
      <c r="E307" s="406"/>
      <c r="F307" s="407"/>
      <c r="G307" s="407"/>
      <c r="H307" s="4"/>
      <c r="I307" s="4"/>
      <c r="J307" s="4"/>
      <c r="K307" s="4"/>
      <c r="L307" s="4"/>
      <c r="M307" s="4"/>
      <c r="N307" s="4"/>
      <c r="O307" s="4"/>
      <c r="P307" s="4"/>
      <c r="Q307" s="4"/>
      <c r="R307" s="4"/>
      <c r="S307" s="4"/>
      <c r="T307" s="4"/>
      <c r="U307" s="4"/>
      <c r="V307" s="4"/>
      <c r="W307" s="4"/>
      <c r="X307" s="4"/>
      <c r="Y307" s="4"/>
      <c r="Z307" s="4"/>
    </row>
    <row r="308" ht="9.75" customHeight="1">
      <c r="A308" s="343"/>
      <c r="B308" s="344"/>
      <c r="C308" s="182"/>
      <c r="D308" s="406"/>
      <c r="E308" s="406"/>
      <c r="F308" s="407"/>
      <c r="G308" s="407"/>
      <c r="H308" s="4"/>
      <c r="I308" s="4"/>
      <c r="J308" s="4"/>
      <c r="K308" s="4"/>
      <c r="L308" s="4"/>
      <c r="M308" s="4"/>
      <c r="N308" s="4"/>
      <c r="O308" s="4"/>
      <c r="P308" s="4"/>
      <c r="Q308" s="4"/>
      <c r="R308" s="4"/>
      <c r="S308" s="4"/>
      <c r="T308" s="4"/>
      <c r="U308" s="4"/>
      <c r="V308" s="4"/>
      <c r="W308" s="4"/>
      <c r="X308" s="4"/>
      <c r="Y308" s="4"/>
      <c r="Z308" s="4"/>
    </row>
    <row r="309" ht="9.75" customHeight="1">
      <c r="A309" s="343"/>
      <c r="B309" s="344"/>
      <c r="C309" s="182"/>
      <c r="D309" s="406"/>
      <c r="E309" s="406"/>
      <c r="F309" s="407"/>
      <c r="G309" s="407"/>
      <c r="H309" s="4"/>
      <c r="I309" s="4"/>
      <c r="J309" s="4"/>
      <c r="K309" s="4"/>
      <c r="L309" s="4"/>
      <c r="M309" s="4"/>
      <c r="N309" s="4"/>
      <c r="O309" s="4"/>
      <c r="P309" s="4"/>
      <c r="Q309" s="4"/>
      <c r="R309" s="4"/>
      <c r="S309" s="4"/>
      <c r="T309" s="4"/>
      <c r="U309" s="4"/>
      <c r="V309" s="4"/>
      <c r="W309" s="4"/>
      <c r="X309" s="4"/>
      <c r="Y309" s="4"/>
      <c r="Z309" s="4"/>
    </row>
    <row r="310" ht="9.75" customHeight="1">
      <c r="A310" s="343"/>
      <c r="B310" s="344"/>
      <c r="C310" s="182"/>
      <c r="D310" s="406"/>
      <c r="E310" s="406"/>
      <c r="F310" s="407"/>
      <c r="G310" s="407"/>
      <c r="H310" s="4"/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4"/>
      <c r="X310" s="4"/>
      <c r="Y310" s="4"/>
      <c r="Z310" s="4"/>
    </row>
    <row r="311" ht="9.75" customHeight="1">
      <c r="A311" s="343"/>
      <c r="B311" s="344"/>
      <c r="C311" s="182"/>
      <c r="D311" s="406"/>
      <c r="E311" s="406"/>
      <c r="F311" s="407"/>
      <c r="G311" s="407"/>
      <c r="H311" s="4"/>
      <c r="I311" s="4"/>
      <c r="J311" s="4"/>
      <c r="K311" s="4"/>
      <c r="L311" s="4"/>
      <c r="M311" s="4"/>
      <c r="N311" s="4"/>
      <c r="O311" s="4"/>
      <c r="P311" s="4"/>
      <c r="Q311" s="4"/>
      <c r="R311" s="4"/>
      <c r="S311" s="4"/>
      <c r="T311" s="4"/>
      <c r="U311" s="4"/>
      <c r="V311" s="4"/>
      <c r="W311" s="4"/>
      <c r="X311" s="4"/>
      <c r="Y311" s="4"/>
      <c r="Z311" s="4"/>
    </row>
    <row r="312" ht="9.75" customHeight="1">
      <c r="A312" s="343"/>
      <c r="B312" s="344"/>
      <c r="C312" s="182"/>
      <c r="D312" s="406"/>
      <c r="E312" s="406"/>
      <c r="F312" s="407"/>
      <c r="G312" s="407"/>
      <c r="H312" s="4"/>
      <c r="I312" s="4"/>
      <c r="J312" s="4"/>
      <c r="K312" s="4"/>
      <c r="L312" s="4"/>
      <c r="M312" s="4"/>
      <c r="N312" s="4"/>
      <c r="O312" s="4"/>
      <c r="P312" s="4"/>
      <c r="Q312" s="4"/>
      <c r="R312" s="4"/>
      <c r="S312" s="4"/>
      <c r="T312" s="4"/>
      <c r="U312" s="4"/>
      <c r="V312" s="4"/>
      <c r="W312" s="4"/>
      <c r="X312" s="4"/>
      <c r="Y312" s="4"/>
      <c r="Z312" s="4"/>
    </row>
    <row r="313" ht="9.75" customHeight="1">
      <c r="A313" s="343"/>
      <c r="B313" s="344"/>
      <c r="C313" s="182"/>
      <c r="D313" s="406"/>
      <c r="E313" s="406"/>
      <c r="F313" s="407"/>
      <c r="G313" s="407"/>
      <c r="H313" s="4"/>
      <c r="I313" s="4"/>
      <c r="J313" s="4"/>
      <c r="K313" s="4"/>
      <c r="L313" s="4"/>
      <c r="M313" s="4"/>
      <c r="N313" s="4"/>
      <c r="O313" s="4"/>
      <c r="P313" s="4"/>
      <c r="Q313" s="4"/>
      <c r="R313" s="4"/>
      <c r="S313" s="4"/>
      <c r="T313" s="4"/>
      <c r="U313" s="4"/>
      <c r="V313" s="4"/>
      <c r="W313" s="4"/>
      <c r="X313" s="4"/>
      <c r="Y313" s="4"/>
      <c r="Z313" s="4"/>
    </row>
    <row r="314" ht="9.75" customHeight="1">
      <c r="A314" s="343"/>
      <c r="B314" s="344"/>
      <c r="C314" s="182"/>
      <c r="D314" s="406"/>
      <c r="E314" s="406"/>
      <c r="F314" s="407"/>
      <c r="G314" s="407"/>
      <c r="H314" s="4"/>
      <c r="I314" s="4"/>
      <c r="J314" s="4"/>
      <c r="K314" s="4"/>
      <c r="L314" s="4"/>
      <c r="M314" s="4"/>
      <c r="N314" s="4"/>
      <c r="O314" s="4"/>
      <c r="P314" s="4"/>
      <c r="Q314" s="4"/>
      <c r="R314" s="4"/>
      <c r="S314" s="4"/>
      <c r="T314" s="4"/>
      <c r="U314" s="4"/>
      <c r="V314" s="4"/>
      <c r="W314" s="4"/>
      <c r="X314" s="4"/>
      <c r="Y314" s="4"/>
      <c r="Z314" s="4"/>
    </row>
    <row r="315" ht="9.75" customHeight="1">
      <c r="A315" s="343"/>
      <c r="B315" s="344"/>
      <c r="C315" s="182"/>
      <c r="D315" s="406"/>
      <c r="E315" s="406"/>
      <c r="F315" s="407"/>
      <c r="G315" s="407"/>
      <c r="H315" s="4"/>
      <c r="I315" s="4"/>
      <c r="J315" s="4"/>
      <c r="K315" s="4"/>
      <c r="L315" s="4"/>
      <c r="M315" s="4"/>
      <c r="N315" s="4"/>
      <c r="O315" s="4"/>
      <c r="P315" s="4"/>
      <c r="Q315" s="4"/>
      <c r="R315" s="4"/>
      <c r="S315" s="4"/>
      <c r="T315" s="4"/>
      <c r="U315" s="4"/>
      <c r="V315" s="4"/>
      <c r="W315" s="4"/>
      <c r="X315" s="4"/>
      <c r="Y315" s="4"/>
      <c r="Z315" s="4"/>
    </row>
    <row r="316" ht="9.75" customHeight="1">
      <c r="A316" s="343"/>
      <c r="B316" s="344"/>
      <c r="C316" s="182"/>
      <c r="D316" s="406"/>
      <c r="E316" s="406"/>
      <c r="F316" s="407"/>
      <c r="G316" s="407"/>
      <c r="H316" s="4"/>
      <c r="I316" s="4"/>
      <c r="J316" s="4"/>
      <c r="K316" s="4"/>
      <c r="L316" s="4"/>
      <c r="M316" s="4"/>
      <c r="N316" s="4"/>
      <c r="O316" s="4"/>
      <c r="P316" s="4"/>
      <c r="Q316" s="4"/>
      <c r="R316" s="4"/>
      <c r="S316" s="4"/>
      <c r="T316" s="4"/>
      <c r="U316" s="4"/>
      <c r="V316" s="4"/>
      <c r="W316" s="4"/>
      <c r="X316" s="4"/>
      <c r="Y316" s="4"/>
      <c r="Z316" s="4"/>
    </row>
    <row r="317" ht="9.75" customHeight="1">
      <c r="A317" s="343"/>
      <c r="B317" s="344"/>
      <c r="C317" s="182"/>
      <c r="D317" s="406"/>
      <c r="E317" s="406"/>
      <c r="F317" s="407"/>
      <c r="G317" s="407"/>
      <c r="H317" s="4"/>
      <c r="I317" s="4"/>
      <c r="J317" s="4"/>
      <c r="K317" s="4"/>
      <c r="L317" s="4"/>
      <c r="M317" s="4"/>
      <c r="N317" s="4"/>
      <c r="O317" s="4"/>
      <c r="P317" s="4"/>
      <c r="Q317" s="4"/>
      <c r="R317" s="4"/>
      <c r="S317" s="4"/>
      <c r="T317" s="4"/>
      <c r="U317" s="4"/>
      <c r="V317" s="4"/>
      <c r="W317" s="4"/>
      <c r="X317" s="4"/>
      <c r="Y317" s="4"/>
      <c r="Z317" s="4"/>
    </row>
    <row r="318" ht="9.75" customHeight="1">
      <c r="A318" s="343"/>
      <c r="B318" s="344"/>
      <c r="C318" s="182"/>
      <c r="D318" s="406"/>
      <c r="E318" s="406"/>
      <c r="F318" s="407"/>
      <c r="G318" s="407"/>
      <c r="H318" s="4"/>
      <c r="I318" s="4"/>
      <c r="J318" s="4"/>
      <c r="K318" s="4"/>
      <c r="L318" s="4"/>
      <c r="M318" s="4"/>
      <c r="N318" s="4"/>
      <c r="O318" s="4"/>
      <c r="P318" s="4"/>
      <c r="Q318" s="4"/>
      <c r="R318" s="4"/>
      <c r="S318" s="4"/>
      <c r="T318" s="4"/>
      <c r="U318" s="4"/>
      <c r="V318" s="4"/>
      <c r="W318" s="4"/>
      <c r="X318" s="4"/>
      <c r="Y318" s="4"/>
      <c r="Z318" s="4"/>
    </row>
    <row r="319" ht="9.75" customHeight="1">
      <c r="A319" s="343"/>
      <c r="B319" s="344"/>
      <c r="C319" s="182"/>
      <c r="D319" s="406"/>
      <c r="E319" s="406"/>
      <c r="F319" s="407"/>
      <c r="G319" s="407"/>
      <c r="H319" s="4"/>
      <c r="I319" s="4"/>
      <c r="J319" s="4"/>
      <c r="K319" s="4"/>
      <c r="L319" s="4"/>
      <c r="M319" s="4"/>
      <c r="N319" s="4"/>
      <c r="O319" s="4"/>
      <c r="P319" s="4"/>
      <c r="Q319" s="4"/>
      <c r="R319" s="4"/>
      <c r="S319" s="4"/>
      <c r="T319" s="4"/>
      <c r="U319" s="4"/>
      <c r="V319" s="4"/>
      <c r="W319" s="4"/>
      <c r="X319" s="4"/>
      <c r="Y319" s="4"/>
      <c r="Z319" s="4"/>
    </row>
    <row r="320" ht="9.75" customHeight="1">
      <c r="A320" s="343"/>
      <c r="B320" s="344"/>
      <c r="C320" s="182"/>
      <c r="D320" s="406"/>
      <c r="E320" s="406"/>
      <c r="F320" s="407"/>
      <c r="G320" s="407"/>
      <c r="H320" s="4"/>
      <c r="I320" s="4"/>
      <c r="J320" s="4"/>
      <c r="K320" s="4"/>
      <c r="L320" s="4"/>
      <c r="M320" s="4"/>
      <c r="N320" s="4"/>
      <c r="O320" s="4"/>
      <c r="P320" s="4"/>
      <c r="Q320" s="4"/>
      <c r="R320" s="4"/>
      <c r="S320" s="4"/>
      <c r="T320" s="4"/>
      <c r="U320" s="4"/>
      <c r="V320" s="4"/>
      <c r="W320" s="4"/>
      <c r="X320" s="4"/>
      <c r="Y320" s="4"/>
      <c r="Z320" s="4"/>
    </row>
    <row r="321" ht="9.75" customHeight="1">
      <c r="A321" s="343"/>
      <c r="B321" s="344"/>
      <c r="C321" s="182"/>
      <c r="D321" s="406"/>
      <c r="E321" s="406"/>
      <c r="F321" s="407"/>
      <c r="G321" s="407"/>
      <c r="H321" s="4"/>
      <c r="I321" s="4"/>
      <c r="J321" s="4"/>
      <c r="K321" s="4"/>
      <c r="L321" s="4"/>
      <c r="M321" s="4"/>
      <c r="N321" s="4"/>
      <c r="O321" s="4"/>
      <c r="P321" s="4"/>
      <c r="Q321" s="4"/>
      <c r="R321" s="4"/>
      <c r="S321" s="4"/>
      <c r="T321" s="4"/>
      <c r="U321" s="4"/>
      <c r="V321" s="4"/>
      <c r="W321" s="4"/>
      <c r="X321" s="4"/>
      <c r="Y321" s="4"/>
      <c r="Z321" s="4"/>
    </row>
    <row r="322" ht="9.75" customHeight="1">
      <c r="A322" s="343"/>
      <c r="B322" s="344"/>
      <c r="C322" s="182"/>
      <c r="D322" s="406"/>
      <c r="E322" s="406"/>
      <c r="F322" s="407"/>
      <c r="G322" s="407"/>
      <c r="H322" s="4"/>
      <c r="I322" s="4"/>
      <c r="J322" s="4"/>
      <c r="K322" s="4"/>
      <c r="L322" s="4"/>
      <c r="M322" s="4"/>
      <c r="N322" s="4"/>
      <c r="O322" s="4"/>
      <c r="P322" s="4"/>
      <c r="Q322" s="4"/>
      <c r="R322" s="4"/>
      <c r="S322" s="4"/>
      <c r="T322" s="4"/>
      <c r="U322" s="4"/>
      <c r="V322" s="4"/>
      <c r="W322" s="4"/>
      <c r="X322" s="4"/>
      <c r="Y322" s="4"/>
      <c r="Z322" s="4"/>
    </row>
    <row r="323" ht="9.75" customHeight="1">
      <c r="A323" s="343"/>
      <c r="B323" s="344"/>
      <c r="C323" s="182"/>
      <c r="D323" s="406"/>
      <c r="E323" s="406"/>
      <c r="F323" s="407"/>
      <c r="G323" s="407"/>
      <c r="H323" s="4"/>
      <c r="I323" s="4"/>
      <c r="J323" s="4"/>
      <c r="K323" s="4"/>
      <c r="L323" s="4"/>
      <c r="M323" s="4"/>
      <c r="N323" s="4"/>
      <c r="O323" s="4"/>
      <c r="P323" s="4"/>
      <c r="Q323" s="4"/>
      <c r="R323" s="4"/>
      <c r="S323" s="4"/>
      <c r="T323" s="4"/>
      <c r="U323" s="4"/>
      <c r="V323" s="4"/>
      <c r="W323" s="4"/>
      <c r="X323" s="4"/>
      <c r="Y323" s="4"/>
      <c r="Z323" s="4"/>
    </row>
    <row r="324" ht="9.75" customHeight="1">
      <c r="A324" s="343"/>
      <c r="B324" s="344"/>
      <c r="C324" s="182"/>
      <c r="D324" s="406"/>
      <c r="E324" s="406"/>
      <c r="F324" s="407"/>
      <c r="G324" s="407"/>
      <c r="H324" s="4"/>
      <c r="I324" s="4"/>
      <c r="J324" s="4"/>
      <c r="K324" s="4"/>
      <c r="L324" s="4"/>
      <c r="M324" s="4"/>
      <c r="N324" s="4"/>
      <c r="O324" s="4"/>
      <c r="P324" s="4"/>
      <c r="Q324" s="4"/>
      <c r="R324" s="4"/>
      <c r="S324" s="4"/>
      <c r="T324" s="4"/>
      <c r="U324" s="4"/>
      <c r="V324" s="4"/>
      <c r="W324" s="4"/>
      <c r="X324" s="4"/>
      <c r="Y324" s="4"/>
      <c r="Z324" s="4"/>
    </row>
    <row r="325" ht="9.75" customHeight="1">
      <c r="A325" s="343"/>
      <c r="B325" s="344"/>
      <c r="C325" s="182"/>
      <c r="D325" s="406"/>
      <c r="E325" s="406"/>
      <c r="F325" s="407"/>
      <c r="G325" s="407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</row>
    <row r="326" ht="9.75" customHeight="1">
      <c r="A326" s="343"/>
      <c r="B326" s="344"/>
      <c r="C326" s="182"/>
      <c r="D326" s="406"/>
      <c r="E326" s="406"/>
      <c r="F326" s="407"/>
      <c r="G326" s="407"/>
      <c r="H326" s="4"/>
      <c r="I326" s="4"/>
      <c r="J326" s="4"/>
      <c r="K326" s="4"/>
      <c r="L326" s="4"/>
      <c r="M326" s="4"/>
      <c r="N326" s="4"/>
      <c r="O326" s="4"/>
      <c r="P326" s="4"/>
      <c r="Q326" s="4"/>
      <c r="R326" s="4"/>
      <c r="S326" s="4"/>
      <c r="T326" s="4"/>
      <c r="U326" s="4"/>
      <c r="V326" s="4"/>
      <c r="W326" s="4"/>
      <c r="X326" s="4"/>
      <c r="Y326" s="4"/>
      <c r="Z326" s="4"/>
    </row>
    <row r="327" ht="9.75" customHeight="1">
      <c r="A327" s="343"/>
      <c r="B327" s="344"/>
      <c r="C327" s="182"/>
      <c r="D327" s="406"/>
      <c r="E327" s="406"/>
      <c r="F327" s="407"/>
      <c r="G327" s="407"/>
      <c r="H327" s="4"/>
      <c r="I327" s="4"/>
      <c r="J327" s="4"/>
      <c r="K327" s="4"/>
      <c r="L327" s="4"/>
      <c r="M327" s="4"/>
      <c r="N327" s="4"/>
      <c r="O327" s="4"/>
      <c r="P327" s="4"/>
      <c r="Q327" s="4"/>
      <c r="R327" s="4"/>
      <c r="S327" s="4"/>
      <c r="T327" s="4"/>
      <c r="U327" s="4"/>
      <c r="V327" s="4"/>
      <c r="W327" s="4"/>
      <c r="X327" s="4"/>
      <c r="Y327" s="4"/>
      <c r="Z327" s="4"/>
    </row>
    <row r="328" ht="9.75" customHeight="1">
      <c r="A328" s="343"/>
      <c r="B328" s="344"/>
      <c r="C328" s="182"/>
      <c r="D328" s="406"/>
      <c r="E328" s="406"/>
      <c r="F328" s="407"/>
      <c r="G328" s="407"/>
      <c r="H328" s="4"/>
      <c r="I328" s="4"/>
      <c r="J328" s="4"/>
      <c r="K328" s="4"/>
      <c r="L328" s="4"/>
      <c r="M328" s="4"/>
      <c r="N328" s="4"/>
      <c r="O328" s="4"/>
      <c r="P328" s="4"/>
      <c r="Q328" s="4"/>
      <c r="R328" s="4"/>
      <c r="S328" s="4"/>
      <c r="T328" s="4"/>
      <c r="U328" s="4"/>
      <c r="V328" s="4"/>
      <c r="W328" s="4"/>
      <c r="X328" s="4"/>
      <c r="Y328" s="4"/>
      <c r="Z328" s="4"/>
    </row>
    <row r="329" ht="9.75" customHeight="1">
      <c r="A329" s="343"/>
      <c r="B329" s="344"/>
      <c r="C329" s="182"/>
      <c r="D329" s="406"/>
      <c r="E329" s="406"/>
      <c r="F329" s="407"/>
      <c r="G329" s="407"/>
      <c r="H329" s="4"/>
      <c r="I329" s="4"/>
      <c r="J329" s="4"/>
      <c r="K329" s="4"/>
      <c r="L329" s="4"/>
      <c r="M329" s="4"/>
      <c r="N329" s="4"/>
      <c r="O329" s="4"/>
      <c r="P329" s="4"/>
      <c r="Q329" s="4"/>
      <c r="R329" s="4"/>
      <c r="S329" s="4"/>
      <c r="T329" s="4"/>
      <c r="U329" s="4"/>
      <c r="V329" s="4"/>
      <c r="W329" s="4"/>
      <c r="X329" s="4"/>
      <c r="Y329" s="4"/>
      <c r="Z329" s="4"/>
    </row>
    <row r="330" ht="9.75" customHeight="1">
      <c r="A330" s="343"/>
      <c r="B330" s="344"/>
      <c r="C330" s="182"/>
      <c r="D330" s="406"/>
      <c r="E330" s="406"/>
      <c r="F330" s="407"/>
      <c r="G330" s="407"/>
      <c r="H330" s="4"/>
      <c r="I330" s="4"/>
      <c r="J330" s="4"/>
      <c r="K330" s="4"/>
      <c r="L330" s="4"/>
      <c r="M330" s="4"/>
      <c r="N330" s="4"/>
      <c r="O330" s="4"/>
      <c r="P330" s="4"/>
      <c r="Q330" s="4"/>
      <c r="R330" s="4"/>
      <c r="S330" s="4"/>
      <c r="T330" s="4"/>
      <c r="U330" s="4"/>
      <c r="V330" s="4"/>
      <c r="W330" s="4"/>
      <c r="X330" s="4"/>
      <c r="Y330" s="4"/>
      <c r="Z330" s="4"/>
    </row>
    <row r="331" ht="9.75" customHeight="1">
      <c r="A331" s="343"/>
      <c r="B331" s="344"/>
      <c r="C331" s="182"/>
      <c r="D331" s="406"/>
      <c r="E331" s="406"/>
      <c r="F331" s="407"/>
      <c r="G331" s="407"/>
      <c r="H331" s="4"/>
      <c r="I331" s="4"/>
      <c r="J331" s="4"/>
      <c r="K331" s="4"/>
      <c r="L331" s="4"/>
      <c r="M331" s="4"/>
      <c r="N331" s="4"/>
      <c r="O331" s="4"/>
      <c r="P331" s="4"/>
      <c r="Q331" s="4"/>
      <c r="R331" s="4"/>
      <c r="S331" s="4"/>
      <c r="T331" s="4"/>
      <c r="U331" s="4"/>
      <c r="V331" s="4"/>
      <c r="W331" s="4"/>
      <c r="X331" s="4"/>
      <c r="Y331" s="4"/>
      <c r="Z331" s="4"/>
    </row>
    <row r="332" ht="9.75" customHeight="1">
      <c r="A332" s="343"/>
      <c r="B332" s="344"/>
      <c r="C332" s="182"/>
      <c r="D332" s="406"/>
      <c r="E332" s="406"/>
      <c r="F332" s="407"/>
      <c r="G332" s="407"/>
      <c r="H332" s="4"/>
      <c r="I332" s="4"/>
      <c r="J332" s="4"/>
      <c r="K332" s="4"/>
      <c r="L332" s="4"/>
      <c r="M332" s="4"/>
      <c r="N332" s="4"/>
      <c r="O332" s="4"/>
      <c r="P332" s="4"/>
      <c r="Q332" s="4"/>
      <c r="R332" s="4"/>
      <c r="S332" s="4"/>
      <c r="T332" s="4"/>
      <c r="U332" s="4"/>
      <c r="V332" s="4"/>
      <c r="W332" s="4"/>
      <c r="X332" s="4"/>
      <c r="Y332" s="4"/>
      <c r="Z332" s="4"/>
    </row>
    <row r="333" ht="9.75" customHeight="1">
      <c r="A333" s="343"/>
      <c r="B333" s="344"/>
      <c r="C333" s="182"/>
      <c r="D333" s="406"/>
      <c r="E333" s="406"/>
      <c r="F333" s="407"/>
      <c r="G333" s="407"/>
      <c r="H333" s="4"/>
      <c r="I333" s="4"/>
      <c r="J333" s="4"/>
      <c r="K333" s="4"/>
      <c r="L333" s="4"/>
      <c r="M333" s="4"/>
      <c r="N333" s="4"/>
      <c r="O333" s="4"/>
      <c r="P333" s="4"/>
      <c r="Q333" s="4"/>
      <c r="R333" s="4"/>
      <c r="S333" s="4"/>
      <c r="T333" s="4"/>
      <c r="U333" s="4"/>
      <c r="V333" s="4"/>
      <c r="W333" s="4"/>
      <c r="X333" s="4"/>
      <c r="Y333" s="4"/>
      <c r="Z333" s="4"/>
    </row>
    <row r="334" ht="9.75" customHeight="1">
      <c r="A334" s="343"/>
      <c r="B334" s="344"/>
      <c r="C334" s="182"/>
      <c r="D334" s="406"/>
      <c r="E334" s="406"/>
      <c r="F334" s="407"/>
      <c r="G334" s="407"/>
      <c r="H334" s="4"/>
      <c r="I334" s="4"/>
      <c r="J334" s="4"/>
      <c r="K334" s="4"/>
      <c r="L334" s="4"/>
      <c r="M334" s="4"/>
      <c r="N334" s="4"/>
      <c r="O334" s="4"/>
      <c r="P334" s="4"/>
      <c r="Q334" s="4"/>
      <c r="R334" s="4"/>
      <c r="S334" s="4"/>
      <c r="T334" s="4"/>
      <c r="U334" s="4"/>
      <c r="V334" s="4"/>
      <c r="W334" s="4"/>
      <c r="X334" s="4"/>
      <c r="Y334" s="4"/>
      <c r="Z334" s="4"/>
    </row>
    <row r="335" ht="9.75" customHeight="1">
      <c r="A335" s="343"/>
      <c r="B335" s="344"/>
      <c r="C335" s="182"/>
      <c r="D335" s="406"/>
      <c r="E335" s="406"/>
      <c r="F335" s="407"/>
      <c r="G335" s="407"/>
      <c r="H335" s="4"/>
      <c r="I335" s="4"/>
      <c r="J335" s="4"/>
      <c r="K335" s="4"/>
      <c r="L335" s="4"/>
      <c r="M335" s="4"/>
      <c r="N335" s="4"/>
      <c r="O335" s="4"/>
      <c r="P335" s="4"/>
      <c r="Q335" s="4"/>
      <c r="R335" s="4"/>
      <c r="S335" s="4"/>
      <c r="T335" s="4"/>
      <c r="U335" s="4"/>
      <c r="V335" s="4"/>
      <c r="W335" s="4"/>
      <c r="X335" s="4"/>
      <c r="Y335" s="4"/>
      <c r="Z335" s="4"/>
    </row>
    <row r="336" ht="9.75" customHeight="1">
      <c r="A336" s="343"/>
      <c r="B336" s="344"/>
      <c r="C336" s="182"/>
      <c r="D336" s="406"/>
      <c r="E336" s="406"/>
      <c r="F336" s="407"/>
      <c r="G336" s="407"/>
      <c r="H336" s="4"/>
      <c r="I336" s="4"/>
      <c r="J336" s="4"/>
      <c r="K336" s="4"/>
      <c r="L336" s="4"/>
      <c r="M336" s="4"/>
      <c r="N336" s="4"/>
      <c r="O336" s="4"/>
      <c r="P336" s="4"/>
      <c r="Q336" s="4"/>
      <c r="R336" s="4"/>
      <c r="S336" s="4"/>
      <c r="T336" s="4"/>
      <c r="U336" s="4"/>
      <c r="V336" s="4"/>
      <c r="W336" s="4"/>
      <c r="X336" s="4"/>
      <c r="Y336" s="4"/>
      <c r="Z336" s="4"/>
    </row>
    <row r="337" ht="9.75" customHeight="1">
      <c r="A337" s="343"/>
      <c r="B337" s="344"/>
      <c r="C337" s="182"/>
      <c r="D337" s="406"/>
      <c r="E337" s="406"/>
      <c r="F337" s="407"/>
      <c r="G337" s="407"/>
      <c r="H337" s="4"/>
      <c r="I337" s="4"/>
      <c r="J337" s="4"/>
      <c r="K337" s="4"/>
      <c r="L337" s="4"/>
      <c r="M337" s="4"/>
      <c r="N337" s="4"/>
      <c r="O337" s="4"/>
      <c r="P337" s="4"/>
      <c r="Q337" s="4"/>
      <c r="R337" s="4"/>
      <c r="S337" s="4"/>
      <c r="T337" s="4"/>
      <c r="U337" s="4"/>
      <c r="V337" s="4"/>
      <c r="W337" s="4"/>
      <c r="X337" s="4"/>
      <c r="Y337" s="4"/>
      <c r="Z337" s="4"/>
    </row>
    <row r="338" ht="9.75" customHeight="1">
      <c r="A338" s="343"/>
      <c r="B338" s="344"/>
      <c r="C338" s="182"/>
      <c r="D338" s="406"/>
      <c r="E338" s="406"/>
      <c r="F338" s="407"/>
      <c r="G338" s="407"/>
      <c r="H338" s="4"/>
      <c r="I338" s="4"/>
      <c r="J338" s="4"/>
      <c r="K338" s="4"/>
      <c r="L338" s="4"/>
      <c r="M338" s="4"/>
      <c r="N338" s="4"/>
      <c r="O338" s="4"/>
      <c r="P338" s="4"/>
      <c r="Q338" s="4"/>
      <c r="R338" s="4"/>
      <c r="S338" s="4"/>
      <c r="T338" s="4"/>
      <c r="U338" s="4"/>
      <c r="V338" s="4"/>
      <c r="W338" s="4"/>
      <c r="X338" s="4"/>
      <c r="Y338" s="4"/>
      <c r="Z338" s="4"/>
    </row>
    <row r="339" ht="9.75" customHeight="1">
      <c r="A339" s="343"/>
      <c r="B339" s="344"/>
      <c r="C339" s="182"/>
      <c r="D339" s="406"/>
      <c r="E339" s="406"/>
      <c r="F339" s="407"/>
      <c r="G339" s="407"/>
      <c r="H339" s="4"/>
      <c r="I339" s="4"/>
      <c r="J339" s="4"/>
      <c r="K339" s="4"/>
      <c r="L339" s="4"/>
      <c r="M339" s="4"/>
      <c r="N339" s="4"/>
      <c r="O339" s="4"/>
      <c r="P339" s="4"/>
      <c r="Q339" s="4"/>
      <c r="R339" s="4"/>
      <c r="S339" s="4"/>
      <c r="T339" s="4"/>
      <c r="U339" s="4"/>
      <c r="V339" s="4"/>
      <c r="W339" s="4"/>
      <c r="X339" s="4"/>
      <c r="Y339" s="4"/>
      <c r="Z339" s="4"/>
    </row>
    <row r="340" ht="9.75" customHeight="1">
      <c r="A340" s="343"/>
      <c r="B340" s="344"/>
      <c r="C340" s="182"/>
      <c r="D340" s="406"/>
      <c r="E340" s="406"/>
      <c r="F340" s="407"/>
      <c r="G340" s="407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</row>
    <row r="341" ht="9.75" customHeight="1">
      <c r="A341" s="343"/>
      <c r="B341" s="344"/>
      <c r="C341" s="182"/>
      <c r="D341" s="406"/>
      <c r="E341" s="406"/>
      <c r="F341" s="407"/>
      <c r="G341" s="407"/>
      <c r="H341" s="4"/>
      <c r="I341" s="4"/>
      <c r="J341" s="4"/>
      <c r="K341" s="4"/>
      <c r="L341" s="4"/>
      <c r="M341" s="4"/>
      <c r="N341" s="4"/>
      <c r="O341" s="4"/>
      <c r="P341" s="4"/>
      <c r="Q341" s="4"/>
      <c r="R341" s="4"/>
      <c r="S341" s="4"/>
      <c r="T341" s="4"/>
      <c r="U341" s="4"/>
      <c r="V341" s="4"/>
      <c r="W341" s="4"/>
      <c r="X341" s="4"/>
      <c r="Y341" s="4"/>
      <c r="Z341" s="4"/>
    </row>
    <row r="342" ht="9.75" customHeight="1">
      <c r="A342" s="343"/>
      <c r="B342" s="344"/>
      <c r="C342" s="182"/>
      <c r="D342" s="406"/>
      <c r="E342" s="406"/>
      <c r="F342" s="407"/>
      <c r="G342" s="407"/>
      <c r="H342" s="4"/>
      <c r="I342" s="4"/>
      <c r="J342" s="4"/>
      <c r="K342" s="4"/>
      <c r="L342" s="4"/>
      <c r="M342" s="4"/>
      <c r="N342" s="4"/>
      <c r="O342" s="4"/>
      <c r="P342" s="4"/>
      <c r="Q342" s="4"/>
      <c r="R342" s="4"/>
      <c r="S342" s="4"/>
      <c r="T342" s="4"/>
      <c r="U342" s="4"/>
      <c r="V342" s="4"/>
      <c r="W342" s="4"/>
      <c r="X342" s="4"/>
      <c r="Y342" s="4"/>
      <c r="Z342" s="4"/>
    </row>
    <row r="343" ht="9.75" customHeight="1">
      <c r="A343" s="343"/>
      <c r="B343" s="344"/>
      <c r="C343" s="182"/>
      <c r="D343" s="406"/>
      <c r="E343" s="406"/>
      <c r="F343" s="407"/>
      <c r="G343" s="407"/>
      <c r="H343" s="4"/>
      <c r="I343" s="4"/>
      <c r="J343" s="4"/>
      <c r="K343" s="4"/>
      <c r="L343" s="4"/>
      <c r="M343" s="4"/>
      <c r="N343" s="4"/>
      <c r="O343" s="4"/>
      <c r="P343" s="4"/>
      <c r="Q343" s="4"/>
      <c r="R343" s="4"/>
      <c r="S343" s="4"/>
      <c r="T343" s="4"/>
      <c r="U343" s="4"/>
      <c r="V343" s="4"/>
      <c r="W343" s="4"/>
      <c r="X343" s="4"/>
      <c r="Y343" s="4"/>
      <c r="Z343" s="4"/>
    </row>
    <row r="344" ht="9.75" customHeight="1">
      <c r="A344" s="343"/>
      <c r="B344" s="344"/>
      <c r="C344" s="182"/>
      <c r="D344" s="406"/>
      <c r="E344" s="406"/>
      <c r="F344" s="407"/>
      <c r="G344" s="407"/>
      <c r="H344" s="4"/>
      <c r="I344" s="4"/>
      <c r="J344" s="4"/>
      <c r="K344" s="4"/>
      <c r="L344" s="4"/>
      <c r="M344" s="4"/>
      <c r="N344" s="4"/>
      <c r="O344" s="4"/>
      <c r="P344" s="4"/>
      <c r="Q344" s="4"/>
      <c r="R344" s="4"/>
      <c r="S344" s="4"/>
      <c r="T344" s="4"/>
      <c r="U344" s="4"/>
      <c r="V344" s="4"/>
      <c r="W344" s="4"/>
      <c r="X344" s="4"/>
      <c r="Y344" s="4"/>
      <c r="Z344" s="4"/>
    </row>
    <row r="345" ht="9.75" customHeight="1">
      <c r="A345" s="343"/>
      <c r="B345" s="344"/>
      <c r="C345" s="182"/>
      <c r="D345" s="406"/>
      <c r="E345" s="406"/>
      <c r="F345" s="407"/>
      <c r="G345" s="407"/>
      <c r="H345" s="4"/>
      <c r="I345" s="4"/>
      <c r="J345" s="4"/>
      <c r="K345" s="4"/>
      <c r="L345" s="4"/>
      <c r="M345" s="4"/>
      <c r="N345" s="4"/>
      <c r="O345" s="4"/>
      <c r="P345" s="4"/>
      <c r="Q345" s="4"/>
      <c r="R345" s="4"/>
      <c r="S345" s="4"/>
      <c r="T345" s="4"/>
      <c r="U345" s="4"/>
      <c r="V345" s="4"/>
      <c r="W345" s="4"/>
      <c r="X345" s="4"/>
      <c r="Y345" s="4"/>
      <c r="Z345" s="4"/>
    </row>
    <row r="346" ht="9.75" customHeight="1">
      <c r="A346" s="343"/>
      <c r="B346" s="344"/>
      <c r="C346" s="182"/>
      <c r="D346" s="406"/>
      <c r="E346" s="406"/>
      <c r="F346" s="407"/>
      <c r="G346" s="407"/>
      <c r="H346" s="4"/>
      <c r="I346" s="4"/>
      <c r="J346" s="4"/>
      <c r="K346" s="4"/>
      <c r="L346" s="4"/>
      <c r="M346" s="4"/>
      <c r="N346" s="4"/>
      <c r="O346" s="4"/>
      <c r="P346" s="4"/>
      <c r="Q346" s="4"/>
      <c r="R346" s="4"/>
      <c r="S346" s="4"/>
      <c r="T346" s="4"/>
      <c r="U346" s="4"/>
      <c r="V346" s="4"/>
      <c r="W346" s="4"/>
      <c r="X346" s="4"/>
      <c r="Y346" s="4"/>
      <c r="Z346" s="4"/>
    </row>
    <row r="347" ht="9.75" customHeight="1">
      <c r="A347" s="343"/>
      <c r="B347" s="344"/>
      <c r="C347" s="182"/>
      <c r="D347" s="406"/>
      <c r="E347" s="406"/>
      <c r="F347" s="407"/>
      <c r="G347" s="407"/>
      <c r="H347" s="4"/>
      <c r="I347" s="4"/>
      <c r="J347" s="4"/>
      <c r="K347" s="4"/>
      <c r="L347" s="4"/>
      <c r="M347" s="4"/>
      <c r="N347" s="4"/>
      <c r="O347" s="4"/>
      <c r="P347" s="4"/>
      <c r="Q347" s="4"/>
      <c r="R347" s="4"/>
      <c r="S347" s="4"/>
      <c r="T347" s="4"/>
      <c r="U347" s="4"/>
      <c r="V347" s="4"/>
      <c r="W347" s="4"/>
      <c r="X347" s="4"/>
      <c r="Y347" s="4"/>
      <c r="Z347" s="4"/>
    </row>
    <row r="348" ht="9.75" customHeight="1">
      <c r="A348" s="343"/>
      <c r="B348" s="344"/>
      <c r="C348" s="182"/>
      <c r="D348" s="406"/>
      <c r="E348" s="406"/>
      <c r="F348" s="407"/>
      <c r="G348" s="407"/>
      <c r="H348" s="4"/>
      <c r="I348" s="4"/>
      <c r="J348" s="4"/>
      <c r="K348" s="4"/>
      <c r="L348" s="4"/>
      <c r="M348" s="4"/>
      <c r="N348" s="4"/>
      <c r="O348" s="4"/>
      <c r="P348" s="4"/>
      <c r="Q348" s="4"/>
      <c r="R348" s="4"/>
      <c r="S348" s="4"/>
      <c r="T348" s="4"/>
      <c r="U348" s="4"/>
      <c r="V348" s="4"/>
      <c r="W348" s="4"/>
      <c r="X348" s="4"/>
      <c r="Y348" s="4"/>
      <c r="Z348" s="4"/>
    </row>
    <row r="349" ht="9.75" customHeight="1">
      <c r="A349" s="343"/>
      <c r="B349" s="344"/>
      <c r="C349" s="182"/>
      <c r="D349" s="406"/>
      <c r="E349" s="406"/>
      <c r="F349" s="407"/>
      <c r="G349" s="407"/>
      <c r="H349" s="4"/>
      <c r="I349" s="4"/>
      <c r="J349" s="4"/>
      <c r="K349" s="4"/>
      <c r="L349" s="4"/>
      <c r="M349" s="4"/>
      <c r="N349" s="4"/>
      <c r="O349" s="4"/>
      <c r="P349" s="4"/>
      <c r="Q349" s="4"/>
      <c r="R349" s="4"/>
      <c r="S349" s="4"/>
      <c r="T349" s="4"/>
      <c r="U349" s="4"/>
      <c r="V349" s="4"/>
      <c r="W349" s="4"/>
      <c r="X349" s="4"/>
      <c r="Y349" s="4"/>
      <c r="Z349" s="4"/>
    </row>
    <row r="350" ht="9.75" customHeight="1">
      <c r="A350" s="343"/>
      <c r="B350" s="344"/>
      <c r="C350" s="182"/>
      <c r="D350" s="406"/>
      <c r="E350" s="406"/>
      <c r="F350" s="407"/>
      <c r="G350" s="407"/>
      <c r="H350" s="4"/>
      <c r="I350" s="4"/>
      <c r="J350" s="4"/>
      <c r="K350" s="4"/>
      <c r="L350" s="4"/>
      <c r="M350" s="4"/>
      <c r="N350" s="4"/>
      <c r="O350" s="4"/>
      <c r="P350" s="4"/>
      <c r="Q350" s="4"/>
      <c r="R350" s="4"/>
      <c r="S350" s="4"/>
      <c r="T350" s="4"/>
      <c r="U350" s="4"/>
      <c r="V350" s="4"/>
      <c r="W350" s="4"/>
      <c r="X350" s="4"/>
      <c r="Y350" s="4"/>
      <c r="Z350" s="4"/>
    </row>
    <row r="351" ht="9.75" customHeight="1">
      <c r="A351" s="343"/>
      <c r="B351" s="344"/>
      <c r="C351" s="182"/>
      <c r="D351" s="406"/>
      <c r="E351" s="406"/>
      <c r="F351" s="407"/>
      <c r="G351" s="407"/>
      <c r="H351" s="4"/>
      <c r="I351" s="4"/>
      <c r="J351" s="4"/>
      <c r="K351" s="4"/>
      <c r="L351" s="4"/>
      <c r="M351" s="4"/>
      <c r="N351" s="4"/>
      <c r="O351" s="4"/>
      <c r="P351" s="4"/>
      <c r="Q351" s="4"/>
      <c r="R351" s="4"/>
      <c r="S351" s="4"/>
      <c r="T351" s="4"/>
      <c r="U351" s="4"/>
      <c r="V351" s="4"/>
      <c r="W351" s="4"/>
      <c r="X351" s="4"/>
      <c r="Y351" s="4"/>
      <c r="Z351" s="4"/>
    </row>
    <row r="352" ht="9.75" customHeight="1">
      <c r="A352" s="343"/>
      <c r="B352" s="344"/>
      <c r="C352" s="182"/>
      <c r="D352" s="406"/>
      <c r="E352" s="406"/>
      <c r="F352" s="407"/>
      <c r="G352" s="407"/>
      <c r="H352" s="4"/>
      <c r="I352" s="4"/>
      <c r="J352" s="4"/>
      <c r="K352" s="4"/>
      <c r="L352" s="4"/>
      <c r="M352" s="4"/>
      <c r="N352" s="4"/>
      <c r="O352" s="4"/>
      <c r="P352" s="4"/>
      <c r="Q352" s="4"/>
      <c r="R352" s="4"/>
      <c r="S352" s="4"/>
      <c r="T352" s="4"/>
      <c r="U352" s="4"/>
      <c r="V352" s="4"/>
      <c r="W352" s="4"/>
      <c r="X352" s="4"/>
      <c r="Y352" s="4"/>
      <c r="Z352" s="4"/>
    </row>
    <row r="353" ht="9.75" customHeight="1">
      <c r="A353" s="343"/>
      <c r="B353" s="344"/>
      <c r="C353" s="182"/>
      <c r="D353" s="406"/>
      <c r="E353" s="406"/>
      <c r="F353" s="407"/>
      <c r="G353" s="407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</row>
    <row r="354" ht="9.75" customHeight="1">
      <c r="A354" s="343"/>
      <c r="B354" s="344"/>
      <c r="C354" s="182"/>
      <c r="D354" s="406"/>
      <c r="E354" s="406"/>
      <c r="F354" s="407"/>
      <c r="G354" s="407"/>
      <c r="H354" s="4"/>
      <c r="I354" s="4"/>
      <c r="J354" s="4"/>
      <c r="K354" s="4"/>
      <c r="L354" s="4"/>
      <c r="M354" s="4"/>
      <c r="N354" s="4"/>
      <c r="O354" s="4"/>
      <c r="P354" s="4"/>
      <c r="Q354" s="4"/>
      <c r="R354" s="4"/>
      <c r="S354" s="4"/>
      <c r="T354" s="4"/>
      <c r="U354" s="4"/>
      <c r="V354" s="4"/>
      <c r="W354" s="4"/>
      <c r="X354" s="4"/>
      <c r="Y354" s="4"/>
      <c r="Z354" s="4"/>
    </row>
    <row r="355" ht="9.75" customHeight="1">
      <c r="A355" s="343"/>
      <c r="B355" s="344"/>
      <c r="C355" s="182"/>
      <c r="D355" s="406"/>
      <c r="E355" s="406"/>
      <c r="F355" s="407"/>
      <c r="G355" s="407"/>
      <c r="H355" s="4"/>
      <c r="I355" s="4"/>
      <c r="J355" s="4"/>
      <c r="K355" s="4"/>
      <c r="L355" s="4"/>
      <c r="M355" s="4"/>
      <c r="N355" s="4"/>
      <c r="O355" s="4"/>
      <c r="P355" s="4"/>
      <c r="Q355" s="4"/>
      <c r="R355" s="4"/>
      <c r="S355" s="4"/>
      <c r="T355" s="4"/>
      <c r="U355" s="4"/>
      <c r="V355" s="4"/>
      <c r="W355" s="4"/>
      <c r="X355" s="4"/>
      <c r="Y355" s="4"/>
      <c r="Z355" s="4"/>
    </row>
    <row r="356" ht="9.75" customHeight="1">
      <c r="A356" s="343"/>
      <c r="B356" s="344"/>
      <c r="C356" s="182"/>
      <c r="D356" s="406"/>
      <c r="E356" s="406"/>
      <c r="F356" s="407"/>
      <c r="G356" s="407"/>
      <c r="H356" s="4"/>
      <c r="I356" s="4"/>
      <c r="J356" s="4"/>
      <c r="K356" s="4"/>
      <c r="L356" s="4"/>
      <c r="M356" s="4"/>
      <c r="N356" s="4"/>
      <c r="O356" s="4"/>
      <c r="P356" s="4"/>
      <c r="Q356" s="4"/>
      <c r="R356" s="4"/>
      <c r="S356" s="4"/>
      <c r="T356" s="4"/>
      <c r="U356" s="4"/>
      <c r="V356" s="4"/>
      <c r="W356" s="4"/>
      <c r="X356" s="4"/>
      <c r="Y356" s="4"/>
      <c r="Z356" s="4"/>
    </row>
    <row r="357" ht="9.75" customHeight="1">
      <c r="A357" s="343"/>
      <c r="B357" s="344"/>
      <c r="C357" s="182"/>
      <c r="D357" s="406"/>
      <c r="E357" s="406"/>
      <c r="F357" s="407"/>
      <c r="G357" s="407"/>
      <c r="H357" s="4"/>
      <c r="I357" s="4"/>
      <c r="J357" s="4"/>
      <c r="K357" s="4"/>
      <c r="L357" s="4"/>
      <c r="M357" s="4"/>
      <c r="N357" s="4"/>
      <c r="O357" s="4"/>
      <c r="P357" s="4"/>
      <c r="Q357" s="4"/>
      <c r="R357" s="4"/>
      <c r="S357" s="4"/>
      <c r="T357" s="4"/>
      <c r="U357" s="4"/>
      <c r="V357" s="4"/>
      <c r="W357" s="4"/>
      <c r="X357" s="4"/>
      <c r="Y357" s="4"/>
      <c r="Z357" s="4"/>
    </row>
    <row r="358" ht="9.75" customHeight="1">
      <c r="A358" s="343"/>
      <c r="B358" s="344"/>
      <c r="C358" s="182"/>
      <c r="D358" s="406"/>
      <c r="E358" s="406"/>
      <c r="F358" s="407"/>
      <c r="G358" s="407"/>
      <c r="H358" s="4"/>
      <c r="I358" s="4"/>
      <c r="J358" s="4"/>
      <c r="K358" s="4"/>
      <c r="L358" s="4"/>
      <c r="M358" s="4"/>
      <c r="N358" s="4"/>
      <c r="O358" s="4"/>
      <c r="P358" s="4"/>
      <c r="Q358" s="4"/>
      <c r="R358" s="4"/>
      <c r="S358" s="4"/>
      <c r="T358" s="4"/>
      <c r="U358" s="4"/>
      <c r="V358" s="4"/>
      <c r="W358" s="4"/>
      <c r="X358" s="4"/>
      <c r="Y358" s="4"/>
      <c r="Z358" s="4"/>
    </row>
    <row r="359" ht="9.75" customHeight="1">
      <c r="A359" s="343"/>
      <c r="B359" s="344"/>
      <c r="C359" s="182"/>
      <c r="D359" s="406"/>
      <c r="E359" s="406"/>
      <c r="F359" s="407"/>
      <c r="G359" s="407"/>
      <c r="H359" s="4"/>
      <c r="I359" s="4"/>
      <c r="J359" s="4"/>
      <c r="K359" s="4"/>
      <c r="L359" s="4"/>
      <c r="M359" s="4"/>
      <c r="N359" s="4"/>
      <c r="O359" s="4"/>
      <c r="P359" s="4"/>
      <c r="Q359" s="4"/>
      <c r="R359" s="4"/>
      <c r="S359" s="4"/>
      <c r="T359" s="4"/>
      <c r="U359" s="4"/>
      <c r="V359" s="4"/>
      <c r="W359" s="4"/>
      <c r="X359" s="4"/>
      <c r="Y359" s="4"/>
      <c r="Z359" s="4"/>
    </row>
    <row r="360" ht="9.75" customHeight="1">
      <c r="A360" s="343"/>
      <c r="B360" s="344"/>
      <c r="C360" s="182"/>
      <c r="D360" s="406"/>
      <c r="E360" s="406"/>
      <c r="F360" s="407"/>
      <c r="G360" s="407"/>
      <c r="H360" s="4"/>
      <c r="I360" s="4"/>
      <c r="J360" s="4"/>
      <c r="K360" s="4"/>
      <c r="L360" s="4"/>
      <c r="M360" s="4"/>
      <c r="N360" s="4"/>
      <c r="O360" s="4"/>
      <c r="P360" s="4"/>
      <c r="Q360" s="4"/>
      <c r="R360" s="4"/>
      <c r="S360" s="4"/>
      <c r="T360" s="4"/>
      <c r="U360" s="4"/>
      <c r="V360" s="4"/>
      <c r="W360" s="4"/>
      <c r="X360" s="4"/>
      <c r="Y360" s="4"/>
      <c r="Z360" s="4"/>
    </row>
    <row r="361" ht="9.75" customHeight="1">
      <c r="A361" s="343"/>
      <c r="B361" s="344"/>
      <c r="C361" s="182"/>
      <c r="D361" s="406"/>
      <c r="E361" s="406"/>
      <c r="F361" s="407"/>
      <c r="G361" s="407"/>
      <c r="H361" s="4"/>
      <c r="I361" s="4"/>
      <c r="J361" s="4"/>
      <c r="K361" s="4"/>
      <c r="L361" s="4"/>
      <c r="M361" s="4"/>
      <c r="N361" s="4"/>
      <c r="O361" s="4"/>
      <c r="P361" s="4"/>
      <c r="Q361" s="4"/>
      <c r="R361" s="4"/>
      <c r="S361" s="4"/>
      <c r="T361" s="4"/>
      <c r="U361" s="4"/>
      <c r="V361" s="4"/>
      <c r="W361" s="4"/>
      <c r="X361" s="4"/>
      <c r="Y361" s="4"/>
      <c r="Z361" s="4"/>
    </row>
    <row r="362" ht="9.75" customHeight="1">
      <c r="A362" s="343"/>
      <c r="B362" s="344"/>
      <c r="C362" s="182"/>
      <c r="D362" s="406"/>
      <c r="E362" s="406"/>
      <c r="F362" s="407"/>
      <c r="G362" s="407"/>
      <c r="H362" s="4"/>
      <c r="I362" s="4"/>
      <c r="J362" s="4"/>
      <c r="K362" s="4"/>
      <c r="L362" s="4"/>
      <c r="M362" s="4"/>
      <c r="N362" s="4"/>
      <c r="O362" s="4"/>
      <c r="P362" s="4"/>
      <c r="Q362" s="4"/>
      <c r="R362" s="4"/>
      <c r="S362" s="4"/>
      <c r="T362" s="4"/>
      <c r="U362" s="4"/>
      <c r="V362" s="4"/>
      <c r="W362" s="4"/>
      <c r="X362" s="4"/>
      <c r="Y362" s="4"/>
      <c r="Z362" s="4"/>
    </row>
    <row r="363" ht="9.75" customHeight="1">
      <c r="A363" s="343"/>
      <c r="B363" s="344"/>
      <c r="C363" s="182"/>
      <c r="D363" s="406"/>
      <c r="E363" s="406"/>
      <c r="F363" s="407"/>
      <c r="G363" s="407"/>
      <c r="H363" s="4"/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4"/>
    </row>
    <row r="364" ht="9.75" customHeight="1">
      <c r="A364" s="343"/>
      <c r="B364" s="344"/>
      <c r="C364" s="182"/>
      <c r="D364" s="406"/>
      <c r="E364" s="406"/>
      <c r="F364" s="407"/>
      <c r="G364" s="407"/>
      <c r="H364" s="4"/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  <c r="Y364" s="4"/>
      <c r="Z364" s="4"/>
    </row>
    <row r="365" ht="9.75" customHeight="1">
      <c r="A365" s="343"/>
      <c r="B365" s="344"/>
      <c r="C365" s="182"/>
      <c r="D365" s="406"/>
      <c r="E365" s="406"/>
      <c r="F365" s="407"/>
      <c r="G365" s="407"/>
      <c r="H365" s="4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</row>
    <row r="366" ht="9.75" customHeight="1">
      <c r="A366" s="343"/>
      <c r="B366" s="344"/>
      <c r="C366" s="182"/>
      <c r="D366" s="406"/>
      <c r="E366" s="406"/>
      <c r="F366" s="407"/>
      <c r="G366" s="407"/>
      <c r="H366" s="4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</row>
    <row r="367" ht="9.75" customHeight="1">
      <c r="A367" s="343"/>
      <c r="B367" s="344"/>
      <c r="C367" s="182"/>
      <c r="D367" s="406"/>
      <c r="E367" s="406"/>
      <c r="F367" s="407"/>
      <c r="G367" s="407"/>
      <c r="H367" s="4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4"/>
      <c r="X367" s="4"/>
      <c r="Y367" s="4"/>
      <c r="Z367" s="4"/>
    </row>
    <row r="368" ht="9.75" customHeight="1">
      <c r="A368" s="343"/>
      <c r="B368" s="344"/>
      <c r="C368" s="182"/>
      <c r="D368" s="406"/>
      <c r="E368" s="406"/>
      <c r="F368" s="407"/>
      <c r="G368" s="407"/>
      <c r="H368" s="4"/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</row>
    <row r="369" ht="9.75" customHeight="1">
      <c r="A369" s="343"/>
      <c r="B369" s="344"/>
      <c r="C369" s="182"/>
      <c r="D369" s="406"/>
      <c r="E369" s="406"/>
      <c r="F369" s="407"/>
      <c r="G369" s="407"/>
      <c r="H369" s="4"/>
      <c r="I369" s="4"/>
      <c r="J369" s="4"/>
      <c r="K369" s="4"/>
      <c r="L369" s="4"/>
      <c r="M369" s="4"/>
      <c r="N369" s="4"/>
      <c r="O369" s="4"/>
      <c r="P369" s="4"/>
      <c r="Q369" s="4"/>
      <c r="R369" s="4"/>
      <c r="S369" s="4"/>
      <c r="T369" s="4"/>
      <c r="U369" s="4"/>
      <c r="V369" s="4"/>
      <c r="W369" s="4"/>
      <c r="X369" s="4"/>
      <c r="Y369" s="4"/>
      <c r="Z369" s="4"/>
    </row>
    <row r="370" ht="9.75" customHeight="1">
      <c r="A370" s="343"/>
      <c r="B370" s="344"/>
      <c r="C370" s="182"/>
      <c r="D370" s="406"/>
      <c r="E370" s="406"/>
      <c r="F370" s="407"/>
      <c r="G370" s="407"/>
      <c r="H370" s="4"/>
      <c r="I370" s="4"/>
      <c r="J370" s="4"/>
      <c r="K370" s="4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  <c r="Z370" s="4"/>
    </row>
    <row r="371" ht="9.75" customHeight="1">
      <c r="A371" s="343"/>
      <c r="B371" s="344"/>
      <c r="C371" s="182"/>
      <c r="D371" s="406"/>
      <c r="E371" s="406"/>
      <c r="F371" s="407"/>
      <c r="G371" s="407"/>
      <c r="H371" s="4"/>
      <c r="I371" s="4"/>
      <c r="J371" s="4"/>
      <c r="K371" s="4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  <c r="Z371" s="4"/>
    </row>
    <row r="372" ht="9.75" customHeight="1">
      <c r="A372" s="343"/>
      <c r="B372" s="344"/>
      <c r="C372" s="182"/>
      <c r="D372" s="406"/>
      <c r="E372" s="406"/>
      <c r="F372" s="407"/>
      <c r="G372" s="407"/>
      <c r="H372" s="4"/>
      <c r="I372" s="4"/>
      <c r="J372" s="4"/>
      <c r="K372" s="4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</row>
    <row r="373" ht="9.75" customHeight="1">
      <c r="A373" s="343"/>
      <c r="B373" s="344"/>
      <c r="C373" s="182"/>
      <c r="D373" s="406"/>
      <c r="E373" s="406"/>
      <c r="F373" s="407"/>
      <c r="G373" s="407"/>
      <c r="H373" s="4"/>
      <c r="I373" s="4"/>
      <c r="J373" s="4"/>
      <c r="K373" s="4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4"/>
      <c r="Y373" s="4"/>
      <c r="Z373" s="4"/>
    </row>
    <row r="374" ht="9.75" customHeight="1">
      <c r="A374" s="343"/>
      <c r="B374" s="344"/>
      <c r="C374" s="182"/>
      <c r="D374" s="406"/>
      <c r="E374" s="406"/>
      <c r="F374" s="407"/>
      <c r="G374" s="407"/>
      <c r="H374" s="4"/>
      <c r="I374" s="4"/>
      <c r="J374" s="4"/>
      <c r="K374" s="4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  <c r="Z374" s="4"/>
    </row>
    <row r="375" ht="9.75" customHeight="1">
      <c r="A375" s="343"/>
      <c r="B375" s="344"/>
      <c r="C375" s="182"/>
      <c r="D375" s="406"/>
      <c r="E375" s="406"/>
      <c r="F375" s="407"/>
      <c r="G375" s="407"/>
      <c r="H375" s="4"/>
      <c r="I375" s="4"/>
      <c r="J375" s="4"/>
      <c r="K375" s="4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</row>
    <row r="376" ht="9.75" customHeight="1">
      <c r="A376" s="343"/>
      <c r="B376" s="344"/>
      <c r="C376" s="182"/>
      <c r="D376" s="406"/>
      <c r="E376" s="406"/>
      <c r="F376" s="407"/>
      <c r="G376" s="407"/>
      <c r="H376" s="4"/>
      <c r="I376" s="4"/>
      <c r="J376" s="4"/>
      <c r="K376" s="4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</row>
    <row r="377" ht="9.75" customHeight="1">
      <c r="A377" s="343"/>
      <c r="B377" s="344"/>
      <c r="C377" s="182"/>
      <c r="D377" s="406"/>
      <c r="E377" s="406"/>
      <c r="F377" s="407"/>
      <c r="G377" s="407"/>
      <c r="H377" s="4"/>
      <c r="I377" s="4"/>
      <c r="J377" s="4"/>
      <c r="K377" s="4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</row>
    <row r="378" ht="9.75" customHeight="1">
      <c r="A378" s="343"/>
      <c r="B378" s="344"/>
      <c r="C378" s="182"/>
      <c r="D378" s="406"/>
      <c r="E378" s="406"/>
      <c r="F378" s="407"/>
      <c r="G378" s="407"/>
      <c r="H378" s="4"/>
      <c r="I378" s="4"/>
      <c r="J378" s="4"/>
      <c r="K378" s="4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</row>
    <row r="379" ht="9.75" customHeight="1">
      <c r="A379" s="343"/>
      <c r="B379" s="344"/>
      <c r="C379" s="182"/>
      <c r="D379" s="406"/>
      <c r="E379" s="406"/>
      <c r="F379" s="407"/>
      <c r="G379" s="407"/>
      <c r="H379" s="4"/>
      <c r="I379" s="4"/>
      <c r="J379" s="4"/>
      <c r="K379" s="4"/>
      <c r="L379" s="4"/>
      <c r="M379" s="4"/>
      <c r="N379" s="4"/>
      <c r="O379" s="4"/>
      <c r="P379" s="4"/>
      <c r="Q379" s="4"/>
      <c r="R379" s="4"/>
      <c r="S379" s="4"/>
      <c r="T379" s="4"/>
      <c r="U379" s="4"/>
      <c r="V379" s="4"/>
      <c r="W379" s="4"/>
      <c r="X379" s="4"/>
      <c r="Y379" s="4"/>
      <c r="Z379" s="4"/>
    </row>
    <row r="380" ht="9.75" customHeight="1">
      <c r="A380" s="343"/>
      <c r="B380" s="344"/>
      <c r="C380" s="182"/>
      <c r="D380" s="406"/>
      <c r="E380" s="406"/>
      <c r="F380" s="407"/>
      <c r="G380" s="407"/>
      <c r="H380" s="4"/>
      <c r="I380" s="4"/>
      <c r="J380" s="4"/>
      <c r="K380" s="4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  <c r="Z380" s="4"/>
    </row>
    <row r="381" ht="9.75" customHeight="1">
      <c r="A381" s="343"/>
      <c r="B381" s="344"/>
      <c r="C381" s="182"/>
      <c r="D381" s="406"/>
      <c r="E381" s="406"/>
      <c r="F381" s="407"/>
      <c r="G381" s="407"/>
      <c r="H381" s="4"/>
      <c r="I381" s="4"/>
      <c r="J381" s="4"/>
      <c r="K381" s="4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  <c r="Z381" s="4"/>
    </row>
    <row r="382" ht="9.75" customHeight="1">
      <c r="A382" s="343"/>
      <c r="B382" s="344"/>
      <c r="C382" s="182"/>
      <c r="D382" s="406"/>
      <c r="E382" s="406"/>
      <c r="F382" s="407"/>
      <c r="G382" s="407"/>
      <c r="H382" s="4"/>
      <c r="I382" s="4"/>
      <c r="J382" s="4"/>
      <c r="K382" s="4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</row>
    <row r="383" ht="9.75" customHeight="1">
      <c r="A383" s="343"/>
      <c r="B383" s="344"/>
      <c r="C383" s="182"/>
      <c r="D383" s="406"/>
      <c r="E383" s="406"/>
      <c r="F383" s="407"/>
      <c r="G383" s="407"/>
      <c r="H383" s="4"/>
      <c r="I383" s="4"/>
      <c r="J383" s="4"/>
      <c r="K383" s="4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</row>
    <row r="384" ht="9.75" customHeight="1">
      <c r="A384" s="343"/>
      <c r="B384" s="344"/>
      <c r="C384" s="182"/>
      <c r="D384" s="406"/>
      <c r="E384" s="406"/>
      <c r="F384" s="407"/>
      <c r="G384" s="407"/>
      <c r="H384" s="4"/>
      <c r="I384" s="4"/>
      <c r="J384" s="4"/>
      <c r="K384" s="4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</row>
    <row r="385" ht="9.75" customHeight="1">
      <c r="A385" s="343"/>
      <c r="B385" s="344"/>
      <c r="C385" s="182"/>
      <c r="D385" s="406"/>
      <c r="E385" s="406"/>
      <c r="F385" s="407"/>
      <c r="G385" s="407"/>
      <c r="H385" s="4"/>
      <c r="I385" s="4"/>
      <c r="J385" s="4"/>
      <c r="K385" s="4"/>
      <c r="L385" s="4"/>
      <c r="M385" s="4"/>
      <c r="N385" s="4"/>
      <c r="O385" s="4"/>
      <c r="P385" s="4"/>
      <c r="Q385" s="4"/>
      <c r="R385" s="4"/>
      <c r="S385" s="4"/>
      <c r="T385" s="4"/>
      <c r="U385" s="4"/>
      <c r="V385" s="4"/>
      <c r="W385" s="4"/>
      <c r="X385" s="4"/>
      <c r="Y385" s="4"/>
      <c r="Z385" s="4"/>
    </row>
    <row r="386" ht="9.75" customHeight="1">
      <c r="A386" s="343"/>
      <c r="B386" s="344"/>
      <c r="C386" s="182"/>
      <c r="D386" s="406"/>
      <c r="E386" s="406"/>
      <c r="F386" s="407"/>
      <c r="G386" s="407"/>
      <c r="H386" s="4"/>
      <c r="I386" s="4"/>
      <c r="J386" s="4"/>
      <c r="K386" s="4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</row>
    <row r="387" ht="9.75" customHeight="1">
      <c r="A387" s="343"/>
      <c r="B387" s="344"/>
      <c r="C387" s="182"/>
      <c r="D387" s="406"/>
      <c r="E387" s="406"/>
      <c r="F387" s="407"/>
      <c r="G387" s="407"/>
      <c r="H387" s="4"/>
      <c r="I387" s="4"/>
      <c r="J387" s="4"/>
      <c r="K387" s="4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Y387" s="4"/>
      <c r="Z387" s="4"/>
    </row>
    <row r="388" ht="9.75" customHeight="1">
      <c r="A388" s="343"/>
      <c r="B388" s="344"/>
      <c r="C388" s="182"/>
      <c r="D388" s="406"/>
      <c r="E388" s="406"/>
      <c r="F388" s="407"/>
      <c r="G388" s="407"/>
      <c r="H388" s="4"/>
      <c r="I388" s="4"/>
      <c r="J388" s="4"/>
      <c r="K388" s="4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</row>
    <row r="389" ht="9.75" customHeight="1">
      <c r="A389" s="343"/>
      <c r="B389" s="344"/>
      <c r="C389" s="182"/>
      <c r="D389" s="406"/>
      <c r="E389" s="406"/>
      <c r="F389" s="407"/>
      <c r="G389" s="407"/>
      <c r="H389" s="4"/>
      <c r="I389" s="4"/>
      <c r="J389" s="4"/>
      <c r="K389" s="4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  <c r="Z389" s="4"/>
    </row>
    <row r="390" ht="9.75" customHeight="1">
      <c r="A390" s="343"/>
      <c r="B390" s="344"/>
      <c r="C390" s="182"/>
      <c r="D390" s="406"/>
      <c r="E390" s="406"/>
      <c r="F390" s="407"/>
      <c r="G390" s="407"/>
      <c r="H390" s="4"/>
      <c r="I390" s="4"/>
      <c r="J390" s="4"/>
      <c r="K390" s="4"/>
      <c r="L390" s="4"/>
      <c r="M390" s="4"/>
      <c r="N390" s="4"/>
      <c r="O390" s="4"/>
      <c r="P390" s="4"/>
      <c r="Q390" s="4"/>
      <c r="R390" s="4"/>
      <c r="S390" s="4"/>
      <c r="T390" s="4"/>
      <c r="U390" s="4"/>
      <c r="V390" s="4"/>
      <c r="W390" s="4"/>
      <c r="X390" s="4"/>
      <c r="Y390" s="4"/>
      <c r="Z390" s="4"/>
    </row>
    <row r="391" ht="9.75" customHeight="1">
      <c r="A391" s="343"/>
      <c r="B391" s="344"/>
      <c r="C391" s="182"/>
      <c r="D391" s="406"/>
      <c r="E391" s="406"/>
      <c r="F391" s="407"/>
      <c r="G391" s="407"/>
      <c r="H391" s="4"/>
      <c r="I391" s="4"/>
      <c r="J391" s="4"/>
      <c r="K391" s="4"/>
      <c r="L391" s="4"/>
      <c r="M391" s="4"/>
      <c r="N391" s="4"/>
      <c r="O391" s="4"/>
      <c r="P391" s="4"/>
      <c r="Q391" s="4"/>
      <c r="R391" s="4"/>
      <c r="S391" s="4"/>
      <c r="T391" s="4"/>
      <c r="U391" s="4"/>
      <c r="V391" s="4"/>
      <c r="W391" s="4"/>
      <c r="X391" s="4"/>
      <c r="Y391" s="4"/>
      <c r="Z391" s="4"/>
    </row>
    <row r="392" ht="9.75" customHeight="1">
      <c r="A392" s="343"/>
      <c r="B392" s="344"/>
      <c r="C392" s="182"/>
      <c r="D392" s="406"/>
      <c r="E392" s="406"/>
      <c r="F392" s="407"/>
      <c r="G392" s="407"/>
      <c r="H392" s="4"/>
      <c r="I392" s="4"/>
      <c r="J392" s="4"/>
      <c r="K392" s="4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  <c r="Z392" s="4"/>
    </row>
    <row r="393" ht="9.75" customHeight="1">
      <c r="A393" s="343"/>
      <c r="B393" s="344"/>
      <c r="C393" s="182"/>
      <c r="D393" s="406"/>
      <c r="E393" s="406"/>
      <c r="F393" s="407"/>
      <c r="G393" s="407"/>
      <c r="H393" s="4"/>
      <c r="I393" s="4"/>
      <c r="J393" s="4"/>
      <c r="K393" s="4"/>
      <c r="L393" s="4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4"/>
      <c r="X393" s="4"/>
      <c r="Y393" s="4"/>
      <c r="Z393" s="4"/>
    </row>
    <row r="394" ht="9.75" customHeight="1">
      <c r="A394" s="343"/>
      <c r="B394" s="344"/>
      <c r="C394" s="182"/>
      <c r="D394" s="406"/>
      <c r="E394" s="406"/>
      <c r="F394" s="407"/>
      <c r="G394" s="407"/>
      <c r="H394" s="4"/>
      <c r="I394" s="4"/>
      <c r="J394" s="4"/>
      <c r="K394" s="4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  <c r="Z394" s="4"/>
    </row>
    <row r="395" ht="9.75" customHeight="1">
      <c r="A395" s="343"/>
      <c r="B395" s="344"/>
      <c r="C395" s="182"/>
      <c r="D395" s="406"/>
      <c r="E395" s="406"/>
      <c r="F395" s="407"/>
      <c r="G395" s="407"/>
      <c r="H395" s="4"/>
      <c r="I395" s="4"/>
      <c r="J395" s="4"/>
      <c r="K395" s="4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  <c r="Z395" s="4"/>
    </row>
    <row r="396" ht="9.75" customHeight="1">
      <c r="A396" s="343"/>
      <c r="B396" s="344"/>
      <c r="C396" s="182"/>
      <c r="D396" s="406"/>
      <c r="E396" s="406"/>
      <c r="F396" s="407"/>
      <c r="G396" s="407"/>
      <c r="H396" s="4"/>
      <c r="I396" s="4"/>
      <c r="J396" s="4"/>
      <c r="K396" s="4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  <c r="Z396" s="4"/>
    </row>
    <row r="397" ht="9.75" customHeight="1">
      <c r="A397" s="343"/>
      <c r="B397" s="344"/>
      <c r="C397" s="182"/>
      <c r="D397" s="406"/>
      <c r="E397" s="406"/>
      <c r="F397" s="407"/>
      <c r="G397" s="407"/>
      <c r="H397" s="4"/>
      <c r="I397" s="4"/>
      <c r="J397" s="4"/>
      <c r="K397" s="4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  <c r="Z397" s="4"/>
    </row>
    <row r="398" ht="9.75" customHeight="1">
      <c r="A398" s="343"/>
      <c r="B398" s="344"/>
      <c r="C398" s="182"/>
      <c r="D398" s="406"/>
      <c r="E398" s="406"/>
      <c r="F398" s="407"/>
      <c r="G398" s="407"/>
      <c r="H398" s="4"/>
      <c r="I398" s="4"/>
      <c r="J398" s="4"/>
      <c r="K398" s="4"/>
      <c r="L398" s="4"/>
      <c r="M398" s="4"/>
      <c r="N398" s="4"/>
      <c r="O398" s="4"/>
      <c r="P398" s="4"/>
      <c r="Q398" s="4"/>
      <c r="R398" s="4"/>
      <c r="S398" s="4"/>
      <c r="T398" s="4"/>
      <c r="U398" s="4"/>
      <c r="V398" s="4"/>
      <c r="W398" s="4"/>
      <c r="X398" s="4"/>
      <c r="Y398" s="4"/>
      <c r="Z398" s="4"/>
    </row>
    <row r="399" ht="9.75" customHeight="1">
      <c r="A399" s="343"/>
      <c r="B399" s="344"/>
      <c r="C399" s="182"/>
      <c r="D399" s="406"/>
      <c r="E399" s="406"/>
      <c r="F399" s="407"/>
      <c r="G399" s="407"/>
      <c r="H399" s="4"/>
      <c r="I399" s="4"/>
      <c r="J399" s="4"/>
      <c r="K399" s="4"/>
      <c r="L399" s="4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4"/>
      <c r="X399" s="4"/>
      <c r="Y399" s="4"/>
      <c r="Z399" s="4"/>
    </row>
    <row r="400" ht="9.75" customHeight="1">
      <c r="A400" s="343"/>
      <c r="B400" s="344"/>
      <c r="C400" s="182"/>
      <c r="D400" s="406"/>
      <c r="E400" s="406"/>
      <c r="F400" s="407"/>
      <c r="G400" s="407"/>
      <c r="H400" s="4"/>
      <c r="I400" s="4"/>
      <c r="J400" s="4"/>
      <c r="K400" s="4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  <c r="Z400" s="4"/>
    </row>
    <row r="401" ht="9.75" customHeight="1">
      <c r="A401" s="343"/>
      <c r="B401" s="344"/>
      <c r="C401" s="182"/>
      <c r="D401" s="406"/>
      <c r="E401" s="406"/>
      <c r="F401" s="407"/>
      <c r="G401" s="407"/>
      <c r="H401" s="4"/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</row>
    <row r="402" ht="9.75" customHeight="1">
      <c r="A402" s="343"/>
      <c r="B402" s="344"/>
      <c r="C402" s="182"/>
      <c r="D402" s="406"/>
      <c r="E402" s="406"/>
      <c r="F402" s="407"/>
      <c r="G402" s="407"/>
      <c r="H402" s="4"/>
      <c r="I402" s="4"/>
      <c r="J402" s="4"/>
      <c r="K402" s="4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</row>
    <row r="403" ht="9.75" customHeight="1">
      <c r="A403" s="343"/>
      <c r="B403" s="344"/>
      <c r="C403" s="182"/>
      <c r="D403" s="406"/>
      <c r="E403" s="406"/>
      <c r="F403" s="407"/>
      <c r="G403" s="407"/>
      <c r="H403" s="4"/>
      <c r="I403" s="4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</row>
    <row r="404" ht="9.75" customHeight="1">
      <c r="A404" s="343"/>
      <c r="B404" s="344"/>
      <c r="C404" s="182"/>
      <c r="D404" s="406"/>
      <c r="E404" s="406"/>
      <c r="F404" s="407"/>
      <c r="G404" s="407"/>
      <c r="H404" s="4"/>
      <c r="I404" s="4"/>
      <c r="J404" s="4"/>
      <c r="K404" s="4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</row>
    <row r="405" ht="9.75" customHeight="1">
      <c r="A405" s="343"/>
      <c r="B405" s="344"/>
      <c r="C405" s="182"/>
      <c r="D405" s="406"/>
      <c r="E405" s="406"/>
      <c r="F405" s="407"/>
      <c r="G405" s="407"/>
      <c r="H405" s="4"/>
      <c r="I405" s="4"/>
      <c r="J405" s="4"/>
      <c r="K405" s="4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</row>
    <row r="406" ht="9.75" customHeight="1">
      <c r="A406" s="343"/>
      <c r="B406" s="344"/>
      <c r="C406" s="182"/>
      <c r="D406" s="406"/>
      <c r="E406" s="406"/>
      <c r="F406" s="407"/>
      <c r="G406" s="407"/>
      <c r="H406" s="4"/>
      <c r="I406" s="4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</row>
    <row r="407" ht="9.75" customHeight="1">
      <c r="A407" s="343"/>
      <c r="B407" s="344"/>
      <c r="C407" s="182"/>
      <c r="D407" s="406"/>
      <c r="E407" s="406"/>
      <c r="F407" s="407"/>
      <c r="G407" s="407"/>
      <c r="H407" s="4"/>
      <c r="I407" s="4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</row>
    <row r="408" ht="9.75" customHeight="1">
      <c r="A408" s="343"/>
      <c r="B408" s="344"/>
      <c r="C408" s="182"/>
      <c r="D408" s="406"/>
      <c r="E408" s="406"/>
      <c r="F408" s="407"/>
      <c r="G408" s="407"/>
      <c r="H408" s="4"/>
      <c r="I408" s="4"/>
      <c r="J408" s="4"/>
      <c r="K408" s="4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</row>
    <row r="409" ht="9.75" customHeight="1">
      <c r="A409" s="343"/>
      <c r="B409" s="344"/>
      <c r="C409" s="182"/>
      <c r="D409" s="406"/>
      <c r="E409" s="406"/>
      <c r="F409" s="407"/>
      <c r="G409" s="407"/>
      <c r="H409" s="4"/>
      <c r="I409" s="4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</row>
    <row r="410" ht="9.75" customHeight="1">
      <c r="A410" s="343"/>
      <c r="B410" s="344"/>
      <c r="C410" s="182"/>
      <c r="D410" s="406"/>
      <c r="E410" s="406"/>
      <c r="F410" s="407"/>
      <c r="G410" s="407"/>
      <c r="H410" s="4"/>
      <c r="I410" s="4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</row>
    <row r="411" ht="9.75" customHeight="1">
      <c r="A411" s="343"/>
      <c r="B411" s="344"/>
      <c r="C411" s="182"/>
      <c r="D411" s="406"/>
      <c r="E411" s="406"/>
      <c r="F411" s="407"/>
      <c r="G411" s="407"/>
      <c r="H411" s="4"/>
      <c r="I411" s="4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</row>
    <row r="412" ht="9.75" customHeight="1">
      <c r="A412" s="343"/>
      <c r="B412" s="344"/>
      <c r="C412" s="182"/>
      <c r="D412" s="406"/>
      <c r="E412" s="406"/>
      <c r="F412" s="407"/>
      <c r="G412" s="407"/>
      <c r="H412" s="4"/>
      <c r="I412" s="4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</row>
    <row r="413" ht="9.75" customHeight="1">
      <c r="A413" s="343"/>
      <c r="B413" s="344"/>
      <c r="C413" s="182"/>
      <c r="D413" s="406"/>
      <c r="E413" s="406"/>
      <c r="F413" s="407"/>
      <c r="G413" s="407"/>
      <c r="H413" s="4"/>
      <c r="I413" s="4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</row>
    <row r="414" ht="9.75" customHeight="1">
      <c r="A414" s="343"/>
      <c r="B414" s="344"/>
      <c r="C414" s="182"/>
      <c r="D414" s="406"/>
      <c r="E414" s="406"/>
      <c r="F414" s="407"/>
      <c r="G414" s="407"/>
      <c r="H414" s="4"/>
      <c r="I414" s="4"/>
      <c r="J414" s="4"/>
      <c r="K414" s="4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</row>
    <row r="415" ht="9.75" customHeight="1">
      <c r="A415" s="343"/>
      <c r="B415" s="344"/>
      <c r="C415" s="182"/>
      <c r="D415" s="406"/>
      <c r="E415" s="406"/>
      <c r="F415" s="407"/>
      <c r="G415" s="407"/>
      <c r="H415" s="4"/>
      <c r="I415" s="4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</row>
    <row r="416" ht="9.75" customHeight="1">
      <c r="A416" s="343"/>
      <c r="B416" s="344"/>
      <c r="C416" s="182"/>
      <c r="D416" s="406"/>
      <c r="E416" s="406"/>
      <c r="F416" s="407"/>
      <c r="G416" s="407"/>
      <c r="H416" s="4"/>
      <c r="I416" s="4"/>
      <c r="J416" s="4"/>
      <c r="K416" s="4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</row>
    <row r="417" ht="9.75" customHeight="1">
      <c r="A417" s="343"/>
      <c r="B417" s="344"/>
      <c r="C417" s="182"/>
      <c r="D417" s="406"/>
      <c r="E417" s="406"/>
      <c r="F417" s="407"/>
      <c r="G417" s="407"/>
      <c r="H417" s="4"/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</row>
    <row r="418" ht="9.75" customHeight="1">
      <c r="A418" s="343"/>
      <c r="B418" s="344"/>
      <c r="C418" s="182"/>
      <c r="D418" s="406"/>
      <c r="E418" s="406"/>
      <c r="F418" s="407"/>
      <c r="G418" s="407"/>
      <c r="H418" s="4"/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</row>
    <row r="419" ht="9.75" customHeight="1">
      <c r="A419" s="343"/>
      <c r="B419" s="344"/>
      <c r="C419" s="182"/>
      <c r="D419" s="406"/>
      <c r="E419" s="406"/>
      <c r="F419" s="407"/>
      <c r="G419" s="407"/>
      <c r="H419" s="4"/>
      <c r="I419" s="4"/>
      <c r="J419" s="4"/>
      <c r="K419" s="4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  <c r="Z419" s="4"/>
    </row>
    <row r="420" ht="9.75" customHeight="1">
      <c r="A420" s="343"/>
      <c r="B420" s="344"/>
      <c r="C420" s="182"/>
      <c r="D420" s="406"/>
      <c r="E420" s="406"/>
      <c r="F420" s="407"/>
      <c r="G420" s="407"/>
      <c r="H420" s="4"/>
      <c r="I420" s="4"/>
      <c r="J420" s="4"/>
      <c r="K420" s="4"/>
      <c r="L420" s="4"/>
      <c r="M420" s="4"/>
      <c r="N420" s="4"/>
      <c r="O420" s="4"/>
      <c r="P420" s="4"/>
      <c r="Q420" s="4"/>
      <c r="R420" s="4"/>
      <c r="S420" s="4"/>
      <c r="T420" s="4"/>
      <c r="U420" s="4"/>
      <c r="V420" s="4"/>
      <c r="W420" s="4"/>
      <c r="X420" s="4"/>
      <c r="Y420" s="4"/>
      <c r="Z420" s="4"/>
    </row>
    <row r="421" ht="9.75" customHeight="1">
      <c r="A421" s="343"/>
      <c r="B421" s="344"/>
      <c r="C421" s="182"/>
      <c r="D421" s="406"/>
      <c r="E421" s="406"/>
      <c r="F421" s="407"/>
      <c r="G421" s="407"/>
      <c r="H421" s="4"/>
      <c r="I421" s="4"/>
      <c r="J421" s="4"/>
      <c r="K421" s="4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  <c r="X421" s="4"/>
      <c r="Y421" s="4"/>
      <c r="Z421" s="4"/>
    </row>
    <row r="422" ht="9.75" customHeight="1">
      <c r="A422" s="343"/>
      <c r="B422" s="344"/>
      <c r="C422" s="182"/>
      <c r="D422" s="406"/>
      <c r="E422" s="406"/>
      <c r="F422" s="407"/>
      <c r="G422" s="407"/>
      <c r="H422" s="4"/>
      <c r="I422" s="4"/>
      <c r="J422" s="4"/>
      <c r="K422" s="4"/>
      <c r="L422" s="4"/>
      <c r="M422" s="4"/>
      <c r="N422" s="4"/>
      <c r="O422" s="4"/>
      <c r="P422" s="4"/>
      <c r="Q422" s="4"/>
      <c r="R422" s="4"/>
      <c r="S422" s="4"/>
      <c r="T422" s="4"/>
      <c r="U422" s="4"/>
      <c r="V422" s="4"/>
      <c r="W422" s="4"/>
      <c r="X422" s="4"/>
      <c r="Y422" s="4"/>
      <c r="Z422" s="4"/>
    </row>
    <row r="423" ht="9.75" customHeight="1">
      <c r="A423" s="343"/>
      <c r="B423" s="344"/>
      <c r="C423" s="182"/>
      <c r="D423" s="406"/>
      <c r="E423" s="406"/>
      <c r="F423" s="407"/>
      <c r="G423" s="407"/>
      <c r="H423" s="4"/>
      <c r="I423" s="4"/>
      <c r="J423" s="4"/>
      <c r="K423" s="4"/>
      <c r="L423" s="4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4"/>
      <c r="X423" s="4"/>
      <c r="Y423" s="4"/>
      <c r="Z423" s="4"/>
    </row>
    <row r="424" ht="9.75" customHeight="1">
      <c r="A424" s="343"/>
      <c r="B424" s="344"/>
      <c r="C424" s="182"/>
      <c r="D424" s="406"/>
      <c r="E424" s="406"/>
      <c r="F424" s="407"/>
      <c r="G424" s="407"/>
      <c r="H424" s="4"/>
      <c r="I424" s="4"/>
      <c r="J424" s="4"/>
      <c r="K424" s="4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  <c r="Z424" s="4"/>
    </row>
    <row r="425" ht="9.75" customHeight="1">
      <c r="A425" s="343"/>
      <c r="B425" s="344"/>
      <c r="C425" s="182"/>
      <c r="D425" s="406"/>
      <c r="E425" s="406"/>
      <c r="F425" s="407"/>
      <c r="G425" s="407"/>
      <c r="H425" s="4"/>
      <c r="I425" s="4"/>
      <c r="J425" s="4"/>
      <c r="K425" s="4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  <c r="Z425" s="4"/>
    </row>
    <row r="426" ht="9.75" customHeight="1">
      <c r="A426" s="343"/>
      <c r="B426" s="344"/>
      <c r="C426" s="182"/>
      <c r="D426" s="406"/>
      <c r="E426" s="406"/>
      <c r="F426" s="407"/>
      <c r="G426" s="407"/>
      <c r="H426" s="4"/>
      <c r="I426" s="4"/>
      <c r="J426" s="4"/>
      <c r="K426" s="4"/>
      <c r="L426" s="4"/>
      <c r="M426" s="4"/>
      <c r="N426" s="4"/>
      <c r="O426" s="4"/>
      <c r="P426" s="4"/>
      <c r="Q426" s="4"/>
      <c r="R426" s="4"/>
      <c r="S426" s="4"/>
      <c r="T426" s="4"/>
      <c r="U426" s="4"/>
      <c r="V426" s="4"/>
      <c r="W426" s="4"/>
      <c r="X426" s="4"/>
      <c r="Y426" s="4"/>
      <c r="Z426" s="4"/>
    </row>
    <row r="427" ht="9.75" customHeight="1">
      <c r="A427" s="343"/>
      <c r="B427" s="344"/>
      <c r="C427" s="182"/>
      <c r="D427" s="406"/>
      <c r="E427" s="406"/>
      <c r="F427" s="407"/>
      <c r="G427" s="407"/>
      <c r="H427" s="4"/>
      <c r="I427" s="4"/>
      <c r="J427" s="4"/>
      <c r="K427" s="4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  <c r="X427" s="4"/>
      <c r="Y427" s="4"/>
      <c r="Z427" s="4"/>
    </row>
    <row r="428" ht="9.75" customHeight="1">
      <c r="A428" s="343"/>
      <c r="B428" s="344"/>
      <c r="C428" s="182"/>
      <c r="D428" s="406"/>
      <c r="E428" s="406"/>
      <c r="F428" s="407"/>
      <c r="G428" s="407"/>
      <c r="H428" s="4"/>
      <c r="I428" s="4"/>
      <c r="J428" s="4"/>
      <c r="K428" s="4"/>
      <c r="L428" s="4"/>
      <c r="M428" s="4"/>
      <c r="N428" s="4"/>
      <c r="O428" s="4"/>
      <c r="P428" s="4"/>
      <c r="Q428" s="4"/>
      <c r="R428" s="4"/>
      <c r="S428" s="4"/>
      <c r="T428" s="4"/>
      <c r="U428" s="4"/>
      <c r="V428" s="4"/>
      <c r="W428" s="4"/>
      <c r="X428" s="4"/>
      <c r="Y428" s="4"/>
      <c r="Z428" s="4"/>
    </row>
    <row r="429" ht="9.75" customHeight="1">
      <c r="A429" s="343"/>
      <c r="B429" s="344"/>
      <c r="C429" s="182"/>
      <c r="D429" s="406"/>
      <c r="E429" s="406"/>
      <c r="F429" s="407"/>
      <c r="G429" s="407"/>
      <c r="H429" s="4"/>
      <c r="I429" s="4"/>
      <c r="J429" s="4"/>
      <c r="K429" s="4"/>
      <c r="L429" s="4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4"/>
      <c r="X429" s="4"/>
      <c r="Y429" s="4"/>
      <c r="Z429" s="4"/>
    </row>
    <row r="430" ht="9.75" customHeight="1">
      <c r="A430" s="343"/>
      <c r="B430" s="344"/>
      <c r="C430" s="182"/>
      <c r="D430" s="406"/>
      <c r="E430" s="406"/>
      <c r="F430" s="407"/>
      <c r="G430" s="407"/>
      <c r="H430" s="4"/>
      <c r="I430" s="4"/>
      <c r="J430" s="4"/>
      <c r="K430" s="4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  <c r="Z430" s="4"/>
    </row>
    <row r="431" ht="9.75" customHeight="1">
      <c r="A431" s="343"/>
      <c r="B431" s="344"/>
      <c r="C431" s="182"/>
      <c r="D431" s="406"/>
      <c r="E431" s="406"/>
      <c r="F431" s="407"/>
      <c r="G431" s="407"/>
      <c r="H431" s="4"/>
      <c r="I431" s="4"/>
      <c r="J431" s="4"/>
      <c r="K431" s="4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  <c r="Z431" s="4"/>
    </row>
    <row r="432" ht="9.75" customHeight="1">
      <c r="A432" s="343"/>
      <c r="B432" s="344"/>
      <c r="C432" s="182"/>
      <c r="D432" s="406"/>
      <c r="E432" s="406"/>
      <c r="F432" s="407"/>
      <c r="G432" s="407"/>
      <c r="H432" s="4"/>
      <c r="I432" s="4"/>
      <c r="J432" s="4"/>
      <c r="K432" s="4"/>
      <c r="L432" s="4"/>
      <c r="M432" s="4"/>
      <c r="N432" s="4"/>
      <c r="O432" s="4"/>
      <c r="P432" s="4"/>
      <c r="Q432" s="4"/>
      <c r="R432" s="4"/>
      <c r="S432" s="4"/>
      <c r="T432" s="4"/>
      <c r="U432" s="4"/>
      <c r="V432" s="4"/>
      <c r="W432" s="4"/>
      <c r="X432" s="4"/>
      <c r="Y432" s="4"/>
      <c r="Z432" s="4"/>
    </row>
    <row r="433" ht="9.75" customHeight="1">
      <c r="A433" s="343"/>
      <c r="B433" s="344"/>
      <c r="C433" s="182"/>
      <c r="D433" s="406"/>
      <c r="E433" s="406"/>
      <c r="F433" s="407"/>
      <c r="G433" s="407"/>
      <c r="H433" s="4"/>
      <c r="I433" s="4"/>
      <c r="J433" s="4"/>
      <c r="K433" s="4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  <c r="Z433" s="4"/>
    </row>
    <row r="434" ht="9.75" customHeight="1">
      <c r="A434" s="343"/>
      <c r="B434" s="344"/>
      <c r="C434" s="182"/>
      <c r="D434" s="406"/>
      <c r="E434" s="406"/>
      <c r="F434" s="407"/>
      <c r="G434" s="407"/>
      <c r="H434" s="4"/>
      <c r="I434" s="4"/>
      <c r="J434" s="4"/>
      <c r="K434" s="4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  <c r="X434" s="4"/>
      <c r="Y434" s="4"/>
      <c r="Z434" s="4"/>
    </row>
    <row r="435" ht="9.75" customHeight="1">
      <c r="A435" s="343"/>
      <c r="B435" s="344"/>
      <c r="C435" s="182"/>
      <c r="D435" s="406"/>
      <c r="E435" s="406"/>
      <c r="F435" s="407"/>
      <c r="G435" s="407"/>
      <c r="H435" s="4"/>
      <c r="I435" s="4"/>
      <c r="J435" s="4"/>
      <c r="K435" s="4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4"/>
      <c r="Y435" s="4"/>
      <c r="Z435" s="4"/>
    </row>
    <row r="436" ht="9.75" customHeight="1">
      <c r="A436" s="343"/>
      <c r="B436" s="344"/>
      <c r="C436" s="182"/>
      <c r="D436" s="406"/>
      <c r="E436" s="406"/>
      <c r="F436" s="407"/>
      <c r="G436" s="407"/>
      <c r="H436" s="4"/>
      <c r="I436" s="4"/>
      <c r="J436" s="4"/>
      <c r="K436" s="4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</row>
    <row r="437" ht="9.75" customHeight="1">
      <c r="A437" s="343"/>
      <c r="B437" s="344"/>
      <c r="C437" s="182"/>
      <c r="D437" s="406"/>
      <c r="E437" s="406"/>
      <c r="F437" s="407"/>
      <c r="G437" s="407"/>
      <c r="H437" s="4"/>
      <c r="I437" s="4"/>
      <c r="J437" s="4"/>
      <c r="K437" s="4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  <c r="Z437" s="4"/>
    </row>
    <row r="438" ht="9.75" customHeight="1">
      <c r="A438" s="343"/>
      <c r="B438" s="344"/>
      <c r="C438" s="182"/>
      <c r="D438" s="406"/>
      <c r="E438" s="406"/>
      <c r="F438" s="407"/>
      <c r="G438" s="407"/>
      <c r="H438" s="4"/>
      <c r="I438" s="4"/>
      <c r="J438" s="4"/>
      <c r="K438" s="4"/>
      <c r="L438" s="4"/>
      <c r="M438" s="4"/>
      <c r="N438" s="4"/>
      <c r="O438" s="4"/>
      <c r="P438" s="4"/>
      <c r="Q438" s="4"/>
      <c r="R438" s="4"/>
      <c r="S438" s="4"/>
      <c r="T438" s="4"/>
      <c r="U438" s="4"/>
      <c r="V438" s="4"/>
      <c r="W438" s="4"/>
      <c r="X438" s="4"/>
      <c r="Y438" s="4"/>
      <c r="Z438" s="4"/>
    </row>
    <row r="439" ht="9.75" customHeight="1">
      <c r="A439" s="343"/>
      <c r="B439" s="344"/>
      <c r="C439" s="182"/>
      <c r="D439" s="406"/>
      <c r="E439" s="406"/>
      <c r="F439" s="407"/>
      <c r="G439" s="407"/>
      <c r="H439" s="4"/>
      <c r="I439" s="4"/>
      <c r="J439" s="4"/>
      <c r="K439" s="4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  <c r="Z439" s="4"/>
    </row>
    <row r="440" ht="9.75" customHeight="1">
      <c r="A440" s="343"/>
      <c r="B440" s="344"/>
      <c r="C440" s="182"/>
      <c r="D440" s="406"/>
      <c r="E440" s="406"/>
      <c r="F440" s="407"/>
      <c r="G440" s="407"/>
      <c r="H440" s="4"/>
      <c r="I440" s="4"/>
      <c r="J440" s="4"/>
      <c r="K440" s="4"/>
      <c r="L440" s="4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4"/>
      <c r="X440" s="4"/>
      <c r="Y440" s="4"/>
      <c r="Z440" s="4"/>
    </row>
    <row r="441" ht="9.75" customHeight="1">
      <c r="A441" s="343"/>
      <c r="B441" s="344"/>
      <c r="C441" s="182"/>
      <c r="D441" s="406"/>
      <c r="E441" s="406"/>
      <c r="F441" s="407"/>
      <c r="G441" s="407"/>
      <c r="H441" s="4"/>
      <c r="I441" s="4"/>
      <c r="J441" s="4"/>
      <c r="K441" s="4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4"/>
      <c r="Y441" s="4"/>
      <c r="Z441" s="4"/>
    </row>
    <row r="442" ht="9.75" customHeight="1">
      <c r="A442" s="343"/>
      <c r="B442" s="344"/>
      <c r="C442" s="182"/>
      <c r="D442" s="406"/>
      <c r="E442" s="406"/>
      <c r="F442" s="407"/>
      <c r="G442" s="407"/>
      <c r="H442" s="4"/>
      <c r="I442" s="4"/>
      <c r="J442" s="4"/>
      <c r="K442" s="4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  <c r="Z442" s="4"/>
    </row>
    <row r="443" ht="9.75" customHeight="1">
      <c r="A443" s="343"/>
      <c r="B443" s="344"/>
      <c r="C443" s="182"/>
      <c r="D443" s="406"/>
      <c r="E443" s="406"/>
      <c r="F443" s="407"/>
      <c r="G443" s="407"/>
      <c r="H443" s="4"/>
      <c r="I443" s="4"/>
      <c r="J443" s="4"/>
      <c r="K443" s="4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  <c r="Z443" s="4"/>
    </row>
    <row r="444" ht="9.75" customHeight="1">
      <c r="A444" s="343"/>
      <c r="B444" s="344"/>
      <c r="C444" s="182"/>
      <c r="D444" s="406"/>
      <c r="E444" s="406"/>
      <c r="F444" s="407"/>
      <c r="G444" s="407"/>
      <c r="H444" s="4"/>
      <c r="I444" s="4"/>
      <c r="J444" s="4"/>
      <c r="K444" s="4"/>
      <c r="L444" s="4"/>
      <c r="M444" s="4"/>
      <c r="N444" s="4"/>
      <c r="O444" s="4"/>
      <c r="P444" s="4"/>
      <c r="Q444" s="4"/>
      <c r="R444" s="4"/>
      <c r="S444" s="4"/>
      <c r="T444" s="4"/>
      <c r="U444" s="4"/>
      <c r="V444" s="4"/>
      <c r="W444" s="4"/>
      <c r="X444" s="4"/>
      <c r="Y444" s="4"/>
      <c r="Z444" s="4"/>
    </row>
    <row r="445" ht="9.75" customHeight="1">
      <c r="A445" s="343"/>
      <c r="B445" s="344"/>
      <c r="C445" s="182"/>
      <c r="D445" s="406"/>
      <c r="E445" s="406"/>
      <c r="F445" s="407"/>
      <c r="G445" s="407"/>
      <c r="H445" s="4"/>
      <c r="I445" s="4"/>
      <c r="J445" s="4"/>
      <c r="K445" s="4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  <c r="Z445" s="4"/>
    </row>
    <row r="446" ht="9.75" customHeight="1">
      <c r="A446" s="343"/>
      <c r="B446" s="344"/>
      <c r="C446" s="182"/>
      <c r="D446" s="406"/>
      <c r="E446" s="406"/>
      <c r="F446" s="407"/>
      <c r="G446" s="407"/>
      <c r="H446" s="4"/>
      <c r="I446" s="4"/>
      <c r="J446" s="4"/>
      <c r="K446" s="4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  <c r="X446" s="4"/>
      <c r="Y446" s="4"/>
      <c r="Z446" s="4"/>
    </row>
    <row r="447" ht="9.75" customHeight="1">
      <c r="A447" s="343"/>
      <c r="B447" s="344"/>
      <c r="C447" s="182"/>
      <c r="D447" s="406"/>
      <c r="E447" s="406"/>
      <c r="F447" s="407"/>
      <c r="G447" s="407"/>
      <c r="H447" s="4"/>
      <c r="I447" s="4"/>
      <c r="J447" s="4"/>
      <c r="K447" s="4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  <c r="Z447" s="4"/>
    </row>
    <row r="448" ht="9.75" customHeight="1">
      <c r="A448" s="343"/>
      <c r="B448" s="344"/>
      <c r="C448" s="182"/>
      <c r="D448" s="406"/>
      <c r="E448" s="406"/>
      <c r="F448" s="407"/>
      <c r="G448" s="407"/>
      <c r="H448" s="4"/>
      <c r="I448" s="4"/>
      <c r="J448" s="4"/>
      <c r="K448" s="4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  <c r="Z448" s="4"/>
    </row>
    <row r="449" ht="9.75" customHeight="1">
      <c r="A449" s="343"/>
      <c r="B449" s="344"/>
      <c r="C449" s="182"/>
      <c r="D449" s="406"/>
      <c r="E449" s="406"/>
      <c r="F449" s="407"/>
      <c r="G449" s="407"/>
      <c r="H449" s="4"/>
      <c r="I449" s="4"/>
      <c r="J449" s="4"/>
      <c r="K449" s="4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  <c r="Z449" s="4"/>
    </row>
    <row r="450" ht="9.75" customHeight="1">
      <c r="A450" s="343"/>
      <c r="B450" s="344"/>
      <c r="C450" s="182"/>
      <c r="D450" s="406"/>
      <c r="E450" s="406"/>
      <c r="F450" s="407"/>
      <c r="G450" s="407"/>
      <c r="H450" s="4"/>
      <c r="I450" s="4"/>
      <c r="J450" s="4"/>
      <c r="K450" s="4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  <c r="X450" s="4"/>
      <c r="Y450" s="4"/>
      <c r="Z450" s="4"/>
    </row>
    <row r="451" ht="9.75" customHeight="1">
      <c r="A451" s="343"/>
      <c r="B451" s="344"/>
      <c r="C451" s="182"/>
      <c r="D451" s="406"/>
      <c r="E451" s="406"/>
      <c r="F451" s="407"/>
      <c r="G451" s="407"/>
      <c r="H451" s="4"/>
      <c r="I451" s="4"/>
      <c r="J451" s="4"/>
      <c r="K451" s="4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  <c r="X451" s="4"/>
      <c r="Y451" s="4"/>
      <c r="Z451" s="4"/>
    </row>
    <row r="452" ht="9.75" customHeight="1">
      <c r="A452" s="343"/>
      <c r="B452" s="344"/>
      <c r="C452" s="182"/>
      <c r="D452" s="406"/>
      <c r="E452" s="406"/>
      <c r="F452" s="407"/>
      <c r="G452" s="407"/>
      <c r="H452" s="4"/>
      <c r="I452" s="4"/>
      <c r="J452" s="4"/>
      <c r="K452" s="4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  <c r="X452" s="4"/>
      <c r="Y452" s="4"/>
      <c r="Z452" s="4"/>
    </row>
    <row r="453" ht="9.75" customHeight="1">
      <c r="A453" s="343"/>
      <c r="B453" s="344"/>
      <c r="C453" s="182"/>
      <c r="D453" s="406"/>
      <c r="E453" s="406"/>
      <c r="F453" s="407"/>
      <c r="G453" s="407"/>
      <c r="H453" s="4"/>
      <c r="I453" s="4"/>
      <c r="J453" s="4"/>
      <c r="K453" s="4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  <c r="Z453" s="4"/>
    </row>
    <row r="454" ht="9.75" customHeight="1">
      <c r="A454" s="343"/>
      <c r="B454" s="344"/>
      <c r="C454" s="182"/>
      <c r="D454" s="406"/>
      <c r="E454" s="406"/>
      <c r="F454" s="407"/>
      <c r="G454" s="407"/>
      <c r="H454" s="4"/>
      <c r="I454" s="4"/>
      <c r="J454" s="4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</row>
    <row r="455" ht="9.75" customHeight="1">
      <c r="A455" s="343"/>
      <c r="B455" s="344"/>
      <c r="C455" s="182"/>
      <c r="D455" s="406"/>
      <c r="E455" s="406"/>
      <c r="F455" s="407"/>
      <c r="G455" s="407"/>
      <c r="H455" s="4"/>
      <c r="I455" s="4"/>
      <c r="J455" s="4"/>
      <c r="K455" s="4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  <c r="Z455" s="4"/>
    </row>
    <row r="456" ht="9.75" customHeight="1">
      <c r="A456" s="343"/>
      <c r="B456" s="344"/>
      <c r="C456" s="182"/>
      <c r="D456" s="406"/>
      <c r="E456" s="406"/>
      <c r="F456" s="407"/>
      <c r="G456" s="407"/>
      <c r="H456" s="4"/>
      <c r="I456" s="4"/>
      <c r="J456" s="4"/>
      <c r="K456" s="4"/>
      <c r="L456" s="4"/>
      <c r="M456" s="4"/>
      <c r="N456" s="4"/>
      <c r="O456" s="4"/>
      <c r="P456" s="4"/>
      <c r="Q456" s="4"/>
      <c r="R456" s="4"/>
      <c r="S456" s="4"/>
      <c r="T456" s="4"/>
      <c r="U456" s="4"/>
      <c r="V456" s="4"/>
      <c r="W456" s="4"/>
      <c r="X456" s="4"/>
      <c r="Y456" s="4"/>
      <c r="Z456" s="4"/>
    </row>
    <row r="457" ht="9.75" customHeight="1">
      <c r="A457" s="343"/>
      <c r="B457" s="344"/>
      <c r="C457" s="182"/>
      <c r="D457" s="406"/>
      <c r="E457" s="406"/>
      <c r="F457" s="407"/>
      <c r="G457" s="407"/>
      <c r="H457" s="4"/>
      <c r="I457" s="4"/>
      <c r="J457" s="4"/>
      <c r="K457" s="4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  <c r="Z457" s="4"/>
    </row>
    <row r="458" ht="9.75" customHeight="1">
      <c r="A458" s="343"/>
      <c r="B458" s="344"/>
      <c r="C458" s="182"/>
      <c r="D458" s="406"/>
      <c r="E458" s="406"/>
      <c r="F458" s="407"/>
      <c r="G458" s="407"/>
      <c r="H458" s="4"/>
      <c r="I458" s="4"/>
      <c r="J458" s="4"/>
      <c r="K458" s="4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  <c r="Z458" s="4"/>
    </row>
    <row r="459" ht="9.75" customHeight="1">
      <c r="A459" s="343"/>
      <c r="B459" s="344"/>
      <c r="C459" s="182"/>
      <c r="D459" s="406"/>
      <c r="E459" s="406"/>
      <c r="F459" s="407"/>
      <c r="G459" s="407"/>
      <c r="H459" s="4"/>
      <c r="I459" s="4"/>
      <c r="J459" s="4"/>
      <c r="K459" s="4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  <c r="Z459" s="4"/>
    </row>
    <row r="460" ht="9.75" customHeight="1">
      <c r="A460" s="343"/>
      <c r="B460" s="344"/>
      <c r="C460" s="182"/>
      <c r="D460" s="406"/>
      <c r="E460" s="406"/>
      <c r="F460" s="407"/>
      <c r="G460" s="407"/>
      <c r="H460" s="4"/>
      <c r="I460" s="4"/>
      <c r="J460" s="4"/>
      <c r="K460" s="4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  <c r="Z460" s="4"/>
    </row>
    <row r="461" ht="9.75" customHeight="1">
      <c r="A461" s="343"/>
      <c r="B461" s="344"/>
      <c r="C461" s="182"/>
      <c r="D461" s="406"/>
      <c r="E461" s="406"/>
      <c r="F461" s="407"/>
      <c r="G461" s="407"/>
      <c r="H461" s="4"/>
      <c r="I461" s="4"/>
      <c r="J461" s="4"/>
      <c r="K461" s="4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  <c r="Z461" s="4"/>
    </row>
    <row r="462" ht="9.75" customHeight="1">
      <c r="A462" s="343"/>
      <c r="B462" s="344"/>
      <c r="C462" s="182"/>
      <c r="D462" s="406"/>
      <c r="E462" s="406"/>
      <c r="F462" s="407"/>
      <c r="G462" s="407"/>
      <c r="H462" s="4"/>
      <c r="I462" s="4"/>
      <c r="J462" s="4"/>
      <c r="K462" s="4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  <c r="Z462" s="4"/>
    </row>
    <row r="463" ht="9.75" customHeight="1">
      <c r="A463" s="343"/>
      <c r="B463" s="344"/>
      <c r="C463" s="182"/>
      <c r="D463" s="406"/>
      <c r="E463" s="406"/>
      <c r="F463" s="407"/>
      <c r="G463" s="407"/>
      <c r="H463" s="4"/>
      <c r="I463" s="4"/>
      <c r="J463" s="4"/>
      <c r="K463" s="4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  <c r="X463" s="4"/>
      <c r="Y463" s="4"/>
      <c r="Z463" s="4"/>
    </row>
    <row r="464" ht="9.75" customHeight="1">
      <c r="A464" s="343"/>
      <c r="B464" s="344"/>
      <c r="C464" s="182"/>
      <c r="D464" s="406"/>
      <c r="E464" s="406"/>
      <c r="F464" s="407"/>
      <c r="G464" s="407"/>
      <c r="H464" s="4"/>
      <c r="I464" s="4"/>
      <c r="J464" s="4"/>
      <c r="K464" s="4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  <c r="X464" s="4"/>
      <c r="Y464" s="4"/>
      <c r="Z464" s="4"/>
    </row>
    <row r="465" ht="9.75" customHeight="1">
      <c r="A465" s="343"/>
      <c r="B465" s="344"/>
      <c r="C465" s="182"/>
      <c r="D465" s="406"/>
      <c r="E465" s="406"/>
      <c r="F465" s="407"/>
      <c r="G465" s="407"/>
      <c r="H465" s="4"/>
      <c r="I465" s="4"/>
      <c r="J465" s="4"/>
      <c r="K465" s="4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  <c r="Z465" s="4"/>
    </row>
    <row r="466" ht="9.75" customHeight="1">
      <c r="A466" s="343"/>
      <c r="B466" s="344"/>
      <c r="C466" s="182"/>
      <c r="D466" s="406"/>
      <c r="E466" s="406"/>
      <c r="F466" s="407"/>
      <c r="G466" s="407"/>
      <c r="H466" s="4"/>
      <c r="I466" s="4"/>
      <c r="J466" s="4"/>
      <c r="K466" s="4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4"/>
      <c r="Y466" s="4"/>
      <c r="Z466" s="4"/>
    </row>
    <row r="467" ht="9.75" customHeight="1">
      <c r="A467" s="343"/>
      <c r="B467" s="344"/>
      <c r="C467" s="182"/>
      <c r="D467" s="406"/>
      <c r="E467" s="406"/>
      <c r="F467" s="407"/>
      <c r="G467" s="407"/>
      <c r="H467" s="4"/>
      <c r="I467" s="4"/>
      <c r="J467" s="4"/>
      <c r="K467" s="4"/>
      <c r="L467" s="4"/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/>
      <c r="X467" s="4"/>
      <c r="Y467" s="4"/>
      <c r="Z467" s="4"/>
    </row>
    <row r="468" ht="9.75" customHeight="1">
      <c r="A468" s="343"/>
      <c r="B468" s="344"/>
      <c r="C468" s="182"/>
      <c r="D468" s="406"/>
      <c r="E468" s="406"/>
      <c r="F468" s="407"/>
      <c r="G468" s="407"/>
      <c r="H468" s="4"/>
      <c r="I468" s="4"/>
      <c r="J468" s="4"/>
      <c r="K468" s="4"/>
      <c r="L468" s="4"/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/>
      <c r="X468" s="4"/>
      <c r="Y468" s="4"/>
      <c r="Z468" s="4"/>
    </row>
    <row r="469" ht="9.75" customHeight="1">
      <c r="A469" s="343"/>
      <c r="B469" s="344"/>
      <c r="C469" s="182"/>
      <c r="D469" s="406"/>
      <c r="E469" s="406"/>
      <c r="F469" s="407"/>
      <c r="G469" s="407"/>
      <c r="H469" s="4"/>
      <c r="I469" s="4"/>
      <c r="J469" s="4"/>
      <c r="K469" s="4"/>
      <c r="L469" s="4"/>
      <c r="M469" s="4"/>
      <c r="N469" s="4"/>
      <c r="O469" s="4"/>
      <c r="P469" s="4"/>
      <c r="Q469" s="4"/>
      <c r="R469" s="4"/>
      <c r="S469" s="4"/>
      <c r="T469" s="4"/>
      <c r="U469" s="4"/>
      <c r="V469" s="4"/>
      <c r="W469" s="4"/>
      <c r="X469" s="4"/>
      <c r="Y469" s="4"/>
      <c r="Z469" s="4"/>
    </row>
    <row r="470" ht="9.75" customHeight="1">
      <c r="A470" s="343"/>
      <c r="B470" s="344"/>
      <c r="C470" s="182"/>
      <c r="D470" s="406"/>
      <c r="E470" s="406"/>
      <c r="F470" s="407"/>
      <c r="G470" s="407"/>
      <c r="H470" s="4"/>
      <c r="I470" s="4"/>
      <c r="J470" s="4"/>
      <c r="K470" s="4"/>
      <c r="L470" s="4"/>
      <c r="M470" s="4"/>
      <c r="N470" s="4"/>
      <c r="O470" s="4"/>
      <c r="P470" s="4"/>
      <c r="Q470" s="4"/>
      <c r="R470" s="4"/>
      <c r="S470" s="4"/>
      <c r="T470" s="4"/>
      <c r="U470" s="4"/>
      <c r="V470" s="4"/>
      <c r="W470" s="4"/>
      <c r="X470" s="4"/>
      <c r="Y470" s="4"/>
      <c r="Z470" s="4"/>
    </row>
    <row r="471" ht="9.75" customHeight="1">
      <c r="A471" s="343"/>
      <c r="B471" s="344"/>
      <c r="C471" s="182"/>
      <c r="D471" s="406"/>
      <c r="E471" s="406"/>
      <c r="F471" s="407"/>
      <c r="G471" s="407"/>
      <c r="H471" s="4"/>
      <c r="I471" s="4"/>
      <c r="J471" s="4"/>
      <c r="K471" s="4"/>
      <c r="L471" s="4"/>
      <c r="M471" s="4"/>
      <c r="N471" s="4"/>
      <c r="O471" s="4"/>
      <c r="P471" s="4"/>
      <c r="Q471" s="4"/>
      <c r="R471" s="4"/>
      <c r="S471" s="4"/>
      <c r="T471" s="4"/>
      <c r="U471" s="4"/>
      <c r="V471" s="4"/>
      <c r="W471" s="4"/>
      <c r="X471" s="4"/>
      <c r="Y471" s="4"/>
      <c r="Z471" s="4"/>
    </row>
    <row r="472" ht="9.75" customHeight="1">
      <c r="A472" s="343"/>
      <c r="B472" s="344"/>
      <c r="C472" s="182"/>
      <c r="D472" s="406"/>
      <c r="E472" s="406"/>
      <c r="F472" s="407"/>
      <c r="G472" s="407"/>
      <c r="H472" s="4"/>
      <c r="I472" s="4"/>
      <c r="J472" s="4"/>
      <c r="K472" s="4"/>
      <c r="L472" s="4"/>
      <c r="M472" s="4"/>
      <c r="N472" s="4"/>
      <c r="O472" s="4"/>
      <c r="P472" s="4"/>
      <c r="Q472" s="4"/>
      <c r="R472" s="4"/>
      <c r="S472" s="4"/>
      <c r="T472" s="4"/>
      <c r="U472" s="4"/>
      <c r="V472" s="4"/>
      <c r="W472" s="4"/>
      <c r="X472" s="4"/>
      <c r="Y472" s="4"/>
      <c r="Z472" s="4"/>
    </row>
    <row r="473" ht="9.75" customHeight="1">
      <c r="A473" s="343"/>
      <c r="B473" s="344"/>
      <c r="C473" s="182"/>
      <c r="D473" s="406"/>
      <c r="E473" s="406"/>
      <c r="F473" s="407"/>
      <c r="G473" s="407"/>
      <c r="H473" s="4"/>
      <c r="I473" s="4"/>
      <c r="J473" s="4"/>
      <c r="K473" s="4"/>
      <c r="L473" s="4"/>
      <c r="M473" s="4"/>
      <c r="N473" s="4"/>
      <c r="O473" s="4"/>
      <c r="P473" s="4"/>
      <c r="Q473" s="4"/>
      <c r="R473" s="4"/>
      <c r="S473" s="4"/>
      <c r="T473" s="4"/>
      <c r="U473" s="4"/>
      <c r="V473" s="4"/>
      <c r="W473" s="4"/>
      <c r="X473" s="4"/>
      <c r="Y473" s="4"/>
      <c r="Z473" s="4"/>
    </row>
    <row r="474" ht="9.75" customHeight="1">
      <c r="A474" s="343"/>
      <c r="B474" s="344"/>
      <c r="C474" s="182"/>
      <c r="D474" s="406"/>
      <c r="E474" s="406"/>
      <c r="F474" s="407"/>
      <c r="G474" s="407"/>
      <c r="H474" s="4"/>
      <c r="I474" s="4"/>
      <c r="J474" s="4"/>
      <c r="K474" s="4"/>
      <c r="L474" s="4"/>
      <c r="M474" s="4"/>
      <c r="N474" s="4"/>
      <c r="O474" s="4"/>
      <c r="P474" s="4"/>
      <c r="Q474" s="4"/>
      <c r="R474" s="4"/>
      <c r="S474" s="4"/>
      <c r="T474" s="4"/>
      <c r="U474" s="4"/>
      <c r="V474" s="4"/>
      <c r="W474" s="4"/>
      <c r="X474" s="4"/>
      <c r="Y474" s="4"/>
      <c r="Z474" s="4"/>
    </row>
    <row r="475" ht="9.75" customHeight="1">
      <c r="A475" s="343"/>
      <c r="B475" s="344"/>
      <c r="C475" s="182"/>
      <c r="D475" s="406"/>
      <c r="E475" s="406"/>
      <c r="F475" s="407"/>
      <c r="G475" s="407"/>
      <c r="H475" s="4"/>
      <c r="I475" s="4"/>
      <c r="J475" s="4"/>
      <c r="K475" s="4"/>
      <c r="L475" s="4"/>
      <c r="M475" s="4"/>
      <c r="N475" s="4"/>
      <c r="O475" s="4"/>
      <c r="P475" s="4"/>
      <c r="Q475" s="4"/>
      <c r="R475" s="4"/>
      <c r="S475" s="4"/>
      <c r="T475" s="4"/>
      <c r="U475" s="4"/>
      <c r="V475" s="4"/>
      <c r="W475" s="4"/>
      <c r="X475" s="4"/>
      <c r="Y475" s="4"/>
      <c r="Z475" s="4"/>
    </row>
    <row r="476" ht="9.75" customHeight="1">
      <c r="A476" s="343"/>
      <c r="B476" s="344"/>
      <c r="C476" s="182"/>
      <c r="D476" s="406"/>
      <c r="E476" s="406"/>
      <c r="F476" s="407"/>
      <c r="G476" s="407"/>
      <c r="H476" s="4"/>
      <c r="I476" s="4"/>
      <c r="J476" s="4"/>
      <c r="K476" s="4"/>
      <c r="L476" s="4"/>
      <c r="M476" s="4"/>
      <c r="N476" s="4"/>
      <c r="O476" s="4"/>
      <c r="P476" s="4"/>
      <c r="Q476" s="4"/>
      <c r="R476" s="4"/>
      <c r="S476" s="4"/>
      <c r="T476" s="4"/>
      <c r="U476" s="4"/>
      <c r="V476" s="4"/>
      <c r="W476" s="4"/>
      <c r="X476" s="4"/>
      <c r="Y476" s="4"/>
      <c r="Z476" s="4"/>
    </row>
    <row r="477" ht="9.75" customHeight="1">
      <c r="A477" s="343"/>
      <c r="B477" s="344"/>
      <c r="C477" s="182"/>
      <c r="D477" s="406"/>
      <c r="E477" s="406"/>
      <c r="F477" s="407"/>
      <c r="G477" s="407"/>
      <c r="H477" s="4"/>
      <c r="I477" s="4"/>
      <c r="J477" s="4"/>
      <c r="K477" s="4"/>
      <c r="L477" s="4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4"/>
      <c r="X477" s="4"/>
      <c r="Y477" s="4"/>
      <c r="Z477" s="4"/>
    </row>
    <row r="478" ht="9.75" customHeight="1">
      <c r="A478" s="343"/>
      <c r="B478" s="344"/>
      <c r="C478" s="182"/>
      <c r="D478" s="406"/>
      <c r="E478" s="406"/>
      <c r="F478" s="407"/>
      <c r="G478" s="407"/>
      <c r="H478" s="4"/>
      <c r="I478" s="4"/>
      <c r="J478" s="4"/>
      <c r="K478" s="4"/>
      <c r="L478" s="4"/>
      <c r="M478" s="4"/>
      <c r="N478" s="4"/>
      <c r="O478" s="4"/>
      <c r="P478" s="4"/>
      <c r="Q478" s="4"/>
      <c r="R478" s="4"/>
      <c r="S478" s="4"/>
      <c r="T478" s="4"/>
      <c r="U478" s="4"/>
      <c r="V478" s="4"/>
      <c r="W478" s="4"/>
      <c r="X478" s="4"/>
      <c r="Y478" s="4"/>
      <c r="Z478" s="4"/>
    </row>
    <row r="479" ht="9.75" customHeight="1">
      <c r="A479" s="343"/>
      <c r="B479" s="344"/>
      <c r="C479" s="182"/>
      <c r="D479" s="406"/>
      <c r="E479" s="406"/>
      <c r="F479" s="407"/>
      <c r="G479" s="407"/>
      <c r="H479" s="4"/>
      <c r="I479" s="4"/>
      <c r="J479" s="4"/>
      <c r="K479" s="4"/>
      <c r="L479" s="4"/>
      <c r="M479" s="4"/>
      <c r="N479" s="4"/>
      <c r="O479" s="4"/>
      <c r="P479" s="4"/>
      <c r="Q479" s="4"/>
      <c r="R479" s="4"/>
      <c r="S479" s="4"/>
      <c r="T479" s="4"/>
      <c r="U479" s="4"/>
      <c r="V479" s="4"/>
      <c r="W479" s="4"/>
      <c r="X479" s="4"/>
      <c r="Y479" s="4"/>
      <c r="Z479" s="4"/>
    </row>
    <row r="480" ht="9.75" customHeight="1">
      <c r="A480" s="343"/>
      <c r="B480" s="344"/>
      <c r="C480" s="182"/>
      <c r="D480" s="406"/>
      <c r="E480" s="406"/>
      <c r="F480" s="407"/>
      <c r="G480" s="407"/>
      <c r="H480" s="4"/>
      <c r="I480" s="4"/>
      <c r="J480" s="4"/>
      <c r="K480" s="4"/>
      <c r="L480" s="4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4"/>
      <c r="X480" s="4"/>
      <c r="Y480" s="4"/>
      <c r="Z480" s="4"/>
    </row>
    <row r="481" ht="9.75" customHeight="1">
      <c r="A481" s="343"/>
      <c r="B481" s="344"/>
      <c r="C481" s="182"/>
      <c r="D481" s="406"/>
      <c r="E481" s="406"/>
      <c r="F481" s="407"/>
      <c r="G481" s="407"/>
      <c r="H481" s="4"/>
      <c r="I481" s="4"/>
      <c r="J481" s="4"/>
      <c r="K481" s="4"/>
      <c r="L481" s="4"/>
      <c r="M481" s="4"/>
      <c r="N481" s="4"/>
      <c r="O481" s="4"/>
      <c r="P481" s="4"/>
      <c r="Q481" s="4"/>
      <c r="R481" s="4"/>
      <c r="S481" s="4"/>
      <c r="T481" s="4"/>
      <c r="U481" s="4"/>
      <c r="V481" s="4"/>
      <c r="W481" s="4"/>
      <c r="X481" s="4"/>
      <c r="Y481" s="4"/>
      <c r="Z481" s="4"/>
    </row>
    <row r="482" ht="9.75" customHeight="1">
      <c r="A482" s="343"/>
      <c r="B482" s="344"/>
      <c r="C482" s="182"/>
      <c r="D482" s="406"/>
      <c r="E482" s="406"/>
      <c r="F482" s="407"/>
      <c r="G482" s="407"/>
      <c r="H482" s="4"/>
      <c r="I482" s="4"/>
      <c r="J482" s="4"/>
      <c r="K482" s="4"/>
      <c r="L482" s="4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4"/>
      <c r="X482" s="4"/>
      <c r="Y482" s="4"/>
      <c r="Z482" s="4"/>
    </row>
    <row r="483" ht="9.75" customHeight="1">
      <c r="A483" s="343"/>
      <c r="B483" s="344"/>
      <c r="C483" s="182"/>
      <c r="D483" s="406"/>
      <c r="E483" s="406"/>
      <c r="F483" s="407"/>
      <c r="G483" s="407"/>
      <c r="H483" s="4"/>
      <c r="I483" s="4"/>
      <c r="J483" s="4"/>
      <c r="K483" s="4"/>
      <c r="L483" s="4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4"/>
      <c r="X483" s="4"/>
      <c r="Y483" s="4"/>
      <c r="Z483" s="4"/>
    </row>
    <row r="484" ht="9.75" customHeight="1">
      <c r="A484" s="343"/>
      <c r="B484" s="344"/>
      <c r="C484" s="182"/>
      <c r="D484" s="406"/>
      <c r="E484" s="406"/>
      <c r="F484" s="407"/>
      <c r="G484" s="407"/>
      <c r="H484" s="4"/>
      <c r="I484" s="4"/>
      <c r="J484" s="4"/>
      <c r="K484" s="4"/>
      <c r="L484" s="4"/>
      <c r="M484" s="4"/>
      <c r="N484" s="4"/>
      <c r="O484" s="4"/>
      <c r="P484" s="4"/>
      <c r="Q484" s="4"/>
      <c r="R484" s="4"/>
      <c r="S484" s="4"/>
      <c r="T484" s="4"/>
      <c r="U484" s="4"/>
      <c r="V484" s="4"/>
      <c r="W484" s="4"/>
      <c r="X484" s="4"/>
      <c r="Y484" s="4"/>
      <c r="Z484" s="4"/>
    </row>
    <row r="485" ht="9.75" customHeight="1">
      <c r="A485" s="343"/>
      <c r="B485" s="344"/>
      <c r="C485" s="182"/>
      <c r="D485" s="406"/>
      <c r="E485" s="406"/>
      <c r="F485" s="407"/>
      <c r="G485" s="407"/>
      <c r="H485" s="4"/>
      <c r="I485" s="4"/>
      <c r="J485" s="4"/>
      <c r="K485" s="4"/>
      <c r="L485" s="4"/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  <c r="X485" s="4"/>
      <c r="Y485" s="4"/>
      <c r="Z485" s="4"/>
    </row>
    <row r="486" ht="9.75" customHeight="1">
      <c r="A486" s="343"/>
      <c r="B486" s="344"/>
      <c r="C486" s="182"/>
      <c r="D486" s="406"/>
      <c r="E486" s="406"/>
      <c r="F486" s="407"/>
      <c r="G486" s="407"/>
      <c r="H486" s="4"/>
      <c r="I486" s="4"/>
      <c r="J486" s="4"/>
      <c r="K486" s="4"/>
      <c r="L486" s="4"/>
      <c r="M486" s="4"/>
      <c r="N486" s="4"/>
      <c r="O486" s="4"/>
      <c r="P486" s="4"/>
      <c r="Q486" s="4"/>
      <c r="R486" s="4"/>
      <c r="S486" s="4"/>
      <c r="T486" s="4"/>
      <c r="U486" s="4"/>
      <c r="V486" s="4"/>
      <c r="W486" s="4"/>
      <c r="X486" s="4"/>
      <c r="Y486" s="4"/>
      <c r="Z486" s="4"/>
    </row>
    <row r="487" ht="9.75" customHeight="1">
      <c r="A487" s="343"/>
      <c r="B487" s="344"/>
      <c r="C487" s="182"/>
      <c r="D487" s="406"/>
      <c r="E487" s="406"/>
      <c r="F487" s="407"/>
      <c r="G487" s="407"/>
      <c r="H487" s="4"/>
      <c r="I487" s="4"/>
      <c r="J487" s="4"/>
      <c r="K487" s="4"/>
      <c r="L487" s="4"/>
      <c r="M487" s="4"/>
      <c r="N487" s="4"/>
      <c r="O487" s="4"/>
      <c r="P487" s="4"/>
      <c r="Q487" s="4"/>
      <c r="R487" s="4"/>
      <c r="S487" s="4"/>
      <c r="T487" s="4"/>
      <c r="U487" s="4"/>
      <c r="V487" s="4"/>
      <c r="W487" s="4"/>
      <c r="X487" s="4"/>
      <c r="Y487" s="4"/>
      <c r="Z487" s="4"/>
    </row>
    <row r="488" ht="9.75" customHeight="1">
      <c r="A488" s="343"/>
      <c r="B488" s="344"/>
      <c r="C488" s="182"/>
      <c r="D488" s="406"/>
      <c r="E488" s="406"/>
      <c r="F488" s="407"/>
      <c r="G488" s="407"/>
      <c r="H488" s="4"/>
      <c r="I488" s="4"/>
      <c r="J488" s="4"/>
      <c r="K488" s="4"/>
      <c r="L488" s="4"/>
      <c r="M488" s="4"/>
      <c r="N488" s="4"/>
      <c r="O488" s="4"/>
      <c r="P488" s="4"/>
      <c r="Q488" s="4"/>
      <c r="R488" s="4"/>
      <c r="S488" s="4"/>
      <c r="T488" s="4"/>
      <c r="U488" s="4"/>
      <c r="V488" s="4"/>
      <c r="W488" s="4"/>
      <c r="X488" s="4"/>
      <c r="Y488" s="4"/>
      <c r="Z488" s="4"/>
    </row>
    <row r="489" ht="9.75" customHeight="1">
      <c r="A489" s="343"/>
      <c r="B489" s="344"/>
      <c r="C489" s="182"/>
      <c r="D489" s="406"/>
      <c r="E489" s="406"/>
      <c r="F489" s="407"/>
      <c r="G489" s="407"/>
      <c r="H489" s="4"/>
      <c r="I489" s="4"/>
      <c r="J489" s="4"/>
      <c r="K489" s="4"/>
      <c r="L489" s="4"/>
      <c r="M489" s="4"/>
      <c r="N489" s="4"/>
      <c r="O489" s="4"/>
      <c r="P489" s="4"/>
      <c r="Q489" s="4"/>
      <c r="R489" s="4"/>
      <c r="S489" s="4"/>
      <c r="T489" s="4"/>
      <c r="U489" s="4"/>
      <c r="V489" s="4"/>
      <c r="W489" s="4"/>
      <c r="X489" s="4"/>
      <c r="Y489" s="4"/>
      <c r="Z489" s="4"/>
    </row>
    <row r="490" ht="9.75" customHeight="1">
      <c r="A490" s="343"/>
      <c r="B490" s="344"/>
      <c r="C490" s="182"/>
      <c r="D490" s="406"/>
      <c r="E490" s="406"/>
      <c r="F490" s="407"/>
      <c r="G490" s="407"/>
      <c r="H490" s="4"/>
      <c r="I490" s="4"/>
      <c r="J490" s="4"/>
      <c r="K490" s="4"/>
      <c r="L490" s="4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4"/>
      <c r="X490" s="4"/>
      <c r="Y490" s="4"/>
      <c r="Z490" s="4"/>
    </row>
    <row r="491" ht="9.75" customHeight="1">
      <c r="A491" s="343"/>
      <c r="B491" s="344"/>
      <c r="C491" s="182"/>
      <c r="D491" s="406"/>
      <c r="E491" s="406"/>
      <c r="F491" s="407"/>
      <c r="G491" s="407"/>
      <c r="H491" s="4"/>
      <c r="I491" s="4"/>
      <c r="J491" s="4"/>
      <c r="K491" s="4"/>
      <c r="L491" s="4"/>
      <c r="M491" s="4"/>
      <c r="N491" s="4"/>
      <c r="O491" s="4"/>
      <c r="P491" s="4"/>
      <c r="Q491" s="4"/>
      <c r="R491" s="4"/>
      <c r="S491" s="4"/>
      <c r="T491" s="4"/>
      <c r="U491" s="4"/>
      <c r="V491" s="4"/>
      <c r="W491" s="4"/>
      <c r="X491" s="4"/>
      <c r="Y491" s="4"/>
      <c r="Z491" s="4"/>
    </row>
    <row r="492" ht="9.75" customHeight="1">
      <c r="A492" s="343"/>
      <c r="B492" s="344"/>
      <c r="C492" s="182"/>
      <c r="D492" s="406"/>
      <c r="E492" s="406"/>
      <c r="F492" s="407"/>
      <c r="G492" s="407"/>
      <c r="H492" s="4"/>
      <c r="I492" s="4"/>
      <c r="J492" s="4"/>
      <c r="K492" s="4"/>
      <c r="L492" s="4"/>
      <c r="M492" s="4"/>
      <c r="N492" s="4"/>
      <c r="O492" s="4"/>
      <c r="P492" s="4"/>
      <c r="Q492" s="4"/>
      <c r="R492" s="4"/>
      <c r="S492" s="4"/>
      <c r="T492" s="4"/>
      <c r="U492" s="4"/>
      <c r="V492" s="4"/>
      <c r="W492" s="4"/>
      <c r="X492" s="4"/>
      <c r="Y492" s="4"/>
      <c r="Z492" s="4"/>
    </row>
    <row r="493" ht="9.75" customHeight="1">
      <c r="A493" s="343"/>
      <c r="B493" s="344"/>
      <c r="C493" s="182"/>
      <c r="D493" s="406"/>
      <c r="E493" s="406"/>
      <c r="F493" s="407"/>
      <c r="G493" s="407"/>
      <c r="H493" s="4"/>
      <c r="I493" s="4"/>
      <c r="J493" s="4"/>
      <c r="K493" s="4"/>
      <c r="L493" s="4"/>
      <c r="M493" s="4"/>
      <c r="N493" s="4"/>
      <c r="O493" s="4"/>
      <c r="P493" s="4"/>
      <c r="Q493" s="4"/>
      <c r="R493" s="4"/>
      <c r="S493" s="4"/>
      <c r="T493" s="4"/>
      <c r="U493" s="4"/>
      <c r="V493" s="4"/>
      <c r="W493" s="4"/>
      <c r="X493" s="4"/>
      <c r="Y493" s="4"/>
      <c r="Z493" s="4"/>
    </row>
    <row r="494" ht="9.75" customHeight="1">
      <c r="A494" s="343"/>
      <c r="B494" s="344"/>
      <c r="C494" s="182"/>
      <c r="D494" s="406"/>
      <c r="E494" s="406"/>
      <c r="F494" s="407"/>
      <c r="G494" s="407"/>
      <c r="H494" s="4"/>
      <c r="I494" s="4"/>
      <c r="J494" s="4"/>
      <c r="K494" s="4"/>
      <c r="L494" s="4"/>
      <c r="M494" s="4"/>
      <c r="N494" s="4"/>
      <c r="O494" s="4"/>
      <c r="P494" s="4"/>
      <c r="Q494" s="4"/>
      <c r="R494" s="4"/>
      <c r="S494" s="4"/>
      <c r="T494" s="4"/>
      <c r="U494" s="4"/>
      <c r="V494" s="4"/>
      <c r="W494" s="4"/>
      <c r="X494" s="4"/>
      <c r="Y494" s="4"/>
      <c r="Z494" s="4"/>
    </row>
    <row r="495" ht="9.75" customHeight="1">
      <c r="A495" s="343"/>
      <c r="B495" s="344"/>
      <c r="C495" s="182"/>
      <c r="D495" s="406"/>
      <c r="E495" s="406"/>
      <c r="F495" s="407"/>
      <c r="G495" s="407"/>
      <c r="H495" s="4"/>
      <c r="I495" s="4"/>
      <c r="J495" s="4"/>
      <c r="K495" s="4"/>
      <c r="L495" s="4"/>
      <c r="M495" s="4"/>
      <c r="N495" s="4"/>
      <c r="O495" s="4"/>
      <c r="P495" s="4"/>
      <c r="Q495" s="4"/>
      <c r="R495" s="4"/>
      <c r="S495" s="4"/>
      <c r="T495" s="4"/>
      <c r="U495" s="4"/>
      <c r="V495" s="4"/>
      <c r="W495" s="4"/>
      <c r="X495" s="4"/>
      <c r="Y495" s="4"/>
      <c r="Z495" s="4"/>
    </row>
    <row r="496" ht="9.75" customHeight="1">
      <c r="A496" s="343"/>
      <c r="B496" s="344"/>
      <c r="C496" s="182"/>
      <c r="D496" s="406"/>
      <c r="E496" s="406"/>
      <c r="F496" s="407"/>
      <c r="G496" s="407"/>
      <c r="H496" s="4"/>
      <c r="I496" s="4"/>
      <c r="J496" s="4"/>
      <c r="K496" s="4"/>
      <c r="L496" s="4"/>
      <c r="M496" s="4"/>
      <c r="N496" s="4"/>
      <c r="O496" s="4"/>
      <c r="P496" s="4"/>
      <c r="Q496" s="4"/>
      <c r="R496" s="4"/>
      <c r="S496" s="4"/>
      <c r="T496" s="4"/>
      <c r="U496" s="4"/>
      <c r="V496" s="4"/>
      <c r="W496" s="4"/>
      <c r="X496" s="4"/>
      <c r="Y496" s="4"/>
      <c r="Z496" s="4"/>
    </row>
    <row r="497" ht="9.75" customHeight="1">
      <c r="A497" s="343"/>
      <c r="B497" s="344"/>
      <c r="C497" s="182"/>
      <c r="D497" s="406"/>
      <c r="E497" s="406"/>
      <c r="F497" s="407"/>
      <c r="G497" s="407"/>
      <c r="H497" s="4"/>
      <c r="I497" s="4"/>
      <c r="J497" s="4"/>
      <c r="K497" s="4"/>
      <c r="L497" s="4"/>
      <c r="M497" s="4"/>
      <c r="N497" s="4"/>
      <c r="O497" s="4"/>
      <c r="P497" s="4"/>
      <c r="Q497" s="4"/>
      <c r="R497" s="4"/>
      <c r="S497" s="4"/>
      <c r="T497" s="4"/>
      <c r="U497" s="4"/>
      <c r="V497" s="4"/>
      <c r="W497" s="4"/>
      <c r="X497" s="4"/>
      <c r="Y497" s="4"/>
      <c r="Z497" s="4"/>
    </row>
    <row r="498" ht="9.75" customHeight="1">
      <c r="A498" s="343"/>
      <c r="B498" s="344"/>
      <c r="C498" s="182"/>
      <c r="D498" s="406"/>
      <c r="E498" s="406"/>
      <c r="F498" s="407"/>
      <c r="G498" s="407"/>
      <c r="H498" s="4"/>
      <c r="I498" s="4"/>
      <c r="J498" s="4"/>
      <c r="K498" s="4"/>
      <c r="L498" s="4"/>
      <c r="M498" s="4"/>
      <c r="N498" s="4"/>
      <c r="O498" s="4"/>
      <c r="P498" s="4"/>
      <c r="Q498" s="4"/>
      <c r="R498" s="4"/>
      <c r="S498" s="4"/>
      <c r="T498" s="4"/>
      <c r="U498" s="4"/>
      <c r="V498" s="4"/>
      <c r="W498" s="4"/>
      <c r="X498" s="4"/>
      <c r="Y498" s="4"/>
      <c r="Z498" s="4"/>
    </row>
    <row r="499" ht="9.75" customHeight="1">
      <c r="A499" s="343"/>
      <c r="B499" s="344"/>
      <c r="C499" s="182"/>
      <c r="D499" s="406"/>
      <c r="E499" s="406"/>
      <c r="F499" s="407"/>
      <c r="G499" s="407"/>
      <c r="H499" s="4"/>
      <c r="I499" s="4"/>
      <c r="J499" s="4"/>
      <c r="K499" s="4"/>
      <c r="L499" s="4"/>
      <c r="M499" s="4"/>
      <c r="N499" s="4"/>
      <c r="O499" s="4"/>
      <c r="P499" s="4"/>
      <c r="Q499" s="4"/>
      <c r="R499" s="4"/>
      <c r="S499" s="4"/>
      <c r="T499" s="4"/>
      <c r="U499" s="4"/>
      <c r="V499" s="4"/>
      <c r="W499" s="4"/>
      <c r="X499" s="4"/>
      <c r="Y499" s="4"/>
      <c r="Z499" s="4"/>
    </row>
    <row r="500" ht="9.75" customHeight="1">
      <c r="A500" s="343"/>
      <c r="B500" s="344"/>
      <c r="C500" s="182"/>
      <c r="D500" s="406"/>
      <c r="E500" s="406"/>
      <c r="F500" s="407"/>
      <c r="G500" s="407"/>
      <c r="H500" s="4"/>
      <c r="I500" s="4"/>
      <c r="J500" s="4"/>
      <c r="K500" s="4"/>
      <c r="L500" s="4"/>
      <c r="M500" s="4"/>
      <c r="N500" s="4"/>
      <c r="O500" s="4"/>
      <c r="P500" s="4"/>
      <c r="Q500" s="4"/>
      <c r="R500" s="4"/>
      <c r="S500" s="4"/>
      <c r="T500" s="4"/>
      <c r="U500" s="4"/>
      <c r="V500" s="4"/>
      <c r="W500" s="4"/>
      <c r="X500" s="4"/>
      <c r="Y500" s="4"/>
      <c r="Z500" s="4"/>
    </row>
    <row r="501" ht="9.75" customHeight="1">
      <c r="A501" s="343"/>
      <c r="B501" s="344"/>
      <c r="C501" s="182"/>
      <c r="D501" s="406"/>
      <c r="E501" s="406"/>
      <c r="F501" s="407"/>
      <c r="G501" s="407"/>
      <c r="H501" s="4"/>
      <c r="I501" s="4"/>
      <c r="J501" s="4"/>
      <c r="K501" s="4"/>
      <c r="L501" s="4"/>
      <c r="M501" s="4"/>
      <c r="N501" s="4"/>
      <c r="O501" s="4"/>
      <c r="P501" s="4"/>
      <c r="Q501" s="4"/>
      <c r="R501" s="4"/>
      <c r="S501" s="4"/>
      <c r="T501" s="4"/>
      <c r="U501" s="4"/>
      <c r="V501" s="4"/>
      <c r="W501" s="4"/>
      <c r="X501" s="4"/>
      <c r="Y501" s="4"/>
      <c r="Z501" s="4"/>
    </row>
    <row r="502" ht="9.75" customHeight="1">
      <c r="A502" s="343"/>
      <c r="B502" s="344"/>
      <c r="C502" s="182"/>
      <c r="D502" s="406"/>
      <c r="E502" s="406"/>
      <c r="F502" s="407"/>
      <c r="G502" s="407"/>
      <c r="H502" s="4"/>
      <c r="I502" s="4"/>
      <c r="J502" s="4"/>
      <c r="K502" s="4"/>
      <c r="L502" s="4"/>
      <c r="M502" s="4"/>
      <c r="N502" s="4"/>
      <c r="O502" s="4"/>
      <c r="P502" s="4"/>
      <c r="Q502" s="4"/>
      <c r="R502" s="4"/>
      <c r="S502" s="4"/>
      <c r="T502" s="4"/>
      <c r="U502" s="4"/>
      <c r="V502" s="4"/>
      <c r="W502" s="4"/>
      <c r="X502" s="4"/>
      <c r="Y502" s="4"/>
      <c r="Z502" s="4"/>
    </row>
    <row r="503" ht="9.75" customHeight="1">
      <c r="A503" s="343"/>
      <c r="B503" s="344"/>
      <c r="C503" s="182"/>
      <c r="D503" s="406"/>
      <c r="E503" s="406"/>
      <c r="F503" s="407"/>
      <c r="G503" s="407"/>
      <c r="H503" s="4"/>
      <c r="I503" s="4"/>
      <c r="J503" s="4"/>
      <c r="K503" s="4"/>
      <c r="L503" s="4"/>
      <c r="M503" s="4"/>
      <c r="N503" s="4"/>
      <c r="O503" s="4"/>
      <c r="P503" s="4"/>
      <c r="Q503" s="4"/>
      <c r="R503" s="4"/>
      <c r="S503" s="4"/>
      <c r="T503" s="4"/>
      <c r="U503" s="4"/>
      <c r="V503" s="4"/>
      <c r="W503" s="4"/>
      <c r="X503" s="4"/>
      <c r="Y503" s="4"/>
      <c r="Z503" s="4"/>
    </row>
    <row r="504" ht="9.75" customHeight="1">
      <c r="A504" s="343"/>
      <c r="B504" s="344"/>
      <c r="C504" s="182"/>
      <c r="D504" s="406"/>
      <c r="E504" s="406"/>
      <c r="F504" s="407"/>
      <c r="G504" s="407"/>
      <c r="H504" s="4"/>
      <c r="I504" s="4"/>
      <c r="J504" s="4"/>
      <c r="K504" s="4"/>
      <c r="L504" s="4"/>
      <c r="M504" s="4"/>
      <c r="N504" s="4"/>
      <c r="O504" s="4"/>
      <c r="P504" s="4"/>
      <c r="Q504" s="4"/>
      <c r="R504" s="4"/>
      <c r="S504" s="4"/>
      <c r="T504" s="4"/>
      <c r="U504" s="4"/>
      <c r="V504" s="4"/>
      <c r="W504" s="4"/>
      <c r="X504" s="4"/>
      <c r="Y504" s="4"/>
      <c r="Z504" s="4"/>
    </row>
    <row r="505" ht="9.75" customHeight="1">
      <c r="A505" s="343"/>
      <c r="B505" s="344"/>
      <c r="C505" s="182"/>
      <c r="D505" s="406"/>
      <c r="E505" s="406"/>
      <c r="F505" s="407"/>
      <c r="G505" s="407"/>
      <c r="H505" s="4"/>
      <c r="I505" s="4"/>
      <c r="J505" s="4"/>
      <c r="K505" s="4"/>
      <c r="L505" s="4"/>
      <c r="M505" s="4"/>
      <c r="N505" s="4"/>
      <c r="O505" s="4"/>
      <c r="P505" s="4"/>
      <c r="Q505" s="4"/>
      <c r="R505" s="4"/>
      <c r="S505" s="4"/>
      <c r="T505" s="4"/>
      <c r="U505" s="4"/>
      <c r="V505" s="4"/>
      <c r="W505" s="4"/>
      <c r="X505" s="4"/>
      <c r="Y505" s="4"/>
      <c r="Z505" s="4"/>
    </row>
    <row r="506" ht="9.75" customHeight="1">
      <c r="A506" s="343"/>
      <c r="B506" s="344"/>
      <c r="C506" s="182"/>
      <c r="D506" s="406"/>
      <c r="E506" s="406"/>
      <c r="F506" s="407"/>
      <c r="G506" s="407"/>
      <c r="H506" s="4"/>
      <c r="I506" s="4"/>
      <c r="J506" s="4"/>
      <c r="K506" s="4"/>
      <c r="L506" s="4"/>
      <c r="M506" s="4"/>
      <c r="N506" s="4"/>
      <c r="O506" s="4"/>
      <c r="P506" s="4"/>
      <c r="Q506" s="4"/>
      <c r="R506" s="4"/>
      <c r="S506" s="4"/>
      <c r="T506" s="4"/>
      <c r="U506" s="4"/>
      <c r="V506" s="4"/>
      <c r="W506" s="4"/>
      <c r="X506" s="4"/>
      <c r="Y506" s="4"/>
      <c r="Z506" s="4"/>
    </row>
    <row r="507" ht="9.75" customHeight="1">
      <c r="A507" s="343"/>
      <c r="B507" s="344"/>
      <c r="C507" s="182"/>
      <c r="D507" s="406"/>
      <c r="E507" s="406"/>
      <c r="F507" s="407"/>
      <c r="G507" s="407"/>
      <c r="H507" s="4"/>
      <c r="I507" s="4"/>
      <c r="J507" s="4"/>
      <c r="K507" s="4"/>
      <c r="L507" s="4"/>
      <c r="M507" s="4"/>
      <c r="N507" s="4"/>
      <c r="O507" s="4"/>
      <c r="P507" s="4"/>
      <c r="Q507" s="4"/>
      <c r="R507" s="4"/>
      <c r="S507" s="4"/>
      <c r="T507" s="4"/>
      <c r="U507" s="4"/>
      <c r="V507" s="4"/>
      <c r="W507" s="4"/>
      <c r="X507" s="4"/>
      <c r="Y507" s="4"/>
      <c r="Z507" s="4"/>
    </row>
    <row r="508" ht="9.75" customHeight="1">
      <c r="A508" s="343"/>
      <c r="B508" s="344"/>
      <c r="C508" s="182"/>
      <c r="D508" s="406"/>
      <c r="E508" s="406"/>
      <c r="F508" s="407"/>
      <c r="G508" s="407"/>
      <c r="H508" s="4"/>
      <c r="I508" s="4"/>
      <c r="J508" s="4"/>
      <c r="K508" s="4"/>
      <c r="L508" s="4"/>
      <c r="M508" s="4"/>
      <c r="N508" s="4"/>
      <c r="O508" s="4"/>
      <c r="P508" s="4"/>
      <c r="Q508" s="4"/>
      <c r="R508" s="4"/>
      <c r="S508" s="4"/>
      <c r="T508" s="4"/>
      <c r="U508" s="4"/>
      <c r="V508" s="4"/>
      <c r="W508" s="4"/>
      <c r="X508" s="4"/>
      <c r="Y508" s="4"/>
      <c r="Z508" s="4"/>
    </row>
    <row r="509" ht="9.75" customHeight="1">
      <c r="A509" s="343"/>
      <c r="B509" s="344"/>
      <c r="C509" s="182"/>
      <c r="D509" s="406"/>
      <c r="E509" s="406"/>
      <c r="F509" s="407"/>
      <c r="G509" s="407"/>
      <c r="H509" s="4"/>
      <c r="I509" s="4"/>
      <c r="J509" s="4"/>
      <c r="K509" s="4"/>
      <c r="L509" s="4"/>
      <c r="M509" s="4"/>
      <c r="N509" s="4"/>
      <c r="O509" s="4"/>
      <c r="P509" s="4"/>
      <c r="Q509" s="4"/>
      <c r="R509" s="4"/>
      <c r="S509" s="4"/>
      <c r="T509" s="4"/>
      <c r="U509" s="4"/>
      <c r="V509" s="4"/>
      <c r="W509" s="4"/>
      <c r="X509" s="4"/>
      <c r="Y509" s="4"/>
      <c r="Z509" s="4"/>
    </row>
    <row r="510" ht="9.75" customHeight="1">
      <c r="A510" s="343"/>
      <c r="B510" s="344"/>
      <c r="C510" s="182"/>
      <c r="D510" s="406"/>
      <c r="E510" s="406"/>
      <c r="F510" s="407"/>
      <c r="G510" s="407"/>
      <c r="H510" s="4"/>
      <c r="I510" s="4"/>
      <c r="J510" s="4"/>
      <c r="K510" s="4"/>
      <c r="L510" s="4"/>
      <c r="M510" s="4"/>
      <c r="N510" s="4"/>
      <c r="O510" s="4"/>
      <c r="P510" s="4"/>
      <c r="Q510" s="4"/>
      <c r="R510" s="4"/>
      <c r="S510" s="4"/>
      <c r="T510" s="4"/>
      <c r="U510" s="4"/>
      <c r="V510" s="4"/>
      <c r="W510" s="4"/>
      <c r="X510" s="4"/>
      <c r="Y510" s="4"/>
      <c r="Z510" s="4"/>
    </row>
    <row r="511" ht="9.75" customHeight="1">
      <c r="A511" s="343"/>
      <c r="B511" s="344"/>
      <c r="C511" s="182"/>
      <c r="D511" s="406"/>
      <c r="E511" s="406"/>
      <c r="F511" s="407"/>
      <c r="G511" s="407"/>
      <c r="H511" s="4"/>
      <c r="I511" s="4"/>
      <c r="J511" s="4"/>
      <c r="K511" s="4"/>
      <c r="L511" s="4"/>
      <c r="M511" s="4"/>
      <c r="N511" s="4"/>
      <c r="O511" s="4"/>
      <c r="P511" s="4"/>
      <c r="Q511" s="4"/>
      <c r="R511" s="4"/>
      <c r="S511" s="4"/>
      <c r="T511" s="4"/>
      <c r="U511" s="4"/>
      <c r="V511" s="4"/>
      <c r="W511" s="4"/>
      <c r="X511" s="4"/>
      <c r="Y511" s="4"/>
      <c r="Z511" s="4"/>
    </row>
    <row r="512" ht="9.75" customHeight="1">
      <c r="A512" s="343"/>
      <c r="B512" s="344"/>
      <c r="C512" s="182"/>
      <c r="D512" s="406"/>
      <c r="E512" s="406"/>
      <c r="F512" s="407"/>
      <c r="G512" s="407"/>
      <c r="H512" s="4"/>
      <c r="I512" s="4"/>
      <c r="J512" s="4"/>
      <c r="K512" s="4"/>
      <c r="L512" s="4"/>
      <c r="M512" s="4"/>
      <c r="N512" s="4"/>
      <c r="O512" s="4"/>
      <c r="P512" s="4"/>
      <c r="Q512" s="4"/>
      <c r="R512" s="4"/>
      <c r="S512" s="4"/>
      <c r="T512" s="4"/>
      <c r="U512" s="4"/>
      <c r="V512" s="4"/>
      <c r="W512" s="4"/>
      <c r="X512" s="4"/>
      <c r="Y512" s="4"/>
      <c r="Z512" s="4"/>
    </row>
    <row r="513" ht="9.75" customHeight="1">
      <c r="A513" s="343"/>
      <c r="B513" s="344"/>
      <c r="C513" s="182"/>
      <c r="D513" s="406"/>
      <c r="E513" s="406"/>
      <c r="F513" s="407"/>
      <c r="G513" s="407"/>
      <c r="H513" s="4"/>
      <c r="I513" s="4"/>
      <c r="J513" s="4"/>
      <c r="K513" s="4"/>
      <c r="L513" s="4"/>
      <c r="M513" s="4"/>
      <c r="N513" s="4"/>
      <c r="O513" s="4"/>
      <c r="P513" s="4"/>
      <c r="Q513" s="4"/>
      <c r="R513" s="4"/>
      <c r="S513" s="4"/>
      <c r="T513" s="4"/>
      <c r="U513" s="4"/>
      <c r="V513" s="4"/>
      <c r="W513" s="4"/>
      <c r="X513" s="4"/>
      <c r="Y513" s="4"/>
      <c r="Z513" s="4"/>
    </row>
    <row r="514" ht="9.75" customHeight="1">
      <c r="A514" s="343"/>
      <c r="B514" s="344"/>
      <c r="C514" s="182"/>
      <c r="D514" s="406"/>
      <c r="E514" s="406"/>
      <c r="F514" s="407"/>
      <c r="G514" s="407"/>
      <c r="H514" s="4"/>
      <c r="I514" s="4"/>
      <c r="J514" s="4"/>
      <c r="K514" s="4"/>
      <c r="L514" s="4"/>
      <c r="M514" s="4"/>
      <c r="N514" s="4"/>
      <c r="O514" s="4"/>
      <c r="P514" s="4"/>
      <c r="Q514" s="4"/>
      <c r="R514" s="4"/>
      <c r="S514" s="4"/>
      <c r="T514" s="4"/>
      <c r="U514" s="4"/>
      <c r="V514" s="4"/>
      <c r="W514" s="4"/>
      <c r="X514" s="4"/>
      <c r="Y514" s="4"/>
      <c r="Z514" s="4"/>
    </row>
    <row r="515" ht="9.75" customHeight="1">
      <c r="A515" s="343"/>
      <c r="B515" s="344"/>
      <c r="C515" s="182"/>
      <c r="D515" s="406"/>
      <c r="E515" s="406"/>
      <c r="F515" s="407"/>
      <c r="G515" s="407"/>
      <c r="H515" s="4"/>
      <c r="I515" s="4"/>
      <c r="J515" s="4"/>
      <c r="K515" s="4"/>
      <c r="L515" s="4"/>
      <c r="M515" s="4"/>
      <c r="N515" s="4"/>
      <c r="O515" s="4"/>
      <c r="P515" s="4"/>
      <c r="Q515" s="4"/>
      <c r="R515" s="4"/>
      <c r="S515" s="4"/>
      <c r="T515" s="4"/>
      <c r="U515" s="4"/>
      <c r="V515" s="4"/>
      <c r="W515" s="4"/>
      <c r="X515" s="4"/>
      <c r="Y515" s="4"/>
      <c r="Z515" s="4"/>
    </row>
    <row r="516" ht="9.75" customHeight="1">
      <c r="A516" s="343"/>
      <c r="B516" s="344"/>
      <c r="C516" s="182"/>
      <c r="D516" s="406"/>
      <c r="E516" s="406"/>
      <c r="F516" s="407"/>
      <c r="G516" s="407"/>
      <c r="H516" s="4"/>
      <c r="I516" s="4"/>
      <c r="J516" s="4"/>
      <c r="K516" s="4"/>
      <c r="L516" s="4"/>
      <c r="M516" s="4"/>
      <c r="N516" s="4"/>
      <c r="O516" s="4"/>
      <c r="P516" s="4"/>
      <c r="Q516" s="4"/>
      <c r="R516" s="4"/>
      <c r="S516" s="4"/>
      <c r="T516" s="4"/>
      <c r="U516" s="4"/>
      <c r="V516" s="4"/>
      <c r="W516" s="4"/>
      <c r="X516" s="4"/>
      <c r="Y516" s="4"/>
      <c r="Z516" s="4"/>
    </row>
    <row r="517" ht="9.75" customHeight="1">
      <c r="A517" s="343"/>
      <c r="B517" s="344"/>
      <c r="C517" s="182"/>
      <c r="D517" s="406"/>
      <c r="E517" s="406"/>
      <c r="F517" s="407"/>
      <c r="G517" s="407"/>
      <c r="H517" s="4"/>
      <c r="I517" s="4"/>
      <c r="J517" s="4"/>
      <c r="K517" s="4"/>
      <c r="L517" s="4"/>
      <c r="M517" s="4"/>
      <c r="N517" s="4"/>
      <c r="O517" s="4"/>
      <c r="P517" s="4"/>
      <c r="Q517" s="4"/>
      <c r="R517" s="4"/>
      <c r="S517" s="4"/>
      <c r="T517" s="4"/>
      <c r="U517" s="4"/>
      <c r="V517" s="4"/>
      <c r="W517" s="4"/>
      <c r="X517" s="4"/>
      <c r="Y517" s="4"/>
      <c r="Z517" s="4"/>
    </row>
    <row r="518" ht="9.75" customHeight="1">
      <c r="A518" s="343"/>
      <c r="B518" s="344"/>
      <c r="C518" s="182"/>
      <c r="D518" s="406"/>
      <c r="E518" s="406"/>
      <c r="F518" s="407"/>
      <c r="G518" s="407"/>
      <c r="H518" s="4"/>
      <c r="I518" s="4"/>
      <c r="J518" s="4"/>
      <c r="K518" s="4"/>
      <c r="L518" s="4"/>
      <c r="M518" s="4"/>
      <c r="N518" s="4"/>
      <c r="O518" s="4"/>
      <c r="P518" s="4"/>
      <c r="Q518" s="4"/>
      <c r="R518" s="4"/>
      <c r="S518" s="4"/>
      <c r="T518" s="4"/>
      <c r="U518" s="4"/>
      <c r="V518" s="4"/>
      <c r="W518" s="4"/>
      <c r="X518" s="4"/>
      <c r="Y518" s="4"/>
      <c r="Z518" s="4"/>
    </row>
    <row r="519" ht="9.75" customHeight="1">
      <c r="A519" s="343"/>
      <c r="B519" s="344"/>
      <c r="C519" s="182"/>
      <c r="D519" s="406"/>
      <c r="E519" s="406"/>
      <c r="F519" s="407"/>
      <c r="G519" s="407"/>
      <c r="H519" s="4"/>
      <c r="I519" s="4"/>
      <c r="J519" s="4"/>
      <c r="K519" s="4"/>
      <c r="L519" s="4"/>
      <c r="M519" s="4"/>
      <c r="N519" s="4"/>
      <c r="O519" s="4"/>
      <c r="P519" s="4"/>
      <c r="Q519" s="4"/>
      <c r="R519" s="4"/>
      <c r="S519" s="4"/>
      <c r="T519" s="4"/>
      <c r="U519" s="4"/>
      <c r="V519" s="4"/>
      <c r="W519" s="4"/>
      <c r="X519" s="4"/>
      <c r="Y519" s="4"/>
      <c r="Z519" s="4"/>
    </row>
    <row r="520" ht="9.75" customHeight="1">
      <c r="A520" s="343"/>
      <c r="B520" s="344"/>
      <c r="C520" s="182"/>
      <c r="D520" s="406"/>
      <c r="E520" s="406"/>
      <c r="F520" s="407"/>
      <c r="G520" s="407"/>
      <c r="H520" s="4"/>
      <c r="I520" s="4"/>
      <c r="J520" s="4"/>
      <c r="K520" s="4"/>
      <c r="L520" s="4"/>
      <c r="M520" s="4"/>
      <c r="N520" s="4"/>
      <c r="O520" s="4"/>
      <c r="P520" s="4"/>
      <c r="Q520" s="4"/>
      <c r="R520" s="4"/>
      <c r="S520" s="4"/>
      <c r="T520" s="4"/>
      <c r="U520" s="4"/>
      <c r="V520" s="4"/>
      <c r="W520" s="4"/>
      <c r="X520" s="4"/>
      <c r="Y520" s="4"/>
      <c r="Z520" s="4"/>
    </row>
    <row r="521" ht="9.75" customHeight="1">
      <c r="A521" s="343"/>
      <c r="B521" s="344"/>
      <c r="C521" s="182"/>
      <c r="D521" s="406"/>
      <c r="E521" s="406"/>
      <c r="F521" s="407"/>
      <c r="G521" s="407"/>
      <c r="H521" s="4"/>
      <c r="I521" s="4"/>
      <c r="J521" s="4"/>
      <c r="K521" s="4"/>
      <c r="L521" s="4"/>
      <c r="M521" s="4"/>
      <c r="N521" s="4"/>
      <c r="O521" s="4"/>
      <c r="P521" s="4"/>
      <c r="Q521" s="4"/>
      <c r="R521" s="4"/>
      <c r="S521" s="4"/>
      <c r="T521" s="4"/>
      <c r="U521" s="4"/>
      <c r="V521" s="4"/>
      <c r="W521" s="4"/>
      <c r="X521" s="4"/>
      <c r="Y521" s="4"/>
      <c r="Z521" s="4"/>
    </row>
    <row r="522" ht="9.75" customHeight="1">
      <c r="A522" s="343"/>
      <c r="B522" s="344"/>
      <c r="C522" s="182"/>
      <c r="D522" s="406"/>
      <c r="E522" s="406"/>
      <c r="F522" s="407"/>
      <c r="G522" s="407"/>
      <c r="H522" s="4"/>
      <c r="I522" s="4"/>
      <c r="J522" s="4"/>
      <c r="K522" s="4"/>
      <c r="L522" s="4"/>
      <c r="M522" s="4"/>
      <c r="N522" s="4"/>
      <c r="O522" s="4"/>
      <c r="P522" s="4"/>
      <c r="Q522" s="4"/>
      <c r="R522" s="4"/>
      <c r="S522" s="4"/>
      <c r="T522" s="4"/>
      <c r="U522" s="4"/>
      <c r="V522" s="4"/>
      <c r="W522" s="4"/>
      <c r="X522" s="4"/>
      <c r="Y522" s="4"/>
      <c r="Z522" s="4"/>
    </row>
    <row r="523" ht="9.75" customHeight="1">
      <c r="A523" s="343"/>
      <c r="B523" s="344"/>
      <c r="C523" s="182"/>
      <c r="D523" s="406"/>
      <c r="E523" s="406"/>
      <c r="F523" s="407"/>
      <c r="G523" s="407"/>
      <c r="H523" s="4"/>
      <c r="I523" s="4"/>
      <c r="J523" s="4"/>
      <c r="K523" s="4"/>
      <c r="L523" s="4"/>
      <c r="M523" s="4"/>
      <c r="N523" s="4"/>
      <c r="O523" s="4"/>
      <c r="P523" s="4"/>
      <c r="Q523" s="4"/>
      <c r="R523" s="4"/>
      <c r="S523" s="4"/>
      <c r="T523" s="4"/>
      <c r="U523" s="4"/>
      <c r="V523" s="4"/>
      <c r="W523" s="4"/>
      <c r="X523" s="4"/>
      <c r="Y523" s="4"/>
      <c r="Z523" s="4"/>
    </row>
    <row r="524" ht="9.75" customHeight="1">
      <c r="A524" s="343"/>
      <c r="B524" s="344"/>
      <c r="C524" s="182"/>
      <c r="D524" s="406"/>
      <c r="E524" s="406"/>
      <c r="F524" s="407"/>
      <c r="G524" s="407"/>
      <c r="H524" s="4"/>
      <c r="I524" s="4"/>
      <c r="J524" s="4"/>
      <c r="K524" s="4"/>
      <c r="L524" s="4"/>
      <c r="M524" s="4"/>
      <c r="N524" s="4"/>
      <c r="O524" s="4"/>
      <c r="P524" s="4"/>
      <c r="Q524" s="4"/>
      <c r="R524" s="4"/>
      <c r="S524" s="4"/>
      <c r="T524" s="4"/>
      <c r="U524" s="4"/>
      <c r="V524" s="4"/>
      <c r="W524" s="4"/>
      <c r="X524" s="4"/>
      <c r="Y524" s="4"/>
      <c r="Z524" s="4"/>
    </row>
    <row r="525" ht="9.75" customHeight="1">
      <c r="A525" s="343"/>
      <c r="B525" s="344"/>
      <c r="C525" s="182"/>
      <c r="D525" s="406"/>
      <c r="E525" s="406"/>
      <c r="F525" s="407"/>
      <c r="G525" s="407"/>
      <c r="H525" s="4"/>
      <c r="I525" s="4"/>
      <c r="J525" s="4"/>
      <c r="K525" s="4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Y525" s="4"/>
      <c r="Z525" s="4"/>
    </row>
    <row r="526" ht="9.75" customHeight="1">
      <c r="A526" s="343"/>
      <c r="B526" s="344"/>
      <c r="C526" s="182"/>
      <c r="D526" s="406"/>
      <c r="E526" s="406"/>
      <c r="F526" s="407"/>
      <c r="G526" s="407"/>
      <c r="H526" s="4"/>
      <c r="I526" s="4"/>
      <c r="J526" s="4"/>
      <c r="K526" s="4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  <c r="Z526" s="4"/>
    </row>
    <row r="527" ht="9.75" customHeight="1">
      <c r="A527" s="343"/>
      <c r="B527" s="344"/>
      <c r="C527" s="182"/>
      <c r="D527" s="406"/>
      <c r="E527" s="406"/>
      <c r="F527" s="407"/>
      <c r="G527" s="407"/>
      <c r="H527" s="4"/>
      <c r="I527" s="4"/>
      <c r="J527" s="4"/>
      <c r="K527" s="4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  <c r="X527" s="4"/>
      <c r="Y527" s="4"/>
      <c r="Z527" s="4"/>
    </row>
    <row r="528" ht="9.75" customHeight="1">
      <c r="A528" s="343"/>
      <c r="B528" s="344"/>
      <c r="C528" s="182"/>
      <c r="D528" s="406"/>
      <c r="E528" s="406"/>
      <c r="F528" s="407"/>
      <c r="G528" s="407"/>
      <c r="H528" s="4"/>
      <c r="I528" s="4"/>
      <c r="J528" s="4"/>
      <c r="K528" s="4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  <c r="X528" s="4"/>
      <c r="Y528" s="4"/>
      <c r="Z528" s="4"/>
    </row>
    <row r="529" ht="9.75" customHeight="1">
      <c r="A529" s="343"/>
      <c r="B529" s="344"/>
      <c r="C529" s="182"/>
      <c r="D529" s="406"/>
      <c r="E529" s="406"/>
      <c r="F529" s="407"/>
      <c r="G529" s="407"/>
      <c r="H529" s="4"/>
      <c r="I529" s="4"/>
      <c r="J529" s="4"/>
      <c r="K529" s="4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  <c r="X529" s="4"/>
      <c r="Y529" s="4"/>
      <c r="Z529" s="4"/>
    </row>
    <row r="530" ht="9.75" customHeight="1">
      <c r="A530" s="343"/>
      <c r="B530" s="344"/>
      <c r="C530" s="182"/>
      <c r="D530" s="406"/>
      <c r="E530" s="406"/>
      <c r="F530" s="407"/>
      <c r="G530" s="407"/>
      <c r="H530" s="4"/>
      <c r="I530" s="4"/>
      <c r="J530" s="4"/>
      <c r="K530" s="4"/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  <c r="X530" s="4"/>
      <c r="Y530" s="4"/>
      <c r="Z530" s="4"/>
    </row>
    <row r="531" ht="9.75" customHeight="1">
      <c r="A531" s="343"/>
      <c r="B531" s="344"/>
      <c r="C531" s="182"/>
      <c r="D531" s="406"/>
      <c r="E531" s="406"/>
      <c r="F531" s="407"/>
      <c r="G531" s="407"/>
      <c r="H531" s="4"/>
      <c r="I531" s="4"/>
      <c r="J531" s="4"/>
      <c r="K531" s="4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  <c r="X531" s="4"/>
      <c r="Y531" s="4"/>
      <c r="Z531" s="4"/>
    </row>
    <row r="532" ht="9.75" customHeight="1">
      <c r="A532" s="343"/>
      <c r="B532" s="344"/>
      <c r="C532" s="182"/>
      <c r="D532" s="406"/>
      <c r="E532" s="406"/>
      <c r="F532" s="407"/>
      <c r="G532" s="407"/>
      <c r="H532" s="4"/>
      <c r="I532" s="4"/>
      <c r="J532" s="4"/>
      <c r="K532" s="4"/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4"/>
      <c r="X532" s="4"/>
      <c r="Y532" s="4"/>
      <c r="Z532" s="4"/>
    </row>
    <row r="533" ht="9.75" customHeight="1">
      <c r="A533" s="343"/>
      <c r="B533" s="344"/>
      <c r="C533" s="182"/>
      <c r="D533" s="406"/>
      <c r="E533" s="406"/>
      <c r="F533" s="407"/>
      <c r="G533" s="407"/>
      <c r="H533" s="4"/>
      <c r="I533" s="4"/>
      <c r="J533" s="4"/>
      <c r="K533" s="4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  <c r="X533" s="4"/>
      <c r="Y533" s="4"/>
      <c r="Z533" s="4"/>
    </row>
    <row r="534" ht="9.75" customHeight="1">
      <c r="A534" s="343"/>
      <c r="B534" s="344"/>
      <c r="C534" s="182"/>
      <c r="D534" s="406"/>
      <c r="E534" s="406"/>
      <c r="F534" s="407"/>
      <c r="G534" s="407"/>
      <c r="H534" s="4"/>
      <c r="I534" s="4"/>
      <c r="J534" s="4"/>
      <c r="K534" s="4"/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  <c r="X534" s="4"/>
      <c r="Y534" s="4"/>
      <c r="Z534" s="4"/>
    </row>
    <row r="535" ht="9.75" customHeight="1">
      <c r="A535" s="343"/>
      <c r="B535" s="344"/>
      <c r="C535" s="182"/>
      <c r="D535" s="406"/>
      <c r="E535" s="406"/>
      <c r="F535" s="407"/>
      <c r="G535" s="407"/>
      <c r="H535" s="4"/>
      <c r="I535" s="4"/>
      <c r="J535" s="4"/>
      <c r="K535" s="4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  <c r="X535" s="4"/>
      <c r="Y535" s="4"/>
      <c r="Z535" s="4"/>
    </row>
    <row r="536" ht="9.75" customHeight="1">
      <c r="A536" s="343"/>
      <c r="B536" s="344"/>
      <c r="C536" s="182"/>
      <c r="D536" s="406"/>
      <c r="E536" s="406"/>
      <c r="F536" s="407"/>
      <c r="G536" s="407"/>
      <c r="H536" s="4"/>
      <c r="I536" s="4"/>
      <c r="J536" s="4"/>
      <c r="K536" s="4"/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  <c r="X536" s="4"/>
      <c r="Y536" s="4"/>
      <c r="Z536" s="4"/>
    </row>
    <row r="537" ht="9.75" customHeight="1">
      <c r="A537" s="343"/>
      <c r="B537" s="344"/>
      <c r="C537" s="182"/>
      <c r="D537" s="406"/>
      <c r="E537" s="406"/>
      <c r="F537" s="407"/>
      <c r="G537" s="407"/>
      <c r="H537" s="4"/>
      <c r="I537" s="4"/>
      <c r="J537" s="4"/>
      <c r="K537" s="4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  <c r="X537" s="4"/>
      <c r="Y537" s="4"/>
      <c r="Z537" s="4"/>
    </row>
    <row r="538" ht="9.75" customHeight="1">
      <c r="A538" s="343"/>
      <c r="B538" s="344"/>
      <c r="C538" s="182"/>
      <c r="D538" s="406"/>
      <c r="E538" s="406"/>
      <c r="F538" s="407"/>
      <c r="G538" s="407"/>
      <c r="H538" s="4"/>
      <c r="I538" s="4"/>
      <c r="J538" s="4"/>
      <c r="K538" s="4"/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4"/>
      <c r="Y538" s="4"/>
      <c r="Z538" s="4"/>
    </row>
    <row r="539" ht="9.75" customHeight="1">
      <c r="A539" s="343"/>
      <c r="B539" s="344"/>
      <c r="C539" s="182"/>
      <c r="D539" s="406"/>
      <c r="E539" s="406"/>
      <c r="F539" s="407"/>
      <c r="G539" s="407"/>
      <c r="H539" s="4"/>
      <c r="I539" s="4"/>
      <c r="J539" s="4"/>
      <c r="K539" s="4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  <c r="X539" s="4"/>
      <c r="Y539" s="4"/>
      <c r="Z539" s="4"/>
    </row>
    <row r="540" ht="9.75" customHeight="1">
      <c r="A540" s="343"/>
      <c r="B540" s="344"/>
      <c r="C540" s="182"/>
      <c r="D540" s="406"/>
      <c r="E540" s="406"/>
      <c r="F540" s="407"/>
      <c r="G540" s="407"/>
      <c r="H540" s="4"/>
      <c r="I540" s="4"/>
      <c r="J540" s="4"/>
      <c r="K540" s="4"/>
      <c r="L540" s="4"/>
      <c r="M540" s="4"/>
      <c r="N540" s="4"/>
      <c r="O540" s="4"/>
      <c r="P540" s="4"/>
      <c r="Q540" s="4"/>
      <c r="R540" s="4"/>
      <c r="S540" s="4"/>
      <c r="T540" s="4"/>
      <c r="U540" s="4"/>
      <c r="V540" s="4"/>
      <c r="W540" s="4"/>
      <c r="X540" s="4"/>
      <c r="Y540" s="4"/>
      <c r="Z540" s="4"/>
    </row>
    <row r="541" ht="9.75" customHeight="1">
      <c r="A541" s="343"/>
      <c r="B541" s="344"/>
      <c r="C541" s="182"/>
      <c r="D541" s="406"/>
      <c r="E541" s="406"/>
      <c r="F541" s="407"/>
      <c r="G541" s="407"/>
      <c r="H541" s="4"/>
      <c r="I541" s="4"/>
      <c r="J541" s="4"/>
      <c r="K541" s="4"/>
      <c r="L541" s="4"/>
      <c r="M541" s="4"/>
      <c r="N541" s="4"/>
      <c r="O541" s="4"/>
      <c r="P541" s="4"/>
      <c r="Q541" s="4"/>
      <c r="R541" s="4"/>
      <c r="S541" s="4"/>
      <c r="T541" s="4"/>
      <c r="U541" s="4"/>
      <c r="V541" s="4"/>
      <c r="W541" s="4"/>
      <c r="X541" s="4"/>
      <c r="Y541" s="4"/>
      <c r="Z541" s="4"/>
    </row>
    <row r="542" ht="9.75" customHeight="1">
      <c r="A542" s="343"/>
      <c r="B542" s="344"/>
      <c r="C542" s="182"/>
      <c r="D542" s="406"/>
      <c r="E542" s="406"/>
      <c r="F542" s="407"/>
      <c r="G542" s="407"/>
      <c r="H542" s="4"/>
      <c r="I542" s="4"/>
      <c r="J542" s="4"/>
      <c r="K542" s="4"/>
      <c r="L542" s="4"/>
      <c r="M542" s="4"/>
      <c r="N542" s="4"/>
      <c r="O542" s="4"/>
      <c r="P542" s="4"/>
      <c r="Q542" s="4"/>
      <c r="R542" s="4"/>
      <c r="S542" s="4"/>
      <c r="T542" s="4"/>
      <c r="U542" s="4"/>
      <c r="V542" s="4"/>
      <c r="W542" s="4"/>
      <c r="X542" s="4"/>
      <c r="Y542" s="4"/>
      <c r="Z542" s="4"/>
    </row>
    <row r="543" ht="9.75" customHeight="1">
      <c r="A543" s="343"/>
      <c r="B543" s="344"/>
      <c r="C543" s="182"/>
      <c r="D543" s="406"/>
      <c r="E543" s="406"/>
      <c r="F543" s="407"/>
      <c r="G543" s="407"/>
      <c r="H543" s="4"/>
      <c r="I543" s="4"/>
      <c r="J543" s="4"/>
      <c r="K543" s="4"/>
      <c r="L543" s="4"/>
      <c r="M543" s="4"/>
      <c r="N543" s="4"/>
      <c r="O543" s="4"/>
      <c r="P543" s="4"/>
      <c r="Q543" s="4"/>
      <c r="R543" s="4"/>
      <c r="S543" s="4"/>
      <c r="T543" s="4"/>
      <c r="U543" s="4"/>
      <c r="V543" s="4"/>
      <c r="W543" s="4"/>
      <c r="X543" s="4"/>
      <c r="Y543" s="4"/>
      <c r="Z543" s="4"/>
    </row>
    <row r="544" ht="9.75" customHeight="1">
      <c r="A544" s="343"/>
      <c r="B544" s="344"/>
      <c r="C544" s="182"/>
      <c r="D544" s="406"/>
      <c r="E544" s="406"/>
      <c r="F544" s="407"/>
      <c r="G544" s="407"/>
      <c r="H544" s="4"/>
      <c r="I544" s="4"/>
      <c r="J544" s="4"/>
      <c r="K544" s="4"/>
      <c r="L544" s="4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4"/>
      <c r="X544" s="4"/>
      <c r="Y544" s="4"/>
      <c r="Z544" s="4"/>
    </row>
    <row r="545" ht="9.75" customHeight="1">
      <c r="A545" s="343"/>
      <c r="B545" s="344"/>
      <c r="C545" s="182"/>
      <c r="D545" s="406"/>
      <c r="E545" s="406"/>
      <c r="F545" s="407"/>
      <c r="G545" s="407"/>
      <c r="H545" s="4"/>
      <c r="I545" s="4"/>
      <c r="J545" s="4"/>
      <c r="K545" s="4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  <c r="X545" s="4"/>
      <c r="Y545" s="4"/>
      <c r="Z545" s="4"/>
    </row>
    <row r="546" ht="9.75" customHeight="1">
      <c r="A546" s="343"/>
      <c r="B546" s="344"/>
      <c r="C546" s="182"/>
      <c r="D546" s="406"/>
      <c r="E546" s="406"/>
      <c r="F546" s="407"/>
      <c r="G546" s="407"/>
      <c r="H546" s="4"/>
      <c r="I546" s="4"/>
      <c r="J546" s="4"/>
      <c r="K546" s="4"/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  <c r="X546" s="4"/>
      <c r="Y546" s="4"/>
      <c r="Z546" s="4"/>
    </row>
    <row r="547" ht="9.75" customHeight="1">
      <c r="A547" s="343"/>
      <c r="B547" s="344"/>
      <c r="C547" s="182"/>
      <c r="D547" s="406"/>
      <c r="E547" s="406"/>
      <c r="F547" s="407"/>
      <c r="G547" s="407"/>
      <c r="H547" s="4"/>
      <c r="I547" s="4"/>
      <c r="J547" s="4"/>
      <c r="K547" s="4"/>
      <c r="L547" s="4"/>
      <c r="M547" s="4"/>
      <c r="N547" s="4"/>
      <c r="O547" s="4"/>
      <c r="P547" s="4"/>
      <c r="Q547" s="4"/>
      <c r="R547" s="4"/>
      <c r="S547" s="4"/>
      <c r="T547" s="4"/>
      <c r="U547" s="4"/>
      <c r="V547" s="4"/>
      <c r="W547" s="4"/>
      <c r="X547" s="4"/>
      <c r="Y547" s="4"/>
      <c r="Z547" s="4"/>
    </row>
    <row r="548" ht="9.75" customHeight="1">
      <c r="A548" s="343"/>
      <c r="B548" s="344"/>
      <c r="C548" s="182"/>
      <c r="D548" s="406"/>
      <c r="E548" s="406"/>
      <c r="F548" s="407"/>
      <c r="G548" s="407"/>
      <c r="H548" s="4"/>
      <c r="I548" s="4"/>
      <c r="J548" s="4"/>
      <c r="K548" s="4"/>
      <c r="L548" s="4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4"/>
      <c r="X548" s="4"/>
      <c r="Y548" s="4"/>
      <c r="Z548" s="4"/>
    </row>
    <row r="549" ht="9.75" customHeight="1">
      <c r="A549" s="343"/>
      <c r="B549" s="344"/>
      <c r="C549" s="182"/>
      <c r="D549" s="406"/>
      <c r="E549" s="406"/>
      <c r="F549" s="407"/>
      <c r="G549" s="407"/>
      <c r="H549" s="4"/>
      <c r="I549" s="4"/>
      <c r="J549" s="4"/>
      <c r="K549" s="4"/>
      <c r="L549" s="4"/>
      <c r="M549" s="4"/>
      <c r="N549" s="4"/>
      <c r="O549" s="4"/>
      <c r="P549" s="4"/>
      <c r="Q549" s="4"/>
      <c r="R549" s="4"/>
      <c r="S549" s="4"/>
      <c r="T549" s="4"/>
      <c r="U549" s="4"/>
      <c r="V549" s="4"/>
      <c r="W549" s="4"/>
      <c r="X549" s="4"/>
      <c r="Y549" s="4"/>
      <c r="Z549" s="4"/>
    </row>
    <row r="550" ht="9.75" customHeight="1">
      <c r="A550" s="343"/>
      <c r="B550" s="344"/>
      <c r="C550" s="182"/>
      <c r="D550" s="406"/>
      <c r="E550" s="406"/>
      <c r="F550" s="407"/>
      <c r="G550" s="407"/>
      <c r="H550" s="4"/>
      <c r="I550" s="4"/>
      <c r="J550" s="4"/>
      <c r="K550" s="4"/>
      <c r="L550" s="4"/>
      <c r="M550" s="4"/>
      <c r="N550" s="4"/>
      <c r="O550" s="4"/>
      <c r="P550" s="4"/>
      <c r="Q550" s="4"/>
      <c r="R550" s="4"/>
      <c r="S550" s="4"/>
      <c r="T550" s="4"/>
      <c r="U550" s="4"/>
      <c r="V550" s="4"/>
      <c r="W550" s="4"/>
      <c r="X550" s="4"/>
      <c r="Y550" s="4"/>
      <c r="Z550" s="4"/>
    </row>
    <row r="551" ht="9.75" customHeight="1">
      <c r="A551" s="343"/>
      <c r="B551" s="344"/>
      <c r="C551" s="182"/>
      <c r="D551" s="406"/>
      <c r="E551" s="406"/>
      <c r="F551" s="407"/>
      <c r="G551" s="407"/>
      <c r="H551" s="4"/>
      <c r="I551" s="4"/>
      <c r="J551" s="4"/>
      <c r="K551" s="4"/>
      <c r="L551" s="4"/>
      <c r="M551" s="4"/>
      <c r="N551" s="4"/>
      <c r="O551" s="4"/>
      <c r="P551" s="4"/>
      <c r="Q551" s="4"/>
      <c r="R551" s="4"/>
      <c r="S551" s="4"/>
      <c r="T551" s="4"/>
      <c r="U551" s="4"/>
      <c r="V551" s="4"/>
      <c r="W551" s="4"/>
      <c r="X551" s="4"/>
      <c r="Y551" s="4"/>
      <c r="Z551" s="4"/>
    </row>
    <row r="552" ht="9.75" customHeight="1">
      <c r="A552" s="343"/>
      <c r="B552" s="344"/>
      <c r="C552" s="182"/>
      <c r="D552" s="406"/>
      <c r="E552" s="406"/>
      <c r="F552" s="407"/>
      <c r="G552" s="407"/>
      <c r="H552" s="4"/>
      <c r="I552" s="4"/>
      <c r="J552" s="4"/>
      <c r="K552" s="4"/>
      <c r="L552" s="4"/>
      <c r="M552" s="4"/>
      <c r="N552" s="4"/>
      <c r="O552" s="4"/>
      <c r="P552" s="4"/>
      <c r="Q552" s="4"/>
      <c r="R552" s="4"/>
      <c r="S552" s="4"/>
      <c r="T552" s="4"/>
      <c r="U552" s="4"/>
      <c r="V552" s="4"/>
      <c r="W552" s="4"/>
      <c r="X552" s="4"/>
      <c r="Y552" s="4"/>
      <c r="Z552" s="4"/>
    </row>
    <row r="553" ht="9.75" customHeight="1">
      <c r="A553" s="343"/>
      <c r="B553" s="344"/>
      <c r="C553" s="182"/>
      <c r="D553" s="406"/>
      <c r="E553" s="406"/>
      <c r="F553" s="407"/>
      <c r="G553" s="407"/>
      <c r="H553" s="4"/>
      <c r="I553" s="4"/>
      <c r="J553" s="4"/>
      <c r="K553" s="4"/>
      <c r="L553" s="4"/>
      <c r="M553" s="4"/>
      <c r="N553" s="4"/>
      <c r="O553" s="4"/>
      <c r="P553" s="4"/>
      <c r="Q553" s="4"/>
      <c r="R553" s="4"/>
      <c r="S553" s="4"/>
      <c r="T553" s="4"/>
      <c r="U553" s="4"/>
      <c r="V553" s="4"/>
      <c r="W553" s="4"/>
      <c r="X553" s="4"/>
      <c r="Y553" s="4"/>
      <c r="Z553" s="4"/>
    </row>
    <row r="554" ht="9.75" customHeight="1">
      <c r="A554" s="343"/>
      <c r="B554" s="344"/>
      <c r="C554" s="182"/>
      <c r="D554" s="406"/>
      <c r="E554" s="406"/>
      <c r="F554" s="407"/>
      <c r="G554" s="407"/>
      <c r="H554" s="4"/>
      <c r="I554" s="4"/>
      <c r="J554" s="4"/>
      <c r="K554" s="4"/>
      <c r="L554" s="4"/>
      <c r="M554" s="4"/>
      <c r="N554" s="4"/>
      <c r="O554" s="4"/>
      <c r="P554" s="4"/>
      <c r="Q554" s="4"/>
      <c r="R554" s="4"/>
      <c r="S554" s="4"/>
      <c r="T554" s="4"/>
      <c r="U554" s="4"/>
      <c r="V554" s="4"/>
      <c r="W554" s="4"/>
      <c r="X554" s="4"/>
      <c r="Y554" s="4"/>
      <c r="Z554" s="4"/>
    </row>
    <row r="555" ht="9.75" customHeight="1">
      <c r="A555" s="343"/>
      <c r="B555" s="344"/>
      <c r="C555" s="182"/>
      <c r="D555" s="406"/>
      <c r="E555" s="406"/>
      <c r="F555" s="407"/>
      <c r="G555" s="407"/>
      <c r="H555" s="4"/>
      <c r="I555" s="4"/>
      <c r="J555" s="4"/>
      <c r="K555" s="4"/>
      <c r="L555" s="4"/>
      <c r="M555" s="4"/>
      <c r="N555" s="4"/>
      <c r="O555" s="4"/>
      <c r="P555" s="4"/>
      <c r="Q555" s="4"/>
      <c r="R555" s="4"/>
      <c r="S555" s="4"/>
      <c r="T555" s="4"/>
      <c r="U555" s="4"/>
      <c r="V555" s="4"/>
      <c r="W555" s="4"/>
      <c r="X555" s="4"/>
      <c r="Y555" s="4"/>
      <c r="Z555" s="4"/>
    </row>
    <row r="556" ht="9.75" customHeight="1">
      <c r="A556" s="343"/>
      <c r="B556" s="344"/>
      <c r="C556" s="182"/>
      <c r="D556" s="406"/>
      <c r="E556" s="406"/>
      <c r="F556" s="407"/>
      <c r="G556" s="407"/>
      <c r="H556" s="4"/>
      <c r="I556" s="4"/>
      <c r="J556" s="4"/>
      <c r="K556" s="4"/>
      <c r="L556" s="4"/>
      <c r="M556" s="4"/>
      <c r="N556" s="4"/>
      <c r="O556" s="4"/>
      <c r="P556" s="4"/>
      <c r="Q556" s="4"/>
      <c r="R556" s="4"/>
      <c r="S556" s="4"/>
      <c r="T556" s="4"/>
      <c r="U556" s="4"/>
      <c r="V556" s="4"/>
      <c r="W556" s="4"/>
      <c r="X556" s="4"/>
      <c r="Y556" s="4"/>
      <c r="Z556" s="4"/>
    </row>
    <row r="557" ht="9.75" customHeight="1">
      <c r="A557" s="343"/>
      <c r="B557" s="344"/>
      <c r="C557" s="182"/>
      <c r="D557" s="406"/>
      <c r="E557" s="406"/>
      <c r="F557" s="407"/>
      <c r="G557" s="407"/>
      <c r="H557" s="4"/>
      <c r="I557" s="4"/>
      <c r="J557" s="4"/>
      <c r="K557" s="4"/>
      <c r="L557" s="4"/>
      <c r="M557" s="4"/>
      <c r="N557" s="4"/>
      <c r="O557" s="4"/>
      <c r="P557" s="4"/>
      <c r="Q557" s="4"/>
      <c r="R557" s="4"/>
      <c r="S557" s="4"/>
      <c r="T557" s="4"/>
      <c r="U557" s="4"/>
      <c r="V557" s="4"/>
      <c r="W557" s="4"/>
      <c r="X557" s="4"/>
      <c r="Y557" s="4"/>
      <c r="Z557" s="4"/>
    </row>
    <row r="558" ht="9.75" customHeight="1">
      <c r="A558" s="343"/>
      <c r="B558" s="344"/>
      <c r="C558" s="182"/>
      <c r="D558" s="406"/>
      <c r="E558" s="406"/>
      <c r="F558" s="407"/>
      <c r="G558" s="407"/>
      <c r="H558" s="4"/>
      <c r="I558" s="4"/>
      <c r="J558" s="4"/>
      <c r="K558" s="4"/>
      <c r="L558" s="4"/>
      <c r="M558" s="4"/>
      <c r="N558" s="4"/>
      <c r="O558" s="4"/>
      <c r="P558" s="4"/>
      <c r="Q558" s="4"/>
      <c r="R558" s="4"/>
      <c r="S558" s="4"/>
      <c r="T558" s="4"/>
      <c r="U558" s="4"/>
      <c r="V558" s="4"/>
      <c r="W558" s="4"/>
      <c r="X558" s="4"/>
      <c r="Y558" s="4"/>
      <c r="Z558" s="4"/>
    </row>
    <row r="559" ht="9.75" customHeight="1">
      <c r="A559" s="343"/>
      <c r="B559" s="344"/>
      <c r="C559" s="182"/>
      <c r="D559" s="406"/>
      <c r="E559" s="406"/>
      <c r="F559" s="407"/>
      <c r="G559" s="407"/>
      <c r="H559" s="4"/>
      <c r="I559" s="4"/>
      <c r="J559" s="4"/>
      <c r="K559" s="4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4"/>
      <c r="Y559" s="4"/>
      <c r="Z559" s="4"/>
    </row>
    <row r="560" ht="9.75" customHeight="1">
      <c r="A560" s="343"/>
      <c r="B560" s="344"/>
      <c r="C560" s="182"/>
      <c r="D560" s="406"/>
      <c r="E560" s="406"/>
      <c r="F560" s="407"/>
      <c r="G560" s="407"/>
      <c r="H560" s="4"/>
      <c r="I560" s="4"/>
      <c r="J560" s="4"/>
      <c r="K560" s="4"/>
      <c r="L560" s="4"/>
      <c r="M560" s="4"/>
      <c r="N560" s="4"/>
      <c r="O560" s="4"/>
      <c r="P560" s="4"/>
      <c r="Q560" s="4"/>
      <c r="R560" s="4"/>
      <c r="S560" s="4"/>
      <c r="T560" s="4"/>
      <c r="U560" s="4"/>
      <c r="V560" s="4"/>
      <c r="W560" s="4"/>
      <c r="X560" s="4"/>
      <c r="Y560" s="4"/>
      <c r="Z560" s="4"/>
    </row>
    <row r="561" ht="9.75" customHeight="1">
      <c r="A561" s="343"/>
      <c r="B561" s="344"/>
      <c r="C561" s="182"/>
      <c r="D561" s="406"/>
      <c r="E561" s="406"/>
      <c r="F561" s="407"/>
      <c r="G561" s="407"/>
      <c r="H561" s="4"/>
      <c r="I561" s="4"/>
      <c r="J561" s="4"/>
      <c r="K561" s="4"/>
      <c r="L561" s="4"/>
      <c r="M561" s="4"/>
      <c r="N561" s="4"/>
      <c r="O561" s="4"/>
      <c r="P561" s="4"/>
      <c r="Q561" s="4"/>
      <c r="R561" s="4"/>
      <c r="S561" s="4"/>
      <c r="T561" s="4"/>
      <c r="U561" s="4"/>
      <c r="V561" s="4"/>
      <c r="W561" s="4"/>
      <c r="X561" s="4"/>
      <c r="Y561" s="4"/>
      <c r="Z561" s="4"/>
    </row>
    <row r="562" ht="9.75" customHeight="1">
      <c r="A562" s="343"/>
      <c r="B562" s="344"/>
      <c r="C562" s="182"/>
      <c r="D562" s="406"/>
      <c r="E562" s="406"/>
      <c r="F562" s="407"/>
      <c r="G562" s="407"/>
      <c r="H562" s="4"/>
      <c r="I562" s="4"/>
      <c r="J562" s="4"/>
      <c r="K562" s="4"/>
      <c r="L562" s="4"/>
      <c r="M562" s="4"/>
      <c r="N562" s="4"/>
      <c r="O562" s="4"/>
      <c r="P562" s="4"/>
      <c r="Q562" s="4"/>
      <c r="R562" s="4"/>
      <c r="S562" s="4"/>
      <c r="T562" s="4"/>
      <c r="U562" s="4"/>
      <c r="V562" s="4"/>
      <c r="W562" s="4"/>
      <c r="X562" s="4"/>
      <c r="Y562" s="4"/>
      <c r="Z562" s="4"/>
    </row>
    <row r="563" ht="9.75" customHeight="1">
      <c r="A563" s="343"/>
      <c r="B563" s="344"/>
      <c r="C563" s="182"/>
      <c r="D563" s="406"/>
      <c r="E563" s="406"/>
      <c r="F563" s="407"/>
      <c r="G563" s="407"/>
      <c r="H563" s="4"/>
      <c r="I563" s="4"/>
      <c r="J563" s="4"/>
      <c r="K563" s="4"/>
      <c r="L563" s="4"/>
      <c r="M563" s="4"/>
      <c r="N563" s="4"/>
      <c r="O563" s="4"/>
      <c r="P563" s="4"/>
      <c r="Q563" s="4"/>
      <c r="R563" s="4"/>
      <c r="S563" s="4"/>
      <c r="T563" s="4"/>
      <c r="U563" s="4"/>
      <c r="V563" s="4"/>
      <c r="W563" s="4"/>
      <c r="X563" s="4"/>
      <c r="Y563" s="4"/>
      <c r="Z563" s="4"/>
    </row>
    <row r="564" ht="9.75" customHeight="1">
      <c r="A564" s="343"/>
      <c r="B564" s="344"/>
      <c r="C564" s="182"/>
      <c r="D564" s="406"/>
      <c r="E564" s="406"/>
      <c r="F564" s="407"/>
      <c r="G564" s="407"/>
      <c r="H564" s="4"/>
      <c r="I564" s="4"/>
      <c r="J564" s="4"/>
      <c r="K564" s="4"/>
      <c r="L564" s="4"/>
      <c r="M564" s="4"/>
      <c r="N564" s="4"/>
      <c r="O564" s="4"/>
      <c r="P564" s="4"/>
      <c r="Q564" s="4"/>
      <c r="R564" s="4"/>
      <c r="S564" s="4"/>
      <c r="T564" s="4"/>
      <c r="U564" s="4"/>
      <c r="V564" s="4"/>
      <c r="W564" s="4"/>
      <c r="X564" s="4"/>
      <c r="Y564" s="4"/>
      <c r="Z564" s="4"/>
    </row>
    <row r="565" ht="9.75" customHeight="1">
      <c r="A565" s="343"/>
      <c r="B565" s="344"/>
      <c r="C565" s="182"/>
      <c r="D565" s="406"/>
      <c r="E565" s="406"/>
      <c r="F565" s="407"/>
      <c r="G565" s="407"/>
      <c r="H565" s="4"/>
      <c r="I565" s="4"/>
      <c r="J565" s="4"/>
      <c r="K565" s="4"/>
      <c r="L565" s="4"/>
      <c r="M565" s="4"/>
      <c r="N565" s="4"/>
      <c r="O565" s="4"/>
      <c r="P565" s="4"/>
      <c r="Q565" s="4"/>
      <c r="R565" s="4"/>
      <c r="S565" s="4"/>
      <c r="T565" s="4"/>
      <c r="U565" s="4"/>
      <c r="V565" s="4"/>
      <c r="W565" s="4"/>
      <c r="X565" s="4"/>
      <c r="Y565" s="4"/>
      <c r="Z565" s="4"/>
    </row>
    <row r="566" ht="9.75" customHeight="1">
      <c r="A566" s="343"/>
      <c r="B566" s="344"/>
      <c r="C566" s="182"/>
      <c r="D566" s="406"/>
      <c r="E566" s="406"/>
      <c r="F566" s="407"/>
      <c r="G566" s="407"/>
      <c r="H566" s="4"/>
      <c r="I566" s="4"/>
      <c r="J566" s="4"/>
      <c r="K566" s="4"/>
      <c r="L566" s="4"/>
      <c r="M566" s="4"/>
      <c r="N566" s="4"/>
      <c r="O566" s="4"/>
      <c r="P566" s="4"/>
      <c r="Q566" s="4"/>
      <c r="R566" s="4"/>
      <c r="S566" s="4"/>
      <c r="T566" s="4"/>
      <c r="U566" s="4"/>
      <c r="V566" s="4"/>
      <c r="W566" s="4"/>
      <c r="X566" s="4"/>
      <c r="Y566" s="4"/>
      <c r="Z566" s="4"/>
    </row>
    <row r="567" ht="9.75" customHeight="1">
      <c r="A567" s="343"/>
      <c r="B567" s="344"/>
      <c r="C567" s="182"/>
      <c r="D567" s="406"/>
      <c r="E567" s="406"/>
      <c r="F567" s="407"/>
      <c r="G567" s="407"/>
      <c r="H567" s="4"/>
      <c r="I567" s="4"/>
      <c r="J567" s="4"/>
      <c r="K567" s="4"/>
      <c r="L567" s="4"/>
      <c r="M567" s="4"/>
      <c r="N567" s="4"/>
      <c r="O567" s="4"/>
      <c r="P567" s="4"/>
      <c r="Q567" s="4"/>
      <c r="R567" s="4"/>
      <c r="S567" s="4"/>
      <c r="T567" s="4"/>
      <c r="U567" s="4"/>
      <c r="V567" s="4"/>
      <c r="W567" s="4"/>
      <c r="X567" s="4"/>
      <c r="Y567" s="4"/>
      <c r="Z567" s="4"/>
    </row>
    <row r="568" ht="9.75" customHeight="1">
      <c r="A568" s="343"/>
      <c r="B568" s="344"/>
      <c r="C568" s="182"/>
      <c r="D568" s="406"/>
      <c r="E568" s="406"/>
      <c r="F568" s="407"/>
      <c r="G568" s="407"/>
      <c r="H568" s="4"/>
      <c r="I568" s="4"/>
      <c r="J568" s="4"/>
      <c r="K568" s="4"/>
      <c r="L568" s="4"/>
      <c r="M568" s="4"/>
      <c r="N568" s="4"/>
      <c r="O568" s="4"/>
      <c r="P568" s="4"/>
      <c r="Q568" s="4"/>
      <c r="R568" s="4"/>
      <c r="S568" s="4"/>
      <c r="T568" s="4"/>
      <c r="U568" s="4"/>
      <c r="V568" s="4"/>
      <c r="W568" s="4"/>
      <c r="X568" s="4"/>
      <c r="Y568" s="4"/>
      <c r="Z568" s="4"/>
    </row>
    <row r="569" ht="9.75" customHeight="1">
      <c r="A569" s="343"/>
      <c r="B569" s="344"/>
      <c r="C569" s="182"/>
      <c r="D569" s="406"/>
      <c r="E569" s="406"/>
      <c r="F569" s="407"/>
      <c r="G569" s="407"/>
      <c r="H569" s="4"/>
      <c r="I569" s="4"/>
      <c r="J569" s="4"/>
      <c r="K569" s="4"/>
      <c r="L569" s="4"/>
      <c r="M569" s="4"/>
      <c r="N569" s="4"/>
      <c r="O569" s="4"/>
      <c r="P569" s="4"/>
      <c r="Q569" s="4"/>
      <c r="R569" s="4"/>
      <c r="S569" s="4"/>
      <c r="T569" s="4"/>
      <c r="U569" s="4"/>
      <c r="V569" s="4"/>
      <c r="W569" s="4"/>
      <c r="X569" s="4"/>
      <c r="Y569" s="4"/>
      <c r="Z569" s="4"/>
    </row>
    <row r="570" ht="9.75" customHeight="1">
      <c r="A570" s="343"/>
      <c r="B570" s="344"/>
      <c r="C570" s="182"/>
      <c r="D570" s="406"/>
      <c r="E570" s="406"/>
      <c r="F570" s="407"/>
      <c r="G570" s="407"/>
      <c r="H570" s="4"/>
      <c r="I570" s="4"/>
      <c r="J570" s="4"/>
      <c r="K570" s="4"/>
      <c r="L570" s="4"/>
      <c r="M570" s="4"/>
      <c r="N570" s="4"/>
      <c r="O570" s="4"/>
      <c r="P570" s="4"/>
      <c r="Q570" s="4"/>
      <c r="R570" s="4"/>
      <c r="S570" s="4"/>
      <c r="T570" s="4"/>
      <c r="U570" s="4"/>
      <c r="V570" s="4"/>
      <c r="W570" s="4"/>
      <c r="X570" s="4"/>
      <c r="Y570" s="4"/>
      <c r="Z570" s="4"/>
    </row>
    <row r="571" ht="9.75" customHeight="1">
      <c r="A571" s="343"/>
      <c r="B571" s="344"/>
      <c r="C571" s="182"/>
      <c r="D571" s="406"/>
      <c r="E571" s="406"/>
      <c r="F571" s="407"/>
      <c r="G571" s="407"/>
      <c r="H571" s="4"/>
      <c r="I571" s="4"/>
      <c r="J571" s="4"/>
      <c r="K571" s="4"/>
      <c r="L571" s="4"/>
      <c r="M571" s="4"/>
      <c r="N571" s="4"/>
      <c r="O571" s="4"/>
      <c r="P571" s="4"/>
      <c r="Q571" s="4"/>
      <c r="R571" s="4"/>
      <c r="S571" s="4"/>
      <c r="T571" s="4"/>
      <c r="U571" s="4"/>
      <c r="V571" s="4"/>
      <c r="W571" s="4"/>
      <c r="X571" s="4"/>
      <c r="Y571" s="4"/>
      <c r="Z571" s="4"/>
    </row>
    <row r="572" ht="9.75" customHeight="1">
      <c r="A572" s="343"/>
      <c r="B572" s="344"/>
      <c r="C572" s="182"/>
      <c r="D572" s="406"/>
      <c r="E572" s="406"/>
      <c r="F572" s="407"/>
      <c r="G572" s="407"/>
      <c r="H572" s="4"/>
      <c r="I572" s="4"/>
      <c r="J572" s="4"/>
      <c r="K572" s="4"/>
      <c r="L572" s="4"/>
      <c r="M572" s="4"/>
      <c r="N572" s="4"/>
      <c r="O572" s="4"/>
      <c r="P572" s="4"/>
      <c r="Q572" s="4"/>
      <c r="R572" s="4"/>
      <c r="S572" s="4"/>
      <c r="T572" s="4"/>
      <c r="U572" s="4"/>
      <c r="V572" s="4"/>
      <c r="W572" s="4"/>
      <c r="X572" s="4"/>
      <c r="Y572" s="4"/>
      <c r="Z572" s="4"/>
    </row>
    <row r="573" ht="9.75" customHeight="1">
      <c r="A573" s="343"/>
      <c r="B573" s="344"/>
      <c r="C573" s="182"/>
      <c r="D573" s="406"/>
      <c r="E573" s="406"/>
      <c r="F573" s="407"/>
      <c r="G573" s="407"/>
      <c r="H573" s="4"/>
      <c r="I573" s="4"/>
      <c r="J573" s="4"/>
      <c r="K573" s="4"/>
      <c r="L573" s="4"/>
      <c r="M573" s="4"/>
      <c r="N573" s="4"/>
      <c r="O573" s="4"/>
      <c r="P573" s="4"/>
      <c r="Q573" s="4"/>
      <c r="R573" s="4"/>
      <c r="S573" s="4"/>
      <c r="T573" s="4"/>
      <c r="U573" s="4"/>
      <c r="V573" s="4"/>
      <c r="W573" s="4"/>
      <c r="X573" s="4"/>
      <c r="Y573" s="4"/>
      <c r="Z573" s="4"/>
    </row>
    <row r="574" ht="9.75" customHeight="1">
      <c r="A574" s="343"/>
      <c r="B574" s="344"/>
      <c r="C574" s="182"/>
      <c r="D574" s="406"/>
      <c r="E574" s="406"/>
      <c r="F574" s="407"/>
      <c r="G574" s="407"/>
      <c r="H574" s="4"/>
      <c r="I574" s="4"/>
      <c r="J574" s="4"/>
      <c r="K574" s="4"/>
      <c r="L574" s="4"/>
      <c r="M574" s="4"/>
      <c r="N574" s="4"/>
      <c r="O574" s="4"/>
      <c r="P574" s="4"/>
      <c r="Q574" s="4"/>
      <c r="R574" s="4"/>
      <c r="S574" s="4"/>
      <c r="T574" s="4"/>
      <c r="U574" s="4"/>
      <c r="V574" s="4"/>
      <c r="W574" s="4"/>
      <c r="X574" s="4"/>
      <c r="Y574" s="4"/>
      <c r="Z574" s="4"/>
    </row>
    <row r="575" ht="9.75" customHeight="1">
      <c r="A575" s="343"/>
      <c r="B575" s="344"/>
      <c r="C575" s="182"/>
      <c r="D575" s="406"/>
      <c r="E575" s="406"/>
      <c r="F575" s="407"/>
      <c r="G575" s="407"/>
      <c r="H575" s="4"/>
      <c r="I575" s="4"/>
      <c r="J575" s="4"/>
      <c r="K575" s="4"/>
      <c r="L575" s="4"/>
      <c r="M575" s="4"/>
      <c r="N575" s="4"/>
      <c r="O575" s="4"/>
      <c r="P575" s="4"/>
      <c r="Q575" s="4"/>
      <c r="R575" s="4"/>
      <c r="S575" s="4"/>
      <c r="T575" s="4"/>
      <c r="U575" s="4"/>
      <c r="V575" s="4"/>
      <c r="W575" s="4"/>
      <c r="X575" s="4"/>
      <c r="Y575" s="4"/>
      <c r="Z575" s="4"/>
    </row>
    <row r="576" ht="9.75" customHeight="1">
      <c r="A576" s="343"/>
      <c r="B576" s="344"/>
      <c r="C576" s="182"/>
      <c r="D576" s="406"/>
      <c r="E576" s="406"/>
      <c r="F576" s="407"/>
      <c r="G576" s="407"/>
      <c r="H576" s="4"/>
      <c r="I576" s="4"/>
      <c r="J576" s="4"/>
      <c r="K576" s="4"/>
      <c r="L576" s="4"/>
      <c r="M576" s="4"/>
      <c r="N576" s="4"/>
      <c r="O576" s="4"/>
      <c r="P576" s="4"/>
      <c r="Q576" s="4"/>
      <c r="R576" s="4"/>
      <c r="S576" s="4"/>
      <c r="T576" s="4"/>
      <c r="U576" s="4"/>
      <c r="V576" s="4"/>
      <c r="W576" s="4"/>
      <c r="X576" s="4"/>
      <c r="Y576" s="4"/>
      <c r="Z576" s="4"/>
    </row>
    <row r="577" ht="9.75" customHeight="1">
      <c r="A577" s="343"/>
      <c r="B577" s="344"/>
      <c r="C577" s="182"/>
      <c r="D577" s="406"/>
      <c r="E577" s="406"/>
      <c r="F577" s="407"/>
      <c r="G577" s="407"/>
      <c r="H577" s="4"/>
      <c r="I577" s="4"/>
      <c r="J577" s="4"/>
      <c r="K577" s="4"/>
      <c r="L577" s="4"/>
      <c r="M577" s="4"/>
      <c r="N577" s="4"/>
      <c r="O577" s="4"/>
      <c r="P577" s="4"/>
      <c r="Q577" s="4"/>
      <c r="R577" s="4"/>
      <c r="S577" s="4"/>
      <c r="T577" s="4"/>
      <c r="U577" s="4"/>
      <c r="V577" s="4"/>
      <c r="W577" s="4"/>
      <c r="X577" s="4"/>
      <c r="Y577" s="4"/>
      <c r="Z577" s="4"/>
    </row>
    <row r="578" ht="9.75" customHeight="1">
      <c r="A578" s="343"/>
      <c r="B578" s="344"/>
      <c r="C578" s="182"/>
      <c r="D578" s="406"/>
      <c r="E578" s="406"/>
      <c r="F578" s="407"/>
      <c r="G578" s="407"/>
      <c r="H578" s="4"/>
      <c r="I578" s="4"/>
      <c r="J578" s="4"/>
      <c r="K578" s="4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  <c r="X578" s="4"/>
      <c r="Y578" s="4"/>
      <c r="Z578" s="4"/>
    </row>
    <row r="579" ht="9.75" customHeight="1">
      <c r="A579" s="343"/>
      <c r="B579" s="344"/>
      <c r="C579" s="182"/>
      <c r="D579" s="406"/>
      <c r="E579" s="406"/>
      <c r="F579" s="407"/>
      <c r="G579" s="407"/>
      <c r="H579" s="4"/>
      <c r="I579" s="4"/>
      <c r="J579" s="4"/>
      <c r="K579" s="4"/>
      <c r="L579" s="4"/>
      <c r="M579" s="4"/>
      <c r="N579" s="4"/>
      <c r="O579" s="4"/>
      <c r="P579" s="4"/>
      <c r="Q579" s="4"/>
      <c r="R579" s="4"/>
      <c r="S579" s="4"/>
      <c r="T579" s="4"/>
      <c r="U579" s="4"/>
      <c r="V579" s="4"/>
      <c r="W579" s="4"/>
      <c r="X579" s="4"/>
      <c r="Y579" s="4"/>
      <c r="Z579" s="4"/>
    </row>
    <row r="580" ht="9.75" customHeight="1">
      <c r="A580" s="343"/>
      <c r="B580" s="344"/>
      <c r="C580" s="182"/>
      <c r="D580" s="406"/>
      <c r="E580" s="406"/>
      <c r="F580" s="407"/>
      <c r="G580" s="407"/>
      <c r="H580" s="4"/>
      <c r="I580" s="4"/>
      <c r="J580" s="4"/>
      <c r="K580" s="4"/>
      <c r="L580" s="4"/>
      <c r="M580" s="4"/>
      <c r="N580" s="4"/>
      <c r="O580" s="4"/>
      <c r="P580" s="4"/>
      <c r="Q580" s="4"/>
      <c r="R580" s="4"/>
      <c r="S580" s="4"/>
      <c r="T580" s="4"/>
      <c r="U580" s="4"/>
      <c r="V580" s="4"/>
      <c r="W580" s="4"/>
      <c r="X580" s="4"/>
      <c r="Y580" s="4"/>
      <c r="Z580" s="4"/>
    </row>
    <row r="581" ht="9.75" customHeight="1">
      <c r="A581" s="343"/>
      <c r="B581" s="344"/>
      <c r="C581" s="182"/>
      <c r="D581" s="406"/>
      <c r="E581" s="406"/>
      <c r="F581" s="407"/>
      <c r="G581" s="407"/>
      <c r="H581" s="4"/>
      <c r="I581" s="4"/>
      <c r="J581" s="4"/>
      <c r="K581" s="4"/>
      <c r="L581" s="4"/>
      <c r="M581" s="4"/>
      <c r="N581" s="4"/>
      <c r="O581" s="4"/>
      <c r="P581" s="4"/>
      <c r="Q581" s="4"/>
      <c r="R581" s="4"/>
      <c r="S581" s="4"/>
      <c r="T581" s="4"/>
      <c r="U581" s="4"/>
      <c r="V581" s="4"/>
      <c r="W581" s="4"/>
      <c r="X581" s="4"/>
      <c r="Y581" s="4"/>
      <c r="Z581" s="4"/>
    </row>
    <row r="582" ht="9.75" customHeight="1">
      <c r="A582" s="343"/>
      <c r="B582" s="344"/>
      <c r="C582" s="182"/>
      <c r="D582" s="406"/>
      <c r="E582" s="406"/>
      <c r="F582" s="407"/>
      <c r="G582" s="407"/>
      <c r="H582" s="4"/>
      <c r="I582" s="4"/>
      <c r="J582" s="4"/>
      <c r="K582" s="4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/>
      <c r="W582" s="4"/>
      <c r="X582" s="4"/>
      <c r="Y582" s="4"/>
      <c r="Z582" s="4"/>
    </row>
    <row r="583" ht="9.75" customHeight="1">
      <c r="A583" s="343"/>
      <c r="B583" s="344"/>
      <c r="C583" s="182"/>
      <c r="D583" s="406"/>
      <c r="E583" s="406"/>
      <c r="F583" s="407"/>
      <c r="G583" s="407"/>
      <c r="H583" s="4"/>
      <c r="I583" s="4"/>
      <c r="J583" s="4"/>
      <c r="K583" s="4"/>
      <c r="L583" s="4"/>
      <c r="M583" s="4"/>
      <c r="N583" s="4"/>
      <c r="O583" s="4"/>
      <c r="P583" s="4"/>
      <c r="Q583" s="4"/>
      <c r="R583" s="4"/>
      <c r="S583" s="4"/>
      <c r="T583" s="4"/>
      <c r="U583" s="4"/>
      <c r="V583" s="4"/>
      <c r="W583" s="4"/>
      <c r="X583" s="4"/>
      <c r="Y583" s="4"/>
      <c r="Z583" s="4"/>
    </row>
    <row r="584" ht="9.75" customHeight="1">
      <c r="A584" s="343"/>
      <c r="B584" s="344"/>
      <c r="C584" s="182"/>
      <c r="D584" s="406"/>
      <c r="E584" s="406"/>
      <c r="F584" s="407"/>
      <c r="G584" s="407"/>
      <c r="H584" s="4"/>
      <c r="I584" s="4"/>
      <c r="J584" s="4"/>
      <c r="K584" s="4"/>
      <c r="L584" s="4"/>
      <c r="M584" s="4"/>
      <c r="N584" s="4"/>
      <c r="O584" s="4"/>
      <c r="P584" s="4"/>
      <c r="Q584" s="4"/>
      <c r="R584" s="4"/>
      <c r="S584" s="4"/>
      <c r="T584" s="4"/>
      <c r="U584" s="4"/>
      <c r="V584" s="4"/>
      <c r="W584" s="4"/>
      <c r="X584" s="4"/>
      <c r="Y584" s="4"/>
      <c r="Z584" s="4"/>
    </row>
    <row r="585" ht="9.75" customHeight="1">
      <c r="A585" s="343"/>
      <c r="B585" s="344"/>
      <c r="C585" s="182"/>
      <c r="D585" s="406"/>
      <c r="E585" s="406"/>
      <c r="F585" s="407"/>
      <c r="G585" s="407"/>
      <c r="H585" s="4"/>
      <c r="I585" s="4"/>
      <c r="J585" s="4"/>
      <c r="K585" s="4"/>
      <c r="L585" s="4"/>
      <c r="M585" s="4"/>
      <c r="N585" s="4"/>
      <c r="O585" s="4"/>
      <c r="P585" s="4"/>
      <c r="Q585" s="4"/>
      <c r="R585" s="4"/>
      <c r="S585" s="4"/>
      <c r="T585" s="4"/>
      <c r="U585" s="4"/>
      <c r="V585" s="4"/>
      <c r="W585" s="4"/>
      <c r="X585" s="4"/>
      <c r="Y585" s="4"/>
      <c r="Z585" s="4"/>
    </row>
    <row r="586" ht="9.75" customHeight="1">
      <c r="A586" s="343"/>
      <c r="B586" s="344"/>
      <c r="C586" s="182"/>
      <c r="D586" s="406"/>
      <c r="E586" s="406"/>
      <c r="F586" s="407"/>
      <c r="G586" s="407"/>
      <c r="H586" s="4"/>
      <c r="I586" s="4"/>
      <c r="J586" s="4"/>
      <c r="K586" s="4"/>
      <c r="L586" s="4"/>
      <c r="M586" s="4"/>
      <c r="N586" s="4"/>
      <c r="O586" s="4"/>
      <c r="P586" s="4"/>
      <c r="Q586" s="4"/>
      <c r="R586" s="4"/>
      <c r="S586" s="4"/>
      <c r="T586" s="4"/>
      <c r="U586" s="4"/>
      <c r="V586" s="4"/>
      <c r="W586" s="4"/>
      <c r="X586" s="4"/>
      <c r="Y586" s="4"/>
      <c r="Z586" s="4"/>
    </row>
    <row r="587" ht="9.75" customHeight="1">
      <c r="A587" s="343"/>
      <c r="B587" s="344"/>
      <c r="C587" s="182"/>
      <c r="D587" s="406"/>
      <c r="E587" s="406"/>
      <c r="F587" s="407"/>
      <c r="G587" s="407"/>
      <c r="H587" s="4"/>
      <c r="I587" s="4"/>
      <c r="J587" s="4"/>
      <c r="K587" s="4"/>
      <c r="L587" s="4"/>
      <c r="M587" s="4"/>
      <c r="N587" s="4"/>
      <c r="O587" s="4"/>
      <c r="P587" s="4"/>
      <c r="Q587" s="4"/>
      <c r="R587" s="4"/>
      <c r="S587" s="4"/>
      <c r="T587" s="4"/>
      <c r="U587" s="4"/>
      <c r="V587" s="4"/>
      <c r="W587" s="4"/>
      <c r="X587" s="4"/>
      <c r="Y587" s="4"/>
      <c r="Z587" s="4"/>
    </row>
    <row r="588" ht="9.75" customHeight="1">
      <c r="A588" s="343"/>
      <c r="B588" s="344"/>
      <c r="C588" s="182"/>
      <c r="D588" s="406"/>
      <c r="E588" s="406"/>
      <c r="F588" s="407"/>
      <c r="G588" s="407"/>
      <c r="H588" s="4"/>
      <c r="I588" s="4"/>
      <c r="J588" s="4"/>
      <c r="K588" s="4"/>
      <c r="L588" s="4"/>
      <c r="M588" s="4"/>
      <c r="N588" s="4"/>
      <c r="O588" s="4"/>
      <c r="P588" s="4"/>
      <c r="Q588" s="4"/>
      <c r="R588" s="4"/>
      <c r="S588" s="4"/>
      <c r="T588" s="4"/>
      <c r="U588" s="4"/>
      <c r="V588" s="4"/>
      <c r="W588" s="4"/>
      <c r="X588" s="4"/>
      <c r="Y588" s="4"/>
      <c r="Z588" s="4"/>
    </row>
    <row r="589" ht="9.75" customHeight="1">
      <c r="A589" s="343"/>
      <c r="B589" s="344"/>
      <c r="C589" s="182"/>
      <c r="D589" s="406"/>
      <c r="E589" s="406"/>
      <c r="F589" s="407"/>
      <c r="G589" s="407"/>
      <c r="H589" s="4"/>
      <c r="I589" s="4"/>
      <c r="J589" s="4"/>
      <c r="K589" s="4"/>
      <c r="L589" s="4"/>
      <c r="M589" s="4"/>
      <c r="N589" s="4"/>
      <c r="O589" s="4"/>
      <c r="P589" s="4"/>
      <c r="Q589" s="4"/>
      <c r="R589" s="4"/>
      <c r="S589" s="4"/>
      <c r="T589" s="4"/>
      <c r="U589" s="4"/>
      <c r="V589" s="4"/>
      <c r="W589" s="4"/>
      <c r="X589" s="4"/>
      <c r="Y589" s="4"/>
      <c r="Z589" s="4"/>
    </row>
    <row r="590" ht="9.75" customHeight="1">
      <c r="A590" s="343"/>
      <c r="B590" s="344"/>
      <c r="C590" s="182"/>
      <c r="D590" s="406"/>
      <c r="E590" s="406"/>
      <c r="F590" s="407"/>
      <c r="G590" s="407"/>
      <c r="H590" s="4"/>
      <c r="I590" s="4"/>
      <c r="J590" s="4"/>
      <c r="K590" s="4"/>
      <c r="L590" s="4"/>
      <c r="M590" s="4"/>
      <c r="N590" s="4"/>
      <c r="O590" s="4"/>
      <c r="P590" s="4"/>
      <c r="Q590" s="4"/>
      <c r="R590" s="4"/>
      <c r="S590" s="4"/>
      <c r="T590" s="4"/>
      <c r="U590" s="4"/>
      <c r="V590" s="4"/>
      <c r="W590" s="4"/>
      <c r="X590" s="4"/>
      <c r="Y590" s="4"/>
      <c r="Z590" s="4"/>
    </row>
    <row r="591" ht="9.75" customHeight="1">
      <c r="A591" s="343"/>
      <c r="B591" s="344"/>
      <c r="C591" s="182"/>
      <c r="D591" s="406"/>
      <c r="E591" s="406"/>
      <c r="F591" s="407"/>
      <c r="G591" s="407"/>
      <c r="H591" s="4"/>
      <c r="I591" s="4"/>
      <c r="J591" s="4"/>
      <c r="K591" s="4"/>
      <c r="L591" s="4"/>
      <c r="M591" s="4"/>
      <c r="N591" s="4"/>
      <c r="O591" s="4"/>
      <c r="P591" s="4"/>
      <c r="Q591" s="4"/>
      <c r="R591" s="4"/>
      <c r="S591" s="4"/>
      <c r="T591" s="4"/>
      <c r="U591" s="4"/>
      <c r="V591" s="4"/>
      <c r="W591" s="4"/>
      <c r="X591" s="4"/>
      <c r="Y591" s="4"/>
      <c r="Z591" s="4"/>
    </row>
    <row r="592" ht="9.75" customHeight="1">
      <c r="A592" s="343"/>
      <c r="B592" s="344"/>
      <c r="C592" s="182"/>
      <c r="D592" s="406"/>
      <c r="E592" s="406"/>
      <c r="F592" s="407"/>
      <c r="G592" s="407"/>
      <c r="H592" s="4"/>
      <c r="I592" s="4"/>
      <c r="J592" s="4"/>
      <c r="K592" s="4"/>
      <c r="L592" s="4"/>
      <c r="M592" s="4"/>
      <c r="N592" s="4"/>
      <c r="O592" s="4"/>
      <c r="P592" s="4"/>
      <c r="Q592" s="4"/>
      <c r="R592" s="4"/>
      <c r="S592" s="4"/>
      <c r="T592" s="4"/>
      <c r="U592" s="4"/>
      <c r="V592" s="4"/>
      <c r="W592" s="4"/>
      <c r="X592" s="4"/>
      <c r="Y592" s="4"/>
      <c r="Z592" s="4"/>
    </row>
    <row r="593" ht="9.75" customHeight="1">
      <c r="A593" s="343"/>
      <c r="B593" s="344"/>
      <c r="C593" s="182"/>
      <c r="D593" s="406"/>
      <c r="E593" s="406"/>
      <c r="F593" s="407"/>
      <c r="G593" s="407"/>
      <c r="H593" s="4"/>
      <c r="I593" s="4"/>
      <c r="J593" s="4"/>
      <c r="K593" s="4"/>
      <c r="L593" s="4"/>
      <c r="M593" s="4"/>
      <c r="N593" s="4"/>
      <c r="O593" s="4"/>
      <c r="P593" s="4"/>
      <c r="Q593" s="4"/>
      <c r="R593" s="4"/>
      <c r="S593" s="4"/>
      <c r="T593" s="4"/>
      <c r="U593" s="4"/>
      <c r="V593" s="4"/>
      <c r="W593" s="4"/>
      <c r="X593" s="4"/>
      <c r="Y593" s="4"/>
      <c r="Z593" s="4"/>
    </row>
    <row r="594" ht="9.75" customHeight="1">
      <c r="A594" s="343"/>
      <c r="B594" s="344"/>
      <c r="C594" s="182"/>
      <c r="D594" s="406"/>
      <c r="E594" s="406"/>
      <c r="F594" s="407"/>
      <c r="G594" s="407"/>
      <c r="H594" s="4"/>
      <c r="I594" s="4"/>
      <c r="J594" s="4"/>
      <c r="K594" s="4"/>
      <c r="L594" s="4"/>
      <c r="M594" s="4"/>
      <c r="N594" s="4"/>
      <c r="O594" s="4"/>
      <c r="P594" s="4"/>
      <c r="Q594" s="4"/>
      <c r="R594" s="4"/>
      <c r="S594" s="4"/>
      <c r="T594" s="4"/>
      <c r="U594" s="4"/>
      <c r="V594" s="4"/>
      <c r="W594" s="4"/>
      <c r="X594" s="4"/>
      <c r="Y594" s="4"/>
      <c r="Z594" s="4"/>
    </row>
    <row r="595" ht="9.75" customHeight="1">
      <c r="A595" s="343"/>
      <c r="B595" s="344"/>
      <c r="C595" s="182"/>
      <c r="D595" s="406"/>
      <c r="E595" s="406"/>
      <c r="F595" s="407"/>
      <c r="G595" s="407"/>
      <c r="H595" s="4"/>
      <c r="I595" s="4"/>
      <c r="J595" s="4"/>
      <c r="K595" s="4"/>
      <c r="L595" s="4"/>
      <c r="M595" s="4"/>
      <c r="N595" s="4"/>
      <c r="O595" s="4"/>
      <c r="P595" s="4"/>
      <c r="Q595" s="4"/>
      <c r="R595" s="4"/>
      <c r="S595" s="4"/>
      <c r="T595" s="4"/>
      <c r="U595" s="4"/>
      <c r="V595" s="4"/>
      <c r="W595" s="4"/>
      <c r="X595" s="4"/>
      <c r="Y595" s="4"/>
      <c r="Z595" s="4"/>
    </row>
    <row r="596" ht="9.75" customHeight="1">
      <c r="A596" s="343"/>
      <c r="B596" s="344"/>
      <c r="C596" s="182"/>
      <c r="D596" s="406"/>
      <c r="E596" s="406"/>
      <c r="F596" s="407"/>
      <c r="G596" s="407"/>
      <c r="H596" s="4"/>
      <c r="I596" s="4"/>
      <c r="J596" s="4"/>
      <c r="K596" s="4"/>
      <c r="L596" s="4"/>
      <c r="M596" s="4"/>
      <c r="N596" s="4"/>
      <c r="O596" s="4"/>
      <c r="P596" s="4"/>
      <c r="Q596" s="4"/>
      <c r="R596" s="4"/>
      <c r="S596" s="4"/>
      <c r="T596" s="4"/>
      <c r="U596" s="4"/>
      <c r="V596" s="4"/>
      <c r="W596" s="4"/>
      <c r="X596" s="4"/>
      <c r="Y596" s="4"/>
      <c r="Z596" s="4"/>
    </row>
    <row r="597" ht="9.75" customHeight="1">
      <c r="A597" s="343"/>
      <c r="B597" s="344"/>
      <c r="C597" s="182"/>
      <c r="D597" s="406"/>
      <c r="E597" s="406"/>
      <c r="F597" s="407"/>
      <c r="G597" s="407"/>
      <c r="H597" s="4"/>
      <c r="I597" s="4"/>
      <c r="J597" s="4"/>
      <c r="K597" s="4"/>
      <c r="L597" s="4"/>
      <c r="M597" s="4"/>
      <c r="N597" s="4"/>
      <c r="O597" s="4"/>
      <c r="P597" s="4"/>
      <c r="Q597" s="4"/>
      <c r="R597" s="4"/>
      <c r="S597" s="4"/>
      <c r="T597" s="4"/>
      <c r="U597" s="4"/>
      <c r="V597" s="4"/>
      <c r="W597" s="4"/>
      <c r="X597" s="4"/>
      <c r="Y597" s="4"/>
      <c r="Z597" s="4"/>
    </row>
    <row r="598" ht="9.75" customHeight="1">
      <c r="A598" s="343"/>
      <c r="B598" s="344"/>
      <c r="C598" s="182"/>
      <c r="D598" s="406"/>
      <c r="E598" s="406"/>
      <c r="F598" s="407"/>
      <c r="G598" s="407"/>
      <c r="H598" s="4"/>
      <c r="I598" s="4"/>
      <c r="J598" s="4"/>
      <c r="K598" s="4"/>
      <c r="L598" s="4"/>
      <c r="M598" s="4"/>
      <c r="N598" s="4"/>
      <c r="O598" s="4"/>
      <c r="P598" s="4"/>
      <c r="Q598" s="4"/>
      <c r="R598" s="4"/>
      <c r="S598" s="4"/>
      <c r="T598" s="4"/>
      <c r="U598" s="4"/>
      <c r="V598" s="4"/>
      <c r="W598" s="4"/>
      <c r="X598" s="4"/>
      <c r="Y598" s="4"/>
      <c r="Z598" s="4"/>
    </row>
    <row r="599" ht="9.75" customHeight="1">
      <c r="A599" s="343"/>
      <c r="B599" s="344"/>
      <c r="C599" s="182"/>
      <c r="D599" s="406"/>
      <c r="E599" s="406"/>
      <c r="F599" s="407"/>
      <c r="G599" s="407"/>
      <c r="H599" s="4"/>
      <c r="I599" s="4"/>
      <c r="J599" s="4"/>
      <c r="K599" s="4"/>
      <c r="L599" s="4"/>
      <c r="M599" s="4"/>
      <c r="N599" s="4"/>
      <c r="O599" s="4"/>
      <c r="P599" s="4"/>
      <c r="Q599" s="4"/>
      <c r="R599" s="4"/>
      <c r="S599" s="4"/>
      <c r="T599" s="4"/>
      <c r="U599" s="4"/>
      <c r="V599" s="4"/>
      <c r="W599" s="4"/>
      <c r="X599" s="4"/>
      <c r="Y599" s="4"/>
      <c r="Z599" s="4"/>
    </row>
    <row r="600" ht="9.75" customHeight="1">
      <c r="A600" s="343"/>
      <c r="B600" s="344"/>
      <c r="C600" s="182"/>
      <c r="D600" s="406"/>
      <c r="E600" s="406"/>
      <c r="F600" s="407"/>
      <c r="G600" s="407"/>
      <c r="H600" s="4"/>
      <c r="I600" s="4"/>
      <c r="J600" s="4"/>
      <c r="K600" s="4"/>
      <c r="L600" s="4"/>
      <c r="M600" s="4"/>
      <c r="N600" s="4"/>
      <c r="O600" s="4"/>
      <c r="P600" s="4"/>
      <c r="Q600" s="4"/>
      <c r="R600" s="4"/>
      <c r="S600" s="4"/>
      <c r="T600" s="4"/>
      <c r="U600" s="4"/>
      <c r="V600" s="4"/>
      <c r="W600" s="4"/>
      <c r="X600" s="4"/>
      <c r="Y600" s="4"/>
      <c r="Z600" s="4"/>
    </row>
    <row r="601" ht="9.75" customHeight="1">
      <c r="A601" s="343"/>
      <c r="B601" s="344"/>
      <c r="C601" s="182"/>
      <c r="D601" s="406"/>
      <c r="E601" s="406"/>
      <c r="F601" s="407"/>
      <c r="G601" s="407"/>
      <c r="H601" s="4"/>
      <c r="I601" s="4"/>
      <c r="J601" s="4"/>
      <c r="K601" s="4"/>
      <c r="L601" s="4"/>
      <c r="M601" s="4"/>
      <c r="N601" s="4"/>
      <c r="O601" s="4"/>
      <c r="P601" s="4"/>
      <c r="Q601" s="4"/>
      <c r="R601" s="4"/>
      <c r="S601" s="4"/>
      <c r="T601" s="4"/>
      <c r="U601" s="4"/>
      <c r="V601" s="4"/>
      <c r="W601" s="4"/>
      <c r="X601" s="4"/>
      <c r="Y601" s="4"/>
      <c r="Z601" s="4"/>
    </row>
    <row r="602" ht="9.75" customHeight="1">
      <c r="A602" s="343"/>
      <c r="B602" s="344"/>
      <c r="C602" s="182"/>
      <c r="D602" s="406"/>
      <c r="E602" s="406"/>
      <c r="F602" s="407"/>
      <c r="G602" s="407"/>
      <c r="H602" s="4"/>
      <c r="I602" s="4"/>
      <c r="J602" s="4"/>
      <c r="K602" s="4"/>
      <c r="L602" s="4"/>
      <c r="M602" s="4"/>
      <c r="N602" s="4"/>
      <c r="O602" s="4"/>
      <c r="P602" s="4"/>
      <c r="Q602" s="4"/>
      <c r="R602" s="4"/>
      <c r="S602" s="4"/>
      <c r="T602" s="4"/>
      <c r="U602" s="4"/>
      <c r="V602" s="4"/>
      <c r="W602" s="4"/>
      <c r="X602" s="4"/>
      <c r="Y602" s="4"/>
      <c r="Z602" s="4"/>
    </row>
    <row r="603" ht="9.75" customHeight="1">
      <c r="A603" s="343"/>
      <c r="B603" s="344"/>
      <c r="C603" s="182"/>
      <c r="D603" s="406"/>
      <c r="E603" s="406"/>
      <c r="F603" s="407"/>
      <c r="G603" s="407"/>
      <c r="H603" s="4"/>
      <c r="I603" s="4"/>
      <c r="J603" s="4"/>
      <c r="K603" s="4"/>
      <c r="L603" s="4"/>
      <c r="M603" s="4"/>
      <c r="N603" s="4"/>
      <c r="O603" s="4"/>
      <c r="P603" s="4"/>
      <c r="Q603" s="4"/>
      <c r="R603" s="4"/>
      <c r="S603" s="4"/>
      <c r="T603" s="4"/>
      <c r="U603" s="4"/>
      <c r="V603" s="4"/>
      <c r="W603" s="4"/>
      <c r="X603" s="4"/>
      <c r="Y603" s="4"/>
      <c r="Z603" s="4"/>
    </row>
    <row r="604" ht="9.75" customHeight="1">
      <c r="A604" s="343"/>
      <c r="B604" s="344"/>
      <c r="C604" s="182"/>
      <c r="D604" s="406"/>
      <c r="E604" s="406"/>
      <c r="F604" s="407"/>
      <c r="G604" s="407"/>
      <c r="H604" s="4"/>
      <c r="I604" s="4"/>
      <c r="J604" s="4"/>
      <c r="K604" s="4"/>
      <c r="L604" s="4"/>
      <c r="M604" s="4"/>
      <c r="N604" s="4"/>
      <c r="O604" s="4"/>
      <c r="P604" s="4"/>
      <c r="Q604" s="4"/>
      <c r="R604" s="4"/>
      <c r="S604" s="4"/>
      <c r="T604" s="4"/>
      <c r="U604" s="4"/>
      <c r="V604" s="4"/>
      <c r="W604" s="4"/>
      <c r="X604" s="4"/>
      <c r="Y604" s="4"/>
      <c r="Z604" s="4"/>
    </row>
    <row r="605" ht="9.75" customHeight="1">
      <c r="A605" s="343"/>
      <c r="B605" s="344"/>
      <c r="C605" s="182"/>
      <c r="D605" s="406"/>
      <c r="E605" s="406"/>
      <c r="F605" s="407"/>
      <c r="G605" s="407"/>
      <c r="H605" s="4"/>
      <c r="I605" s="4"/>
      <c r="J605" s="4"/>
      <c r="K605" s="4"/>
      <c r="L605" s="4"/>
      <c r="M605" s="4"/>
      <c r="N605" s="4"/>
      <c r="O605" s="4"/>
      <c r="P605" s="4"/>
      <c r="Q605" s="4"/>
      <c r="R605" s="4"/>
      <c r="S605" s="4"/>
      <c r="T605" s="4"/>
      <c r="U605" s="4"/>
      <c r="V605" s="4"/>
      <c r="W605" s="4"/>
      <c r="X605" s="4"/>
      <c r="Y605" s="4"/>
      <c r="Z605" s="4"/>
    </row>
    <row r="606" ht="9.75" customHeight="1">
      <c r="A606" s="343"/>
      <c r="B606" s="344"/>
      <c r="C606" s="182"/>
      <c r="D606" s="406"/>
      <c r="E606" s="406"/>
      <c r="F606" s="407"/>
      <c r="G606" s="407"/>
      <c r="H606" s="4"/>
      <c r="I606" s="4"/>
      <c r="J606" s="4"/>
      <c r="K606" s="4"/>
      <c r="L606" s="4"/>
      <c r="M606" s="4"/>
      <c r="N606" s="4"/>
      <c r="O606" s="4"/>
      <c r="P606" s="4"/>
      <c r="Q606" s="4"/>
      <c r="R606" s="4"/>
      <c r="S606" s="4"/>
      <c r="T606" s="4"/>
      <c r="U606" s="4"/>
      <c r="V606" s="4"/>
      <c r="W606" s="4"/>
      <c r="X606" s="4"/>
      <c r="Y606" s="4"/>
      <c r="Z606" s="4"/>
    </row>
    <row r="607" ht="9.75" customHeight="1">
      <c r="A607" s="343"/>
      <c r="B607" s="344"/>
      <c r="C607" s="182"/>
      <c r="D607" s="406"/>
      <c r="E607" s="406"/>
      <c r="F607" s="407"/>
      <c r="G607" s="407"/>
      <c r="H607" s="4"/>
      <c r="I607" s="4"/>
      <c r="J607" s="4"/>
      <c r="K607" s="4"/>
      <c r="L607" s="4"/>
      <c r="M607" s="4"/>
      <c r="N607" s="4"/>
      <c r="O607" s="4"/>
      <c r="P607" s="4"/>
      <c r="Q607" s="4"/>
      <c r="R607" s="4"/>
      <c r="S607" s="4"/>
      <c r="T607" s="4"/>
      <c r="U607" s="4"/>
      <c r="V607" s="4"/>
      <c r="W607" s="4"/>
      <c r="X607" s="4"/>
      <c r="Y607" s="4"/>
      <c r="Z607" s="4"/>
    </row>
    <row r="608" ht="9.75" customHeight="1">
      <c r="A608" s="343"/>
      <c r="B608" s="344"/>
      <c r="C608" s="182"/>
      <c r="D608" s="406"/>
      <c r="E608" s="406"/>
      <c r="F608" s="407"/>
      <c r="G608" s="407"/>
      <c r="H608" s="4"/>
      <c r="I608" s="4"/>
      <c r="J608" s="4"/>
      <c r="K608" s="4"/>
      <c r="L608" s="4"/>
      <c r="M608" s="4"/>
      <c r="N608" s="4"/>
      <c r="O608" s="4"/>
      <c r="P608" s="4"/>
      <c r="Q608" s="4"/>
      <c r="R608" s="4"/>
      <c r="S608" s="4"/>
      <c r="T608" s="4"/>
      <c r="U608" s="4"/>
      <c r="V608" s="4"/>
      <c r="W608" s="4"/>
      <c r="X608" s="4"/>
      <c r="Y608" s="4"/>
      <c r="Z608" s="4"/>
    </row>
    <row r="609" ht="9.75" customHeight="1">
      <c r="A609" s="343"/>
      <c r="B609" s="344"/>
      <c r="C609" s="182"/>
      <c r="D609" s="406"/>
      <c r="E609" s="406"/>
      <c r="F609" s="407"/>
      <c r="G609" s="407"/>
      <c r="H609" s="4"/>
      <c r="I609" s="4"/>
      <c r="J609" s="4"/>
      <c r="K609" s="4"/>
      <c r="L609" s="4"/>
      <c r="M609" s="4"/>
      <c r="N609" s="4"/>
      <c r="O609" s="4"/>
      <c r="P609" s="4"/>
      <c r="Q609" s="4"/>
      <c r="R609" s="4"/>
      <c r="S609" s="4"/>
      <c r="T609" s="4"/>
      <c r="U609" s="4"/>
      <c r="V609" s="4"/>
      <c r="W609" s="4"/>
      <c r="X609" s="4"/>
      <c r="Y609" s="4"/>
      <c r="Z609" s="4"/>
    </row>
    <row r="610" ht="9.75" customHeight="1">
      <c r="A610" s="343"/>
      <c r="B610" s="344"/>
      <c r="C610" s="182"/>
      <c r="D610" s="406"/>
      <c r="E610" s="406"/>
      <c r="F610" s="407"/>
      <c r="G610" s="407"/>
      <c r="H610" s="4"/>
      <c r="I610" s="4"/>
      <c r="J610" s="4"/>
      <c r="K610" s="4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4"/>
      <c r="X610" s="4"/>
      <c r="Y610" s="4"/>
      <c r="Z610" s="4"/>
    </row>
    <row r="611" ht="9.75" customHeight="1">
      <c r="A611" s="343"/>
      <c r="B611" s="344"/>
      <c r="C611" s="182"/>
      <c r="D611" s="406"/>
      <c r="E611" s="406"/>
      <c r="F611" s="407"/>
      <c r="G611" s="407"/>
      <c r="H611" s="4"/>
      <c r="I611" s="4"/>
      <c r="J611" s="4"/>
      <c r="K611" s="4"/>
      <c r="L611" s="4"/>
      <c r="M611" s="4"/>
      <c r="N611" s="4"/>
      <c r="O611" s="4"/>
      <c r="P611" s="4"/>
      <c r="Q611" s="4"/>
      <c r="R611" s="4"/>
      <c r="S611" s="4"/>
      <c r="T611" s="4"/>
      <c r="U611" s="4"/>
      <c r="V611" s="4"/>
      <c r="W611" s="4"/>
      <c r="X611" s="4"/>
      <c r="Y611" s="4"/>
      <c r="Z611" s="4"/>
    </row>
    <row r="612" ht="9.75" customHeight="1">
      <c r="A612" s="343"/>
      <c r="B612" s="344"/>
      <c r="C612" s="182"/>
      <c r="D612" s="406"/>
      <c r="E612" s="406"/>
      <c r="F612" s="407"/>
      <c r="G612" s="407"/>
      <c r="H612" s="4"/>
      <c r="I612" s="4"/>
      <c r="J612" s="4"/>
      <c r="K612" s="4"/>
      <c r="L612" s="4"/>
      <c r="M612" s="4"/>
      <c r="N612" s="4"/>
      <c r="O612" s="4"/>
      <c r="P612" s="4"/>
      <c r="Q612" s="4"/>
      <c r="R612" s="4"/>
      <c r="S612" s="4"/>
      <c r="T612" s="4"/>
      <c r="U612" s="4"/>
      <c r="V612" s="4"/>
      <c r="W612" s="4"/>
      <c r="X612" s="4"/>
      <c r="Y612" s="4"/>
      <c r="Z612" s="4"/>
    </row>
    <row r="613" ht="9.75" customHeight="1">
      <c r="A613" s="343"/>
      <c r="B613" s="344"/>
      <c r="C613" s="182"/>
      <c r="D613" s="406"/>
      <c r="E613" s="406"/>
      <c r="F613" s="407"/>
      <c r="G613" s="407"/>
      <c r="H613" s="4"/>
      <c r="I613" s="4"/>
      <c r="J613" s="4"/>
      <c r="K613" s="4"/>
      <c r="L613" s="4"/>
      <c r="M613" s="4"/>
      <c r="N613" s="4"/>
      <c r="O613" s="4"/>
      <c r="P613" s="4"/>
      <c r="Q613" s="4"/>
      <c r="R613" s="4"/>
      <c r="S613" s="4"/>
      <c r="T613" s="4"/>
      <c r="U613" s="4"/>
      <c r="V613" s="4"/>
      <c r="W613" s="4"/>
      <c r="X613" s="4"/>
      <c r="Y613" s="4"/>
      <c r="Z613" s="4"/>
    </row>
    <row r="614" ht="9.75" customHeight="1">
      <c r="A614" s="343"/>
      <c r="B614" s="344"/>
      <c r="C614" s="182"/>
      <c r="D614" s="406"/>
      <c r="E614" s="406"/>
      <c r="F614" s="407"/>
      <c r="G614" s="407"/>
      <c r="H614" s="4"/>
      <c r="I614" s="4"/>
      <c r="J614" s="4"/>
      <c r="K614" s="4"/>
      <c r="L614" s="4"/>
      <c r="M614" s="4"/>
      <c r="N614" s="4"/>
      <c r="O614" s="4"/>
      <c r="P614" s="4"/>
      <c r="Q614" s="4"/>
      <c r="R614" s="4"/>
      <c r="S614" s="4"/>
      <c r="T614" s="4"/>
      <c r="U614" s="4"/>
      <c r="V614" s="4"/>
      <c r="W614" s="4"/>
      <c r="X614" s="4"/>
      <c r="Y614" s="4"/>
      <c r="Z614" s="4"/>
    </row>
    <row r="615" ht="9.75" customHeight="1">
      <c r="A615" s="343"/>
      <c r="B615" s="344"/>
      <c r="C615" s="182"/>
      <c r="D615" s="406"/>
      <c r="E615" s="406"/>
      <c r="F615" s="407"/>
      <c r="G615" s="407"/>
      <c r="H615" s="4"/>
      <c r="I615" s="4"/>
      <c r="J615" s="4"/>
      <c r="K615" s="4"/>
      <c r="L615" s="4"/>
      <c r="M615" s="4"/>
      <c r="N615" s="4"/>
      <c r="O615" s="4"/>
      <c r="P615" s="4"/>
      <c r="Q615" s="4"/>
      <c r="R615" s="4"/>
      <c r="S615" s="4"/>
      <c r="T615" s="4"/>
      <c r="U615" s="4"/>
      <c r="V615" s="4"/>
      <c r="W615" s="4"/>
      <c r="X615" s="4"/>
      <c r="Y615" s="4"/>
      <c r="Z615" s="4"/>
    </row>
    <row r="616" ht="9.75" customHeight="1">
      <c r="A616" s="343"/>
      <c r="B616" s="344"/>
      <c r="C616" s="182"/>
      <c r="D616" s="406"/>
      <c r="E616" s="406"/>
      <c r="F616" s="407"/>
      <c r="G616" s="407"/>
      <c r="H616" s="4"/>
      <c r="I616" s="4"/>
      <c r="J616" s="4"/>
      <c r="K616" s="4"/>
      <c r="L616" s="4"/>
      <c r="M616" s="4"/>
      <c r="N616" s="4"/>
      <c r="O616" s="4"/>
      <c r="P616" s="4"/>
      <c r="Q616" s="4"/>
      <c r="R616" s="4"/>
      <c r="S616" s="4"/>
      <c r="T616" s="4"/>
      <c r="U616" s="4"/>
      <c r="V616" s="4"/>
      <c r="W616" s="4"/>
      <c r="X616" s="4"/>
      <c r="Y616" s="4"/>
      <c r="Z616" s="4"/>
    </row>
    <row r="617" ht="9.75" customHeight="1">
      <c r="A617" s="343"/>
      <c r="B617" s="344"/>
      <c r="C617" s="182"/>
      <c r="D617" s="406"/>
      <c r="E617" s="406"/>
      <c r="F617" s="407"/>
      <c r="G617" s="407"/>
      <c r="H617" s="4"/>
      <c r="I617" s="4"/>
      <c r="J617" s="4"/>
      <c r="K617" s="4"/>
      <c r="L617" s="4"/>
      <c r="M617" s="4"/>
      <c r="N617" s="4"/>
      <c r="O617" s="4"/>
      <c r="P617" s="4"/>
      <c r="Q617" s="4"/>
      <c r="R617" s="4"/>
      <c r="S617" s="4"/>
      <c r="T617" s="4"/>
      <c r="U617" s="4"/>
      <c r="V617" s="4"/>
      <c r="W617" s="4"/>
      <c r="X617" s="4"/>
      <c r="Y617" s="4"/>
      <c r="Z617" s="4"/>
    </row>
    <row r="618" ht="9.75" customHeight="1">
      <c r="A618" s="343"/>
      <c r="B618" s="344"/>
      <c r="C618" s="182"/>
      <c r="D618" s="406"/>
      <c r="E618" s="406"/>
      <c r="F618" s="407"/>
      <c r="G618" s="407"/>
      <c r="H618" s="4"/>
      <c r="I618" s="4"/>
      <c r="J618" s="4"/>
      <c r="K618" s="4"/>
      <c r="L618" s="4"/>
      <c r="M618" s="4"/>
      <c r="N618" s="4"/>
      <c r="O618" s="4"/>
      <c r="P618" s="4"/>
      <c r="Q618" s="4"/>
      <c r="R618" s="4"/>
      <c r="S618" s="4"/>
      <c r="T618" s="4"/>
      <c r="U618" s="4"/>
      <c r="V618" s="4"/>
      <c r="W618" s="4"/>
      <c r="X618" s="4"/>
      <c r="Y618" s="4"/>
      <c r="Z618" s="4"/>
    </row>
    <row r="619" ht="9.75" customHeight="1">
      <c r="A619" s="343"/>
      <c r="B619" s="344"/>
      <c r="C619" s="182"/>
      <c r="D619" s="406"/>
      <c r="E619" s="406"/>
      <c r="F619" s="407"/>
      <c r="G619" s="407"/>
      <c r="H619" s="4"/>
      <c r="I619" s="4"/>
      <c r="J619" s="4"/>
      <c r="K619" s="4"/>
      <c r="L619" s="4"/>
      <c r="M619" s="4"/>
      <c r="N619" s="4"/>
      <c r="O619" s="4"/>
      <c r="P619" s="4"/>
      <c r="Q619" s="4"/>
      <c r="R619" s="4"/>
      <c r="S619" s="4"/>
      <c r="T619" s="4"/>
      <c r="U619" s="4"/>
      <c r="V619" s="4"/>
      <c r="W619" s="4"/>
      <c r="X619" s="4"/>
      <c r="Y619" s="4"/>
      <c r="Z619" s="4"/>
    </row>
    <row r="620" ht="9.75" customHeight="1">
      <c r="A620" s="343"/>
      <c r="B620" s="344"/>
      <c r="C620" s="182"/>
      <c r="D620" s="406"/>
      <c r="E620" s="406"/>
      <c r="F620" s="407"/>
      <c r="G620" s="407"/>
      <c r="H620" s="4"/>
      <c r="I620" s="4"/>
      <c r="J620" s="4"/>
      <c r="K620" s="4"/>
      <c r="L620" s="4"/>
      <c r="M620" s="4"/>
      <c r="N620" s="4"/>
      <c r="O620" s="4"/>
      <c r="P620" s="4"/>
      <c r="Q620" s="4"/>
      <c r="R620" s="4"/>
      <c r="S620" s="4"/>
      <c r="T620" s="4"/>
      <c r="U620" s="4"/>
      <c r="V620" s="4"/>
      <c r="W620" s="4"/>
      <c r="X620" s="4"/>
      <c r="Y620" s="4"/>
      <c r="Z620" s="4"/>
    </row>
    <row r="621" ht="9.75" customHeight="1">
      <c r="A621" s="343"/>
      <c r="B621" s="344"/>
      <c r="C621" s="182"/>
      <c r="D621" s="406"/>
      <c r="E621" s="406"/>
      <c r="F621" s="407"/>
      <c r="G621" s="407"/>
      <c r="H621" s="4"/>
      <c r="I621" s="4"/>
      <c r="J621" s="4"/>
      <c r="K621" s="4"/>
      <c r="L621" s="4"/>
      <c r="M621" s="4"/>
      <c r="N621" s="4"/>
      <c r="O621" s="4"/>
      <c r="P621" s="4"/>
      <c r="Q621" s="4"/>
      <c r="R621" s="4"/>
      <c r="S621" s="4"/>
      <c r="T621" s="4"/>
      <c r="U621" s="4"/>
      <c r="V621" s="4"/>
      <c r="W621" s="4"/>
      <c r="X621" s="4"/>
      <c r="Y621" s="4"/>
      <c r="Z621" s="4"/>
    </row>
    <row r="622" ht="9.75" customHeight="1">
      <c r="A622" s="343"/>
      <c r="B622" s="344"/>
      <c r="C622" s="182"/>
      <c r="D622" s="406"/>
      <c r="E622" s="406"/>
      <c r="F622" s="407"/>
      <c r="G622" s="407"/>
      <c r="H622" s="4"/>
      <c r="I622" s="4"/>
      <c r="J622" s="4"/>
      <c r="K622" s="4"/>
      <c r="L622" s="4"/>
      <c r="M622" s="4"/>
      <c r="N622" s="4"/>
      <c r="O622" s="4"/>
      <c r="P622" s="4"/>
      <c r="Q622" s="4"/>
      <c r="R622" s="4"/>
      <c r="S622" s="4"/>
      <c r="T622" s="4"/>
      <c r="U622" s="4"/>
      <c r="V622" s="4"/>
      <c r="W622" s="4"/>
      <c r="X622" s="4"/>
      <c r="Y622" s="4"/>
      <c r="Z622" s="4"/>
    </row>
    <row r="623" ht="9.75" customHeight="1">
      <c r="A623" s="343"/>
      <c r="B623" s="344"/>
      <c r="C623" s="182"/>
      <c r="D623" s="406"/>
      <c r="E623" s="406"/>
      <c r="F623" s="407"/>
      <c r="G623" s="407"/>
      <c r="H623" s="4"/>
      <c r="I623" s="4"/>
      <c r="J623" s="4"/>
      <c r="K623" s="4"/>
      <c r="L623" s="4"/>
      <c r="M623" s="4"/>
      <c r="N623" s="4"/>
      <c r="O623" s="4"/>
      <c r="P623" s="4"/>
      <c r="Q623" s="4"/>
      <c r="R623" s="4"/>
      <c r="S623" s="4"/>
      <c r="T623" s="4"/>
      <c r="U623" s="4"/>
      <c r="V623" s="4"/>
      <c r="W623" s="4"/>
      <c r="X623" s="4"/>
      <c r="Y623" s="4"/>
      <c r="Z623" s="4"/>
    </row>
    <row r="624" ht="9.75" customHeight="1">
      <c r="A624" s="343"/>
      <c r="B624" s="344"/>
      <c r="C624" s="182"/>
      <c r="D624" s="406"/>
      <c r="E624" s="406"/>
      <c r="F624" s="407"/>
      <c r="G624" s="407"/>
      <c r="H624" s="4"/>
      <c r="I624" s="4"/>
      <c r="J624" s="4"/>
      <c r="K624" s="4"/>
      <c r="L624" s="4"/>
      <c r="M624" s="4"/>
      <c r="N624" s="4"/>
      <c r="O624" s="4"/>
      <c r="P624" s="4"/>
      <c r="Q624" s="4"/>
      <c r="R624" s="4"/>
      <c r="S624" s="4"/>
      <c r="T624" s="4"/>
      <c r="U624" s="4"/>
      <c r="V624" s="4"/>
      <c r="W624" s="4"/>
      <c r="X624" s="4"/>
      <c r="Y624" s="4"/>
      <c r="Z624" s="4"/>
    </row>
    <row r="625" ht="9.75" customHeight="1">
      <c r="A625" s="343"/>
      <c r="B625" s="344"/>
      <c r="C625" s="182"/>
      <c r="D625" s="406"/>
      <c r="E625" s="406"/>
      <c r="F625" s="407"/>
      <c r="G625" s="407"/>
      <c r="H625" s="4"/>
      <c r="I625" s="4"/>
      <c r="J625" s="4"/>
      <c r="K625" s="4"/>
      <c r="L625" s="4"/>
      <c r="M625" s="4"/>
      <c r="N625" s="4"/>
      <c r="O625" s="4"/>
      <c r="P625" s="4"/>
      <c r="Q625" s="4"/>
      <c r="R625" s="4"/>
      <c r="S625" s="4"/>
      <c r="T625" s="4"/>
      <c r="U625" s="4"/>
      <c r="V625" s="4"/>
      <c r="W625" s="4"/>
      <c r="X625" s="4"/>
      <c r="Y625" s="4"/>
      <c r="Z625" s="4"/>
    </row>
    <row r="626" ht="9.75" customHeight="1">
      <c r="A626" s="343"/>
      <c r="B626" s="344"/>
      <c r="C626" s="182"/>
      <c r="D626" s="406"/>
      <c r="E626" s="406"/>
      <c r="F626" s="407"/>
      <c r="G626" s="407"/>
      <c r="H626" s="4"/>
      <c r="I626" s="4"/>
      <c r="J626" s="4"/>
      <c r="K626" s="4"/>
      <c r="L626" s="4"/>
      <c r="M626" s="4"/>
      <c r="N626" s="4"/>
      <c r="O626" s="4"/>
      <c r="P626" s="4"/>
      <c r="Q626" s="4"/>
      <c r="R626" s="4"/>
      <c r="S626" s="4"/>
      <c r="T626" s="4"/>
      <c r="U626" s="4"/>
      <c r="V626" s="4"/>
      <c r="W626" s="4"/>
      <c r="X626" s="4"/>
      <c r="Y626" s="4"/>
      <c r="Z626" s="4"/>
    </row>
    <row r="627" ht="9.75" customHeight="1">
      <c r="A627" s="343"/>
      <c r="B627" s="344"/>
      <c r="C627" s="182"/>
      <c r="D627" s="406"/>
      <c r="E627" s="406"/>
      <c r="F627" s="407"/>
      <c r="G627" s="407"/>
      <c r="H627" s="4"/>
      <c r="I627" s="4"/>
      <c r="J627" s="4"/>
      <c r="K627" s="4"/>
      <c r="L627" s="4"/>
      <c r="M627" s="4"/>
      <c r="N627" s="4"/>
      <c r="O627" s="4"/>
      <c r="P627" s="4"/>
      <c r="Q627" s="4"/>
      <c r="R627" s="4"/>
      <c r="S627" s="4"/>
      <c r="T627" s="4"/>
      <c r="U627" s="4"/>
      <c r="V627" s="4"/>
      <c r="W627" s="4"/>
      <c r="X627" s="4"/>
      <c r="Y627" s="4"/>
      <c r="Z627" s="4"/>
    </row>
    <row r="628" ht="9.75" customHeight="1">
      <c r="A628" s="343"/>
      <c r="B628" s="344"/>
      <c r="C628" s="182"/>
      <c r="D628" s="406"/>
      <c r="E628" s="406"/>
      <c r="F628" s="407"/>
      <c r="G628" s="407"/>
      <c r="H628" s="4"/>
      <c r="I628" s="4"/>
      <c r="J628" s="4"/>
      <c r="K628" s="4"/>
      <c r="L628" s="4"/>
      <c r="M628" s="4"/>
      <c r="N628" s="4"/>
      <c r="O628" s="4"/>
      <c r="P628" s="4"/>
      <c r="Q628" s="4"/>
      <c r="R628" s="4"/>
      <c r="S628" s="4"/>
      <c r="T628" s="4"/>
      <c r="U628" s="4"/>
      <c r="V628" s="4"/>
      <c r="W628" s="4"/>
      <c r="X628" s="4"/>
      <c r="Y628" s="4"/>
      <c r="Z628" s="4"/>
    </row>
    <row r="629" ht="9.75" customHeight="1">
      <c r="A629" s="343"/>
      <c r="B629" s="344"/>
      <c r="C629" s="182"/>
      <c r="D629" s="406"/>
      <c r="E629" s="406"/>
      <c r="F629" s="407"/>
      <c r="G629" s="407"/>
      <c r="H629" s="4"/>
      <c r="I629" s="4"/>
      <c r="J629" s="4"/>
      <c r="K629" s="4"/>
      <c r="L629" s="4"/>
      <c r="M629" s="4"/>
      <c r="N629" s="4"/>
      <c r="O629" s="4"/>
      <c r="P629" s="4"/>
      <c r="Q629" s="4"/>
      <c r="R629" s="4"/>
      <c r="S629" s="4"/>
      <c r="T629" s="4"/>
      <c r="U629" s="4"/>
      <c r="V629" s="4"/>
      <c r="W629" s="4"/>
      <c r="X629" s="4"/>
      <c r="Y629" s="4"/>
      <c r="Z629" s="4"/>
    </row>
    <row r="630" ht="9.75" customHeight="1">
      <c r="A630" s="343"/>
      <c r="B630" s="344"/>
      <c r="C630" s="182"/>
      <c r="D630" s="406"/>
      <c r="E630" s="406"/>
      <c r="F630" s="407"/>
      <c r="G630" s="407"/>
      <c r="H630" s="4"/>
      <c r="I630" s="4"/>
      <c r="J630" s="4"/>
      <c r="K630" s="4"/>
      <c r="L630" s="4"/>
      <c r="M630" s="4"/>
      <c r="N630" s="4"/>
      <c r="O630" s="4"/>
      <c r="P630" s="4"/>
      <c r="Q630" s="4"/>
      <c r="R630" s="4"/>
      <c r="S630" s="4"/>
      <c r="T630" s="4"/>
      <c r="U630" s="4"/>
      <c r="V630" s="4"/>
      <c r="W630" s="4"/>
      <c r="X630" s="4"/>
      <c r="Y630" s="4"/>
      <c r="Z630" s="4"/>
    </row>
    <row r="631" ht="9.75" customHeight="1">
      <c r="A631" s="343"/>
      <c r="B631" s="344"/>
      <c r="C631" s="182"/>
      <c r="D631" s="406"/>
      <c r="E631" s="406"/>
      <c r="F631" s="407"/>
      <c r="G631" s="407"/>
      <c r="H631" s="4"/>
      <c r="I631" s="4"/>
      <c r="J631" s="4"/>
      <c r="K631" s="4"/>
      <c r="L631" s="4"/>
      <c r="M631" s="4"/>
      <c r="N631" s="4"/>
      <c r="O631" s="4"/>
      <c r="P631" s="4"/>
      <c r="Q631" s="4"/>
      <c r="R631" s="4"/>
      <c r="S631" s="4"/>
      <c r="T631" s="4"/>
      <c r="U631" s="4"/>
      <c r="V631" s="4"/>
      <c r="W631" s="4"/>
      <c r="X631" s="4"/>
      <c r="Y631" s="4"/>
      <c r="Z631" s="4"/>
    </row>
    <row r="632" ht="9.75" customHeight="1">
      <c r="A632" s="343"/>
      <c r="B632" s="344"/>
      <c r="C632" s="182"/>
      <c r="D632" s="406"/>
      <c r="E632" s="406"/>
      <c r="F632" s="407"/>
      <c r="G632" s="407"/>
      <c r="H632" s="4"/>
      <c r="I632" s="4"/>
      <c r="J632" s="4"/>
      <c r="K632" s="4"/>
      <c r="L632" s="4"/>
      <c r="M632" s="4"/>
      <c r="N632" s="4"/>
      <c r="O632" s="4"/>
      <c r="P632" s="4"/>
      <c r="Q632" s="4"/>
      <c r="R632" s="4"/>
      <c r="S632" s="4"/>
      <c r="T632" s="4"/>
      <c r="U632" s="4"/>
      <c r="V632" s="4"/>
      <c r="W632" s="4"/>
      <c r="X632" s="4"/>
      <c r="Y632" s="4"/>
      <c r="Z632" s="4"/>
    </row>
    <row r="633" ht="9.75" customHeight="1">
      <c r="A633" s="343"/>
      <c r="B633" s="344"/>
      <c r="C633" s="182"/>
      <c r="D633" s="406"/>
      <c r="E633" s="406"/>
      <c r="F633" s="407"/>
      <c r="G633" s="407"/>
      <c r="H633" s="4"/>
      <c r="I633" s="4"/>
      <c r="J633" s="4"/>
      <c r="K633" s="4"/>
      <c r="L633" s="4"/>
      <c r="M633" s="4"/>
      <c r="N633" s="4"/>
      <c r="O633" s="4"/>
      <c r="P633" s="4"/>
      <c r="Q633" s="4"/>
      <c r="R633" s="4"/>
      <c r="S633" s="4"/>
      <c r="T633" s="4"/>
      <c r="U633" s="4"/>
      <c r="V633" s="4"/>
      <c r="W633" s="4"/>
      <c r="X633" s="4"/>
      <c r="Y633" s="4"/>
      <c r="Z633" s="4"/>
    </row>
    <row r="634" ht="9.75" customHeight="1">
      <c r="A634" s="343"/>
      <c r="B634" s="344"/>
      <c r="C634" s="182"/>
      <c r="D634" s="406"/>
      <c r="E634" s="406"/>
      <c r="F634" s="407"/>
      <c r="G634" s="407"/>
      <c r="H634" s="4"/>
      <c r="I634" s="4"/>
      <c r="J634" s="4"/>
      <c r="K634" s="4"/>
      <c r="L634" s="4"/>
      <c r="M634" s="4"/>
      <c r="N634" s="4"/>
      <c r="O634" s="4"/>
      <c r="P634" s="4"/>
      <c r="Q634" s="4"/>
      <c r="R634" s="4"/>
      <c r="S634" s="4"/>
      <c r="T634" s="4"/>
      <c r="U634" s="4"/>
      <c r="V634" s="4"/>
      <c r="W634" s="4"/>
      <c r="X634" s="4"/>
      <c r="Y634" s="4"/>
      <c r="Z634" s="4"/>
    </row>
    <row r="635" ht="9.75" customHeight="1">
      <c r="A635" s="343"/>
      <c r="B635" s="344"/>
      <c r="C635" s="182"/>
      <c r="D635" s="406"/>
      <c r="E635" s="406"/>
      <c r="F635" s="407"/>
      <c r="G635" s="407"/>
      <c r="H635" s="4"/>
      <c r="I635" s="4"/>
      <c r="J635" s="4"/>
      <c r="K635" s="4"/>
      <c r="L635" s="4"/>
      <c r="M635" s="4"/>
      <c r="N635" s="4"/>
      <c r="O635" s="4"/>
      <c r="P635" s="4"/>
      <c r="Q635" s="4"/>
      <c r="R635" s="4"/>
      <c r="S635" s="4"/>
      <c r="T635" s="4"/>
      <c r="U635" s="4"/>
      <c r="V635" s="4"/>
      <c r="W635" s="4"/>
      <c r="X635" s="4"/>
      <c r="Y635" s="4"/>
      <c r="Z635" s="4"/>
    </row>
    <row r="636" ht="9.75" customHeight="1">
      <c r="A636" s="343"/>
      <c r="B636" s="344"/>
      <c r="C636" s="182"/>
      <c r="D636" s="406"/>
      <c r="E636" s="406"/>
      <c r="F636" s="407"/>
      <c r="G636" s="407"/>
      <c r="H636" s="4"/>
      <c r="I636" s="4"/>
      <c r="J636" s="4"/>
      <c r="K636" s="4"/>
      <c r="L636" s="4"/>
      <c r="M636" s="4"/>
      <c r="N636" s="4"/>
      <c r="O636" s="4"/>
      <c r="P636" s="4"/>
      <c r="Q636" s="4"/>
      <c r="R636" s="4"/>
      <c r="S636" s="4"/>
      <c r="T636" s="4"/>
      <c r="U636" s="4"/>
      <c r="V636" s="4"/>
      <c r="W636" s="4"/>
      <c r="X636" s="4"/>
      <c r="Y636" s="4"/>
      <c r="Z636" s="4"/>
    </row>
    <row r="637" ht="9.75" customHeight="1">
      <c r="A637" s="343"/>
      <c r="B637" s="344"/>
      <c r="C637" s="182"/>
      <c r="D637" s="406"/>
      <c r="E637" s="406"/>
      <c r="F637" s="407"/>
      <c r="G637" s="407"/>
      <c r="H637" s="4"/>
      <c r="I637" s="4"/>
      <c r="J637" s="4"/>
      <c r="K637" s="4"/>
      <c r="L637" s="4"/>
      <c r="M637" s="4"/>
      <c r="N637" s="4"/>
      <c r="O637" s="4"/>
      <c r="P637" s="4"/>
      <c r="Q637" s="4"/>
      <c r="R637" s="4"/>
      <c r="S637" s="4"/>
      <c r="T637" s="4"/>
      <c r="U637" s="4"/>
      <c r="V637" s="4"/>
      <c r="W637" s="4"/>
      <c r="X637" s="4"/>
      <c r="Y637" s="4"/>
      <c r="Z637" s="4"/>
    </row>
    <row r="638" ht="9.75" customHeight="1">
      <c r="A638" s="343"/>
      <c r="B638" s="344"/>
      <c r="C638" s="182"/>
      <c r="D638" s="406"/>
      <c r="E638" s="406"/>
      <c r="F638" s="407"/>
      <c r="G638" s="407"/>
      <c r="H638" s="4"/>
      <c r="I638" s="4"/>
      <c r="J638" s="4"/>
      <c r="K638" s="4"/>
      <c r="L638" s="4"/>
      <c r="M638" s="4"/>
      <c r="N638" s="4"/>
      <c r="O638" s="4"/>
      <c r="P638" s="4"/>
      <c r="Q638" s="4"/>
      <c r="R638" s="4"/>
      <c r="S638" s="4"/>
      <c r="T638" s="4"/>
      <c r="U638" s="4"/>
      <c r="V638" s="4"/>
      <c r="W638" s="4"/>
      <c r="X638" s="4"/>
      <c r="Y638" s="4"/>
      <c r="Z638" s="4"/>
    </row>
    <row r="639" ht="9.75" customHeight="1">
      <c r="A639" s="343"/>
      <c r="B639" s="344"/>
      <c r="C639" s="182"/>
      <c r="D639" s="406"/>
      <c r="E639" s="406"/>
      <c r="F639" s="407"/>
      <c r="G639" s="407"/>
      <c r="H639" s="4"/>
      <c r="I639" s="4"/>
      <c r="J639" s="4"/>
      <c r="K639" s="4"/>
      <c r="L639" s="4"/>
      <c r="M639" s="4"/>
      <c r="N639" s="4"/>
      <c r="O639" s="4"/>
      <c r="P639" s="4"/>
      <c r="Q639" s="4"/>
      <c r="R639" s="4"/>
      <c r="S639" s="4"/>
      <c r="T639" s="4"/>
      <c r="U639" s="4"/>
      <c r="V639" s="4"/>
      <c r="W639" s="4"/>
      <c r="X639" s="4"/>
      <c r="Y639" s="4"/>
      <c r="Z639" s="4"/>
    </row>
    <row r="640" ht="9.75" customHeight="1">
      <c r="A640" s="343"/>
      <c r="B640" s="344"/>
      <c r="C640" s="182"/>
      <c r="D640" s="406"/>
      <c r="E640" s="406"/>
      <c r="F640" s="407"/>
      <c r="G640" s="407"/>
      <c r="H640" s="4"/>
      <c r="I640" s="4"/>
      <c r="J640" s="4"/>
      <c r="K640" s="4"/>
      <c r="L640" s="4"/>
      <c r="M640" s="4"/>
      <c r="N640" s="4"/>
      <c r="O640" s="4"/>
      <c r="P640" s="4"/>
      <c r="Q640" s="4"/>
      <c r="R640" s="4"/>
      <c r="S640" s="4"/>
      <c r="T640" s="4"/>
      <c r="U640" s="4"/>
      <c r="V640" s="4"/>
      <c r="W640" s="4"/>
      <c r="X640" s="4"/>
      <c r="Y640" s="4"/>
      <c r="Z640" s="4"/>
    </row>
    <row r="641" ht="9.75" customHeight="1">
      <c r="A641" s="343"/>
      <c r="B641" s="344"/>
      <c r="C641" s="182"/>
      <c r="D641" s="406"/>
      <c r="E641" s="406"/>
      <c r="F641" s="407"/>
      <c r="G641" s="407"/>
      <c r="H641" s="4"/>
      <c r="I641" s="4"/>
      <c r="J641" s="4"/>
      <c r="K641" s="4"/>
      <c r="L641" s="4"/>
      <c r="M641" s="4"/>
      <c r="N641" s="4"/>
      <c r="O641" s="4"/>
      <c r="P641" s="4"/>
      <c r="Q641" s="4"/>
      <c r="R641" s="4"/>
      <c r="S641" s="4"/>
      <c r="T641" s="4"/>
      <c r="U641" s="4"/>
      <c r="V641" s="4"/>
      <c r="W641" s="4"/>
      <c r="X641" s="4"/>
      <c r="Y641" s="4"/>
      <c r="Z641" s="4"/>
    </row>
    <row r="642" ht="9.75" customHeight="1">
      <c r="A642" s="343"/>
      <c r="B642" s="344"/>
      <c r="C642" s="182"/>
      <c r="D642" s="406"/>
      <c r="E642" s="406"/>
      <c r="F642" s="407"/>
      <c r="G642" s="407"/>
      <c r="H642" s="4"/>
      <c r="I642" s="4"/>
      <c r="J642" s="4"/>
      <c r="K642" s="4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  <c r="X642" s="4"/>
      <c r="Y642" s="4"/>
      <c r="Z642" s="4"/>
    </row>
    <row r="643" ht="9.75" customHeight="1">
      <c r="A643" s="343"/>
      <c r="B643" s="344"/>
      <c r="C643" s="182"/>
      <c r="D643" s="406"/>
      <c r="E643" s="406"/>
      <c r="F643" s="407"/>
      <c r="G643" s="407"/>
      <c r="H643" s="4"/>
      <c r="I643" s="4"/>
      <c r="J643" s="4"/>
      <c r="K643" s="4"/>
      <c r="L643" s="4"/>
      <c r="M643" s="4"/>
      <c r="N643" s="4"/>
      <c r="O643" s="4"/>
      <c r="P643" s="4"/>
      <c r="Q643" s="4"/>
      <c r="R643" s="4"/>
      <c r="S643" s="4"/>
      <c r="T643" s="4"/>
      <c r="U643" s="4"/>
      <c r="V643" s="4"/>
      <c r="W643" s="4"/>
      <c r="X643" s="4"/>
      <c r="Y643" s="4"/>
      <c r="Z643" s="4"/>
    </row>
    <row r="644" ht="9.75" customHeight="1">
      <c r="A644" s="343"/>
      <c r="B644" s="344"/>
      <c r="C644" s="182"/>
      <c r="D644" s="406"/>
      <c r="E644" s="406"/>
      <c r="F644" s="407"/>
      <c r="G644" s="407"/>
      <c r="H644" s="4"/>
      <c r="I644" s="4"/>
      <c r="J644" s="4"/>
      <c r="K644" s="4"/>
      <c r="L644" s="4"/>
      <c r="M644" s="4"/>
      <c r="N644" s="4"/>
      <c r="O644" s="4"/>
      <c r="P644" s="4"/>
      <c r="Q644" s="4"/>
      <c r="R644" s="4"/>
      <c r="S644" s="4"/>
      <c r="T644" s="4"/>
      <c r="U644" s="4"/>
      <c r="V644" s="4"/>
      <c r="W644" s="4"/>
      <c r="X644" s="4"/>
      <c r="Y644" s="4"/>
      <c r="Z644" s="4"/>
    </row>
    <row r="645" ht="9.75" customHeight="1">
      <c r="A645" s="343"/>
      <c r="B645" s="344"/>
      <c r="C645" s="182"/>
      <c r="D645" s="406"/>
      <c r="E645" s="406"/>
      <c r="F645" s="407"/>
      <c r="G645" s="407"/>
      <c r="H645" s="4"/>
      <c r="I645" s="4"/>
      <c r="J645" s="4"/>
      <c r="K645" s="4"/>
      <c r="L645" s="4"/>
      <c r="M645" s="4"/>
      <c r="N645" s="4"/>
      <c r="O645" s="4"/>
      <c r="P645" s="4"/>
      <c r="Q645" s="4"/>
      <c r="R645" s="4"/>
      <c r="S645" s="4"/>
      <c r="T645" s="4"/>
      <c r="U645" s="4"/>
      <c r="V645" s="4"/>
      <c r="W645" s="4"/>
      <c r="X645" s="4"/>
      <c r="Y645" s="4"/>
      <c r="Z645" s="4"/>
    </row>
    <row r="646" ht="9.75" customHeight="1">
      <c r="A646" s="343"/>
      <c r="B646" s="344"/>
      <c r="C646" s="182"/>
      <c r="D646" s="406"/>
      <c r="E646" s="406"/>
      <c r="F646" s="407"/>
      <c r="G646" s="407"/>
      <c r="H646" s="4"/>
      <c r="I646" s="4"/>
      <c r="J646" s="4"/>
      <c r="K646" s="4"/>
      <c r="L646" s="4"/>
      <c r="M646" s="4"/>
      <c r="N646" s="4"/>
      <c r="O646" s="4"/>
      <c r="P646" s="4"/>
      <c r="Q646" s="4"/>
      <c r="R646" s="4"/>
      <c r="S646" s="4"/>
      <c r="T646" s="4"/>
      <c r="U646" s="4"/>
      <c r="V646" s="4"/>
      <c r="W646" s="4"/>
      <c r="X646" s="4"/>
      <c r="Y646" s="4"/>
      <c r="Z646" s="4"/>
    </row>
    <row r="647" ht="9.75" customHeight="1">
      <c r="A647" s="343"/>
      <c r="B647" s="344"/>
      <c r="C647" s="182"/>
      <c r="D647" s="406"/>
      <c r="E647" s="406"/>
      <c r="F647" s="407"/>
      <c r="G647" s="407"/>
      <c r="H647" s="4"/>
      <c r="I647" s="4"/>
      <c r="J647" s="4"/>
      <c r="K647" s="4"/>
      <c r="L647" s="4"/>
      <c r="M647" s="4"/>
      <c r="N647" s="4"/>
      <c r="O647" s="4"/>
      <c r="P647" s="4"/>
      <c r="Q647" s="4"/>
      <c r="R647" s="4"/>
      <c r="S647" s="4"/>
      <c r="T647" s="4"/>
      <c r="U647" s="4"/>
      <c r="V647" s="4"/>
      <c r="W647" s="4"/>
      <c r="X647" s="4"/>
      <c r="Y647" s="4"/>
      <c r="Z647" s="4"/>
    </row>
    <row r="648" ht="9.75" customHeight="1">
      <c r="A648" s="343"/>
      <c r="B648" s="344"/>
      <c r="C648" s="182"/>
      <c r="D648" s="406"/>
      <c r="E648" s="406"/>
      <c r="F648" s="407"/>
      <c r="G648" s="407"/>
      <c r="H648" s="4"/>
      <c r="I648" s="4"/>
      <c r="J648" s="4"/>
      <c r="K648" s="4"/>
      <c r="L648" s="4"/>
      <c r="M648" s="4"/>
      <c r="N648" s="4"/>
      <c r="O648" s="4"/>
      <c r="P648" s="4"/>
      <c r="Q648" s="4"/>
      <c r="R648" s="4"/>
      <c r="S648" s="4"/>
      <c r="T648" s="4"/>
      <c r="U648" s="4"/>
      <c r="V648" s="4"/>
      <c r="W648" s="4"/>
      <c r="X648" s="4"/>
      <c r="Y648" s="4"/>
      <c r="Z648" s="4"/>
    </row>
    <row r="649" ht="9.75" customHeight="1">
      <c r="A649" s="343"/>
      <c r="B649" s="344"/>
      <c r="C649" s="182"/>
      <c r="D649" s="406"/>
      <c r="E649" s="406"/>
      <c r="F649" s="407"/>
      <c r="G649" s="407"/>
      <c r="H649" s="4"/>
      <c r="I649" s="4"/>
      <c r="J649" s="4"/>
      <c r="K649" s="4"/>
      <c r="L649" s="4"/>
      <c r="M649" s="4"/>
      <c r="N649" s="4"/>
      <c r="O649" s="4"/>
      <c r="P649" s="4"/>
      <c r="Q649" s="4"/>
      <c r="R649" s="4"/>
      <c r="S649" s="4"/>
      <c r="T649" s="4"/>
      <c r="U649" s="4"/>
      <c r="V649" s="4"/>
      <c r="W649" s="4"/>
      <c r="X649" s="4"/>
      <c r="Y649" s="4"/>
      <c r="Z649" s="4"/>
    </row>
    <row r="650" ht="9.75" customHeight="1">
      <c r="A650" s="343"/>
      <c r="B650" s="344"/>
      <c r="C650" s="182"/>
      <c r="D650" s="406"/>
      <c r="E650" s="406"/>
      <c r="F650" s="407"/>
      <c r="G650" s="407"/>
      <c r="H650" s="4"/>
      <c r="I650" s="4"/>
      <c r="J650" s="4"/>
      <c r="K650" s="4"/>
      <c r="L650" s="4"/>
      <c r="M650" s="4"/>
      <c r="N650" s="4"/>
      <c r="O650" s="4"/>
      <c r="P650" s="4"/>
      <c r="Q650" s="4"/>
      <c r="R650" s="4"/>
      <c r="S650" s="4"/>
      <c r="T650" s="4"/>
      <c r="U650" s="4"/>
      <c r="V650" s="4"/>
      <c r="W650" s="4"/>
      <c r="X650" s="4"/>
      <c r="Y650" s="4"/>
      <c r="Z650" s="4"/>
    </row>
    <row r="651" ht="9.75" customHeight="1">
      <c r="A651" s="343"/>
      <c r="B651" s="344"/>
      <c r="C651" s="182"/>
      <c r="D651" s="406"/>
      <c r="E651" s="406"/>
      <c r="F651" s="407"/>
      <c r="G651" s="407"/>
      <c r="H651" s="4"/>
      <c r="I651" s="4"/>
      <c r="J651" s="4"/>
      <c r="K651" s="4"/>
      <c r="L651" s="4"/>
      <c r="M651" s="4"/>
      <c r="N651" s="4"/>
      <c r="O651" s="4"/>
      <c r="P651" s="4"/>
      <c r="Q651" s="4"/>
      <c r="R651" s="4"/>
      <c r="S651" s="4"/>
      <c r="T651" s="4"/>
      <c r="U651" s="4"/>
      <c r="V651" s="4"/>
      <c r="W651" s="4"/>
      <c r="X651" s="4"/>
      <c r="Y651" s="4"/>
      <c r="Z651" s="4"/>
    </row>
    <row r="652" ht="9.75" customHeight="1">
      <c r="A652" s="343"/>
      <c r="B652" s="344"/>
      <c r="C652" s="182"/>
      <c r="D652" s="406"/>
      <c r="E652" s="406"/>
      <c r="F652" s="407"/>
      <c r="G652" s="407"/>
      <c r="H652" s="4"/>
      <c r="I652" s="4"/>
      <c r="J652" s="4"/>
      <c r="K652" s="4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  <c r="X652" s="4"/>
      <c r="Y652" s="4"/>
      <c r="Z652" s="4"/>
    </row>
    <row r="653" ht="9.75" customHeight="1">
      <c r="A653" s="343"/>
      <c r="B653" s="344"/>
      <c r="C653" s="182"/>
      <c r="D653" s="406"/>
      <c r="E653" s="406"/>
      <c r="F653" s="407"/>
      <c r="G653" s="407"/>
      <c r="H653" s="4"/>
      <c r="I653" s="4"/>
      <c r="J653" s="4"/>
      <c r="K653" s="4"/>
      <c r="L653" s="4"/>
      <c r="M653" s="4"/>
      <c r="N653" s="4"/>
      <c r="O653" s="4"/>
      <c r="P653" s="4"/>
      <c r="Q653" s="4"/>
      <c r="R653" s="4"/>
      <c r="S653" s="4"/>
      <c r="T653" s="4"/>
      <c r="U653" s="4"/>
      <c r="V653" s="4"/>
      <c r="W653" s="4"/>
      <c r="X653" s="4"/>
      <c r="Y653" s="4"/>
      <c r="Z653" s="4"/>
    </row>
    <row r="654" ht="9.75" customHeight="1">
      <c r="A654" s="343"/>
      <c r="B654" s="344"/>
      <c r="C654" s="182"/>
      <c r="D654" s="406"/>
      <c r="E654" s="406"/>
      <c r="F654" s="407"/>
      <c r="G654" s="407"/>
      <c r="H654" s="4"/>
      <c r="I654" s="4"/>
      <c r="J654" s="4"/>
      <c r="K654" s="4"/>
      <c r="L654" s="4"/>
      <c r="M654" s="4"/>
      <c r="N654" s="4"/>
      <c r="O654" s="4"/>
      <c r="P654" s="4"/>
      <c r="Q654" s="4"/>
      <c r="R654" s="4"/>
      <c r="S654" s="4"/>
      <c r="T654" s="4"/>
      <c r="U654" s="4"/>
      <c r="V654" s="4"/>
      <c r="W654" s="4"/>
      <c r="X654" s="4"/>
      <c r="Y654" s="4"/>
      <c r="Z654" s="4"/>
    </row>
    <row r="655" ht="9.75" customHeight="1">
      <c r="A655" s="343"/>
      <c r="B655" s="344"/>
      <c r="C655" s="182"/>
      <c r="D655" s="406"/>
      <c r="E655" s="406"/>
      <c r="F655" s="407"/>
      <c r="G655" s="407"/>
      <c r="H655" s="4"/>
      <c r="I655" s="4"/>
      <c r="J655" s="4"/>
      <c r="K655" s="4"/>
      <c r="L655" s="4"/>
      <c r="M655" s="4"/>
      <c r="N655" s="4"/>
      <c r="O655" s="4"/>
      <c r="P655" s="4"/>
      <c r="Q655" s="4"/>
      <c r="R655" s="4"/>
      <c r="S655" s="4"/>
      <c r="T655" s="4"/>
      <c r="U655" s="4"/>
      <c r="V655" s="4"/>
      <c r="W655" s="4"/>
      <c r="X655" s="4"/>
      <c r="Y655" s="4"/>
      <c r="Z655" s="4"/>
    </row>
    <row r="656" ht="9.75" customHeight="1">
      <c r="A656" s="343"/>
      <c r="B656" s="344"/>
      <c r="C656" s="182"/>
      <c r="D656" s="406"/>
      <c r="E656" s="406"/>
      <c r="F656" s="407"/>
      <c r="G656" s="407"/>
      <c r="H656" s="4"/>
      <c r="I656" s="4"/>
      <c r="J656" s="4"/>
      <c r="K656" s="4"/>
      <c r="L656" s="4"/>
      <c r="M656" s="4"/>
      <c r="N656" s="4"/>
      <c r="O656" s="4"/>
      <c r="P656" s="4"/>
      <c r="Q656" s="4"/>
      <c r="R656" s="4"/>
      <c r="S656" s="4"/>
      <c r="T656" s="4"/>
      <c r="U656" s="4"/>
      <c r="V656" s="4"/>
      <c r="W656" s="4"/>
      <c r="X656" s="4"/>
      <c r="Y656" s="4"/>
      <c r="Z656" s="4"/>
    </row>
    <row r="657" ht="9.75" customHeight="1">
      <c r="A657" s="343"/>
      <c r="B657" s="344"/>
      <c r="C657" s="182"/>
      <c r="D657" s="406"/>
      <c r="E657" s="406"/>
      <c r="F657" s="407"/>
      <c r="G657" s="407"/>
      <c r="H657" s="4"/>
      <c r="I657" s="4"/>
      <c r="J657" s="4"/>
      <c r="K657" s="4"/>
      <c r="L657" s="4"/>
      <c r="M657" s="4"/>
      <c r="N657" s="4"/>
      <c r="O657" s="4"/>
      <c r="P657" s="4"/>
      <c r="Q657" s="4"/>
      <c r="R657" s="4"/>
      <c r="S657" s="4"/>
      <c r="T657" s="4"/>
      <c r="U657" s="4"/>
      <c r="V657" s="4"/>
      <c r="W657" s="4"/>
      <c r="X657" s="4"/>
      <c r="Y657" s="4"/>
      <c r="Z657" s="4"/>
    </row>
    <row r="658" ht="9.75" customHeight="1">
      <c r="A658" s="343"/>
      <c r="B658" s="344"/>
      <c r="C658" s="182"/>
      <c r="D658" s="406"/>
      <c r="E658" s="406"/>
      <c r="F658" s="407"/>
      <c r="G658" s="407"/>
      <c r="H658" s="4"/>
      <c r="I658" s="4"/>
      <c r="J658" s="4"/>
      <c r="K658" s="4"/>
      <c r="L658" s="4"/>
      <c r="M658" s="4"/>
      <c r="N658" s="4"/>
      <c r="O658" s="4"/>
      <c r="P658" s="4"/>
      <c r="Q658" s="4"/>
      <c r="R658" s="4"/>
      <c r="S658" s="4"/>
      <c r="T658" s="4"/>
      <c r="U658" s="4"/>
      <c r="V658" s="4"/>
      <c r="W658" s="4"/>
      <c r="X658" s="4"/>
      <c r="Y658" s="4"/>
      <c r="Z658" s="4"/>
    </row>
    <row r="659" ht="9.75" customHeight="1">
      <c r="A659" s="343"/>
      <c r="B659" s="344"/>
      <c r="C659" s="182"/>
      <c r="D659" s="406"/>
      <c r="E659" s="406"/>
      <c r="F659" s="407"/>
      <c r="G659" s="407"/>
      <c r="H659" s="4"/>
      <c r="I659" s="4"/>
      <c r="J659" s="4"/>
      <c r="K659" s="4"/>
      <c r="L659" s="4"/>
      <c r="M659" s="4"/>
      <c r="N659" s="4"/>
      <c r="O659" s="4"/>
      <c r="P659" s="4"/>
      <c r="Q659" s="4"/>
      <c r="R659" s="4"/>
      <c r="S659" s="4"/>
      <c r="T659" s="4"/>
      <c r="U659" s="4"/>
      <c r="V659" s="4"/>
      <c r="W659" s="4"/>
      <c r="X659" s="4"/>
      <c r="Y659" s="4"/>
      <c r="Z659" s="4"/>
    </row>
    <row r="660" ht="9.75" customHeight="1">
      <c r="A660" s="343"/>
      <c r="B660" s="344"/>
      <c r="C660" s="182"/>
      <c r="D660" s="406"/>
      <c r="E660" s="406"/>
      <c r="F660" s="407"/>
      <c r="G660" s="407"/>
      <c r="H660" s="4"/>
      <c r="I660" s="4"/>
      <c r="J660" s="4"/>
      <c r="K660" s="4"/>
      <c r="L660" s="4"/>
      <c r="M660" s="4"/>
      <c r="N660" s="4"/>
      <c r="O660" s="4"/>
      <c r="P660" s="4"/>
      <c r="Q660" s="4"/>
      <c r="R660" s="4"/>
      <c r="S660" s="4"/>
      <c r="T660" s="4"/>
      <c r="U660" s="4"/>
      <c r="V660" s="4"/>
      <c r="W660" s="4"/>
      <c r="X660" s="4"/>
      <c r="Y660" s="4"/>
      <c r="Z660" s="4"/>
    </row>
    <row r="661" ht="9.75" customHeight="1">
      <c r="A661" s="343"/>
      <c r="B661" s="344"/>
      <c r="C661" s="182"/>
      <c r="D661" s="406"/>
      <c r="E661" s="406"/>
      <c r="F661" s="407"/>
      <c r="G661" s="407"/>
      <c r="H661" s="4"/>
      <c r="I661" s="4"/>
      <c r="J661" s="4"/>
      <c r="K661" s="4"/>
      <c r="L661" s="4"/>
      <c r="M661" s="4"/>
      <c r="N661" s="4"/>
      <c r="O661" s="4"/>
      <c r="P661" s="4"/>
      <c r="Q661" s="4"/>
      <c r="R661" s="4"/>
      <c r="S661" s="4"/>
      <c r="T661" s="4"/>
      <c r="U661" s="4"/>
      <c r="V661" s="4"/>
      <c r="W661" s="4"/>
      <c r="X661" s="4"/>
      <c r="Y661" s="4"/>
      <c r="Z661" s="4"/>
    </row>
    <row r="662" ht="9.75" customHeight="1">
      <c r="A662" s="343"/>
      <c r="B662" s="344"/>
      <c r="C662" s="182"/>
      <c r="D662" s="406"/>
      <c r="E662" s="406"/>
      <c r="F662" s="407"/>
      <c r="G662" s="407"/>
      <c r="H662" s="4"/>
      <c r="I662" s="4"/>
      <c r="J662" s="4"/>
      <c r="K662" s="4"/>
      <c r="L662" s="4"/>
      <c r="M662" s="4"/>
      <c r="N662" s="4"/>
      <c r="O662" s="4"/>
      <c r="P662" s="4"/>
      <c r="Q662" s="4"/>
      <c r="R662" s="4"/>
      <c r="S662" s="4"/>
      <c r="T662" s="4"/>
      <c r="U662" s="4"/>
      <c r="V662" s="4"/>
      <c r="W662" s="4"/>
      <c r="X662" s="4"/>
      <c r="Y662" s="4"/>
      <c r="Z662" s="4"/>
    </row>
    <row r="663" ht="9.75" customHeight="1">
      <c r="A663" s="343"/>
      <c r="B663" s="344"/>
      <c r="C663" s="182"/>
      <c r="D663" s="406"/>
      <c r="E663" s="406"/>
      <c r="F663" s="407"/>
      <c r="G663" s="407"/>
      <c r="H663" s="4"/>
      <c r="I663" s="4"/>
      <c r="J663" s="4"/>
      <c r="K663" s="4"/>
      <c r="L663" s="4"/>
      <c r="M663" s="4"/>
      <c r="N663" s="4"/>
      <c r="O663" s="4"/>
      <c r="P663" s="4"/>
      <c r="Q663" s="4"/>
      <c r="R663" s="4"/>
      <c r="S663" s="4"/>
      <c r="T663" s="4"/>
      <c r="U663" s="4"/>
      <c r="V663" s="4"/>
      <c r="W663" s="4"/>
      <c r="X663" s="4"/>
      <c r="Y663" s="4"/>
      <c r="Z663" s="4"/>
    </row>
    <row r="664" ht="9.75" customHeight="1">
      <c r="A664" s="343"/>
      <c r="B664" s="344"/>
      <c r="C664" s="182"/>
      <c r="D664" s="406"/>
      <c r="E664" s="406"/>
      <c r="F664" s="407"/>
      <c r="G664" s="407"/>
      <c r="H664" s="4"/>
      <c r="I664" s="4"/>
      <c r="J664" s="4"/>
      <c r="K664" s="4"/>
      <c r="L664" s="4"/>
      <c r="M664" s="4"/>
      <c r="N664" s="4"/>
      <c r="O664" s="4"/>
      <c r="P664" s="4"/>
      <c r="Q664" s="4"/>
      <c r="R664" s="4"/>
      <c r="S664" s="4"/>
      <c r="T664" s="4"/>
      <c r="U664" s="4"/>
      <c r="V664" s="4"/>
      <c r="W664" s="4"/>
      <c r="X664" s="4"/>
      <c r="Y664" s="4"/>
      <c r="Z664" s="4"/>
    </row>
    <row r="665" ht="9.75" customHeight="1">
      <c r="A665" s="343"/>
      <c r="B665" s="344"/>
      <c r="C665" s="182"/>
      <c r="D665" s="406"/>
      <c r="E665" s="406"/>
      <c r="F665" s="407"/>
      <c r="G665" s="407"/>
      <c r="H665" s="4"/>
      <c r="I665" s="4"/>
      <c r="J665" s="4"/>
      <c r="K665" s="4"/>
      <c r="L665" s="4"/>
      <c r="M665" s="4"/>
      <c r="N665" s="4"/>
      <c r="O665" s="4"/>
      <c r="P665" s="4"/>
      <c r="Q665" s="4"/>
      <c r="R665" s="4"/>
      <c r="S665" s="4"/>
      <c r="T665" s="4"/>
      <c r="U665" s="4"/>
      <c r="V665" s="4"/>
      <c r="W665" s="4"/>
      <c r="X665" s="4"/>
      <c r="Y665" s="4"/>
      <c r="Z665" s="4"/>
    </row>
    <row r="666" ht="9.75" customHeight="1">
      <c r="A666" s="343"/>
      <c r="B666" s="344"/>
      <c r="C666" s="182"/>
      <c r="D666" s="406"/>
      <c r="E666" s="406"/>
      <c r="F666" s="407"/>
      <c r="G666" s="407"/>
      <c r="H666" s="4"/>
      <c r="I666" s="4"/>
      <c r="J666" s="4"/>
      <c r="K666" s="4"/>
      <c r="L666" s="4"/>
      <c r="M666" s="4"/>
      <c r="N666" s="4"/>
      <c r="O666" s="4"/>
      <c r="P666" s="4"/>
      <c r="Q666" s="4"/>
      <c r="R666" s="4"/>
      <c r="S666" s="4"/>
      <c r="T666" s="4"/>
      <c r="U666" s="4"/>
      <c r="V666" s="4"/>
      <c r="W666" s="4"/>
      <c r="X666" s="4"/>
      <c r="Y666" s="4"/>
      <c r="Z666" s="4"/>
    </row>
    <row r="667" ht="9.75" customHeight="1">
      <c r="A667" s="343"/>
      <c r="B667" s="344"/>
      <c r="C667" s="182"/>
      <c r="D667" s="406"/>
      <c r="E667" s="406"/>
      <c r="F667" s="407"/>
      <c r="G667" s="407"/>
      <c r="H667" s="4"/>
      <c r="I667" s="4"/>
      <c r="J667" s="4"/>
      <c r="K667" s="4"/>
      <c r="L667" s="4"/>
      <c r="M667" s="4"/>
      <c r="N667" s="4"/>
      <c r="O667" s="4"/>
      <c r="P667" s="4"/>
      <c r="Q667" s="4"/>
      <c r="R667" s="4"/>
      <c r="S667" s="4"/>
      <c r="T667" s="4"/>
      <c r="U667" s="4"/>
      <c r="V667" s="4"/>
      <c r="W667" s="4"/>
      <c r="X667" s="4"/>
      <c r="Y667" s="4"/>
      <c r="Z667" s="4"/>
    </row>
    <row r="668" ht="9.75" customHeight="1">
      <c r="A668" s="343"/>
      <c r="B668" s="344"/>
      <c r="C668" s="182"/>
      <c r="D668" s="406"/>
      <c r="E668" s="406"/>
      <c r="F668" s="407"/>
      <c r="G668" s="407"/>
      <c r="H668" s="4"/>
      <c r="I668" s="4"/>
      <c r="J668" s="4"/>
      <c r="K668" s="4"/>
      <c r="L668" s="4"/>
      <c r="M668" s="4"/>
      <c r="N668" s="4"/>
      <c r="O668" s="4"/>
      <c r="P668" s="4"/>
      <c r="Q668" s="4"/>
      <c r="R668" s="4"/>
      <c r="S668" s="4"/>
      <c r="T668" s="4"/>
      <c r="U668" s="4"/>
      <c r="V668" s="4"/>
      <c r="W668" s="4"/>
      <c r="X668" s="4"/>
      <c r="Y668" s="4"/>
      <c r="Z668" s="4"/>
    </row>
    <row r="669" ht="9.75" customHeight="1">
      <c r="A669" s="343"/>
      <c r="B669" s="344"/>
      <c r="C669" s="182"/>
      <c r="D669" s="406"/>
      <c r="E669" s="406"/>
      <c r="F669" s="407"/>
      <c r="G669" s="407"/>
      <c r="H669" s="4"/>
      <c r="I669" s="4"/>
      <c r="J669" s="4"/>
      <c r="K669" s="4"/>
      <c r="L669" s="4"/>
      <c r="M669" s="4"/>
      <c r="N669" s="4"/>
      <c r="O669" s="4"/>
      <c r="P669" s="4"/>
      <c r="Q669" s="4"/>
      <c r="R669" s="4"/>
      <c r="S669" s="4"/>
      <c r="T669" s="4"/>
      <c r="U669" s="4"/>
      <c r="V669" s="4"/>
      <c r="W669" s="4"/>
      <c r="X669" s="4"/>
      <c r="Y669" s="4"/>
      <c r="Z669" s="4"/>
    </row>
    <row r="670" ht="9.75" customHeight="1">
      <c r="A670" s="343"/>
      <c r="B670" s="344"/>
      <c r="C670" s="182"/>
      <c r="D670" s="406"/>
      <c r="E670" s="406"/>
      <c r="F670" s="407"/>
      <c r="G670" s="407"/>
      <c r="H670" s="4"/>
      <c r="I670" s="4"/>
      <c r="J670" s="4"/>
      <c r="K670" s="4"/>
      <c r="L670" s="4"/>
      <c r="M670" s="4"/>
      <c r="N670" s="4"/>
      <c r="O670" s="4"/>
      <c r="P670" s="4"/>
      <c r="Q670" s="4"/>
      <c r="R670" s="4"/>
      <c r="S670" s="4"/>
      <c r="T670" s="4"/>
      <c r="U670" s="4"/>
      <c r="V670" s="4"/>
      <c r="W670" s="4"/>
      <c r="X670" s="4"/>
      <c r="Y670" s="4"/>
      <c r="Z670" s="4"/>
    </row>
    <row r="671" ht="9.75" customHeight="1">
      <c r="A671" s="343"/>
      <c r="B671" s="344"/>
      <c r="C671" s="182"/>
      <c r="D671" s="406"/>
      <c r="E671" s="406"/>
      <c r="F671" s="407"/>
      <c r="G671" s="407"/>
      <c r="H671" s="4"/>
      <c r="I671" s="4"/>
      <c r="J671" s="4"/>
      <c r="K671" s="4"/>
      <c r="L671" s="4"/>
      <c r="M671" s="4"/>
      <c r="N671" s="4"/>
      <c r="O671" s="4"/>
      <c r="P671" s="4"/>
      <c r="Q671" s="4"/>
      <c r="R671" s="4"/>
      <c r="S671" s="4"/>
      <c r="T671" s="4"/>
      <c r="U671" s="4"/>
      <c r="V671" s="4"/>
      <c r="W671" s="4"/>
      <c r="X671" s="4"/>
      <c r="Y671" s="4"/>
      <c r="Z671" s="4"/>
    </row>
    <row r="672" ht="9.75" customHeight="1">
      <c r="A672" s="343"/>
      <c r="B672" s="344"/>
      <c r="C672" s="182"/>
      <c r="D672" s="406"/>
      <c r="E672" s="406"/>
      <c r="F672" s="407"/>
      <c r="G672" s="407"/>
      <c r="H672" s="4"/>
      <c r="I672" s="4"/>
      <c r="J672" s="4"/>
      <c r="K672" s="4"/>
      <c r="L672" s="4"/>
      <c r="M672" s="4"/>
      <c r="N672" s="4"/>
      <c r="O672" s="4"/>
      <c r="P672" s="4"/>
      <c r="Q672" s="4"/>
      <c r="R672" s="4"/>
      <c r="S672" s="4"/>
      <c r="T672" s="4"/>
      <c r="U672" s="4"/>
      <c r="V672" s="4"/>
      <c r="W672" s="4"/>
      <c r="X672" s="4"/>
      <c r="Y672" s="4"/>
      <c r="Z672" s="4"/>
    </row>
    <row r="673" ht="9.75" customHeight="1">
      <c r="A673" s="343"/>
      <c r="B673" s="344"/>
      <c r="C673" s="182"/>
      <c r="D673" s="406"/>
      <c r="E673" s="406"/>
      <c r="F673" s="407"/>
      <c r="G673" s="407"/>
      <c r="H673" s="4"/>
      <c r="I673" s="4"/>
      <c r="J673" s="4"/>
      <c r="K673" s="4"/>
      <c r="L673" s="4"/>
      <c r="M673" s="4"/>
      <c r="N673" s="4"/>
      <c r="O673" s="4"/>
      <c r="P673" s="4"/>
      <c r="Q673" s="4"/>
      <c r="R673" s="4"/>
      <c r="S673" s="4"/>
      <c r="T673" s="4"/>
      <c r="U673" s="4"/>
      <c r="V673" s="4"/>
      <c r="W673" s="4"/>
      <c r="X673" s="4"/>
      <c r="Y673" s="4"/>
      <c r="Z673" s="4"/>
    </row>
    <row r="674" ht="9.75" customHeight="1">
      <c r="A674" s="343"/>
      <c r="B674" s="344"/>
      <c r="C674" s="182"/>
      <c r="D674" s="406"/>
      <c r="E674" s="406"/>
      <c r="F674" s="407"/>
      <c r="G674" s="407"/>
      <c r="H674" s="4"/>
      <c r="I674" s="4"/>
      <c r="J674" s="4"/>
      <c r="K674" s="4"/>
      <c r="L674" s="4"/>
      <c r="M674" s="4"/>
      <c r="N674" s="4"/>
      <c r="O674" s="4"/>
      <c r="P674" s="4"/>
      <c r="Q674" s="4"/>
      <c r="R674" s="4"/>
      <c r="S674" s="4"/>
      <c r="T674" s="4"/>
      <c r="U674" s="4"/>
      <c r="V674" s="4"/>
      <c r="W674" s="4"/>
      <c r="X674" s="4"/>
      <c r="Y674" s="4"/>
      <c r="Z674" s="4"/>
    </row>
    <row r="675" ht="9.75" customHeight="1">
      <c r="A675" s="343"/>
      <c r="B675" s="344"/>
      <c r="C675" s="182"/>
      <c r="D675" s="406"/>
      <c r="E675" s="406"/>
      <c r="F675" s="407"/>
      <c r="G675" s="407"/>
      <c r="H675" s="4"/>
      <c r="I675" s="4"/>
      <c r="J675" s="4"/>
      <c r="K675" s="4"/>
      <c r="L675" s="4"/>
      <c r="M675" s="4"/>
      <c r="N675" s="4"/>
      <c r="O675" s="4"/>
      <c r="P675" s="4"/>
      <c r="Q675" s="4"/>
      <c r="R675" s="4"/>
      <c r="S675" s="4"/>
      <c r="T675" s="4"/>
      <c r="U675" s="4"/>
      <c r="V675" s="4"/>
      <c r="W675" s="4"/>
      <c r="X675" s="4"/>
      <c r="Y675" s="4"/>
      <c r="Z675" s="4"/>
    </row>
    <row r="676" ht="9.75" customHeight="1">
      <c r="A676" s="343"/>
      <c r="B676" s="344"/>
      <c r="C676" s="182"/>
      <c r="D676" s="406"/>
      <c r="E676" s="406"/>
      <c r="F676" s="407"/>
      <c r="G676" s="407"/>
      <c r="H676" s="4"/>
      <c r="I676" s="4"/>
      <c r="J676" s="4"/>
      <c r="K676" s="4"/>
      <c r="L676" s="4"/>
      <c r="M676" s="4"/>
      <c r="N676" s="4"/>
      <c r="O676" s="4"/>
      <c r="P676" s="4"/>
      <c r="Q676" s="4"/>
      <c r="R676" s="4"/>
      <c r="S676" s="4"/>
      <c r="T676" s="4"/>
      <c r="U676" s="4"/>
      <c r="V676" s="4"/>
      <c r="W676" s="4"/>
      <c r="X676" s="4"/>
      <c r="Y676" s="4"/>
      <c r="Z676" s="4"/>
    </row>
    <row r="677" ht="9.75" customHeight="1">
      <c r="A677" s="343"/>
      <c r="B677" s="344"/>
      <c r="C677" s="182"/>
      <c r="D677" s="406"/>
      <c r="E677" s="406"/>
      <c r="F677" s="407"/>
      <c r="G677" s="407"/>
      <c r="H677" s="4"/>
      <c r="I677" s="4"/>
      <c r="J677" s="4"/>
      <c r="K677" s="4"/>
      <c r="L677" s="4"/>
      <c r="M677" s="4"/>
      <c r="N677" s="4"/>
      <c r="O677" s="4"/>
      <c r="P677" s="4"/>
      <c r="Q677" s="4"/>
      <c r="R677" s="4"/>
      <c r="S677" s="4"/>
      <c r="T677" s="4"/>
      <c r="U677" s="4"/>
      <c r="V677" s="4"/>
      <c r="W677" s="4"/>
      <c r="X677" s="4"/>
      <c r="Y677" s="4"/>
      <c r="Z677" s="4"/>
    </row>
    <row r="678" ht="9.75" customHeight="1">
      <c r="A678" s="343"/>
      <c r="B678" s="344"/>
      <c r="C678" s="182"/>
      <c r="D678" s="406"/>
      <c r="E678" s="406"/>
      <c r="F678" s="407"/>
      <c r="G678" s="407"/>
      <c r="H678" s="4"/>
      <c r="I678" s="4"/>
      <c r="J678" s="4"/>
      <c r="K678" s="4"/>
      <c r="L678" s="4"/>
      <c r="M678" s="4"/>
      <c r="N678" s="4"/>
      <c r="O678" s="4"/>
      <c r="P678" s="4"/>
      <c r="Q678" s="4"/>
      <c r="R678" s="4"/>
      <c r="S678" s="4"/>
      <c r="T678" s="4"/>
      <c r="U678" s="4"/>
      <c r="V678" s="4"/>
      <c r="W678" s="4"/>
      <c r="X678" s="4"/>
      <c r="Y678" s="4"/>
      <c r="Z678" s="4"/>
    </row>
    <row r="679" ht="9.75" customHeight="1">
      <c r="A679" s="343"/>
      <c r="B679" s="344"/>
      <c r="C679" s="182"/>
      <c r="D679" s="406"/>
      <c r="E679" s="406"/>
      <c r="F679" s="407"/>
      <c r="G679" s="407"/>
      <c r="H679" s="4"/>
      <c r="I679" s="4"/>
      <c r="J679" s="4"/>
      <c r="K679" s="4"/>
      <c r="L679" s="4"/>
      <c r="M679" s="4"/>
      <c r="N679" s="4"/>
      <c r="O679" s="4"/>
      <c r="P679" s="4"/>
      <c r="Q679" s="4"/>
      <c r="R679" s="4"/>
      <c r="S679" s="4"/>
      <c r="T679" s="4"/>
      <c r="U679" s="4"/>
      <c r="V679" s="4"/>
      <c r="W679" s="4"/>
      <c r="X679" s="4"/>
      <c r="Y679" s="4"/>
      <c r="Z679" s="4"/>
    </row>
    <row r="680" ht="9.75" customHeight="1">
      <c r="A680" s="343"/>
      <c r="B680" s="344"/>
      <c r="C680" s="182"/>
      <c r="D680" s="406"/>
      <c r="E680" s="406"/>
      <c r="F680" s="407"/>
      <c r="G680" s="407"/>
      <c r="H680" s="4"/>
      <c r="I680" s="4"/>
      <c r="J680" s="4"/>
      <c r="K680" s="4"/>
      <c r="L680" s="4"/>
      <c r="M680" s="4"/>
      <c r="N680" s="4"/>
      <c r="O680" s="4"/>
      <c r="P680" s="4"/>
      <c r="Q680" s="4"/>
      <c r="R680" s="4"/>
      <c r="S680" s="4"/>
      <c r="T680" s="4"/>
      <c r="U680" s="4"/>
      <c r="V680" s="4"/>
      <c r="W680" s="4"/>
      <c r="X680" s="4"/>
      <c r="Y680" s="4"/>
      <c r="Z680" s="4"/>
    </row>
    <row r="681" ht="9.75" customHeight="1">
      <c r="A681" s="343"/>
      <c r="B681" s="344"/>
      <c r="C681" s="182"/>
      <c r="D681" s="406"/>
      <c r="E681" s="406"/>
      <c r="F681" s="407"/>
      <c r="G681" s="407"/>
      <c r="H681" s="4"/>
      <c r="I681" s="4"/>
      <c r="J681" s="4"/>
      <c r="K681" s="4"/>
      <c r="L681" s="4"/>
      <c r="M681" s="4"/>
      <c r="N681" s="4"/>
      <c r="O681" s="4"/>
      <c r="P681" s="4"/>
      <c r="Q681" s="4"/>
      <c r="R681" s="4"/>
      <c r="S681" s="4"/>
      <c r="T681" s="4"/>
      <c r="U681" s="4"/>
      <c r="V681" s="4"/>
      <c r="W681" s="4"/>
      <c r="X681" s="4"/>
      <c r="Y681" s="4"/>
      <c r="Z681" s="4"/>
    </row>
    <row r="682" ht="9.75" customHeight="1">
      <c r="A682" s="343"/>
      <c r="B682" s="344"/>
      <c r="C682" s="182"/>
      <c r="D682" s="406"/>
      <c r="E682" s="406"/>
      <c r="F682" s="407"/>
      <c r="G682" s="407"/>
      <c r="H682" s="4"/>
      <c r="I682" s="4"/>
      <c r="J682" s="4"/>
      <c r="K682" s="4"/>
      <c r="L682" s="4"/>
      <c r="M682" s="4"/>
      <c r="N682" s="4"/>
      <c r="O682" s="4"/>
      <c r="P682" s="4"/>
      <c r="Q682" s="4"/>
      <c r="R682" s="4"/>
      <c r="S682" s="4"/>
      <c r="T682" s="4"/>
      <c r="U682" s="4"/>
      <c r="V682" s="4"/>
      <c r="W682" s="4"/>
      <c r="X682" s="4"/>
      <c r="Y682" s="4"/>
      <c r="Z682" s="4"/>
    </row>
    <row r="683" ht="9.75" customHeight="1">
      <c r="A683" s="343"/>
      <c r="B683" s="344"/>
      <c r="C683" s="182"/>
      <c r="D683" s="406"/>
      <c r="E683" s="406"/>
      <c r="F683" s="407"/>
      <c r="G683" s="407"/>
      <c r="H683" s="4"/>
      <c r="I683" s="4"/>
      <c r="J683" s="4"/>
      <c r="K683" s="4"/>
      <c r="L683" s="4"/>
      <c r="M683" s="4"/>
      <c r="N683" s="4"/>
      <c r="O683" s="4"/>
      <c r="P683" s="4"/>
      <c r="Q683" s="4"/>
      <c r="R683" s="4"/>
      <c r="S683" s="4"/>
      <c r="T683" s="4"/>
      <c r="U683" s="4"/>
      <c r="V683" s="4"/>
      <c r="W683" s="4"/>
      <c r="X683" s="4"/>
      <c r="Y683" s="4"/>
      <c r="Z683" s="4"/>
    </row>
    <row r="684" ht="9.75" customHeight="1">
      <c r="A684" s="343"/>
      <c r="B684" s="344"/>
      <c r="C684" s="182"/>
      <c r="D684" s="406"/>
      <c r="E684" s="406"/>
      <c r="F684" s="407"/>
      <c r="G684" s="407"/>
      <c r="H684" s="4"/>
      <c r="I684" s="4"/>
      <c r="J684" s="4"/>
      <c r="K684" s="4"/>
      <c r="L684" s="4"/>
      <c r="M684" s="4"/>
      <c r="N684" s="4"/>
      <c r="O684" s="4"/>
      <c r="P684" s="4"/>
      <c r="Q684" s="4"/>
      <c r="R684" s="4"/>
      <c r="S684" s="4"/>
      <c r="T684" s="4"/>
      <c r="U684" s="4"/>
      <c r="V684" s="4"/>
      <c r="W684" s="4"/>
      <c r="X684" s="4"/>
      <c r="Y684" s="4"/>
      <c r="Z684" s="4"/>
    </row>
    <row r="685" ht="9.75" customHeight="1">
      <c r="A685" s="343"/>
      <c r="B685" s="344"/>
      <c r="C685" s="182"/>
      <c r="D685" s="406"/>
      <c r="E685" s="406"/>
      <c r="F685" s="407"/>
      <c r="G685" s="407"/>
      <c r="H685" s="4"/>
      <c r="I685" s="4"/>
      <c r="J685" s="4"/>
      <c r="K685" s="4"/>
      <c r="L685" s="4"/>
      <c r="M685" s="4"/>
      <c r="N685" s="4"/>
      <c r="O685" s="4"/>
      <c r="P685" s="4"/>
      <c r="Q685" s="4"/>
      <c r="R685" s="4"/>
      <c r="S685" s="4"/>
      <c r="T685" s="4"/>
      <c r="U685" s="4"/>
      <c r="V685" s="4"/>
      <c r="W685" s="4"/>
      <c r="X685" s="4"/>
      <c r="Y685" s="4"/>
      <c r="Z685" s="4"/>
    </row>
    <row r="686" ht="9.75" customHeight="1">
      <c r="A686" s="343"/>
      <c r="B686" s="344"/>
      <c r="C686" s="182"/>
      <c r="D686" s="406"/>
      <c r="E686" s="406"/>
      <c r="F686" s="407"/>
      <c r="G686" s="407"/>
      <c r="H686" s="4"/>
      <c r="I686" s="4"/>
      <c r="J686" s="4"/>
      <c r="K686" s="4"/>
      <c r="L686" s="4"/>
      <c r="M686" s="4"/>
      <c r="N686" s="4"/>
      <c r="O686" s="4"/>
      <c r="P686" s="4"/>
      <c r="Q686" s="4"/>
      <c r="R686" s="4"/>
      <c r="S686" s="4"/>
      <c r="T686" s="4"/>
      <c r="U686" s="4"/>
      <c r="V686" s="4"/>
      <c r="W686" s="4"/>
      <c r="X686" s="4"/>
      <c r="Y686" s="4"/>
      <c r="Z686" s="4"/>
    </row>
    <row r="687" ht="9.75" customHeight="1">
      <c r="A687" s="343"/>
      <c r="B687" s="344"/>
      <c r="C687" s="182"/>
      <c r="D687" s="406"/>
      <c r="E687" s="406"/>
      <c r="F687" s="407"/>
      <c r="G687" s="407"/>
      <c r="H687" s="4"/>
      <c r="I687" s="4"/>
      <c r="J687" s="4"/>
      <c r="K687" s="4"/>
      <c r="L687" s="4"/>
      <c r="M687" s="4"/>
      <c r="N687" s="4"/>
      <c r="O687" s="4"/>
      <c r="P687" s="4"/>
      <c r="Q687" s="4"/>
      <c r="R687" s="4"/>
      <c r="S687" s="4"/>
      <c r="T687" s="4"/>
      <c r="U687" s="4"/>
      <c r="V687" s="4"/>
      <c r="W687" s="4"/>
      <c r="X687" s="4"/>
      <c r="Y687" s="4"/>
      <c r="Z687" s="4"/>
    </row>
    <row r="688" ht="9.75" customHeight="1">
      <c r="A688" s="343"/>
      <c r="B688" s="344"/>
      <c r="C688" s="182"/>
      <c r="D688" s="406"/>
      <c r="E688" s="406"/>
      <c r="F688" s="407"/>
      <c r="G688" s="407"/>
      <c r="H688" s="4"/>
      <c r="I688" s="4"/>
      <c r="J688" s="4"/>
      <c r="K688" s="4"/>
      <c r="L688" s="4"/>
      <c r="M688" s="4"/>
      <c r="N688" s="4"/>
      <c r="O688" s="4"/>
      <c r="P688" s="4"/>
      <c r="Q688" s="4"/>
      <c r="R688" s="4"/>
      <c r="S688" s="4"/>
      <c r="T688" s="4"/>
      <c r="U688" s="4"/>
      <c r="V688" s="4"/>
      <c r="W688" s="4"/>
      <c r="X688" s="4"/>
      <c r="Y688" s="4"/>
      <c r="Z688" s="4"/>
    </row>
    <row r="689" ht="9.75" customHeight="1">
      <c r="A689" s="343"/>
      <c r="B689" s="344"/>
      <c r="C689" s="182"/>
      <c r="D689" s="406"/>
      <c r="E689" s="406"/>
      <c r="F689" s="407"/>
      <c r="G689" s="407"/>
      <c r="H689" s="4"/>
      <c r="I689" s="4"/>
      <c r="J689" s="4"/>
      <c r="K689" s="4"/>
      <c r="L689" s="4"/>
      <c r="M689" s="4"/>
      <c r="N689" s="4"/>
      <c r="O689" s="4"/>
      <c r="P689" s="4"/>
      <c r="Q689" s="4"/>
      <c r="R689" s="4"/>
      <c r="S689" s="4"/>
      <c r="T689" s="4"/>
      <c r="U689" s="4"/>
      <c r="V689" s="4"/>
      <c r="W689" s="4"/>
      <c r="X689" s="4"/>
      <c r="Y689" s="4"/>
      <c r="Z689" s="4"/>
    </row>
    <row r="690" ht="9.75" customHeight="1">
      <c r="A690" s="343"/>
      <c r="B690" s="344"/>
      <c r="C690" s="182"/>
      <c r="D690" s="406"/>
      <c r="E690" s="406"/>
      <c r="F690" s="407"/>
      <c r="G690" s="407"/>
      <c r="H690" s="4"/>
      <c r="I690" s="4"/>
      <c r="J690" s="4"/>
      <c r="K690" s="4"/>
      <c r="L690" s="4"/>
      <c r="M690" s="4"/>
      <c r="N690" s="4"/>
      <c r="O690" s="4"/>
      <c r="P690" s="4"/>
      <c r="Q690" s="4"/>
      <c r="R690" s="4"/>
      <c r="S690" s="4"/>
      <c r="T690" s="4"/>
      <c r="U690" s="4"/>
      <c r="V690" s="4"/>
      <c r="W690" s="4"/>
      <c r="X690" s="4"/>
      <c r="Y690" s="4"/>
      <c r="Z690" s="4"/>
    </row>
    <row r="691" ht="9.75" customHeight="1">
      <c r="A691" s="343"/>
      <c r="B691" s="344"/>
      <c r="C691" s="182"/>
      <c r="D691" s="406"/>
      <c r="E691" s="406"/>
      <c r="F691" s="407"/>
      <c r="G691" s="407"/>
      <c r="H691" s="4"/>
      <c r="I691" s="4"/>
      <c r="J691" s="4"/>
      <c r="K691" s="4"/>
      <c r="L691" s="4"/>
      <c r="M691" s="4"/>
      <c r="N691" s="4"/>
      <c r="O691" s="4"/>
      <c r="P691" s="4"/>
      <c r="Q691" s="4"/>
      <c r="R691" s="4"/>
      <c r="S691" s="4"/>
      <c r="T691" s="4"/>
      <c r="U691" s="4"/>
      <c r="V691" s="4"/>
      <c r="W691" s="4"/>
      <c r="X691" s="4"/>
      <c r="Y691" s="4"/>
      <c r="Z691" s="4"/>
    </row>
    <row r="692" ht="9.75" customHeight="1">
      <c r="A692" s="343"/>
      <c r="B692" s="344"/>
      <c r="C692" s="182"/>
      <c r="D692" s="406"/>
      <c r="E692" s="406"/>
      <c r="F692" s="407"/>
      <c r="G692" s="407"/>
      <c r="H692" s="4"/>
      <c r="I692" s="4"/>
      <c r="J692" s="4"/>
      <c r="K692" s="4"/>
      <c r="L692" s="4"/>
      <c r="M692" s="4"/>
      <c r="N692" s="4"/>
      <c r="O692" s="4"/>
      <c r="P692" s="4"/>
      <c r="Q692" s="4"/>
      <c r="R692" s="4"/>
      <c r="S692" s="4"/>
      <c r="T692" s="4"/>
      <c r="U692" s="4"/>
      <c r="V692" s="4"/>
      <c r="W692" s="4"/>
      <c r="X692" s="4"/>
      <c r="Y692" s="4"/>
      <c r="Z692" s="4"/>
    </row>
    <row r="693" ht="9.75" customHeight="1">
      <c r="A693" s="343"/>
      <c r="B693" s="344"/>
      <c r="C693" s="182"/>
      <c r="D693" s="406"/>
      <c r="E693" s="406"/>
      <c r="F693" s="407"/>
      <c r="G693" s="407"/>
      <c r="H693" s="4"/>
      <c r="I693" s="4"/>
      <c r="J693" s="4"/>
      <c r="K693" s="4"/>
      <c r="L693" s="4"/>
      <c r="M693" s="4"/>
      <c r="N693" s="4"/>
      <c r="O693" s="4"/>
      <c r="P693" s="4"/>
      <c r="Q693" s="4"/>
      <c r="R693" s="4"/>
      <c r="S693" s="4"/>
      <c r="T693" s="4"/>
      <c r="U693" s="4"/>
      <c r="V693" s="4"/>
      <c r="W693" s="4"/>
      <c r="X693" s="4"/>
      <c r="Y693" s="4"/>
      <c r="Z693" s="4"/>
    </row>
    <row r="694" ht="9.75" customHeight="1">
      <c r="A694" s="343"/>
      <c r="B694" s="344"/>
      <c r="C694" s="182"/>
      <c r="D694" s="406"/>
      <c r="E694" s="406"/>
      <c r="F694" s="407"/>
      <c r="G694" s="407"/>
      <c r="H694" s="4"/>
      <c r="I694" s="4"/>
      <c r="J694" s="4"/>
      <c r="K694" s="4"/>
      <c r="L694" s="4"/>
      <c r="M694" s="4"/>
      <c r="N694" s="4"/>
      <c r="O694" s="4"/>
      <c r="P694" s="4"/>
      <c r="Q694" s="4"/>
      <c r="R694" s="4"/>
      <c r="S694" s="4"/>
      <c r="T694" s="4"/>
      <c r="U694" s="4"/>
      <c r="V694" s="4"/>
      <c r="W694" s="4"/>
      <c r="X694" s="4"/>
      <c r="Y694" s="4"/>
      <c r="Z694" s="4"/>
    </row>
    <row r="695" ht="9.75" customHeight="1">
      <c r="A695" s="343"/>
      <c r="B695" s="344"/>
      <c r="C695" s="182"/>
      <c r="D695" s="406"/>
      <c r="E695" s="406"/>
      <c r="F695" s="407"/>
      <c r="G695" s="407"/>
      <c r="H695" s="4"/>
      <c r="I695" s="4"/>
      <c r="J695" s="4"/>
      <c r="K695" s="4"/>
      <c r="L695" s="4"/>
      <c r="M695" s="4"/>
      <c r="N695" s="4"/>
      <c r="O695" s="4"/>
      <c r="P695" s="4"/>
      <c r="Q695" s="4"/>
      <c r="R695" s="4"/>
      <c r="S695" s="4"/>
      <c r="T695" s="4"/>
      <c r="U695" s="4"/>
      <c r="V695" s="4"/>
      <c r="W695" s="4"/>
      <c r="X695" s="4"/>
      <c r="Y695" s="4"/>
      <c r="Z695" s="4"/>
    </row>
    <row r="696" ht="9.75" customHeight="1">
      <c r="A696" s="343"/>
      <c r="B696" s="344"/>
      <c r="C696" s="182"/>
      <c r="D696" s="406"/>
      <c r="E696" s="406"/>
      <c r="F696" s="407"/>
      <c r="G696" s="407"/>
      <c r="H696" s="4"/>
      <c r="I696" s="4"/>
      <c r="J696" s="4"/>
      <c r="K696" s="4"/>
      <c r="L696" s="4"/>
      <c r="M696" s="4"/>
      <c r="N696" s="4"/>
      <c r="O696" s="4"/>
      <c r="P696" s="4"/>
      <c r="Q696" s="4"/>
      <c r="R696" s="4"/>
      <c r="S696" s="4"/>
      <c r="T696" s="4"/>
      <c r="U696" s="4"/>
      <c r="V696" s="4"/>
      <c r="W696" s="4"/>
      <c r="X696" s="4"/>
      <c r="Y696" s="4"/>
      <c r="Z696" s="4"/>
    </row>
    <row r="697" ht="9.75" customHeight="1">
      <c r="A697" s="343"/>
      <c r="B697" s="344"/>
      <c r="C697" s="182"/>
      <c r="D697" s="406"/>
      <c r="E697" s="406"/>
      <c r="F697" s="407"/>
      <c r="G697" s="407"/>
      <c r="H697" s="4"/>
      <c r="I697" s="4"/>
      <c r="J697" s="4"/>
      <c r="K697" s="4"/>
      <c r="L697" s="4"/>
      <c r="M697" s="4"/>
      <c r="N697" s="4"/>
      <c r="O697" s="4"/>
      <c r="P697" s="4"/>
      <c r="Q697" s="4"/>
      <c r="R697" s="4"/>
      <c r="S697" s="4"/>
      <c r="T697" s="4"/>
      <c r="U697" s="4"/>
      <c r="V697" s="4"/>
      <c r="W697" s="4"/>
      <c r="X697" s="4"/>
      <c r="Y697" s="4"/>
      <c r="Z697" s="4"/>
    </row>
    <row r="698" ht="9.75" customHeight="1">
      <c r="A698" s="343"/>
      <c r="B698" s="344"/>
      <c r="C698" s="182"/>
      <c r="D698" s="406"/>
      <c r="E698" s="406"/>
      <c r="F698" s="407"/>
      <c r="G698" s="407"/>
      <c r="H698" s="4"/>
      <c r="I698" s="4"/>
      <c r="J698" s="4"/>
      <c r="K698" s="4"/>
      <c r="L698" s="4"/>
      <c r="M698" s="4"/>
      <c r="N698" s="4"/>
      <c r="O698" s="4"/>
      <c r="P698" s="4"/>
      <c r="Q698" s="4"/>
      <c r="R698" s="4"/>
      <c r="S698" s="4"/>
      <c r="T698" s="4"/>
      <c r="U698" s="4"/>
      <c r="V698" s="4"/>
      <c r="W698" s="4"/>
      <c r="X698" s="4"/>
      <c r="Y698" s="4"/>
      <c r="Z698" s="4"/>
    </row>
    <row r="699" ht="9.75" customHeight="1">
      <c r="A699" s="343"/>
      <c r="B699" s="344"/>
      <c r="C699" s="182"/>
      <c r="D699" s="406"/>
      <c r="E699" s="406"/>
      <c r="F699" s="407"/>
      <c r="G699" s="407"/>
      <c r="H699" s="4"/>
      <c r="I699" s="4"/>
      <c r="J699" s="4"/>
      <c r="K699" s="4"/>
      <c r="L699" s="4"/>
      <c r="M699" s="4"/>
      <c r="N699" s="4"/>
      <c r="O699" s="4"/>
      <c r="P699" s="4"/>
      <c r="Q699" s="4"/>
      <c r="R699" s="4"/>
      <c r="S699" s="4"/>
      <c r="T699" s="4"/>
      <c r="U699" s="4"/>
      <c r="V699" s="4"/>
      <c r="W699" s="4"/>
      <c r="X699" s="4"/>
      <c r="Y699" s="4"/>
      <c r="Z699" s="4"/>
    </row>
    <row r="700" ht="9.75" customHeight="1">
      <c r="A700" s="343"/>
      <c r="B700" s="344"/>
      <c r="C700" s="182"/>
      <c r="D700" s="406"/>
      <c r="E700" s="406"/>
      <c r="F700" s="407"/>
      <c r="G700" s="407"/>
      <c r="H700" s="4"/>
      <c r="I700" s="4"/>
      <c r="J700" s="4"/>
      <c r="K700" s="4"/>
      <c r="L700" s="4"/>
      <c r="M700" s="4"/>
      <c r="N700" s="4"/>
      <c r="O700" s="4"/>
      <c r="P700" s="4"/>
      <c r="Q700" s="4"/>
      <c r="R700" s="4"/>
      <c r="S700" s="4"/>
      <c r="T700" s="4"/>
      <c r="U700" s="4"/>
      <c r="V700" s="4"/>
      <c r="W700" s="4"/>
      <c r="X700" s="4"/>
      <c r="Y700" s="4"/>
      <c r="Z700" s="4"/>
    </row>
    <row r="701" ht="9.75" customHeight="1">
      <c r="A701" s="343"/>
      <c r="B701" s="344"/>
      <c r="C701" s="182"/>
      <c r="D701" s="406"/>
      <c r="E701" s="406"/>
      <c r="F701" s="407"/>
      <c r="G701" s="407"/>
      <c r="H701" s="4"/>
      <c r="I701" s="4"/>
      <c r="J701" s="4"/>
      <c r="K701" s="4"/>
      <c r="L701" s="4"/>
      <c r="M701" s="4"/>
      <c r="N701" s="4"/>
      <c r="O701" s="4"/>
      <c r="P701" s="4"/>
      <c r="Q701" s="4"/>
      <c r="R701" s="4"/>
      <c r="S701" s="4"/>
      <c r="T701" s="4"/>
      <c r="U701" s="4"/>
      <c r="V701" s="4"/>
      <c r="W701" s="4"/>
      <c r="X701" s="4"/>
      <c r="Y701" s="4"/>
      <c r="Z701" s="4"/>
    </row>
    <row r="702" ht="9.75" customHeight="1">
      <c r="A702" s="343"/>
      <c r="B702" s="344"/>
      <c r="C702" s="182"/>
      <c r="D702" s="406"/>
      <c r="E702" s="406"/>
      <c r="F702" s="407"/>
      <c r="G702" s="407"/>
      <c r="H702" s="4"/>
      <c r="I702" s="4"/>
      <c r="J702" s="4"/>
      <c r="K702" s="4"/>
      <c r="L702" s="4"/>
      <c r="M702" s="4"/>
      <c r="N702" s="4"/>
      <c r="O702" s="4"/>
      <c r="P702" s="4"/>
      <c r="Q702" s="4"/>
      <c r="R702" s="4"/>
      <c r="S702" s="4"/>
      <c r="T702" s="4"/>
      <c r="U702" s="4"/>
      <c r="V702" s="4"/>
      <c r="W702" s="4"/>
      <c r="X702" s="4"/>
      <c r="Y702" s="4"/>
      <c r="Z702" s="4"/>
    </row>
    <row r="703" ht="9.75" customHeight="1">
      <c r="A703" s="343"/>
      <c r="B703" s="344"/>
      <c r="C703" s="182"/>
      <c r="D703" s="406"/>
      <c r="E703" s="406"/>
      <c r="F703" s="407"/>
      <c r="G703" s="407"/>
      <c r="H703" s="4"/>
      <c r="I703" s="4"/>
      <c r="J703" s="4"/>
      <c r="K703" s="4"/>
      <c r="L703" s="4"/>
      <c r="M703" s="4"/>
      <c r="N703" s="4"/>
      <c r="O703" s="4"/>
      <c r="P703" s="4"/>
      <c r="Q703" s="4"/>
      <c r="R703" s="4"/>
      <c r="S703" s="4"/>
      <c r="T703" s="4"/>
      <c r="U703" s="4"/>
      <c r="V703" s="4"/>
      <c r="W703" s="4"/>
      <c r="X703" s="4"/>
      <c r="Y703" s="4"/>
      <c r="Z703" s="4"/>
    </row>
    <row r="704" ht="9.75" customHeight="1">
      <c r="A704" s="343"/>
      <c r="B704" s="344"/>
      <c r="C704" s="182"/>
      <c r="D704" s="406"/>
      <c r="E704" s="406"/>
      <c r="F704" s="407"/>
      <c r="G704" s="407"/>
      <c r="H704" s="4"/>
      <c r="I704" s="4"/>
      <c r="J704" s="4"/>
      <c r="K704" s="4"/>
      <c r="L704" s="4"/>
      <c r="M704" s="4"/>
      <c r="N704" s="4"/>
      <c r="O704" s="4"/>
      <c r="P704" s="4"/>
      <c r="Q704" s="4"/>
      <c r="R704" s="4"/>
      <c r="S704" s="4"/>
      <c r="T704" s="4"/>
      <c r="U704" s="4"/>
      <c r="V704" s="4"/>
      <c r="W704" s="4"/>
      <c r="X704" s="4"/>
      <c r="Y704" s="4"/>
      <c r="Z704" s="4"/>
    </row>
    <row r="705" ht="9.75" customHeight="1">
      <c r="A705" s="343"/>
      <c r="B705" s="344"/>
      <c r="C705" s="182"/>
      <c r="D705" s="406"/>
      <c r="E705" s="406"/>
      <c r="F705" s="407"/>
      <c r="G705" s="407"/>
      <c r="H705" s="4"/>
      <c r="I705" s="4"/>
      <c r="J705" s="4"/>
      <c r="K705" s="4"/>
      <c r="L705" s="4"/>
      <c r="M705" s="4"/>
      <c r="N705" s="4"/>
      <c r="O705" s="4"/>
      <c r="P705" s="4"/>
      <c r="Q705" s="4"/>
      <c r="R705" s="4"/>
      <c r="S705" s="4"/>
      <c r="T705" s="4"/>
      <c r="U705" s="4"/>
      <c r="V705" s="4"/>
      <c r="W705" s="4"/>
      <c r="X705" s="4"/>
      <c r="Y705" s="4"/>
      <c r="Z705" s="4"/>
    </row>
    <row r="706" ht="9.75" customHeight="1">
      <c r="A706" s="343"/>
      <c r="B706" s="344"/>
      <c r="C706" s="182"/>
      <c r="D706" s="406"/>
      <c r="E706" s="406"/>
      <c r="F706" s="407"/>
      <c r="G706" s="407"/>
      <c r="H706" s="4"/>
      <c r="I706" s="4"/>
      <c r="J706" s="4"/>
      <c r="K706" s="4"/>
      <c r="L706" s="4"/>
      <c r="M706" s="4"/>
      <c r="N706" s="4"/>
      <c r="O706" s="4"/>
      <c r="P706" s="4"/>
      <c r="Q706" s="4"/>
      <c r="R706" s="4"/>
      <c r="S706" s="4"/>
      <c r="T706" s="4"/>
      <c r="U706" s="4"/>
      <c r="V706" s="4"/>
      <c r="W706" s="4"/>
      <c r="X706" s="4"/>
      <c r="Y706" s="4"/>
      <c r="Z706" s="4"/>
    </row>
    <row r="707" ht="9.75" customHeight="1">
      <c r="A707" s="343"/>
      <c r="B707" s="344"/>
      <c r="C707" s="182"/>
      <c r="D707" s="406"/>
      <c r="E707" s="406"/>
      <c r="F707" s="407"/>
      <c r="G707" s="407"/>
      <c r="H707" s="4"/>
      <c r="I707" s="4"/>
      <c r="J707" s="4"/>
      <c r="K707" s="4"/>
      <c r="L707" s="4"/>
      <c r="M707" s="4"/>
      <c r="N707" s="4"/>
      <c r="O707" s="4"/>
      <c r="P707" s="4"/>
      <c r="Q707" s="4"/>
      <c r="R707" s="4"/>
      <c r="S707" s="4"/>
      <c r="T707" s="4"/>
      <c r="U707" s="4"/>
      <c r="V707" s="4"/>
      <c r="W707" s="4"/>
      <c r="X707" s="4"/>
      <c r="Y707" s="4"/>
      <c r="Z707" s="4"/>
    </row>
    <row r="708" ht="9.75" customHeight="1">
      <c r="A708" s="343"/>
      <c r="B708" s="344"/>
      <c r="C708" s="182"/>
      <c r="D708" s="406"/>
      <c r="E708" s="406"/>
      <c r="F708" s="407"/>
      <c r="G708" s="407"/>
      <c r="H708" s="4"/>
      <c r="I708" s="4"/>
      <c r="J708" s="4"/>
      <c r="K708" s="4"/>
      <c r="L708" s="4"/>
      <c r="M708" s="4"/>
      <c r="N708" s="4"/>
      <c r="O708" s="4"/>
      <c r="P708" s="4"/>
      <c r="Q708" s="4"/>
      <c r="R708" s="4"/>
      <c r="S708" s="4"/>
      <c r="T708" s="4"/>
      <c r="U708" s="4"/>
      <c r="V708" s="4"/>
      <c r="W708" s="4"/>
      <c r="X708" s="4"/>
      <c r="Y708" s="4"/>
      <c r="Z708" s="4"/>
    </row>
    <row r="709" ht="9.75" customHeight="1">
      <c r="A709" s="343"/>
      <c r="B709" s="344"/>
      <c r="C709" s="182"/>
      <c r="D709" s="406"/>
      <c r="E709" s="406"/>
      <c r="F709" s="407"/>
      <c r="G709" s="407"/>
      <c r="H709" s="4"/>
      <c r="I709" s="4"/>
      <c r="J709" s="4"/>
      <c r="K709" s="4"/>
      <c r="L709" s="4"/>
      <c r="M709" s="4"/>
      <c r="N709" s="4"/>
      <c r="O709" s="4"/>
      <c r="P709" s="4"/>
      <c r="Q709" s="4"/>
      <c r="R709" s="4"/>
      <c r="S709" s="4"/>
      <c r="T709" s="4"/>
      <c r="U709" s="4"/>
      <c r="V709" s="4"/>
      <c r="W709" s="4"/>
      <c r="X709" s="4"/>
      <c r="Y709" s="4"/>
      <c r="Z709" s="4"/>
    </row>
    <row r="710" ht="9.75" customHeight="1">
      <c r="A710" s="343"/>
      <c r="B710" s="344"/>
      <c r="C710" s="182"/>
      <c r="D710" s="406"/>
      <c r="E710" s="406"/>
      <c r="F710" s="407"/>
      <c r="G710" s="407"/>
      <c r="H710" s="4"/>
      <c r="I710" s="4"/>
      <c r="J710" s="4"/>
      <c r="K710" s="4"/>
      <c r="L710" s="4"/>
      <c r="M710" s="4"/>
      <c r="N710" s="4"/>
      <c r="O710" s="4"/>
      <c r="P710" s="4"/>
      <c r="Q710" s="4"/>
      <c r="R710" s="4"/>
      <c r="S710" s="4"/>
      <c r="T710" s="4"/>
      <c r="U710" s="4"/>
      <c r="V710" s="4"/>
      <c r="W710" s="4"/>
      <c r="X710" s="4"/>
      <c r="Y710" s="4"/>
      <c r="Z710" s="4"/>
    </row>
    <row r="711" ht="9.75" customHeight="1">
      <c r="A711" s="343"/>
      <c r="B711" s="344"/>
      <c r="C711" s="182"/>
      <c r="D711" s="406"/>
      <c r="E711" s="406"/>
      <c r="F711" s="407"/>
      <c r="G711" s="407"/>
      <c r="H711" s="4"/>
      <c r="I711" s="4"/>
      <c r="J711" s="4"/>
      <c r="K711" s="4"/>
      <c r="L711" s="4"/>
      <c r="M711" s="4"/>
      <c r="N711" s="4"/>
      <c r="O711" s="4"/>
      <c r="P711" s="4"/>
      <c r="Q711" s="4"/>
      <c r="R711" s="4"/>
      <c r="S711" s="4"/>
      <c r="T711" s="4"/>
      <c r="U711" s="4"/>
      <c r="V711" s="4"/>
      <c r="W711" s="4"/>
      <c r="X711" s="4"/>
      <c r="Y711" s="4"/>
      <c r="Z711" s="4"/>
    </row>
    <row r="712" ht="9.75" customHeight="1">
      <c r="A712" s="343"/>
      <c r="B712" s="344"/>
      <c r="C712" s="182"/>
      <c r="D712" s="406"/>
      <c r="E712" s="406"/>
      <c r="F712" s="407"/>
      <c r="G712" s="407"/>
      <c r="H712" s="4"/>
      <c r="I712" s="4"/>
      <c r="J712" s="4"/>
      <c r="K712" s="4"/>
      <c r="L712" s="4"/>
      <c r="M712" s="4"/>
      <c r="N712" s="4"/>
      <c r="O712" s="4"/>
      <c r="P712" s="4"/>
      <c r="Q712" s="4"/>
      <c r="R712" s="4"/>
      <c r="S712" s="4"/>
      <c r="T712" s="4"/>
      <c r="U712" s="4"/>
      <c r="V712" s="4"/>
      <c r="W712" s="4"/>
      <c r="X712" s="4"/>
      <c r="Y712" s="4"/>
      <c r="Z712" s="4"/>
    </row>
    <row r="713" ht="9.75" customHeight="1">
      <c r="A713" s="343"/>
      <c r="B713" s="344"/>
      <c r="C713" s="182"/>
      <c r="D713" s="406"/>
      <c r="E713" s="406"/>
      <c r="F713" s="407"/>
      <c r="G713" s="407"/>
      <c r="H713" s="4"/>
      <c r="I713" s="4"/>
      <c r="J713" s="4"/>
      <c r="K713" s="4"/>
      <c r="L713" s="4"/>
      <c r="M713" s="4"/>
      <c r="N713" s="4"/>
      <c r="O713" s="4"/>
      <c r="P713" s="4"/>
      <c r="Q713" s="4"/>
      <c r="R713" s="4"/>
      <c r="S713" s="4"/>
      <c r="T713" s="4"/>
      <c r="U713" s="4"/>
      <c r="V713" s="4"/>
      <c r="W713" s="4"/>
      <c r="X713" s="4"/>
      <c r="Y713" s="4"/>
      <c r="Z713" s="4"/>
    </row>
    <row r="714" ht="9.75" customHeight="1">
      <c r="A714" s="343"/>
      <c r="B714" s="344"/>
      <c r="C714" s="182"/>
      <c r="D714" s="406"/>
      <c r="E714" s="406"/>
      <c r="F714" s="407"/>
      <c r="G714" s="407"/>
      <c r="H714" s="4"/>
      <c r="I714" s="4"/>
      <c r="J714" s="4"/>
      <c r="K714" s="4"/>
      <c r="L714" s="4"/>
      <c r="M714" s="4"/>
      <c r="N714" s="4"/>
      <c r="O714" s="4"/>
      <c r="P714" s="4"/>
      <c r="Q714" s="4"/>
      <c r="R714" s="4"/>
      <c r="S714" s="4"/>
      <c r="T714" s="4"/>
      <c r="U714" s="4"/>
      <c r="V714" s="4"/>
      <c r="W714" s="4"/>
      <c r="X714" s="4"/>
      <c r="Y714" s="4"/>
      <c r="Z714" s="4"/>
    </row>
    <row r="715" ht="9.75" customHeight="1">
      <c r="A715" s="343"/>
      <c r="B715" s="344"/>
      <c r="C715" s="182"/>
      <c r="D715" s="406"/>
      <c r="E715" s="406"/>
      <c r="F715" s="407"/>
      <c r="G715" s="407"/>
      <c r="H715" s="4"/>
      <c r="I715" s="4"/>
      <c r="J715" s="4"/>
      <c r="K715" s="4"/>
      <c r="L715" s="4"/>
      <c r="M715" s="4"/>
      <c r="N715" s="4"/>
      <c r="O715" s="4"/>
      <c r="P715" s="4"/>
      <c r="Q715" s="4"/>
      <c r="R715" s="4"/>
      <c r="S715" s="4"/>
      <c r="T715" s="4"/>
      <c r="U715" s="4"/>
      <c r="V715" s="4"/>
      <c r="W715" s="4"/>
      <c r="X715" s="4"/>
      <c r="Y715" s="4"/>
      <c r="Z715" s="4"/>
    </row>
    <row r="716" ht="9.75" customHeight="1">
      <c r="A716" s="343"/>
      <c r="B716" s="344"/>
      <c r="C716" s="182"/>
      <c r="D716" s="406"/>
      <c r="E716" s="406"/>
      <c r="F716" s="407"/>
      <c r="G716" s="407"/>
      <c r="H716" s="4"/>
      <c r="I716" s="4"/>
      <c r="J716" s="4"/>
      <c r="K716" s="4"/>
      <c r="L716" s="4"/>
      <c r="M716" s="4"/>
      <c r="N716" s="4"/>
      <c r="O716" s="4"/>
      <c r="P716" s="4"/>
      <c r="Q716" s="4"/>
      <c r="R716" s="4"/>
      <c r="S716" s="4"/>
      <c r="T716" s="4"/>
      <c r="U716" s="4"/>
      <c r="V716" s="4"/>
      <c r="W716" s="4"/>
      <c r="X716" s="4"/>
      <c r="Y716" s="4"/>
      <c r="Z716" s="4"/>
    </row>
    <row r="717" ht="9.75" customHeight="1">
      <c r="A717" s="343"/>
      <c r="B717" s="344"/>
      <c r="C717" s="182"/>
      <c r="D717" s="406"/>
      <c r="E717" s="406"/>
      <c r="F717" s="407"/>
      <c r="G717" s="407"/>
      <c r="H717" s="4"/>
      <c r="I717" s="4"/>
      <c r="J717" s="4"/>
      <c r="K717" s="4"/>
      <c r="L717" s="4"/>
      <c r="M717" s="4"/>
      <c r="N717" s="4"/>
      <c r="O717" s="4"/>
      <c r="P717" s="4"/>
      <c r="Q717" s="4"/>
      <c r="R717" s="4"/>
      <c r="S717" s="4"/>
      <c r="T717" s="4"/>
      <c r="U717" s="4"/>
      <c r="V717" s="4"/>
      <c r="W717" s="4"/>
      <c r="X717" s="4"/>
      <c r="Y717" s="4"/>
      <c r="Z717" s="4"/>
    </row>
    <row r="718" ht="9.75" customHeight="1">
      <c r="A718" s="343"/>
      <c r="B718" s="344"/>
      <c r="C718" s="182"/>
      <c r="D718" s="406"/>
      <c r="E718" s="406"/>
      <c r="F718" s="407"/>
      <c r="G718" s="407"/>
      <c r="H718" s="4"/>
      <c r="I718" s="4"/>
      <c r="J718" s="4"/>
      <c r="K718" s="4"/>
      <c r="L718" s="4"/>
      <c r="M718" s="4"/>
      <c r="N718" s="4"/>
      <c r="O718" s="4"/>
      <c r="P718" s="4"/>
      <c r="Q718" s="4"/>
      <c r="R718" s="4"/>
      <c r="S718" s="4"/>
      <c r="T718" s="4"/>
      <c r="U718" s="4"/>
      <c r="V718" s="4"/>
      <c r="W718" s="4"/>
      <c r="X718" s="4"/>
      <c r="Y718" s="4"/>
      <c r="Z718" s="4"/>
    </row>
    <row r="719" ht="9.75" customHeight="1">
      <c r="A719" s="343"/>
      <c r="B719" s="344"/>
      <c r="C719" s="182"/>
      <c r="D719" s="406"/>
      <c r="E719" s="406"/>
      <c r="F719" s="407"/>
      <c r="G719" s="407"/>
      <c r="H719" s="4"/>
      <c r="I719" s="4"/>
      <c r="J719" s="4"/>
      <c r="K719" s="4"/>
      <c r="L719" s="4"/>
      <c r="M719" s="4"/>
      <c r="N719" s="4"/>
      <c r="O719" s="4"/>
      <c r="P719" s="4"/>
      <c r="Q719" s="4"/>
      <c r="R719" s="4"/>
      <c r="S719" s="4"/>
      <c r="T719" s="4"/>
      <c r="U719" s="4"/>
      <c r="V719" s="4"/>
      <c r="W719" s="4"/>
      <c r="X719" s="4"/>
      <c r="Y719" s="4"/>
      <c r="Z719" s="4"/>
    </row>
    <row r="720" ht="9.75" customHeight="1">
      <c r="A720" s="343"/>
      <c r="B720" s="344"/>
      <c r="C720" s="182"/>
      <c r="D720" s="406"/>
      <c r="E720" s="406"/>
      <c r="F720" s="407"/>
      <c r="G720" s="407"/>
      <c r="H720" s="4"/>
      <c r="I720" s="4"/>
      <c r="J720" s="4"/>
      <c r="K720" s="4"/>
      <c r="L720" s="4"/>
      <c r="M720" s="4"/>
      <c r="N720" s="4"/>
      <c r="O720" s="4"/>
      <c r="P720" s="4"/>
      <c r="Q720" s="4"/>
      <c r="R720" s="4"/>
      <c r="S720" s="4"/>
      <c r="T720" s="4"/>
      <c r="U720" s="4"/>
      <c r="V720" s="4"/>
      <c r="W720" s="4"/>
      <c r="X720" s="4"/>
      <c r="Y720" s="4"/>
      <c r="Z720" s="4"/>
    </row>
    <row r="721" ht="9.75" customHeight="1">
      <c r="A721" s="343"/>
      <c r="B721" s="344"/>
      <c r="C721" s="182"/>
      <c r="D721" s="406"/>
      <c r="E721" s="406"/>
      <c r="F721" s="407"/>
      <c r="G721" s="407"/>
      <c r="H721" s="4"/>
      <c r="I721" s="4"/>
      <c r="J721" s="4"/>
      <c r="K721" s="4"/>
      <c r="L721" s="4"/>
      <c r="M721" s="4"/>
      <c r="N721" s="4"/>
      <c r="O721" s="4"/>
      <c r="P721" s="4"/>
      <c r="Q721" s="4"/>
      <c r="R721" s="4"/>
      <c r="S721" s="4"/>
      <c r="T721" s="4"/>
      <c r="U721" s="4"/>
      <c r="V721" s="4"/>
      <c r="W721" s="4"/>
      <c r="X721" s="4"/>
      <c r="Y721" s="4"/>
      <c r="Z721" s="4"/>
    </row>
    <row r="722" ht="9.75" customHeight="1">
      <c r="A722" s="343"/>
      <c r="B722" s="344"/>
      <c r="C722" s="182"/>
      <c r="D722" s="406"/>
      <c r="E722" s="406"/>
      <c r="F722" s="407"/>
      <c r="G722" s="407"/>
      <c r="H722" s="4"/>
      <c r="I722" s="4"/>
      <c r="J722" s="4"/>
      <c r="K722" s="4"/>
      <c r="L722" s="4"/>
      <c r="M722" s="4"/>
      <c r="N722" s="4"/>
      <c r="O722" s="4"/>
      <c r="P722" s="4"/>
      <c r="Q722" s="4"/>
      <c r="R722" s="4"/>
      <c r="S722" s="4"/>
      <c r="T722" s="4"/>
      <c r="U722" s="4"/>
      <c r="V722" s="4"/>
      <c r="W722" s="4"/>
      <c r="X722" s="4"/>
      <c r="Y722" s="4"/>
      <c r="Z722" s="4"/>
    </row>
    <row r="723" ht="9.75" customHeight="1">
      <c r="A723" s="343"/>
      <c r="B723" s="344"/>
      <c r="C723" s="182"/>
      <c r="D723" s="406"/>
      <c r="E723" s="406"/>
      <c r="F723" s="407"/>
      <c r="G723" s="407"/>
      <c r="H723" s="4"/>
      <c r="I723" s="4"/>
      <c r="J723" s="4"/>
      <c r="K723" s="4"/>
      <c r="L723" s="4"/>
      <c r="M723" s="4"/>
      <c r="N723" s="4"/>
      <c r="O723" s="4"/>
      <c r="P723" s="4"/>
      <c r="Q723" s="4"/>
      <c r="R723" s="4"/>
      <c r="S723" s="4"/>
      <c r="T723" s="4"/>
      <c r="U723" s="4"/>
      <c r="V723" s="4"/>
      <c r="W723" s="4"/>
      <c r="X723" s="4"/>
      <c r="Y723" s="4"/>
      <c r="Z723" s="4"/>
    </row>
    <row r="724" ht="9.75" customHeight="1">
      <c r="A724" s="343"/>
      <c r="B724" s="344"/>
      <c r="C724" s="182"/>
      <c r="D724" s="406"/>
      <c r="E724" s="406"/>
      <c r="F724" s="407"/>
      <c r="G724" s="407"/>
      <c r="H724" s="4"/>
      <c r="I724" s="4"/>
      <c r="J724" s="4"/>
      <c r="K724" s="4"/>
      <c r="L724" s="4"/>
      <c r="M724" s="4"/>
      <c r="N724" s="4"/>
      <c r="O724" s="4"/>
      <c r="P724" s="4"/>
      <c r="Q724" s="4"/>
      <c r="R724" s="4"/>
      <c r="S724" s="4"/>
      <c r="T724" s="4"/>
      <c r="U724" s="4"/>
      <c r="V724" s="4"/>
      <c r="W724" s="4"/>
      <c r="X724" s="4"/>
      <c r="Y724" s="4"/>
      <c r="Z724" s="4"/>
    </row>
    <row r="725" ht="9.75" customHeight="1">
      <c r="A725" s="343"/>
      <c r="B725" s="344"/>
      <c r="C725" s="182"/>
      <c r="D725" s="406"/>
      <c r="E725" s="406"/>
      <c r="F725" s="407"/>
      <c r="G725" s="407"/>
      <c r="H725" s="4"/>
      <c r="I725" s="4"/>
      <c r="J725" s="4"/>
      <c r="K725" s="4"/>
      <c r="L725" s="4"/>
      <c r="M725" s="4"/>
      <c r="N725" s="4"/>
      <c r="O725" s="4"/>
      <c r="P725" s="4"/>
      <c r="Q725" s="4"/>
      <c r="R725" s="4"/>
      <c r="S725" s="4"/>
      <c r="T725" s="4"/>
      <c r="U725" s="4"/>
      <c r="V725" s="4"/>
      <c r="W725" s="4"/>
      <c r="X725" s="4"/>
      <c r="Y725" s="4"/>
      <c r="Z725" s="4"/>
    </row>
    <row r="726" ht="9.75" customHeight="1">
      <c r="A726" s="343"/>
      <c r="B726" s="344"/>
      <c r="C726" s="182"/>
      <c r="D726" s="406"/>
      <c r="E726" s="406"/>
      <c r="F726" s="407"/>
      <c r="G726" s="407"/>
      <c r="H726" s="4"/>
      <c r="I726" s="4"/>
      <c r="J726" s="4"/>
      <c r="K726" s="4"/>
      <c r="L726" s="4"/>
      <c r="M726" s="4"/>
      <c r="N726" s="4"/>
      <c r="O726" s="4"/>
      <c r="P726" s="4"/>
      <c r="Q726" s="4"/>
      <c r="R726" s="4"/>
      <c r="S726" s="4"/>
      <c r="T726" s="4"/>
      <c r="U726" s="4"/>
      <c r="V726" s="4"/>
      <c r="W726" s="4"/>
      <c r="X726" s="4"/>
      <c r="Y726" s="4"/>
      <c r="Z726" s="4"/>
    </row>
    <row r="727" ht="9.75" customHeight="1">
      <c r="A727" s="343"/>
      <c r="B727" s="344"/>
      <c r="C727" s="182"/>
      <c r="D727" s="406"/>
      <c r="E727" s="406"/>
      <c r="F727" s="407"/>
      <c r="G727" s="407"/>
      <c r="H727" s="4"/>
      <c r="I727" s="4"/>
      <c r="J727" s="4"/>
      <c r="K727" s="4"/>
      <c r="L727" s="4"/>
      <c r="M727" s="4"/>
      <c r="N727" s="4"/>
      <c r="O727" s="4"/>
      <c r="P727" s="4"/>
      <c r="Q727" s="4"/>
      <c r="R727" s="4"/>
      <c r="S727" s="4"/>
      <c r="T727" s="4"/>
      <c r="U727" s="4"/>
      <c r="V727" s="4"/>
      <c r="W727" s="4"/>
      <c r="X727" s="4"/>
      <c r="Y727" s="4"/>
      <c r="Z727" s="4"/>
    </row>
    <row r="728" ht="9.75" customHeight="1">
      <c r="A728" s="343"/>
      <c r="B728" s="344"/>
      <c r="C728" s="182"/>
      <c r="D728" s="406"/>
      <c r="E728" s="406"/>
      <c r="F728" s="407"/>
      <c r="G728" s="407"/>
      <c r="H728" s="4"/>
      <c r="I728" s="4"/>
      <c r="J728" s="4"/>
      <c r="K728" s="4"/>
      <c r="L728" s="4"/>
      <c r="M728" s="4"/>
      <c r="N728" s="4"/>
      <c r="O728" s="4"/>
      <c r="P728" s="4"/>
      <c r="Q728" s="4"/>
      <c r="R728" s="4"/>
      <c r="S728" s="4"/>
      <c r="T728" s="4"/>
      <c r="U728" s="4"/>
      <c r="V728" s="4"/>
      <c r="W728" s="4"/>
      <c r="X728" s="4"/>
      <c r="Y728" s="4"/>
      <c r="Z728" s="4"/>
    </row>
    <row r="729" ht="9.75" customHeight="1">
      <c r="A729" s="343"/>
      <c r="B729" s="344"/>
      <c r="C729" s="182"/>
      <c r="D729" s="406"/>
      <c r="E729" s="406"/>
      <c r="F729" s="407"/>
      <c r="G729" s="407"/>
      <c r="H729" s="4"/>
      <c r="I729" s="4"/>
      <c r="J729" s="4"/>
      <c r="K729" s="4"/>
      <c r="L729" s="4"/>
      <c r="M729" s="4"/>
      <c r="N729" s="4"/>
      <c r="O729" s="4"/>
      <c r="P729" s="4"/>
      <c r="Q729" s="4"/>
      <c r="R729" s="4"/>
      <c r="S729" s="4"/>
      <c r="T729" s="4"/>
      <c r="U729" s="4"/>
      <c r="V729" s="4"/>
      <c r="W729" s="4"/>
      <c r="X729" s="4"/>
      <c r="Y729" s="4"/>
      <c r="Z729" s="4"/>
    </row>
    <row r="730" ht="9.75" customHeight="1">
      <c r="A730" s="343"/>
      <c r="B730" s="344"/>
      <c r="C730" s="182"/>
      <c r="D730" s="406"/>
      <c r="E730" s="406"/>
      <c r="F730" s="407"/>
      <c r="G730" s="407"/>
      <c r="H730" s="4"/>
      <c r="I730" s="4"/>
      <c r="J730" s="4"/>
      <c r="K730" s="4"/>
      <c r="L730" s="4"/>
      <c r="M730" s="4"/>
      <c r="N730" s="4"/>
      <c r="O730" s="4"/>
      <c r="P730" s="4"/>
      <c r="Q730" s="4"/>
      <c r="R730" s="4"/>
      <c r="S730" s="4"/>
      <c r="T730" s="4"/>
      <c r="U730" s="4"/>
      <c r="V730" s="4"/>
      <c r="W730" s="4"/>
      <c r="X730" s="4"/>
      <c r="Y730" s="4"/>
      <c r="Z730" s="4"/>
    </row>
    <row r="731" ht="9.75" customHeight="1">
      <c r="A731" s="343"/>
      <c r="B731" s="344"/>
      <c r="C731" s="182"/>
      <c r="D731" s="406"/>
      <c r="E731" s="406"/>
      <c r="F731" s="407"/>
      <c r="G731" s="407"/>
      <c r="H731" s="4"/>
      <c r="I731" s="4"/>
      <c r="J731" s="4"/>
      <c r="K731" s="4"/>
      <c r="L731" s="4"/>
      <c r="M731" s="4"/>
      <c r="N731" s="4"/>
      <c r="O731" s="4"/>
      <c r="P731" s="4"/>
      <c r="Q731" s="4"/>
      <c r="R731" s="4"/>
      <c r="S731" s="4"/>
      <c r="T731" s="4"/>
      <c r="U731" s="4"/>
      <c r="V731" s="4"/>
      <c r="W731" s="4"/>
      <c r="X731" s="4"/>
      <c r="Y731" s="4"/>
      <c r="Z731" s="4"/>
    </row>
    <row r="732" ht="9.75" customHeight="1">
      <c r="A732" s="343"/>
      <c r="B732" s="344"/>
      <c r="C732" s="182"/>
      <c r="D732" s="406"/>
      <c r="E732" s="406"/>
      <c r="F732" s="407"/>
      <c r="G732" s="407"/>
      <c r="H732" s="4"/>
      <c r="I732" s="4"/>
      <c r="J732" s="4"/>
      <c r="K732" s="4"/>
      <c r="L732" s="4"/>
      <c r="M732" s="4"/>
      <c r="N732" s="4"/>
      <c r="O732" s="4"/>
      <c r="P732" s="4"/>
      <c r="Q732" s="4"/>
      <c r="R732" s="4"/>
      <c r="S732" s="4"/>
      <c r="T732" s="4"/>
      <c r="U732" s="4"/>
      <c r="V732" s="4"/>
      <c r="W732" s="4"/>
      <c r="X732" s="4"/>
      <c r="Y732" s="4"/>
      <c r="Z732" s="4"/>
    </row>
    <row r="733" ht="9.75" customHeight="1">
      <c r="A733" s="343"/>
      <c r="B733" s="344"/>
      <c r="C733" s="182"/>
      <c r="D733" s="406"/>
      <c r="E733" s="406"/>
      <c r="F733" s="407"/>
      <c r="G733" s="407"/>
      <c r="H733" s="4"/>
      <c r="I733" s="4"/>
      <c r="J733" s="4"/>
      <c r="K733" s="4"/>
      <c r="L733" s="4"/>
      <c r="M733" s="4"/>
      <c r="N733" s="4"/>
      <c r="O733" s="4"/>
      <c r="P733" s="4"/>
      <c r="Q733" s="4"/>
      <c r="R733" s="4"/>
      <c r="S733" s="4"/>
      <c r="T733" s="4"/>
      <c r="U733" s="4"/>
      <c r="V733" s="4"/>
      <c r="W733" s="4"/>
      <c r="X733" s="4"/>
      <c r="Y733" s="4"/>
      <c r="Z733" s="4"/>
    </row>
    <row r="734" ht="9.75" customHeight="1">
      <c r="A734" s="343"/>
      <c r="B734" s="344"/>
      <c r="C734" s="182"/>
      <c r="D734" s="406"/>
      <c r="E734" s="406"/>
      <c r="F734" s="407"/>
      <c r="G734" s="407"/>
      <c r="H734" s="4"/>
      <c r="I734" s="4"/>
      <c r="J734" s="4"/>
      <c r="K734" s="4"/>
      <c r="L734" s="4"/>
      <c r="M734" s="4"/>
      <c r="N734" s="4"/>
      <c r="O734" s="4"/>
      <c r="P734" s="4"/>
      <c r="Q734" s="4"/>
      <c r="R734" s="4"/>
      <c r="S734" s="4"/>
      <c r="T734" s="4"/>
      <c r="U734" s="4"/>
      <c r="V734" s="4"/>
      <c r="W734" s="4"/>
      <c r="X734" s="4"/>
      <c r="Y734" s="4"/>
      <c r="Z734" s="4"/>
    </row>
    <row r="735" ht="9.75" customHeight="1">
      <c r="A735" s="343"/>
      <c r="B735" s="344"/>
      <c r="C735" s="182"/>
      <c r="D735" s="406"/>
      <c r="E735" s="406"/>
      <c r="F735" s="407"/>
      <c r="G735" s="407"/>
      <c r="H735" s="4"/>
      <c r="I735" s="4"/>
      <c r="J735" s="4"/>
      <c r="K735" s="4"/>
      <c r="L735" s="4"/>
      <c r="M735" s="4"/>
      <c r="N735" s="4"/>
      <c r="O735" s="4"/>
      <c r="P735" s="4"/>
      <c r="Q735" s="4"/>
      <c r="R735" s="4"/>
      <c r="S735" s="4"/>
      <c r="T735" s="4"/>
      <c r="U735" s="4"/>
      <c r="V735" s="4"/>
      <c r="W735" s="4"/>
      <c r="X735" s="4"/>
      <c r="Y735" s="4"/>
      <c r="Z735" s="4"/>
    </row>
    <row r="736" ht="9.75" customHeight="1">
      <c r="A736" s="343"/>
      <c r="B736" s="344"/>
      <c r="C736" s="182"/>
      <c r="D736" s="406"/>
      <c r="E736" s="406"/>
      <c r="F736" s="407"/>
      <c r="G736" s="407"/>
      <c r="H736" s="4"/>
      <c r="I736" s="4"/>
      <c r="J736" s="4"/>
      <c r="K736" s="4"/>
      <c r="L736" s="4"/>
      <c r="M736" s="4"/>
      <c r="N736" s="4"/>
      <c r="O736" s="4"/>
      <c r="P736" s="4"/>
      <c r="Q736" s="4"/>
      <c r="R736" s="4"/>
      <c r="S736" s="4"/>
      <c r="T736" s="4"/>
      <c r="U736" s="4"/>
      <c r="V736" s="4"/>
      <c r="W736" s="4"/>
      <c r="X736" s="4"/>
      <c r="Y736" s="4"/>
      <c r="Z736" s="4"/>
    </row>
    <row r="737" ht="9.75" customHeight="1">
      <c r="A737" s="343"/>
      <c r="B737" s="344"/>
      <c r="C737" s="182"/>
      <c r="D737" s="406"/>
      <c r="E737" s="406"/>
      <c r="F737" s="407"/>
      <c r="G737" s="407"/>
      <c r="H737" s="4"/>
      <c r="I737" s="4"/>
      <c r="J737" s="4"/>
      <c r="K737" s="4"/>
      <c r="L737" s="4"/>
      <c r="M737" s="4"/>
      <c r="N737" s="4"/>
      <c r="O737" s="4"/>
      <c r="P737" s="4"/>
      <c r="Q737" s="4"/>
      <c r="R737" s="4"/>
      <c r="S737" s="4"/>
      <c r="T737" s="4"/>
      <c r="U737" s="4"/>
      <c r="V737" s="4"/>
      <c r="W737" s="4"/>
      <c r="X737" s="4"/>
      <c r="Y737" s="4"/>
      <c r="Z737" s="4"/>
    </row>
    <row r="738" ht="9.75" customHeight="1">
      <c r="A738" s="343"/>
      <c r="B738" s="344"/>
      <c r="C738" s="182"/>
      <c r="D738" s="406"/>
      <c r="E738" s="406"/>
      <c r="F738" s="407"/>
      <c r="G738" s="407"/>
      <c r="H738" s="4"/>
      <c r="I738" s="4"/>
      <c r="J738" s="4"/>
      <c r="K738" s="4"/>
      <c r="L738" s="4"/>
      <c r="M738" s="4"/>
      <c r="N738" s="4"/>
      <c r="O738" s="4"/>
      <c r="P738" s="4"/>
      <c r="Q738" s="4"/>
      <c r="R738" s="4"/>
      <c r="S738" s="4"/>
      <c r="T738" s="4"/>
      <c r="U738" s="4"/>
      <c r="V738" s="4"/>
      <c r="W738" s="4"/>
      <c r="X738" s="4"/>
      <c r="Y738" s="4"/>
      <c r="Z738" s="4"/>
    </row>
    <row r="739" ht="9.75" customHeight="1">
      <c r="A739" s="343"/>
      <c r="B739" s="344"/>
      <c r="C739" s="182"/>
      <c r="D739" s="406"/>
      <c r="E739" s="406"/>
      <c r="F739" s="407"/>
      <c r="G739" s="407"/>
      <c r="H739" s="4"/>
      <c r="I739" s="4"/>
      <c r="J739" s="4"/>
      <c r="K739" s="4"/>
      <c r="L739" s="4"/>
      <c r="M739" s="4"/>
      <c r="N739" s="4"/>
      <c r="O739" s="4"/>
      <c r="P739" s="4"/>
      <c r="Q739" s="4"/>
      <c r="R739" s="4"/>
      <c r="S739" s="4"/>
      <c r="T739" s="4"/>
      <c r="U739" s="4"/>
      <c r="V739" s="4"/>
      <c r="W739" s="4"/>
      <c r="X739" s="4"/>
      <c r="Y739" s="4"/>
      <c r="Z739" s="4"/>
    </row>
    <row r="740" ht="9.75" customHeight="1">
      <c r="A740" s="343"/>
      <c r="B740" s="344"/>
      <c r="C740" s="182"/>
      <c r="D740" s="406"/>
      <c r="E740" s="406"/>
      <c r="F740" s="407"/>
      <c r="G740" s="407"/>
      <c r="H740" s="4"/>
      <c r="I740" s="4"/>
      <c r="J740" s="4"/>
      <c r="K740" s="4"/>
      <c r="L740" s="4"/>
      <c r="M740" s="4"/>
      <c r="N740" s="4"/>
      <c r="O740" s="4"/>
      <c r="P740" s="4"/>
      <c r="Q740" s="4"/>
      <c r="R740" s="4"/>
      <c r="S740" s="4"/>
      <c r="T740" s="4"/>
      <c r="U740" s="4"/>
      <c r="V740" s="4"/>
      <c r="W740" s="4"/>
      <c r="X740" s="4"/>
      <c r="Y740" s="4"/>
      <c r="Z740" s="4"/>
    </row>
    <row r="741" ht="9.75" customHeight="1">
      <c r="A741" s="343"/>
      <c r="B741" s="344"/>
      <c r="C741" s="182"/>
      <c r="D741" s="406"/>
      <c r="E741" s="406"/>
      <c r="F741" s="407"/>
      <c r="G741" s="407"/>
      <c r="H741" s="4"/>
      <c r="I741" s="4"/>
      <c r="J741" s="4"/>
      <c r="K741" s="4"/>
      <c r="L741" s="4"/>
      <c r="M741" s="4"/>
      <c r="N741" s="4"/>
      <c r="O741" s="4"/>
      <c r="P741" s="4"/>
      <c r="Q741" s="4"/>
      <c r="R741" s="4"/>
      <c r="S741" s="4"/>
      <c r="T741" s="4"/>
      <c r="U741" s="4"/>
      <c r="V741" s="4"/>
      <c r="W741" s="4"/>
      <c r="X741" s="4"/>
      <c r="Y741" s="4"/>
      <c r="Z741" s="4"/>
    </row>
    <row r="742" ht="9.75" customHeight="1">
      <c r="A742" s="343"/>
      <c r="B742" s="344"/>
      <c r="C742" s="182"/>
      <c r="D742" s="406"/>
      <c r="E742" s="406"/>
      <c r="F742" s="407"/>
      <c r="G742" s="407"/>
      <c r="H742" s="4"/>
      <c r="I742" s="4"/>
      <c r="J742" s="4"/>
      <c r="K742" s="4"/>
      <c r="L742" s="4"/>
      <c r="M742" s="4"/>
      <c r="N742" s="4"/>
      <c r="O742" s="4"/>
      <c r="P742" s="4"/>
      <c r="Q742" s="4"/>
      <c r="R742" s="4"/>
      <c r="S742" s="4"/>
      <c r="T742" s="4"/>
      <c r="U742" s="4"/>
      <c r="V742" s="4"/>
      <c r="W742" s="4"/>
      <c r="X742" s="4"/>
      <c r="Y742" s="4"/>
      <c r="Z742" s="4"/>
    </row>
    <row r="743" ht="9.75" customHeight="1">
      <c r="A743" s="343"/>
      <c r="B743" s="344"/>
      <c r="C743" s="182"/>
      <c r="D743" s="406"/>
      <c r="E743" s="406"/>
      <c r="F743" s="407"/>
      <c r="G743" s="407"/>
      <c r="H743" s="4"/>
      <c r="I743" s="4"/>
      <c r="J743" s="4"/>
      <c r="K743" s="4"/>
      <c r="L743" s="4"/>
      <c r="M743" s="4"/>
      <c r="N743" s="4"/>
      <c r="O743" s="4"/>
      <c r="P743" s="4"/>
      <c r="Q743" s="4"/>
      <c r="R743" s="4"/>
      <c r="S743" s="4"/>
      <c r="T743" s="4"/>
      <c r="U743" s="4"/>
      <c r="V743" s="4"/>
      <c r="W743" s="4"/>
      <c r="X743" s="4"/>
      <c r="Y743" s="4"/>
      <c r="Z743" s="4"/>
    </row>
    <row r="744" ht="9.75" customHeight="1">
      <c r="A744" s="343"/>
      <c r="B744" s="344"/>
      <c r="C744" s="182"/>
      <c r="D744" s="406"/>
      <c r="E744" s="406"/>
      <c r="F744" s="407"/>
      <c r="G744" s="407"/>
      <c r="H744" s="4"/>
      <c r="I744" s="4"/>
      <c r="J744" s="4"/>
      <c r="K744" s="4"/>
      <c r="L744" s="4"/>
      <c r="M744" s="4"/>
      <c r="N744" s="4"/>
      <c r="O744" s="4"/>
      <c r="P744" s="4"/>
      <c r="Q744" s="4"/>
      <c r="R744" s="4"/>
      <c r="S744" s="4"/>
      <c r="T744" s="4"/>
      <c r="U744" s="4"/>
      <c r="V744" s="4"/>
      <c r="W744" s="4"/>
      <c r="X744" s="4"/>
      <c r="Y744" s="4"/>
      <c r="Z744" s="4"/>
    </row>
    <row r="745" ht="9.75" customHeight="1">
      <c r="A745" s="343"/>
      <c r="B745" s="344"/>
      <c r="C745" s="182"/>
      <c r="D745" s="406"/>
      <c r="E745" s="406"/>
      <c r="F745" s="407"/>
      <c r="G745" s="407"/>
      <c r="H745" s="4"/>
      <c r="I745" s="4"/>
      <c r="J745" s="4"/>
      <c r="K745" s="4"/>
      <c r="L745" s="4"/>
      <c r="M745" s="4"/>
      <c r="N745" s="4"/>
      <c r="O745" s="4"/>
      <c r="P745" s="4"/>
      <c r="Q745" s="4"/>
      <c r="R745" s="4"/>
      <c r="S745" s="4"/>
      <c r="T745" s="4"/>
      <c r="U745" s="4"/>
      <c r="V745" s="4"/>
      <c r="W745" s="4"/>
      <c r="X745" s="4"/>
      <c r="Y745" s="4"/>
      <c r="Z745" s="4"/>
    </row>
    <row r="746" ht="9.75" customHeight="1">
      <c r="A746" s="343"/>
      <c r="B746" s="344"/>
      <c r="C746" s="182"/>
      <c r="D746" s="406"/>
      <c r="E746" s="406"/>
      <c r="F746" s="407"/>
      <c r="G746" s="407"/>
      <c r="H746" s="4"/>
      <c r="I746" s="4"/>
      <c r="J746" s="4"/>
      <c r="K746" s="4"/>
      <c r="L746" s="4"/>
      <c r="M746" s="4"/>
      <c r="N746" s="4"/>
      <c r="O746" s="4"/>
      <c r="P746" s="4"/>
      <c r="Q746" s="4"/>
      <c r="R746" s="4"/>
      <c r="S746" s="4"/>
      <c r="T746" s="4"/>
      <c r="U746" s="4"/>
      <c r="V746" s="4"/>
      <c r="W746" s="4"/>
      <c r="X746" s="4"/>
      <c r="Y746" s="4"/>
      <c r="Z746" s="4"/>
    </row>
    <row r="747" ht="9.75" customHeight="1">
      <c r="A747" s="343"/>
      <c r="B747" s="344"/>
      <c r="C747" s="182"/>
      <c r="D747" s="406"/>
      <c r="E747" s="406"/>
      <c r="F747" s="407"/>
      <c r="G747" s="407"/>
      <c r="H747" s="4"/>
      <c r="I747" s="4"/>
      <c r="J747" s="4"/>
      <c r="K747" s="4"/>
      <c r="L747" s="4"/>
      <c r="M747" s="4"/>
      <c r="N747" s="4"/>
      <c r="O747" s="4"/>
      <c r="P747" s="4"/>
      <c r="Q747" s="4"/>
      <c r="R747" s="4"/>
      <c r="S747" s="4"/>
      <c r="T747" s="4"/>
      <c r="U747" s="4"/>
      <c r="V747" s="4"/>
      <c r="W747" s="4"/>
      <c r="X747" s="4"/>
      <c r="Y747" s="4"/>
      <c r="Z747" s="4"/>
    </row>
    <row r="748" ht="9.75" customHeight="1">
      <c r="A748" s="343"/>
      <c r="B748" s="344"/>
      <c r="C748" s="182"/>
      <c r="D748" s="406"/>
      <c r="E748" s="406"/>
      <c r="F748" s="407"/>
      <c r="G748" s="407"/>
      <c r="H748" s="4"/>
      <c r="I748" s="4"/>
      <c r="J748" s="4"/>
      <c r="K748" s="4"/>
      <c r="L748" s="4"/>
      <c r="M748" s="4"/>
      <c r="N748" s="4"/>
      <c r="O748" s="4"/>
      <c r="P748" s="4"/>
      <c r="Q748" s="4"/>
      <c r="R748" s="4"/>
      <c r="S748" s="4"/>
      <c r="T748" s="4"/>
      <c r="U748" s="4"/>
      <c r="V748" s="4"/>
      <c r="W748" s="4"/>
      <c r="X748" s="4"/>
      <c r="Y748" s="4"/>
      <c r="Z748" s="4"/>
    </row>
    <row r="749" ht="9.75" customHeight="1">
      <c r="A749" s="343"/>
      <c r="B749" s="344"/>
      <c r="C749" s="182"/>
      <c r="D749" s="406"/>
      <c r="E749" s="406"/>
      <c r="F749" s="407"/>
      <c r="G749" s="407"/>
      <c r="H749" s="4"/>
      <c r="I749" s="4"/>
      <c r="J749" s="4"/>
      <c r="K749" s="4"/>
      <c r="L749" s="4"/>
      <c r="M749" s="4"/>
      <c r="N749" s="4"/>
      <c r="O749" s="4"/>
      <c r="P749" s="4"/>
      <c r="Q749" s="4"/>
      <c r="R749" s="4"/>
      <c r="S749" s="4"/>
      <c r="T749" s="4"/>
      <c r="U749" s="4"/>
      <c r="V749" s="4"/>
      <c r="W749" s="4"/>
      <c r="X749" s="4"/>
      <c r="Y749" s="4"/>
      <c r="Z749" s="4"/>
    </row>
    <row r="750" ht="9.75" customHeight="1">
      <c r="A750" s="343"/>
      <c r="B750" s="344"/>
      <c r="C750" s="182"/>
      <c r="D750" s="406"/>
      <c r="E750" s="406"/>
      <c r="F750" s="407"/>
      <c r="G750" s="407"/>
      <c r="H750" s="4"/>
      <c r="I750" s="4"/>
      <c r="J750" s="4"/>
      <c r="K750" s="4"/>
      <c r="L750" s="4"/>
      <c r="M750" s="4"/>
      <c r="N750" s="4"/>
      <c r="O750" s="4"/>
      <c r="P750" s="4"/>
      <c r="Q750" s="4"/>
      <c r="R750" s="4"/>
      <c r="S750" s="4"/>
      <c r="T750" s="4"/>
      <c r="U750" s="4"/>
      <c r="V750" s="4"/>
      <c r="W750" s="4"/>
      <c r="X750" s="4"/>
      <c r="Y750" s="4"/>
      <c r="Z750" s="4"/>
    </row>
    <row r="751" ht="9.75" customHeight="1">
      <c r="A751" s="343"/>
      <c r="B751" s="344"/>
      <c r="C751" s="182"/>
      <c r="D751" s="406"/>
      <c r="E751" s="406"/>
      <c r="F751" s="407"/>
      <c r="G751" s="407"/>
      <c r="H751" s="4"/>
      <c r="I751" s="4"/>
      <c r="J751" s="4"/>
      <c r="K751" s="4"/>
      <c r="L751" s="4"/>
      <c r="M751" s="4"/>
      <c r="N751" s="4"/>
      <c r="O751" s="4"/>
      <c r="P751" s="4"/>
      <c r="Q751" s="4"/>
      <c r="R751" s="4"/>
      <c r="S751" s="4"/>
      <c r="T751" s="4"/>
      <c r="U751" s="4"/>
      <c r="V751" s="4"/>
      <c r="W751" s="4"/>
      <c r="X751" s="4"/>
      <c r="Y751" s="4"/>
      <c r="Z751" s="4"/>
    </row>
    <row r="752" ht="9.75" customHeight="1">
      <c r="A752" s="343"/>
      <c r="B752" s="344"/>
      <c r="C752" s="182"/>
      <c r="D752" s="406"/>
      <c r="E752" s="406"/>
      <c r="F752" s="407"/>
      <c r="G752" s="407"/>
      <c r="H752" s="4"/>
      <c r="I752" s="4"/>
      <c r="J752" s="4"/>
      <c r="K752" s="4"/>
      <c r="L752" s="4"/>
      <c r="M752" s="4"/>
      <c r="N752" s="4"/>
      <c r="O752" s="4"/>
      <c r="P752" s="4"/>
      <c r="Q752" s="4"/>
      <c r="R752" s="4"/>
      <c r="S752" s="4"/>
      <c r="T752" s="4"/>
      <c r="U752" s="4"/>
      <c r="V752" s="4"/>
      <c r="W752" s="4"/>
      <c r="X752" s="4"/>
      <c r="Y752" s="4"/>
      <c r="Z752" s="4"/>
    </row>
    <row r="753" ht="9.75" customHeight="1">
      <c r="A753" s="343"/>
      <c r="B753" s="344"/>
      <c r="C753" s="182"/>
      <c r="D753" s="406"/>
      <c r="E753" s="406"/>
      <c r="F753" s="407"/>
      <c r="G753" s="407"/>
      <c r="H753" s="4"/>
      <c r="I753" s="4"/>
      <c r="J753" s="4"/>
      <c r="K753" s="4"/>
      <c r="L753" s="4"/>
      <c r="M753" s="4"/>
      <c r="N753" s="4"/>
      <c r="O753" s="4"/>
      <c r="P753" s="4"/>
      <c r="Q753" s="4"/>
      <c r="R753" s="4"/>
      <c r="S753" s="4"/>
      <c r="T753" s="4"/>
      <c r="U753" s="4"/>
      <c r="V753" s="4"/>
      <c r="W753" s="4"/>
      <c r="X753" s="4"/>
      <c r="Y753" s="4"/>
      <c r="Z753" s="4"/>
    </row>
    <row r="754" ht="9.75" customHeight="1">
      <c r="A754" s="343"/>
      <c r="B754" s="344"/>
      <c r="C754" s="182"/>
      <c r="D754" s="406"/>
      <c r="E754" s="406"/>
      <c r="F754" s="407"/>
      <c r="G754" s="407"/>
      <c r="H754" s="4"/>
      <c r="I754" s="4"/>
      <c r="J754" s="4"/>
      <c r="K754" s="4"/>
      <c r="L754" s="4"/>
      <c r="M754" s="4"/>
      <c r="N754" s="4"/>
      <c r="O754" s="4"/>
      <c r="P754" s="4"/>
      <c r="Q754" s="4"/>
      <c r="R754" s="4"/>
      <c r="S754" s="4"/>
      <c r="T754" s="4"/>
      <c r="U754" s="4"/>
      <c r="V754" s="4"/>
      <c r="W754" s="4"/>
      <c r="X754" s="4"/>
      <c r="Y754" s="4"/>
      <c r="Z754" s="4"/>
    </row>
    <row r="755" ht="9.75" customHeight="1">
      <c r="A755" s="343"/>
      <c r="B755" s="344"/>
      <c r="C755" s="182"/>
      <c r="D755" s="406"/>
      <c r="E755" s="406"/>
      <c r="F755" s="407"/>
      <c r="G755" s="407"/>
      <c r="H755" s="4"/>
      <c r="I755" s="4"/>
      <c r="J755" s="4"/>
      <c r="K755" s="4"/>
      <c r="L755" s="4"/>
      <c r="M755" s="4"/>
      <c r="N755" s="4"/>
      <c r="O755" s="4"/>
      <c r="P755" s="4"/>
      <c r="Q755" s="4"/>
      <c r="R755" s="4"/>
      <c r="S755" s="4"/>
      <c r="T755" s="4"/>
      <c r="U755" s="4"/>
      <c r="V755" s="4"/>
      <c r="W755" s="4"/>
      <c r="X755" s="4"/>
      <c r="Y755" s="4"/>
      <c r="Z755" s="4"/>
    </row>
    <row r="756" ht="9.75" customHeight="1">
      <c r="A756" s="343"/>
      <c r="B756" s="344"/>
      <c r="C756" s="182"/>
      <c r="D756" s="406"/>
      <c r="E756" s="406"/>
      <c r="F756" s="407"/>
      <c r="G756" s="407"/>
      <c r="H756" s="4"/>
      <c r="I756" s="4"/>
      <c r="J756" s="4"/>
      <c r="K756" s="4"/>
      <c r="L756" s="4"/>
      <c r="M756" s="4"/>
      <c r="N756" s="4"/>
      <c r="O756" s="4"/>
      <c r="P756" s="4"/>
      <c r="Q756" s="4"/>
      <c r="R756" s="4"/>
      <c r="S756" s="4"/>
      <c r="T756" s="4"/>
      <c r="U756" s="4"/>
      <c r="V756" s="4"/>
      <c r="W756" s="4"/>
      <c r="X756" s="4"/>
      <c r="Y756" s="4"/>
      <c r="Z756" s="4"/>
    </row>
    <row r="757" ht="9.75" customHeight="1">
      <c r="A757" s="343"/>
      <c r="B757" s="344"/>
      <c r="C757" s="182"/>
      <c r="D757" s="406"/>
      <c r="E757" s="406"/>
      <c r="F757" s="407"/>
      <c r="G757" s="407"/>
      <c r="H757" s="4"/>
      <c r="I757" s="4"/>
      <c r="J757" s="4"/>
      <c r="K757" s="4"/>
      <c r="L757" s="4"/>
      <c r="M757" s="4"/>
      <c r="N757" s="4"/>
      <c r="O757" s="4"/>
      <c r="P757" s="4"/>
      <c r="Q757" s="4"/>
      <c r="R757" s="4"/>
      <c r="S757" s="4"/>
      <c r="T757" s="4"/>
      <c r="U757" s="4"/>
      <c r="V757" s="4"/>
      <c r="W757" s="4"/>
      <c r="X757" s="4"/>
      <c r="Y757" s="4"/>
      <c r="Z757" s="4"/>
    </row>
    <row r="758" ht="9.75" customHeight="1">
      <c r="A758" s="343"/>
      <c r="B758" s="344"/>
      <c r="C758" s="182"/>
      <c r="D758" s="406"/>
      <c r="E758" s="406"/>
      <c r="F758" s="407"/>
      <c r="G758" s="407"/>
      <c r="H758" s="4"/>
      <c r="I758" s="4"/>
      <c r="J758" s="4"/>
      <c r="K758" s="4"/>
      <c r="L758" s="4"/>
      <c r="M758" s="4"/>
      <c r="N758" s="4"/>
      <c r="O758" s="4"/>
      <c r="P758" s="4"/>
      <c r="Q758" s="4"/>
      <c r="R758" s="4"/>
      <c r="S758" s="4"/>
      <c r="T758" s="4"/>
      <c r="U758" s="4"/>
      <c r="V758" s="4"/>
      <c r="W758" s="4"/>
      <c r="X758" s="4"/>
      <c r="Y758" s="4"/>
      <c r="Z758" s="4"/>
    </row>
    <row r="759" ht="9.75" customHeight="1">
      <c r="A759" s="343"/>
      <c r="B759" s="344"/>
      <c r="C759" s="182"/>
      <c r="D759" s="406"/>
      <c r="E759" s="406"/>
      <c r="F759" s="407"/>
      <c r="G759" s="407"/>
      <c r="H759" s="4"/>
      <c r="I759" s="4"/>
      <c r="J759" s="4"/>
      <c r="K759" s="4"/>
      <c r="L759" s="4"/>
      <c r="M759" s="4"/>
      <c r="N759" s="4"/>
      <c r="O759" s="4"/>
      <c r="P759" s="4"/>
      <c r="Q759" s="4"/>
      <c r="R759" s="4"/>
      <c r="S759" s="4"/>
      <c r="T759" s="4"/>
      <c r="U759" s="4"/>
      <c r="V759" s="4"/>
      <c r="W759" s="4"/>
      <c r="X759" s="4"/>
      <c r="Y759" s="4"/>
      <c r="Z759" s="4"/>
    </row>
    <row r="760" ht="9.75" customHeight="1">
      <c r="A760" s="343"/>
      <c r="B760" s="344"/>
      <c r="C760" s="182"/>
      <c r="D760" s="406"/>
      <c r="E760" s="406"/>
      <c r="F760" s="407"/>
      <c r="G760" s="407"/>
      <c r="H760" s="4"/>
      <c r="I760" s="4"/>
      <c r="J760" s="4"/>
      <c r="K760" s="4"/>
      <c r="L760" s="4"/>
      <c r="M760" s="4"/>
      <c r="N760" s="4"/>
      <c r="O760" s="4"/>
      <c r="P760" s="4"/>
      <c r="Q760" s="4"/>
      <c r="R760" s="4"/>
      <c r="S760" s="4"/>
      <c r="T760" s="4"/>
      <c r="U760" s="4"/>
      <c r="V760" s="4"/>
      <c r="W760" s="4"/>
      <c r="X760" s="4"/>
      <c r="Y760" s="4"/>
      <c r="Z760" s="4"/>
    </row>
    <row r="761" ht="9.75" customHeight="1">
      <c r="A761" s="343"/>
      <c r="B761" s="344"/>
      <c r="C761" s="182"/>
      <c r="D761" s="406"/>
      <c r="E761" s="406"/>
      <c r="F761" s="407"/>
      <c r="G761" s="407"/>
      <c r="H761" s="4"/>
      <c r="I761" s="4"/>
      <c r="J761" s="4"/>
      <c r="K761" s="4"/>
      <c r="L761" s="4"/>
      <c r="M761" s="4"/>
      <c r="N761" s="4"/>
      <c r="O761" s="4"/>
      <c r="P761" s="4"/>
      <c r="Q761" s="4"/>
      <c r="R761" s="4"/>
      <c r="S761" s="4"/>
      <c r="T761" s="4"/>
      <c r="U761" s="4"/>
      <c r="V761" s="4"/>
      <c r="W761" s="4"/>
      <c r="X761" s="4"/>
      <c r="Y761" s="4"/>
      <c r="Z761" s="4"/>
    </row>
    <row r="762" ht="9.75" customHeight="1">
      <c r="A762" s="343"/>
      <c r="B762" s="344"/>
      <c r="C762" s="182"/>
      <c r="D762" s="406"/>
      <c r="E762" s="406"/>
      <c r="F762" s="407"/>
      <c r="G762" s="407"/>
      <c r="H762" s="4"/>
      <c r="I762" s="4"/>
      <c r="J762" s="4"/>
      <c r="K762" s="4"/>
      <c r="L762" s="4"/>
      <c r="M762" s="4"/>
      <c r="N762" s="4"/>
      <c r="O762" s="4"/>
      <c r="P762" s="4"/>
      <c r="Q762" s="4"/>
      <c r="R762" s="4"/>
      <c r="S762" s="4"/>
      <c r="T762" s="4"/>
      <c r="U762" s="4"/>
      <c r="V762" s="4"/>
      <c r="W762" s="4"/>
      <c r="X762" s="4"/>
      <c r="Y762" s="4"/>
      <c r="Z762" s="4"/>
    </row>
    <row r="763" ht="9.75" customHeight="1">
      <c r="A763" s="343"/>
      <c r="B763" s="344"/>
      <c r="C763" s="182"/>
      <c r="D763" s="406"/>
      <c r="E763" s="406"/>
      <c r="F763" s="407"/>
      <c r="G763" s="407"/>
      <c r="H763" s="4"/>
      <c r="I763" s="4"/>
      <c r="J763" s="4"/>
      <c r="K763" s="4"/>
      <c r="L763" s="4"/>
      <c r="M763" s="4"/>
      <c r="N763" s="4"/>
      <c r="O763" s="4"/>
      <c r="P763" s="4"/>
      <c r="Q763" s="4"/>
      <c r="R763" s="4"/>
      <c r="S763" s="4"/>
      <c r="T763" s="4"/>
      <c r="U763" s="4"/>
      <c r="V763" s="4"/>
      <c r="W763" s="4"/>
      <c r="X763" s="4"/>
      <c r="Y763" s="4"/>
      <c r="Z763" s="4"/>
    </row>
    <row r="764" ht="9.75" customHeight="1">
      <c r="A764" s="343"/>
      <c r="B764" s="344"/>
      <c r="C764" s="182"/>
      <c r="D764" s="406"/>
      <c r="E764" s="406"/>
      <c r="F764" s="407"/>
      <c r="G764" s="407"/>
      <c r="H764" s="4"/>
      <c r="I764" s="4"/>
      <c r="J764" s="4"/>
      <c r="K764" s="4"/>
      <c r="L764" s="4"/>
      <c r="M764" s="4"/>
      <c r="N764" s="4"/>
      <c r="O764" s="4"/>
      <c r="P764" s="4"/>
      <c r="Q764" s="4"/>
      <c r="R764" s="4"/>
      <c r="S764" s="4"/>
      <c r="T764" s="4"/>
      <c r="U764" s="4"/>
      <c r="V764" s="4"/>
      <c r="W764" s="4"/>
      <c r="X764" s="4"/>
      <c r="Y764" s="4"/>
      <c r="Z764" s="4"/>
    </row>
    <row r="765" ht="9.75" customHeight="1">
      <c r="A765" s="343"/>
      <c r="B765" s="344"/>
      <c r="C765" s="182"/>
      <c r="D765" s="406"/>
      <c r="E765" s="406"/>
      <c r="F765" s="407"/>
      <c r="G765" s="407"/>
      <c r="H765" s="4"/>
      <c r="I765" s="4"/>
      <c r="J765" s="4"/>
      <c r="K765" s="4"/>
      <c r="L765" s="4"/>
      <c r="M765" s="4"/>
      <c r="N765" s="4"/>
      <c r="O765" s="4"/>
      <c r="P765" s="4"/>
      <c r="Q765" s="4"/>
      <c r="R765" s="4"/>
      <c r="S765" s="4"/>
      <c r="T765" s="4"/>
      <c r="U765" s="4"/>
      <c r="V765" s="4"/>
      <c r="W765" s="4"/>
      <c r="X765" s="4"/>
      <c r="Y765" s="4"/>
      <c r="Z765" s="4"/>
    </row>
    <row r="766" ht="9.75" customHeight="1">
      <c r="A766" s="343"/>
      <c r="B766" s="344"/>
      <c r="C766" s="182"/>
      <c r="D766" s="406"/>
      <c r="E766" s="406"/>
      <c r="F766" s="407"/>
      <c r="G766" s="407"/>
      <c r="H766" s="4"/>
      <c r="I766" s="4"/>
      <c r="J766" s="4"/>
      <c r="K766" s="4"/>
      <c r="L766" s="4"/>
      <c r="M766" s="4"/>
      <c r="N766" s="4"/>
      <c r="O766" s="4"/>
      <c r="P766" s="4"/>
      <c r="Q766" s="4"/>
      <c r="R766" s="4"/>
      <c r="S766" s="4"/>
      <c r="T766" s="4"/>
      <c r="U766" s="4"/>
      <c r="V766" s="4"/>
      <c r="W766" s="4"/>
      <c r="X766" s="4"/>
      <c r="Y766" s="4"/>
      <c r="Z766" s="4"/>
    </row>
    <row r="767" ht="9.75" customHeight="1">
      <c r="A767" s="343"/>
      <c r="B767" s="344"/>
      <c r="C767" s="182"/>
      <c r="D767" s="406"/>
      <c r="E767" s="406"/>
      <c r="F767" s="407"/>
      <c r="G767" s="407"/>
      <c r="H767" s="4"/>
      <c r="I767" s="4"/>
      <c r="J767" s="4"/>
      <c r="K767" s="4"/>
      <c r="L767" s="4"/>
      <c r="M767" s="4"/>
      <c r="N767" s="4"/>
      <c r="O767" s="4"/>
      <c r="P767" s="4"/>
      <c r="Q767" s="4"/>
      <c r="R767" s="4"/>
      <c r="S767" s="4"/>
      <c r="T767" s="4"/>
      <c r="U767" s="4"/>
      <c r="V767" s="4"/>
      <c r="W767" s="4"/>
      <c r="X767" s="4"/>
      <c r="Y767" s="4"/>
      <c r="Z767" s="4"/>
    </row>
    <row r="768" ht="9.75" customHeight="1">
      <c r="A768" s="343"/>
      <c r="B768" s="344"/>
      <c r="C768" s="182"/>
      <c r="D768" s="406"/>
      <c r="E768" s="406"/>
      <c r="F768" s="407"/>
      <c r="G768" s="407"/>
      <c r="H768" s="4"/>
      <c r="I768" s="4"/>
      <c r="J768" s="4"/>
      <c r="K768" s="4"/>
      <c r="L768" s="4"/>
      <c r="M768" s="4"/>
      <c r="N768" s="4"/>
      <c r="O768" s="4"/>
      <c r="P768" s="4"/>
      <c r="Q768" s="4"/>
      <c r="R768" s="4"/>
      <c r="S768" s="4"/>
      <c r="T768" s="4"/>
      <c r="U768" s="4"/>
      <c r="V768" s="4"/>
      <c r="W768" s="4"/>
      <c r="X768" s="4"/>
      <c r="Y768" s="4"/>
      <c r="Z768" s="4"/>
    </row>
    <row r="769" ht="9.75" customHeight="1">
      <c r="A769" s="343"/>
      <c r="B769" s="344"/>
      <c r="C769" s="182"/>
      <c r="D769" s="406"/>
      <c r="E769" s="406"/>
      <c r="F769" s="407"/>
      <c r="G769" s="407"/>
      <c r="H769" s="4"/>
      <c r="I769" s="4"/>
      <c r="J769" s="4"/>
      <c r="K769" s="4"/>
      <c r="L769" s="4"/>
      <c r="M769" s="4"/>
      <c r="N769" s="4"/>
      <c r="O769" s="4"/>
      <c r="P769" s="4"/>
      <c r="Q769" s="4"/>
      <c r="R769" s="4"/>
      <c r="S769" s="4"/>
      <c r="T769" s="4"/>
      <c r="U769" s="4"/>
      <c r="V769" s="4"/>
      <c r="W769" s="4"/>
      <c r="X769" s="4"/>
      <c r="Y769" s="4"/>
      <c r="Z769" s="4"/>
    </row>
    <row r="770" ht="9.75" customHeight="1">
      <c r="A770" s="343"/>
      <c r="B770" s="344"/>
      <c r="C770" s="182"/>
      <c r="D770" s="406"/>
      <c r="E770" s="406"/>
      <c r="F770" s="407"/>
      <c r="G770" s="407"/>
      <c r="H770" s="4"/>
      <c r="I770" s="4"/>
      <c r="J770" s="4"/>
      <c r="K770" s="4"/>
      <c r="L770" s="4"/>
      <c r="M770" s="4"/>
      <c r="N770" s="4"/>
      <c r="O770" s="4"/>
      <c r="P770" s="4"/>
      <c r="Q770" s="4"/>
      <c r="R770" s="4"/>
      <c r="S770" s="4"/>
      <c r="T770" s="4"/>
      <c r="U770" s="4"/>
      <c r="V770" s="4"/>
      <c r="W770" s="4"/>
      <c r="X770" s="4"/>
      <c r="Y770" s="4"/>
      <c r="Z770" s="4"/>
    </row>
    <row r="771" ht="9.75" customHeight="1">
      <c r="A771" s="343"/>
      <c r="B771" s="344"/>
      <c r="C771" s="182"/>
      <c r="D771" s="406"/>
      <c r="E771" s="406"/>
      <c r="F771" s="407"/>
      <c r="G771" s="407"/>
      <c r="H771" s="4"/>
      <c r="I771" s="4"/>
      <c r="J771" s="4"/>
      <c r="K771" s="4"/>
      <c r="L771" s="4"/>
      <c r="M771" s="4"/>
      <c r="N771" s="4"/>
      <c r="O771" s="4"/>
      <c r="P771" s="4"/>
      <c r="Q771" s="4"/>
      <c r="R771" s="4"/>
      <c r="S771" s="4"/>
      <c r="T771" s="4"/>
      <c r="U771" s="4"/>
      <c r="V771" s="4"/>
      <c r="W771" s="4"/>
      <c r="X771" s="4"/>
      <c r="Y771" s="4"/>
      <c r="Z771" s="4"/>
    </row>
    <row r="772" ht="9.75" customHeight="1">
      <c r="A772" s="343"/>
      <c r="B772" s="344"/>
      <c r="C772" s="182"/>
      <c r="D772" s="406"/>
      <c r="E772" s="406"/>
      <c r="F772" s="407"/>
      <c r="G772" s="407"/>
      <c r="H772" s="4"/>
      <c r="I772" s="4"/>
      <c r="J772" s="4"/>
      <c r="K772" s="4"/>
      <c r="L772" s="4"/>
      <c r="M772" s="4"/>
      <c r="N772" s="4"/>
      <c r="O772" s="4"/>
      <c r="P772" s="4"/>
      <c r="Q772" s="4"/>
      <c r="R772" s="4"/>
      <c r="S772" s="4"/>
      <c r="T772" s="4"/>
      <c r="U772" s="4"/>
      <c r="V772" s="4"/>
      <c r="W772" s="4"/>
      <c r="X772" s="4"/>
      <c r="Y772" s="4"/>
      <c r="Z772" s="4"/>
    </row>
    <row r="773" ht="9.75" customHeight="1">
      <c r="A773" s="343"/>
      <c r="B773" s="344"/>
      <c r="C773" s="182"/>
      <c r="D773" s="406"/>
      <c r="E773" s="406"/>
      <c r="F773" s="407"/>
      <c r="G773" s="407"/>
      <c r="H773" s="4"/>
      <c r="I773" s="4"/>
      <c r="J773" s="4"/>
      <c r="K773" s="4"/>
      <c r="L773" s="4"/>
      <c r="M773" s="4"/>
      <c r="N773" s="4"/>
      <c r="O773" s="4"/>
      <c r="P773" s="4"/>
      <c r="Q773" s="4"/>
      <c r="R773" s="4"/>
      <c r="S773" s="4"/>
      <c r="T773" s="4"/>
      <c r="U773" s="4"/>
      <c r="V773" s="4"/>
      <c r="W773" s="4"/>
      <c r="X773" s="4"/>
      <c r="Y773" s="4"/>
      <c r="Z773" s="4"/>
    </row>
    <row r="774" ht="9.75" customHeight="1">
      <c r="A774" s="343"/>
      <c r="B774" s="344"/>
      <c r="C774" s="182"/>
      <c r="D774" s="406"/>
      <c r="E774" s="406"/>
      <c r="F774" s="407"/>
      <c r="G774" s="407"/>
      <c r="H774" s="4"/>
      <c r="I774" s="4"/>
      <c r="J774" s="4"/>
      <c r="K774" s="4"/>
      <c r="L774" s="4"/>
      <c r="M774" s="4"/>
      <c r="N774" s="4"/>
      <c r="O774" s="4"/>
      <c r="P774" s="4"/>
      <c r="Q774" s="4"/>
      <c r="R774" s="4"/>
      <c r="S774" s="4"/>
      <c r="T774" s="4"/>
      <c r="U774" s="4"/>
      <c r="V774" s="4"/>
      <c r="W774" s="4"/>
      <c r="X774" s="4"/>
      <c r="Y774" s="4"/>
      <c r="Z774" s="4"/>
    </row>
    <row r="775" ht="9.75" customHeight="1">
      <c r="A775" s="343"/>
      <c r="B775" s="344"/>
      <c r="C775" s="182"/>
      <c r="D775" s="406"/>
      <c r="E775" s="406"/>
      <c r="F775" s="407"/>
      <c r="G775" s="407"/>
      <c r="H775" s="4"/>
      <c r="I775" s="4"/>
      <c r="J775" s="4"/>
      <c r="K775" s="4"/>
      <c r="L775" s="4"/>
      <c r="M775" s="4"/>
      <c r="N775" s="4"/>
      <c r="O775" s="4"/>
      <c r="P775" s="4"/>
      <c r="Q775" s="4"/>
      <c r="R775" s="4"/>
      <c r="S775" s="4"/>
      <c r="T775" s="4"/>
      <c r="U775" s="4"/>
      <c r="V775" s="4"/>
      <c r="W775" s="4"/>
      <c r="X775" s="4"/>
      <c r="Y775" s="4"/>
      <c r="Z775" s="4"/>
    </row>
    <row r="776" ht="9.75" customHeight="1">
      <c r="A776" s="343"/>
      <c r="B776" s="344"/>
      <c r="C776" s="182"/>
      <c r="D776" s="406"/>
      <c r="E776" s="406"/>
      <c r="F776" s="407"/>
      <c r="G776" s="407"/>
      <c r="H776" s="4"/>
      <c r="I776" s="4"/>
      <c r="J776" s="4"/>
      <c r="K776" s="4"/>
      <c r="L776" s="4"/>
      <c r="M776" s="4"/>
      <c r="N776" s="4"/>
      <c r="O776" s="4"/>
      <c r="P776" s="4"/>
      <c r="Q776" s="4"/>
      <c r="R776" s="4"/>
      <c r="S776" s="4"/>
      <c r="T776" s="4"/>
      <c r="U776" s="4"/>
      <c r="V776" s="4"/>
      <c r="W776" s="4"/>
      <c r="X776" s="4"/>
      <c r="Y776" s="4"/>
      <c r="Z776" s="4"/>
    </row>
    <row r="777" ht="9.75" customHeight="1">
      <c r="A777" s="343"/>
      <c r="B777" s="344"/>
      <c r="C777" s="182"/>
      <c r="D777" s="406"/>
      <c r="E777" s="406"/>
      <c r="F777" s="407"/>
      <c r="G777" s="407"/>
      <c r="H777" s="4"/>
      <c r="I777" s="4"/>
      <c r="J777" s="4"/>
      <c r="K777" s="4"/>
      <c r="L777" s="4"/>
      <c r="M777" s="4"/>
      <c r="N777" s="4"/>
      <c r="O777" s="4"/>
      <c r="P777" s="4"/>
      <c r="Q777" s="4"/>
      <c r="R777" s="4"/>
      <c r="S777" s="4"/>
      <c r="T777" s="4"/>
      <c r="U777" s="4"/>
      <c r="V777" s="4"/>
      <c r="W777" s="4"/>
      <c r="X777" s="4"/>
      <c r="Y777" s="4"/>
      <c r="Z777" s="4"/>
    </row>
    <row r="778" ht="9.75" customHeight="1">
      <c r="A778" s="343"/>
      <c r="B778" s="344"/>
      <c r="C778" s="182"/>
      <c r="D778" s="406"/>
      <c r="E778" s="406"/>
      <c r="F778" s="407"/>
      <c r="G778" s="407"/>
      <c r="H778" s="4"/>
      <c r="I778" s="4"/>
      <c r="J778" s="4"/>
      <c r="K778" s="4"/>
      <c r="L778" s="4"/>
      <c r="M778" s="4"/>
      <c r="N778" s="4"/>
      <c r="O778" s="4"/>
      <c r="P778" s="4"/>
      <c r="Q778" s="4"/>
      <c r="R778" s="4"/>
      <c r="S778" s="4"/>
      <c r="T778" s="4"/>
      <c r="U778" s="4"/>
      <c r="V778" s="4"/>
      <c r="W778" s="4"/>
      <c r="X778" s="4"/>
      <c r="Y778" s="4"/>
      <c r="Z778" s="4"/>
    </row>
    <row r="779" ht="9.75" customHeight="1">
      <c r="A779" s="343"/>
      <c r="B779" s="344"/>
      <c r="C779" s="182"/>
      <c r="D779" s="406"/>
      <c r="E779" s="406"/>
      <c r="F779" s="407"/>
      <c r="G779" s="407"/>
      <c r="H779" s="4"/>
      <c r="I779" s="4"/>
      <c r="J779" s="4"/>
      <c r="K779" s="4"/>
      <c r="L779" s="4"/>
      <c r="M779" s="4"/>
      <c r="N779" s="4"/>
      <c r="O779" s="4"/>
      <c r="P779" s="4"/>
      <c r="Q779" s="4"/>
      <c r="R779" s="4"/>
      <c r="S779" s="4"/>
      <c r="T779" s="4"/>
      <c r="U779" s="4"/>
      <c r="V779" s="4"/>
      <c r="W779" s="4"/>
      <c r="X779" s="4"/>
      <c r="Y779" s="4"/>
      <c r="Z779" s="4"/>
    </row>
    <row r="780" ht="9.75" customHeight="1">
      <c r="A780" s="343"/>
      <c r="B780" s="344"/>
      <c r="C780" s="182"/>
      <c r="D780" s="406"/>
      <c r="E780" s="406"/>
      <c r="F780" s="407"/>
      <c r="G780" s="407"/>
      <c r="H780" s="4"/>
      <c r="I780" s="4"/>
      <c r="J780" s="4"/>
      <c r="K780" s="4"/>
      <c r="L780" s="4"/>
      <c r="M780" s="4"/>
      <c r="N780" s="4"/>
      <c r="O780" s="4"/>
      <c r="P780" s="4"/>
      <c r="Q780" s="4"/>
      <c r="R780" s="4"/>
      <c r="S780" s="4"/>
      <c r="T780" s="4"/>
      <c r="U780" s="4"/>
      <c r="V780" s="4"/>
      <c r="W780" s="4"/>
      <c r="X780" s="4"/>
      <c r="Y780" s="4"/>
      <c r="Z780" s="4"/>
    </row>
    <row r="781" ht="9.75" customHeight="1">
      <c r="A781" s="343"/>
      <c r="B781" s="344"/>
      <c r="C781" s="182"/>
      <c r="D781" s="406"/>
      <c r="E781" s="406"/>
      <c r="F781" s="407"/>
      <c r="G781" s="407"/>
      <c r="H781" s="4"/>
      <c r="I781" s="4"/>
      <c r="J781" s="4"/>
      <c r="K781" s="4"/>
      <c r="L781" s="4"/>
      <c r="M781" s="4"/>
      <c r="N781" s="4"/>
      <c r="O781" s="4"/>
      <c r="P781" s="4"/>
      <c r="Q781" s="4"/>
      <c r="R781" s="4"/>
      <c r="S781" s="4"/>
      <c r="T781" s="4"/>
      <c r="U781" s="4"/>
      <c r="V781" s="4"/>
      <c r="W781" s="4"/>
      <c r="X781" s="4"/>
      <c r="Y781" s="4"/>
      <c r="Z781" s="4"/>
    </row>
    <row r="782" ht="9.75" customHeight="1">
      <c r="A782" s="343"/>
      <c r="B782" s="344"/>
      <c r="C782" s="182"/>
      <c r="D782" s="406"/>
      <c r="E782" s="406"/>
      <c r="F782" s="407"/>
      <c r="G782" s="407"/>
      <c r="H782" s="4"/>
      <c r="I782" s="4"/>
      <c r="J782" s="4"/>
      <c r="K782" s="4"/>
      <c r="L782" s="4"/>
      <c r="M782" s="4"/>
      <c r="N782" s="4"/>
      <c r="O782" s="4"/>
      <c r="P782" s="4"/>
      <c r="Q782" s="4"/>
      <c r="R782" s="4"/>
      <c r="S782" s="4"/>
      <c r="T782" s="4"/>
      <c r="U782" s="4"/>
      <c r="V782" s="4"/>
      <c r="W782" s="4"/>
      <c r="X782" s="4"/>
      <c r="Y782" s="4"/>
      <c r="Z782" s="4"/>
    </row>
    <row r="783" ht="9.75" customHeight="1">
      <c r="A783" s="343"/>
      <c r="B783" s="344"/>
      <c r="C783" s="182"/>
      <c r="D783" s="406"/>
      <c r="E783" s="406"/>
      <c r="F783" s="407"/>
      <c r="G783" s="407"/>
      <c r="H783" s="4"/>
      <c r="I783" s="4"/>
      <c r="J783" s="4"/>
      <c r="K783" s="4"/>
      <c r="L783" s="4"/>
      <c r="M783" s="4"/>
      <c r="N783" s="4"/>
      <c r="O783" s="4"/>
      <c r="P783" s="4"/>
      <c r="Q783" s="4"/>
      <c r="R783" s="4"/>
      <c r="S783" s="4"/>
      <c r="T783" s="4"/>
      <c r="U783" s="4"/>
      <c r="V783" s="4"/>
      <c r="W783" s="4"/>
      <c r="X783" s="4"/>
      <c r="Y783" s="4"/>
      <c r="Z783" s="4"/>
    </row>
    <row r="784" ht="9.75" customHeight="1">
      <c r="A784" s="343"/>
      <c r="B784" s="344"/>
      <c r="C784" s="182"/>
      <c r="D784" s="406"/>
      <c r="E784" s="406"/>
      <c r="F784" s="407"/>
      <c r="G784" s="407"/>
      <c r="H784" s="4"/>
      <c r="I784" s="4"/>
      <c r="J784" s="4"/>
      <c r="K784" s="4"/>
      <c r="L784" s="4"/>
      <c r="M784" s="4"/>
      <c r="N784" s="4"/>
      <c r="O784" s="4"/>
      <c r="P784" s="4"/>
      <c r="Q784" s="4"/>
      <c r="R784" s="4"/>
      <c r="S784" s="4"/>
      <c r="T784" s="4"/>
      <c r="U784" s="4"/>
      <c r="V784" s="4"/>
      <c r="W784" s="4"/>
      <c r="X784" s="4"/>
      <c r="Y784" s="4"/>
      <c r="Z784" s="4"/>
    </row>
    <row r="785" ht="9.75" customHeight="1">
      <c r="A785" s="343"/>
      <c r="B785" s="344"/>
      <c r="C785" s="182"/>
      <c r="D785" s="406"/>
      <c r="E785" s="406"/>
      <c r="F785" s="407"/>
      <c r="G785" s="407"/>
      <c r="H785" s="4"/>
      <c r="I785" s="4"/>
      <c r="J785" s="4"/>
      <c r="K785" s="4"/>
      <c r="L785" s="4"/>
      <c r="M785" s="4"/>
      <c r="N785" s="4"/>
      <c r="O785" s="4"/>
      <c r="P785" s="4"/>
      <c r="Q785" s="4"/>
      <c r="R785" s="4"/>
      <c r="S785" s="4"/>
      <c r="T785" s="4"/>
      <c r="U785" s="4"/>
      <c r="V785" s="4"/>
      <c r="W785" s="4"/>
      <c r="X785" s="4"/>
      <c r="Y785" s="4"/>
      <c r="Z785" s="4"/>
    </row>
    <row r="786" ht="9.75" customHeight="1">
      <c r="A786" s="343"/>
      <c r="B786" s="344"/>
      <c r="C786" s="182"/>
      <c r="D786" s="406"/>
      <c r="E786" s="406"/>
      <c r="F786" s="407"/>
      <c r="G786" s="407"/>
      <c r="H786" s="4"/>
      <c r="I786" s="4"/>
      <c r="J786" s="4"/>
      <c r="K786" s="4"/>
      <c r="L786" s="4"/>
      <c r="M786" s="4"/>
      <c r="N786" s="4"/>
      <c r="O786" s="4"/>
      <c r="P786" s="4"/>
      <c r="Q786" s="4"/>
      <c r="R786" s="4"/>
      <c r="S786" s="4"/>
      <c r="T786" s="4"/>
      <c r="U786" s="4"/>
      <c r="V786" s="4"/>
      <c r="W786" s="4"/>
      <c r="X786" s="4"/>
      <c r="Y786" s="4"/>
      <c r="Z786" s="4"/>
    </row>
    <row r="787" ht="9.75" customHeight="1">
      <c r="A787" s="343"/>
      <c r="B787" s="344"/>
      <c r="C787" s="182"/>
      <c r="D787" s="406"/>
      <c r="E787" s="406"/>
      <c r="F787" s="407"/>
      <c r="G787" s="407"/>
      <c r="H787" s="4"/>
      <c r="I787" s="4"/>
      <c r="J787" s="4"/>
      <c r="K787" s="4"/>
      <c r="L787" s="4"/>
      <c r="M787" s="4"/>
      <c r="N787" s="4"/>
      <c r="O787" s="4"/>
      <c r="P787" s="4"/>
      <c r="Q787" s="4"/>
      <c r="R787" s="4"/>
      <c r="S787" s="4"/>
      <c r="T787" s="4"/>
      <c r="U787" s="4"/>
      <c r="V787" s="4"/>
      <c r="W787" s="4"/>
      <c r="X787" s="4"/>
      <c r="Y787" s="4"/>
      <c r="Z787" s="4"/>
    </row>
    <row r="788" ht="9.75" customHeight="1">
      <c r="A788" s="343"/>
      <c r="B788" s="344"/>
      <c r="C788" s="182"/>
      <c r="D788" s="406"/>
      <c r="E788" s="406"/>
      <c r="F788" s="407"/>
      <c r="G788" s="407"/>
      <c r="H788" s="4"/>
      <c r="I788" s="4"/>
      <c r="J788" s="4"/>
      <c r="K788" s="4"/>
      <c r="L788" s="4"/>
      <c r="M788" s="4"/>
      <c r="N788" s="4"/>
      <c r="O788" s="4"/>
      <c r="P788" s="4"/>
      <c r="Q788" s="4"/>
      <c r="R788" s="4"/>
      <c r="S788" s="4"/>
      <c r="T788" s="4"/>
      <c r="U788" s="4"/>
      <c r="V788" s="4"/>
      <c r="W788" s="4"/>
      <c r="X788" s="4"/>
      <c r="Y788" s="4"/>
      <c r="Z788" s="4"/>
    </row>
    <row r="789" ht="9.75" customHeight="1">
      <c r="A789" s="343"/>
      <c r="B789" s="344"/>
      <c r="C789" s="182"/>
      <c r="D789" s="406"/>
      <c r="E789" s="406"/>
      <c r="F789" s="407"/>
      <c r="G789" s="407"/>
      <c r="H789" s="4"/>
      <c r="I789" s="4"/>
      <c r="J789" s="4"/>
      <c r="K789" s="4"/>
      <c r="L789" s="4"/>
      <c r="M789" s="4"/>
      <c r="N789" s="4"/>
      <c r="O789" s="4"/>
      <c r="P789" s="4"/>
      <c r="Q789" s="4"/>
      <c r="R789" s="4"/>
      <c r="S789" s="4"/>
      <c r="T789" s="4"/>
      <c r="U789" s="4"/>
      <c r="V789" s="4"/>
      <c r="W789" s="4"/>
      <c r="X789" s="4"/>
      <c r="Y789" s="4"/>
      <c r="Z789" s="4"/>
    </row>
    <row r="790" ht="9.75" customHeight="1">
      <c r="A790" s="343"/>
      <c r="B790" s="344"/>
      <c r="C790" s="182"/>
      <c r="D790" s="406"/>
      <c r="E790" s="406"/>
      <c r="F790" s="407"/>
      <c r="G790" s="407"/>
      <c r="H790" s="4"/>
      <c r="I790" s="4"/>
      <c r="J790" s="4"/>
      <c r="K790" s="4"/>
      <c r="L790" s="4"/>
      <c r="M790" s="4"/>
      <c r="N790" s="4"/>
      <c r="O790" s="4"/>
      <c r="P790" s="4"/>
      <c r="Q790" s="4"/>
      <c r="R790" s="4"/>
      <c r="S790" s="4"/>
      <c r="T790" s="4"/>
      <c r="U790" s="4"/>
      <c r="V790" s="4"/>
      <c r="W790" s="4"/>
      <c r="X790" s="4"/>
      <c r="Y790" s="4"/>
      <c r="Z790" s="4"/>
    </row>
    <row r="791" ht="9.75" customHeight="1">
      <c r="A791" s="343"/>
      <c r="B791" s="344"/>
      <c r="C791" s="182"/>
      <c r="D791" s="406"/>
      <c r="E791" s="406"/>
      <c r="F791" s="407"/>
      <c r="G791" s="407"/>
      <c r="H791" s="4"/>
      <c r="I791" s="4"/>
      <c r="J791" s="4"/>
      <c r="K791" s="4"/>
      <c r="L791" s="4"/>
      <c r="M791" s="4"/>
      <c r="N791" s="4"/>
      <c r="O791" s="4"/>
      <c r="P791" s="4"/>
      <c r="Q791" s="4"/>
      <c r="R791" s="4"/>
      <c r="S791" s="4"/>
      <c r="T791" s="4"/>
      <c r="U791" s="4"/>
      <c r="V791" s="4"/>
      <c r="W791" s="4"/>
      <c r="X791" s="4"/>
      <c r="Y791" s="4"/>
      <c r="Z791" s="4"/>
    </row>
    <row r="792" ht="9.75" customHeight="1">
      <c r="A792" s="343"/>
      <c r="B792" s="344"/>
      <c r="C792" s="182"/>
      <c r="D792" s="406"/>
      <c r="E792" s="406"/>
      <c r="F792" s="407"/>
      <c r="G792" s="407"/>
      <c r="H792" s="4"/>
      <c r="I792" s="4"/>
      <c r="J792" s="4"/>
      <c r="K792" s="4"/>
      <c r="L792" s="4"/>
      <c r="M792" s="4"/>
      <c r="N792" s="4"/>
      <c r="O792" s="4"/>
      <c r="P792" s="4"/>
      <c r="Q792" s="4"/>
      <c r="R792" s="4"/>
      <c r="S792" s="4"/>
      <c r="T792" s="4"/>
      <c r="U792" s="4"/>
      <c r="V792" s="4"/>
      <c r="W792" s="4"/>
      <c r="X792" s="4"/>
      <c r="Y792" s="4"/>
      <c r="Z792" s="4"/>
    </row>
    <row r="793" ht="9.75" customHeight="1">
      <c r="A793" s="343"/>
      <c r="B793" s="344"/>
      <c r="C793" s="182"/>
      <c r="D793" s="406"/>
      <c r="E793" s="406"/>
      <c r="F793" s="407"/>
      <c r="G793" s="407"/>
      <c r="H793" s="4"/>
      <c r="I793" s="4"/>
      <c r="J793" s="4"/>
      <c r="K793" s="4"/>
      <c r="L793" s="4"/>
      <c r="M793" s="4"/>
      <c r="N793" s="4"/>
      <c r="O793" s="4"/>
      <c r="P793" s="4"/>
      <c r="Q793" s="4"/>
      <c r="R793" s="4"/>
      <c r="S793" s="4"/>
      <c r="T793" s="4"/>
      <c r="U793" s="4"/>
      <c r="V793" s="4"/>
      <c r="W793" s="4"/>
      <c r="X793" s="4"/>
      <c r="Y793" s="4"/>
      <c r="Z793" s="4"/>
    </row>
    <row r="794" ht="9.75" customHeight="1">
      <c r="A794" s="343"/>
      <c r="B794" s="344"/>
      <c r="C794" s="182"/>
      <c r="D794" s="406"/>
      <c r="E794" s="406"/>
      <c r="F794" s="407"/>
      <c r="G794" s="407"/>
      <c r="H794" s="4"/>
      <c r="I794" s="4"/>
      <c r="J794" s="4"/>
      <c r="K794" s="4"/>
      <c r="L794" s="4"/>
      <c r="M794" s="4"/>
      <c r="N794" s="4"/>
      <c r="O794" s="4"/>
      <c r="P794" s="4"/>
      <c r="Q794" s="4"/>
      <c r="R794" s="4"/>
      <c r="S794" s="4"/>
      <c r="T794" s="4"/>
      <c r="U794" s="4"/>
      <c r="V794" s="4"/>
      <c r="W794" s="4"/>
      <c r="X794" s="4"/>
      <c r="Y794" s="4"/>
      <c r="Z794" s="4"/>
    </row>
    <row r="795" ht="9.75" customHeight="1">
      <c r="A795" s="343"/>
      <c r="B795" s="344"/>
      <c r="C795" s="182"/>
      <c r="D795" s="406"/>
      <c r="E795" s="406"/>
      <c r="F795" s="407"/>
      <c r="G795" s="407"/>
      <c r="H795" s="4"/>
      <c r="I795" s="4"/>
      <c r="J795" s="4"/>
      <c r="K795" s="4"/>
      <c r="L795" s="4"/>
      <c r="M795" s="4"/>
      <c r="N795" s="4"/>
      <c r="O795" s="4"/>
      <c r="P795" s="4"/>
      <c r="Q795" s="4"/>
      <c r="R795" s="4"/>
      <c r="S795" s="4"/>
      <c r="T795" s="4"/>
      <c r="U795" s="4"/>
      <c r="V795" s="4"/>
      <c r="W795" s="4"/>
      <c r="X795" s="4"/>
      <c r="Y795" s="4"/>
      <c r="Z795" s="4"/>
    </row>
    <row r="796" ht="9.75" customHeight="1">
      <c r="A796" s="343"/>
      <c r="B796" s="344"/>
      <c r="C796" s="182"/>
      <c r="D796" s="406"/>
      <c r="E796" s="406"/>
      <c r="F796" s="407"/>
      <c r="G796" s="407"/>
      <c r="H796" s="4"/>
      <c r="I796" s="4"/>
      <c r="J796" s="4"/>
      <c r="K796" s="4"/>
      <c r="L796" s="4"/>
      <c r="M796" s="4"/>
      <c r="N796" s="4"/>
      <c r="O796" s="4"/>
      <c r="P796" s="4"/>
      <c r="Q796" s="4"/>
      <c r="R796" s="4"/>
      <c r="S796" s="4"/>
      <c r="T796" s="4"/>
      <c r="U796" s="4"/>
      <c r="V796" s="4"/>
      <c r="W796" s="4"/>
      <c r="X796" s="4"/>
      <c r="Y796" s="4"/>
      <c r="Z796" s="4"/>
    </row>
    <row r="797" ht="9.75" customHeight="1">
      <c r="A797" s="343"/>
      <c r="B797" s="344"/>
      <c r="C797" s="182"/>
      <c r="D797" s="406"/>
      <c r="E797" s="406"/>
      <c r="F797" s="407"/>
      <c r="G797" s="407"/>
      <c r="H797" s="4"/>
      <c r="I797" s="4"/>
      <c r="J797" s="4"/>
      <c r="K797" s="4"/>
      <c r="L797" s="4"/>
      <c r="M797" s="4"/>
      <c r="N797" s="4"/>
      <c r="O797" s="4"/>
      <c r="P797" s="4"/>
      <c r="Q797" s="4"/>
      <c r="R797" s="4"/>
      <c r="S797" s="4"/>
      <c r="T797" s="4"/>
      <c r="U797" s="4"/>
      <c r="V797" s="4"/>
      <c r="W797" s="4"/>
      <c r="X797" s="4"/>
      <c r="Y797" s="4"/>
      <c r="Z797" s="4"/>
    </row>
    <row r="798" ht="9.75" customHeight="1">
      <c r="A798" s="343"/>
      <c r="B798" s="344"/>
      <c r="C798" s="182"/>
      <c r="D798" s="406"/>
      <c r="E798" s="406"/>
      <c r="F798" s="407"/>
      <c r="G798" s="407"/>
      <c r="H798" s="4"/>
      <c r="I798" s="4"/>
      <c r="J798" s="4"/>
      <c r="K798" s="4"/>
      <c r="L798" s="4"/>
      <c r="M798" s="4"/>
      <c r="N798" s="4"/>
      <c r="O798" s="4"/>
      <c r="P798" s="4"/>
      <c r="Q798" s="4"/>
      <c r="R798" s="4"/>
      <c r="S798" s="4"/>
      <c r="T798" s="4"/>
      <c r="U798" s="4"/>
      <c r="V798" s="4"/>
      <c r="W798" s="4"/>
      <c r="X798" s="4"/>
      <c r="Y798" s="4"/>
      <c r="Z798" s="4"/>
    </row>
    <row r="799" ht="9.75" customHeight="1">
      <c r="A799" s="343"/>
      <c r="B799" s="344"/>
      <c r="C799" s="182"/>
      <c r="D799" s="406"/>
      <c r="E799" s="406"/>
      <c r="F799" s="407"/>
      <c r="G799" s="407"/>
      <c r="H799" s="4"/>
      <c r="I799" s="4"/>
      <c r="J799" s="4"/>
      <c r="K799" s="4"/>
      <c r="L799" s="4"/>
      <c r="M799" s="4"/>
      <c r="N799" s="4"/>
      <c r="O799" s="4"/>
      <c r="P799" s="4"/>
      <c r="Q799" s="4"/>
      <c r="R799" s="4"/>
      <c r="S799" s="4"/>
      <c r="T799" s="4"/>
      <c r="U799" s="4"/>
      <c r="V799" s="4"/>
      <c r="W799" s="4"/>
      <c r="X799" s="4"/>
      <c r="Y799" s="4"/>
      <c r="Z799" s="4"/>
    </row>
    <row r="800" ht="9.75" customHeight="1">
      <c r="A800" s="343"/>
      <c r="B800" s="344"/>
      <c r="C800" s="182"/>
      <c r="D800" s="406"/>
      <c r="E800" s="406"/>
      <c r="F800" s="407"/>
      <c r="G800" s="407"/>
      <c r="H800" s="4"/>
      <c r="I800" s="4"/>
      <c r="J800" s="4"/>
      <c r="K800" s="4"/>
      <c r="L800" s="4"/>
      <c r="M800" s="4"/>
      <c r="N800" s="4"/>
      <c r="O800" s="4"/>
      <c r="P800" s="4"/>
      <c r="Q800" s="4"/>
      <c r="R800" s="4"/>
      <c r="S800" s="4"/>
      <c r="T800" s="4"/>
      <c r="U800" s="4"/>
      <c r="V800" s="4"/>
      <c r="W800" s="4"/>
      <c r="X800" s="4"/>
      <c r="Y800" s="4"/>
      <c r="Z800" s="4"/>
    </row>
    <row r="801" ht="9.75" customHeight="1">
      <c r="A801" s="343"/>
      <c r="B801" s="344"/>
      <c r="C801" s="182"/>
      <c r="D801" s="406"/>
      <c r="E801" s="406"/>
      <c r="F801" s="407"/>
      <c r="G801" s="407"/>
      <c r="H801" s="4"/>
      <c r="I801" s="4"/>
      <c r="J801" s="4"/>
      <c r="K801" s="4"/>
      <c r="L801" s="4"/>
      <c r="M801" s="4"/>
      <c r="N801" s="4"/>
      <c r="O801" s="4"/>
      <c r="P801" s="4"/>
      <c r="Q801" s="4"/>
      <c r="R801" s="4"/>
      <c r="S801" s="4"/>
      <c r="T801" s="4"/>
      <c r="U801" s="4"/>
      <c r="V801" s="4"/>
      <c r="W801" s="4"/>
      <c r="X801" s="4"/>
      <c r="Y801" s="4"/>
      <c r="Z801" s="4"/>
    </row>
    <row r="802" ht="9.75" customHeight="1">
      <c r="A802" s="343"/>
      <c r="B802" s="344"/>
      <c r="C802" s="182"/>
      <c r="D802" s="406"/>
      <c r="E802" s="406"/>
      <c r="F802" s="407"/>
      <c r="G802" s="407"/>
      <c r="H802" s="4"/>
      <c r="I802" s="4"/>
      <c r="J802" s="4"/>
      <c r="K802" s="4"/>
      <c r="L802" s="4"/>
      <c r="M802" s="4"/>
      <c r="N802" s="4"/>
      <c r="O802" s="4"/>
      <c r="P802" s="4"/>
      <c r="Q802" s="4"/>
      <c r="R802" s="4"/>
      <c r="S802" s="4"/>
      <c r="T802" s="4"/>
      <c r="U802" s="4"/>
      <c r="V802" s="4"/>
      <c r="W802" s="4"/>
      <c r="X802" s="4"/>
      <c r="Y802" s="4"/>
      <c r="Z802" s="4"/>
    </row>
    <row r="803" ht="9.75" customHeight="1">
      <c r="A803" s="343"/>
      <c r="B803" s="344"/>
      <c r="C803" s="182"/>
      <c r="D803" s="406"/>
      <c r="E803" s="406"/>
      <c r="F803" s="407"/>
      <c r="G803" s="407"/>
      <c r="H803" s="4"/>
      <c r="I803" s="4"/>
      <c r="J803" s="4"/>
      <c r="K803" s="4"/>
      <c r="L803" s="4"/>
      <c r="M803" s="4"/>
      <c r="N803" s="4"/>
      <c r="O803" s="4"/>
      <c r="P803" s="4"/>
      <c r="Q803" s="4"/>
      <c r="R803" s="4"/>
      <c r="S803" s="4"/>
      <c r="T803" s="4"/>
      <c r="U803" s="4"/>
      <c r="V803" s="4"/>
      <c r="W803" s="4"/>
      <c r="X803" s="4"/>
      <c r="Y803" s="4"/>
      <c r="Z803" s="4"/>
    </row>
    <row r="804" ht="9.75" customHeight="1">
      <c r="A804" s="343"/>
      <c r="B804" s="344"/>
      <c r="C804" s="182"/>
      <c r="D804" s="406"/>
      <c r="E804" s="406"/>
      <c r="F804" s="407"/>
      <c r="G804" s="407"/>
      <c r="H804" s="4"/>
      <c r="I804" s="4"/>
      <c r="J804" s="4"/>
      <c r="K804" s="4"/>
      <c r="L804" s="4"/>
      <c r="M804" s="4"/>
      <c r="N804" s="4"/>
      <c r="O804" s="4"/>
      <c r="P804" s="4"/>
      <c r="Q804" s="4"/>
      <c r="R804" s="4"/>
      <c r="S804" s="4"/>
      <c r="T804" s="4"/>
      <c r="U804" s="4"/>
      <c r="V804" s="4"/>
      <c r="W804" s="4"/>
      <c r="X804" s="4"/>
      <c r="Y804" s="4"/>
      <c r="Z804" s="4"/>
    </row>
    <row r="805" ht="9.75" customHeight="1">
      <c r="A805" s="343"/>
      <c r="B805" s="344"/>
      <c r="C805" s="182"/>
      <c r="D805" s="406"/>
      <c r="E805" s="406"/>
      <c r="F805" s="407"/>
      <c r="G805" s="407"/>
      <c r="H805" s="4"/>
      <c r="I805" s="4"/>
      <c r="J805" s="4"/>
      <c r="K805" s="4"/>
      <c r="L805" s="4"/>
      <c r="M805" s="4"/>
      <c r="N805" s="4"/>
      <c r="O805" s="4"/>
      <c r="P805" s="4"/>
      <c r="Q805" s="4"/>
      <c r="R805" s="4"/>
      <c r="S805" s="4"/>
      <c r="T805" s="4"/>
      <c r="U805" s="4"/>
      <c r="V805" s="4"/>
      <c r="W805" s="4"/>
      <c r="X805" s="4"/>
      <c r="Y805" s="4"/>
      <c r="Z805" s="4"/>
    </row>
    <row r="806" ht="9.75" customHeight="1">
      <c r="A806" s="343"/>
      <c r="B806" s="344"/>
      <c r="C806" s="182"/>
      <c r="D806" s="406"/>
      <c r="E806" s="406"/>
      <c r="F806" s="407"/>
      <c r="G806" s="407"/>
      <c r="H806" s="4"/>
      <c r="I806" s="4"/>
      <c r="J806" s="4"/>
      <c r="K806" s="4"/>
      <c r="L806" s="4"/>
      <c r="M806" s="4"/>
      <c r="N806" s="4"/>
      <c r="O806" s="4"/>
      <c r="P806" s="4"/>
      <c r="Q806" s="4"/>
      <c r="R806" s="4"/>
      <c r="S806" s="4"/>
      <c r="T806" s="4"/>
      <c r="U806" s="4"/>
      <c r="V806" s="4"/>
      <c r="W806" s="4"/>
      <c r="X806" s="4"/>
      <c r="Y806" s="4"/>
      <c r="Z806" s="4"/>
    </row>
    <row r="807" ht="9.75" customHeight="1">
      <c r="A807" s="343"/>
      <c r="B807" s="344"/>
      <c r="C807" s="182"/>
      <c r="D807" s="406"/>
      <c r="E807" s="406"/>
      <c r="F807" s="407"/>
      <c r="G807" s="407"/>
      <c r="H807" s="4"/>
      <c r="I807" s="4"/>
      <c r="J807" s="4"/>
      <c r="K807" s="4"/>
      <c r="L807" s="4"/>
      <c r="M807" s="4"/>
      <c r="N807" s="4"/>
      <c r="O807" s="4"/>
      <c r="P807" s="4"/>
      <c r="Q807" s="4"/>
      <c r="R807" s="4"/>
      <c r="S807" s="4"/>
      <c r="T807" s="4"/>
      <c r="U807" s="4"/>
      <c r="V807" s="4"/>
      <c r="W807" s="4"/>
      <c r="X807" s="4"/>
      <c r="Y807" s="4"/>
      <c r="Z807" s="4"/>
    </row>
    <row r="808" ht="9.75" customHeight="1">
      <c r="A808" s="343"/>
      <c r="B808" s="344"/>
      <c r="C808" s="182"/>
      <c r="D808" s="406"/>
      <c r="E808" s="406"/>
      <c r="F808" s="407"/>
      <c r="G808" s="407"/>
      <c r="H808" s="4"/>
      <c r="I808" s="4"/>
      <c r="J808" s="4"/>
      <c r="K808" s="4"/>
      <c r="L808" s="4"/>
      <c r="M808" s="4"/>
      <c r="N808" s="4"/>
      <c r="O808" s="4"/>
      <c r="P808" s="4"/>
      <c r="Q808" s="4"/>
      <c r="R808" s="4"/>
      <c r="S808" s="4"/>
      <c r="T808" s="4"/>
      <c r="U808" s="4"/>
      <c r="V808" s="4"/>
      <c r="W808" s="4"/>
      <c r="X808" s="4"/>
      <c r="Y808" s="4"/>
      <c r="Z808" s="4"/>
    </row>
    <row r="809" ht="9.75" customHeight="1">
      <c r="A809" s="343"/>
      <c r="B809" s="344"/>
      <c r="C809" s="182"/>
      <c r="D809" s="406"/>
      <c r="E809" s="406"/>
      <c r="F809" s="407"/>
      <c r="G809" s="407"/>
      <c r="H809" s="4"/>
      <c r="I809" s="4"/>
      <c r="J809" s="4"/>
      <c r="K809" s="4"/>
      <c r="L809" s="4"/>
      <c r="M809" s="4"/>
      <c r="N809" s="4"/>
      <c r="O809" s="4"/>
      <c r="P809" s="4"/>
      <c r="Q809" s="4"/>
      <c r="R809" s="4"/>
      <c r="S809" s="4"/>
      <c r="T809" s="4"/>
      <c r="U809" s="4"/>
      <c r="V809" s="4"/>
      <c r="W809" s="4"/>
      <c r="X809" s="4"/>
      <c r="Y809" s="4"/>
      <c r="Z809" s="4"/>
    </row>
    <row r="810" ht="9.75" customHeight="1">
      <c r="A810" s="343"/>
      <c r="B810" s="344"/>
      <c r="C810" s="182"/>
      <c r="D810" s="406"/>
      <c r="E810" s="406"/>
      <c r="F810" s="407"/>
      <c r="G810" s="407"/>
      <c r="H810" s="4"/>
      <c r="I810" s="4"/>
      <c r="J810" s="4"/>
      <c r="K810" s="4"/>
      <c r="L810" s="4"/>
      <c r="M810" s="4"/>
      <c r="N810" s="4"/>
      <c r="O810" s="4"/>
      <c r="P810" s="4"/>
      <c r="Q810" s="4"/>
      <c r="R810" s="4"/>
      <c r="S810" s="4"/>
      <c r="T810" s="4"/>
      <c r="U810" s="4"/>
      <c r="V810" s="4"/>
      <c r="W810" s="4"/>
      <c r="X810" s="4"/>
      <c r="Y810" s="4"/>
      <c r="Z810" s="4"/>
    </row>
    <row r="811" ht="9.75" customHeight="1">
      <c r="A811" s="343"/>
      <c r="B811" s="344"/>
      <c r="C811" s="182"/>
      <c r="D811" s="406"/>
      <c r="E811" s="406"/>
      <c r="F811" s="407"/>
      <c r="G811" s="407"/>
      <c r="H811" s="4"/>
      <c r="I811" s="4"/>
      <c r="J811" s="4"/>
      <c r="K811" s="4"/>
      <c r="L811" s="4"/>
      <c r="M811" s="4"/>
      <c r="N811" s="4"/>
      <c r="O811" s="4"/>
      <c r="P811" s="4"/>
      <c r="Q811" s="4"/>
      <c r="R811" s="4"/>
      <c r="S811" s="4"/>
      <c r="T811" s="4"/>
      <c r="U811" s="4"/>
      <c r="V811" s="4"/>
      <c r="W811" s="4"/>
      <c r="X811" s="4"/>
      <c r="Y811" s="4"/>
      <c r="Z811" s="4"/>
    </row>
    <row r="812" ht="9.75" customHeight="1">
      <c r="A812" s="343"/>
      <c r="B812" s="344"/>
      <c r="C812" s="182"/>
      <c r="D812" s="406"/>
      <c r="E812" s="406"/>
      <c r="F812" s="407"/>
      <c r="G812" s="407"/>
      <c r="H812" s="4"/>
      <c r="I812" s="4"/>
      <c r="J812" s="4"/>
      <c r="K812" s="4"/>
      <c r="L812" s="4"/>
      <c r="M812" s="4"/>
      <c r="N812" s="4"/>
      <c r="O812" s="4"/>
      <c r="P812" s="4"/>
      <c r="Q812" s="4"/>
      <c r="R812" s="4"/>
      <c r="S812" s="4"/>
      <c r="T812" s="4"/>
      <c r="U812" s="4"/>
      <c r="V812" s="4"/>
      <c r="W812" s="4"/>
      <c r="X812" s="4"/>
      <c r="Y812" s="4"/>
      <c r="Z812" s="4"/>
    </row>
    <row r="813" ht="9.75" customHeight="1">
      <c r="A813" s="343"/>
      <c r="B813" s="344"/>
      <c r="C813" s="182"/>
      <c r="D813" s="406"/>
      <c r="E813" s="406"/>
      <c r="F813" s="407"/>
      <c r="G813" s="407"/>
      <c r="H813" s="4"/>
      <c r="I813" s="4"/>
      <c r="J813" s="4"/>
      <c r="K813" s="4"/>
      <c r="L813" s="4"/>
      <c r="M813" s="4"/>
      <c r="N813" s="4"/>
      <c r="O813" s="4"/>
      <c r="P813" s="4"/>
      <c r="Q813" s="4"/>
      <c r="R813" s="4"/>
      <c r="S813" s="4"/>
      <c r="T813" s="4"/>
      <c r="U813" s="4"/>
      <c r="V813" s="4"/>
      <c r="W813" s="4"/>
      <c r="X813" s="4"/>
      <c r="Y813" s="4"/>
      <c r="Z813" s="4"/>
    </row>
    <row r="814" ht="9.75" customHeight="1">
      <c r="A814" s="343"/>
      <c r="B814" s="344"/>
      <c r="C814" s="182"/>
      <c r="D814" s="406"/>
      <c r="E814" s="406"/>
      <c r="F814" s="407"/>
      <c r="G814" s="407"/>
      <c r="H814" s="4"/>
      <c r="I814" s="4"/>
      <c r="J814" s="4"/>
      <c r="K814" s="4"/>
      <c r="L814" s="4"/>
      <c r="M814" s="4"/>
      <c r="N814" s="4"/>
      <c r="O814" s="4"/>
      <c r="P814" s="4"/>
      <c r="Q814" s="4"/>
      <c r="R814" s="4"/>
      <c r="S814" s="4"/>
      <c r="T814" s="4"/>
      <c r="U814" s="4"/>
      <c r="V814" s="4"/>
      <c r="W814" s="4"/>
      <c r="X814" s="4"/>
      <c r="Y814" s="4"/>
      <c r="Z814" s="4"/>
    </row>
    <row r="815" ht="9.75" customHeight="1">
      <c r="A815" s="343"/>
      <c r="B815" s="344"/>
      <c r="C815" s="182"/>
      <c r="D815" s="406"/>
      <c r="E815" s="406"/>
      <c r="F815" s="407"/>
      <c r="G815" s="407"/>
      <c r="H815" s="4"/>
      <c r="I815" s="4"/>
      <c r="J815" s="4"/>
      <c r="K815" s="4"/>
      <c r="L815" s="4"/>
      <c r="M815" s="4"/>
      <c r="N815" s="4"/>
      <c r="O815" s="4"/>
      <c r="P815" s="4"/>
      <c r="Q815" s="4"/>
      <c r="R815" s="4"/>
      <c r="S815" s="4"/>
      <c r="T815" s="4"/>
      <c r="U815" s="4"/>
      <c r="V815" s="4"/>
      <c r="W815" s="4"/>
      <c r="X815" s="4"/>
      <c r="Y815" s="4"/>
      <c r="Z815" s="4"/>
    </row>
    <row r="816" ht="9.75" customHeight="1">
      <c r="A816" s="343"/>
      <c r="B816" s="344"/>
      <c r="C816" s="182"/>
      <c r="D816" s="406"/>
      <c r="E816" s="406"/>
      <c r="F816" s="407"/>
      <c r="G816" s="407"/>
      <c r="H816" s="4"/>
      <c r="I816" s="4"/>
      <c r="J816" s="4"/>
      <c r="K816" s="4"/>
      <c r="L816" s="4"/>
      <c r="M816" s="4"/>
      <c r="N816" s="4"/>
      <c r="O816" s="4"/>
      <c r="P816" s="4"/>
      <c r="Q816" s="4"/>
      <c r="R816" s="4"/>
      <c r="S816" s="4"/>
      <c r="T816" s="4"/>
      <c r="U816" s="4"/>
      <c r="V816" s="4"/>
      <c r="W816" s="4"/>
      <c r="X816" s="4"/>
      <c r="Y816" s="4"/>
      <c r="Z816" s="4"/>
    </row>
    <row r="817" ht="9.75" customHeight="1">
      <c r="A817" s="343"/>
      <c r="B817" s="344"/>
      <c r="C817" s="182"/>
      <c r="D817" s="406"/>
      <c r="E817" s="406"/>
      <c r="F817" s="407"/>
      <c r="G817" s="407"/>
      <c r="H817" s="4"/>
      <c r="I817" s="4"/>
      <c r="J817" s="4"/>
      <c r="K817" s="4"/>
      <c r="L817" s="4"/>
      <c r="M817" s="4"/>
      <c r="N817" s="4"/>
      <c r="O817" s="4"/>
      <c r="P817" s="4"/>
      <c r="Q817" s="4"/>
      <c r="R817" s="4"/>
      <c r="S817" s="4"/>
      <c r="T817" s="4"/>
      <c r="U817" s="4"/>
      <c r="V817" s="4"/>
      <c r="W817" s="4"/>
      <c r="X817" s="4"/>
      <c r="Y817" s="4"/>
      <c r="Z817" s="4"/>
    </row>
    <row r="818" ht="9.75" customHeight="1">
      <c r="A818" s="343"/>
      <c r="B818" s="344"/>
      <c r="C818" s="182"/>
      <c r="D818" s="406"/>
      <c r="E818" s="406"/>
      <c r="F818" s="407"/>
      <c r="G818" s="407"/>
      <c r="H818" s="4"/>
      <c r="I818" s="4"/>
      <c r="J818" s="4"/>
      <c r="K818" s="4"/>
      <c r="L818" s="4"/>
      <c r="M818" s="4"/>
      <c r="N818" s="4"/>
      <c r="O818" s="4"/>
      <c r="P818" s="4"/>
      <c r="Q818" s="4"/>
      <c r="R818" s="4"/>
      <c r="S818" s="4"/>
      <c r="T818" s="4"/>
      <c r="U818" s="4"/>
      <c r="V818" s="4"/>
      <c r="W818" s="4"/>
      <c r="X818" s="4"/>
      <c r="Y818" s="4"/>
      <c r="Z818" s="4"/>
    </row>
    <row r="819" ht="9.75" customHeight="1">
      <c r="A819" s="343"/>
      <c r="B819" s="344"/>
      <c r="C819" s="182"/>
      <c r="D819" s="406"/>
      <c r="E819" s="406"/>
      <c r="F819" s="407"/>
      <c r="G819" s="407"/>
      <c r="H819" s="4"/>
      <c r="I819" s="4"/>
      <c r="J819" s="4"/>
      <c r="K819" s="4"/>
      <c r="L819" s="4"/>
      <c r="M819" s="4"/>
      <c r="N819" s="4"/>
      <c r="O819" s="4"/>
      <c r="P819" s="4"/>
      <c r="Q819" s="4"/>
      <c r="R819" s="4"/>
      <c r="S819" s="4"/>
      <c r="T819" s="4"/>
      <c r="U819" s="4"/>
      <c r="V819" s="4"/>
      <c r="W819" s="4"/>
      <c r="X819" s="4"/>
      <c r="Y819" s="4"/>
      <c r="Z819" s="4"/>
    </row>
    <row r="820" ht="9.75" customHeight="1">
      <c r="A820" s="343"/>
      <c r="B820" s="344"/>
      <c r="C820" s="182"/>
      <c r="D820" s="406"/>
      <c r="E820" s="406"/>
      <c r="F820" s="407"/>
      <c r="G820" s="407"/>
      <c r="H820" s="4"/>
      <c r="I820" s="4"/>
      <c r="J820" s="4"/>
      <c r="K820" s="4"/>
      <c r="L820" s="4"/>
      <c r="M820" s="4"/>
      <c r="N820" s="4"/>
      <c r="O820" s="4"/>
      <c r="P820" s="4"/>
      <c r="Q820" s="4"/>
      <c r="R820" s="4"/>
      <c r="S820" s="4"/>
      <c r="T820" s="4"/>
      <c r="U820" s="4"/>
      <c r="V820" s="4"/>
      <c r="W820" s="4"/>
      <c r="X820" s="4"/>
      <c r="Y820" s="4"/>
      <c r="Z820" s="4"/>
    </row>
    <row r="821" ht="9.75" customHeight="1">
      <c r="A821" s="343"/>
      <c r="B821" s="344"/>
      <c r="C821" s="182"/>
      <c r="D821" s="406"/>
      <c r="E821" s="406"/>
      <c r="F821" s="407"/>
      <c r="G821" s="407"/>
      <c r="H821" s="4"/>
      <c r="I821" s="4"/>
      <c r="J821" s="4"/>
      <c r="K821" s="4"/>
      <c r="L821" s="4"/>
      <c r="M821" s="4"/>
      <c r="N821" s="4"/>
      <c r="O821" s="4"/>
      <c r="P821" s="4"/>
      <c r="Q821" s="4"/>
      <c r="R821" s="4"/>
      <c r="S821" s="4"/>
      <c r="T821" s="4"/>
      <c r="U821" s="4"/>
      <c r="V821" s="4"/>
      <c r="W821" s="4"/>
      <c r="X821" s="4"/>
      <c r="Y821" s="4"/>
      <c r="Z821" s="4"/>
    </row>
    <row r="822" ht="9.75" customHeight="1">
      <c r="A822" s="343"/>
      <c r="B822" s="344"/>
      <c r="C822" s="182"/>
      <c r="D822" s="406"/>
      <c r="E822" s="406"/>
      <c r="F822" s="407"/>
      <c r="G822" s="407"/>
      <c r="H822" s="4"/>
      <c r="I822" s="4"/>
      <c r="J822" s="4"/>
      <c r="K822" s="4"/>
      <c r="L822" s="4"/>
      <c r="M822" s="4"/>
      <c r="N822" s="4"/>
      <c r="O822" s="4"/>
      <c r="P822" s="4"/>
      <c r="Q822" s="4"/>
      <c r="R822" s="4"/>
      <c r="S822" s="4"/>
      <c r="T822" s="4"/>
      <c r="U822" s="4"/>
      <c r="V822" s="4"/>
      <c r="W822" s="4"/>
      <c r="X822" s="4"/>
      <c r="Y822" s="4"/>
      <c r="Z822" s="4"/>
    </row>
    <row r="823" ht="9.75" customHeight="1">
      <c r="A823" s="343"/>
      <c r="B823" s="344"/>
      <c r="C823" s="182"/>
      <c r="D823" s="406"/>
      <c r="E823" s="406"/>
      <c r="F823" s="407"/>
      <c r="G823" s="407"/>
      <c r="H823" s="4"/>
      <c r="I823" s="4"/>
      <c r="J823" s="4"/>
      <c r="K823" s="4"/>
      <c r="L823" s="4"/>
      <c r="M823" s="4"/>
      <c r="N823" s="4"/>
      <c r="O823" s="4"/>
      <c r="P823" s="4"/>
      <c r="Q823" s="4"/>
      <c r="R823" s="4"/>
      <c r="S823" s="4"/>
      <c r="T823" s="4"/>
      <c r="U823" s="4"/>
      <c r="V823" s="4"/>
      <c r="W823" s="4"/>
      <c r="X823" s="4"/>
      <c r="Y823" s="4"/>
      <c r="Z823" s="4"/>
    </row>
    <row r="824" ht="9.75" customHeight="1">
      <c r="A824" s="343"/>
      <c r="B824" s="344"/>
      <c r="C824" s="182"/>
      <c r="D824" s="406"/>
      <c r="E824" s="406"/>
      <c r="F824" s="407"/>
      <c r="G824" s="407"/>
      <c r="H824" s="4"/>
      <c r="I824" s="4"/>
      <c r="J824" s="4"/>
      <c r="K824" s="4"/>
      <c r="L824" s="4"/>
      <c r="M824" s="4"/>
      <c r="N824" s="4"/>
      <c r="O824" s="4"/>
      <c r="P824" s="4"/>
      <c r="Q824" s="4"/>
      <c r="R824" s="4"/>
      <c r="S824" s="4"/>
      <c r="T824" s="4"/>
      <c r="U824" s="4"/>
      <c r="V824" s="4"/>
      <c r="W824" s="4"/>
      <c r="X824" s="4"/>
      <c r="Y824" s="4"/>
      <c r="Z824" s="4"/>
    </row>
    <row r="825" ht="9.75" customHeight="1">
      <c r="A825" s="343"/>
      <c r="B825" s="344"/>
      <c r="C825" s="182"/>
      <c r="D825" s="406"/>
      <c r="E825" s="406"/>
      <c r="F825" s="407"/>
      <c r="G825" s="407"/>
      <c r="H825" s="4"/>
      <c r="I825" s="4"/>
      <c r="J825" s="4"/>
      <c r="K825" s="4"/>
      <c r="L825" s="4"/>
      <c r="M825" s="4"/>
      <c r="N825" s="4"/>
      <c r="O825" s="4"/>
      <c r="P825" s="4"/>
      <c r="Q825" s="4"/>
      <c r="R825" s="4"/>
      <c r="S825" s="4"/>
      <c r="T825" s="4"/>
      <c r="U825" s="4"/>
      <c r="V825" s="4"/>
      <c r="W825" s="4"/>
      <c r="X825" s="4"/>
      <c r="Y825" s="4"/>
      <c r="Z825" s="4"/>
    </row>
    <row r="826" ht="9.75" customHeight="1">
      <c r="A826" s="343"/>
      <c r="B826" s="344"/>
      <c r="C826" s="182"/>
      <c r="D826" s="406"/>
      <c r="E826" s="406"/>
      <c r="F826" s="407"/>
      <c r="G826" s="407"/>
      <c r="H826" s="4"/>
      <c r="I826" s="4"/>
      <c r="J826" s="4"/>
      <c r="K826" s="4"/>
      <c r="L826" s="4"/>
      <c r="M826" s="4"/>
      <c r="N826" s="4"/>
      <c r="O826" s="4"/>
      <c r="P826" s="4"/>
      <c r="Q826" s="4"/>
      <c r="R826" s="4"/>
      <c r="S826" s="4"/>
      <c r="T826" s="4"/>
      <c r="U826" s="4"/>
      <c r="V826" s="4"/>
      <c r="W826" s="4"/>
      <c r="X826" s="4"/>
      <c r="Y826" s="4"/>
      <c r="Z826" s="4"/>
    </row>
    <row r="827" ht="9.75" customHeight="1">
      <c r="A827" s="343"/>
      <c r="B827" s="344"/>
      <c r="C827" s="182"/>
      <c r="D827" s="406"/>
      <c r="E827" s="406"/>
      <c r="F827" s="407"/>
      <c r="G827" s="407"/>
      <c r="H827" s="4"/>
      <c r="I827" s="4"/>
      <c r="J827" s="4"/>
      <c r="K827" s="4"/>
      <c r="L827" s="4"/>
      <c r="M827" s="4"/>
      <c r="N827" s="4"/>
      <c r="O827" s="4"/>
      <c r="P827" s="4"/>
      <c r="Q827" s="4"/>
      <c r="R827" s="4"/>
      <c r="S827" s="4"/>
      <c r="T827" s="4"/>
      <c r="U827" s="4"/>
      <c r="V827" s="4"/>
      <c r="W827" s="4"/>
      <c r="X827" s="4"/>
      <c r="Y827" s="4"/>
      <c r="Z827" s="4"/>
    </row>
    <row r="828" ht="9.75" customHeight="1">
      <c r="A828" s="343"/>
      <c r="B828" s="344"/>
      <c r="C828" s="182"/>
      <c r="D828" s="406"/>
      <c r="E828" s="406"/>
      <c r="F828" s="407"/>
      <c r="G828" s="407"/>
      <c r="H828" s="4"/>
      <c r="I828" s="4"/>
      <c r="J828" s="4"/>
      <c r="K828" s="4"/>
      <c r="L828" s="4"/>
      <c r="M828" s="4"/>
      <c r="N828" s="4"/>
      <c r="O828" s="4"/>
      <c r="P828" s="4"/>
      <c r="Q828" s="4"/>
      <c r="R828" s="4"/>
      <c r="S828" s="4"/>
      <c r="T828" s="4"/>
      <c r="U828" s="4"/>
      <c r="V828" s="4"/>
      <c r="W828" s="4"/>
      <c r="X828" s="4"/>
      <c r="Y828" s="4"/>
      <c r="Z828" s="4"/>
    </row>
    <row r="829" ht="9.75" customHeight="1">
      <c r="A829" s="343"/>
      <c r="B829" s="344"/>
      <c r="C829" s="182"/>
      <c r="D829" s="406"/>
      <c r="E829" s="406"/>
      <c r="F829" s="407"/>
      <c r="G829" s="407"/>
      <c r="H829" s="4"/>
      <c r="I829" s="4"/>
      <c r="J829" s="4"/>
      <c r="K829" s="4"/>
      <c r="L829" s="4"/>
      <c r="M829" s="4"/>
      <c r="N829" s="4"/>
      <c r="O829" s="4"/>
      <c r="P829" s="4"/>
      <c r="Q829" s="4"/>
      <c r="R829" s="4"/>
      <c r="S829" s="4"/>
      <c r="T829" s="4"/>
      <c r="U829" s="4"/>
      <c r="V829" s="4"/>
      <c r="W829" s="4"/>
      <c r="X829" s="4"/>
      <c r="Y829" s="4"/>
      <c r="Z829" s="4"/>
    </row>
    <row r="830" ht="9.75" customHeight="1">
      <c r="A830" s="343"/>
      <c r="B830" s="344"/>
      <c r="C830" s="182"/>
      <c r="D830" s="406"/>
      <c r="E830" s="406"/>
      <c r="F830" s="407"/>
      <c r="G830" s="407"/>
      <c r="H830" s="4"/>
      <c r="I830" s="4"/>
      <c r="J830" s="4"/>
      <c r="K830" s="4"/>
      <c r="L830" s="4"/>
      <c r="M830" s="4"/>
      <c r="N830" s="4"/>
      <c r="O830" s="4"/>
      <c r="P830" s="4"/>
      <c r="Q830" s="4"/>
      <c r="R830" s="4"/>
      <c r="S830" s="4"/>
      <c r="T830" s="4"/>
      <c r="U830" s="4"/>
      <c r="V830" s="4"/>
      <c r="W830" s="4"/>
      <c r="X830" s="4"/>
      <c r="Y830" s="4"/>
      <c r="Z830" s="4"/>
    </row>
    <row r="831" ht="9.75" customHeight="1">
      <c r="A831" s="343"/>
      <c r="B831" s="344"/>
      <c r="C831" s="182"/>
      <c r="D831" s="406"/>
      <c r="E831" s="406"/>
      <c r="F831" s="407"/>
      <c r="G831" s="407"/>
      <c r="H831" s="4"/>
      <c r="I831" s="4"/>
      <c r="J831" s="4"/>
      <c r="K831" s="4"/>
      <c r="L831" s="4"/>
      <c r="M831" s="4"/>
      <c r="N831" s="4"/>
      <c r="O831" s="4"/>
      <c r="P831" s="4"/>
      <c r="Q831" s="4"/>
      <c r="R831" s="4"/>
      <c r="S831" s="4"/>
      <c r="T831" s="4"/>
      <c r="U831" s="4"/>
      <c r="V831" s="4"/>
      <c r="W831" s="4"/>
      <c r="X831" s="4"/>
      <c r="Y831" s="4"/>
      <c r="Z831" s="4"/>
    </row>
    <row r="832" ht="9.75" customHeight="1">
      <c r="A832" s="343"/>
      <c r="B832" s="344"/>
      <c r="C832" s="182"/>
      <c r="D832" s="406"/>
      <c r="E832" s="406"/>
      <c r="F832" s="407"/>
      <c r="G832" s="407"/>
      <c r="H832" s="4"/>
      <c r="I832" s="4"/>
      <c r="J832" s="4"/>
      <c r="K832" s="4"/>
      <c r="L832" s="4"/>
      <c r="M832" s="4"/>
      <c r="N832" s="4"/>
      <c r="O832" s="4"/>
      <c r="P832" s="4"/>
      <c r="Q832" s="4"/>
      <c r="R832" s="4"/>
      <c r="S832" s="4"/>
      <c r="T832" s="4"/>
      <c r="U832" s="4"/>
      <c r="V832" s="4"/>
      <c r="W832" s="4"/>
      <c r="X832" s="4"/>
      <c r="Y832" s="4"/>
      <c r="Z832" s="4"/>
    </row>
    <row r="833" ht="9.75" customHeight="1">
      <c r="A833" s="343"/>
      <c r="B833" s="344"/>
      <c r="C833" s="182"/>
      <c r="D833" s="406"/>
      <c r="E833" s="406"/>
      <c r="F833" s="407"/>
      <c r="G833" s="407"/>
      <c r="H833" s="4"/>
      <c r="I833" s="4"/>
      <c r="J833" s="4"/>
      <c r="K833" s="4"/>
      <c r="L833" s="4"/>
      <c r="M833" s="4"/>
      <c r="N833" s="4"/>
      <c r="O833" s="4"/>
      <c r="P833" s="4"/>
      <c r="Q833" s="4"/>
      <c r="R833" s="4"/>
      <c r="S833" s="4"/>
      <c r="T833" s="4"/>
      <c r="U833" s="4"/>
      <c r="V833" s="4"/>
      <c r="W833" s="4"/>
      <c r="X833" s="4"/>
      <c r="Y833" s="4"/>
      <c r="Z833" s="4"/>
    </row>
    <row r="834" ht="9.75" customHeight="1">
      <c r="A834" s="343"/>
      <c r="B834" s="344"/>
      <c r="C834" s="182"/>
      <c r="D834" s="406"/>
      <c r="E834" s="406"/>
      <c r="F834" s="407"/>
      <c r="G834" s="407"/>
      <c r="H834" s="4"/>
      <c r="I834" s="4"/>
      <c r="J834" s="4"/>
      <c r="K834" s="4"/>
      <c r="L834" s="4"/>
      <c r="M834" s="4"/>
      <c r="N834" s="4"/>
      <c r="O834" s="4"/>
      <c r="P834" s="4"/>
      <c r="Q834" s="4"/>
      <c r="R834" s="4"/>
      <c r="S834" s="4"/>
      <c r="T834" s="4"/>
      <c r="U834" s="4"/>
      <c r="V834" s="4"/>
      <c r="W834" s="4"/>
      <c r="X834" s="4"/>
      <c r="Y834" s="4"/>
      <c r="Z834" s="4"/>
    </row>
    <row r="835" ht="9.75" customHeight="1">
      <c r="A835" s="343"/>
      <c r="B835" s="344"/>
      <c r="C835" s="182"/>
      <c r="D835" s="406"/>
      <c r="E835" s="406"/>
      <c r="F835" s="407"/>
      <c r="G835" s="407"/>
      <c r="H835" s="4"/>
      <c r="I835" s="4"/>
      <c r="J835" s="4"/>
      <c r="K835" s="4"/>
      <c r="L835" s="4"/>
      <c r="M835" s="4"/>
      <c r="N835" s="4"/>
      <c r="O835" s="4"/>
      <c r="P835" s="4"/>
      <c r="Q835" s="4"/>
      <c r="R835" s="4"/>
      <c r="S835" s="4"/>
      <c r="T835" s="4"/>
      <c r="U835" s="4"/>
      <c r="V835" s="4"/>
      <c r="W835" s="4"/>
      <c r="X835" s="4"/>
      <c r="Y835" s="4"/>
      <c r="Z835" s="4"/>
    </row>
    <row r="836" ht="9.75" customHeight="1">
      <c r="A836" s="343"/>
      <c r="B836" s="344"/>
      <c r="C836" s="182"/>
      <c r="D836" s="406"/>
      <c r="E836" s="406"/>
      <c r="F836" s="407"/>
      <c r="G836" s="407"/>
      <c r="H836" s="4"/>
      <c r="I836" s="4"/>
      <c r="J836" s="4"/>
      <c r="K836" s="4"/>
      <c r="L836" s="4"/>
      <c r="M836" s="4"/>
      <c r="N836" s="4"/>
      <c r="O836" s="4"/>
      <c r="P836" s="4"/>
      <c r="Q836" s="4"/>
      <c r="R836" s="4"/>
      <c r="S836" s="4"/>
      <c r="T836" s="4"/>
      <c r="U836" s="4"/>
      <c r="V836" s="4"/>
      <c r="W836" s="4"/>
      <c r="X836" s="4"/>
      <c r="Y836" s="4"/>
      <c r="Z836" s="4"/>
    </row>
    <row r="837" ht="9.75" customHeight="1">
      <c r="A837" s="343"/>
      <c r="B837" s="344"/>
      <c r="C837" s="182"/>
      <c r="D837" s="406"/>
      <c r="E837" s="406"/>
      <c r="F837" s="407"/>
      <c r="G837" s="407"/>
      <c r="H837" s="4"/>
      <c r="I837" s="4"/>
      <c r="J837" s="4"/>
      <c r="K837" s="4"/>
      <c r="L837" s="4"/>
      <c r="M837" s="4"/>
      <c r="N837" s="4"/>
      <c r="O837" s="4"/>
      <c r="P837" s="4"/>
      <c r="Q837" s="4"/>
      <c r="R837" s="4"/>
      <c r="S837" s="4"/>
      <c r="T837" s="4"/>
      <c r="U837" s="4"/>
      <c r="V837" s="4"/>
      <c r="W837" s="4"/>
      <c r="X837" s="4"/>
      <c r="Y837" s="4"/>
      <c r="Z837" s="4"/>
    </row>
    <row r="838" ht="9.75" customHeight="1">
      <c r="A838" s="343"/>
      <c r="B838" s="344"/>
      <c r="C838" s="182"/>
      <c r="D838" s="406"/>
      <c r="E838" s="406"/>
      <c r="F838" s="407"/>
      <c r="G838" s="407"/>
      <c r="H838" s="4"/>
      <c r="I838" s="4"/>
      <c r="J838" s="4"/>
      <c r="K838" s="4"/>
      <c r="L838" s="4"/>
      <c r="M838" s="4"/>
      <c r="N838" s="4"/>
      <c r="O838" s="4"/>
      <c r="P838" s="4"/>
      <c r="Q838" s="4"/>
      <c r="R838" s="4"/>
      <c r="S838" s="4"/>
      <c r="T838" s="4"/>
      <c r="U838" s="4"/>
      <c r="V838" s="4"/>
      <c r="W838" s="4"/>
      <c r="X838" s="4"/>
      <c r="Y838" s="4"/>
      <c r="Z838" s="4"/>
    </row>
    <row r="839" ht="9.75" customHeight="1">
      <c r="A839" s="343"/>
      <c r="B839" s="344"/>
      <c r="C839" s="182"/>
      <c r="D839" s="406"/>
      <c r="E839" s="406"/>
      <c r="F839" s="407"/>
      <c r="G839" s="407"/>
      <c r="H839" s="4"/>
      <c r="I839" s="4"/>
      <c r="J839" s="4"/>
      <c r="K839" s="4"/>
      <c r="L839" s="4"/>
      <c r="M839" s="4"/>
      <c r="N839" s="4"/>
      <c r="O839" s="4"/>
      <c r="P839" s="4"/>
      <c r="Q839" s="4"/>
      <c r="R839" s="4"/>
      <c r="S839" s="4"/>
      <c r="T839" s="4"/>
      <c r="U839" s="4"/>
      <c r="V839" s="4"/>
      <c r="W839" s="4"/>
      <c r="X839" s="4"/>
      <c r="Y839" s="4"/>
      <c r="Z839" s="4"/>
    </row>
    <row r="840" ht="9.75" customHeight="1">
      <c r="A840" s="343"/>
      <c r="B840" s="344"/>
      <c r="C840" s="182"/>
      <c r="D840" s="406"/>
      <c r="E840" s="406"/>
      <c r="F840" s="407"/>
      <c r="G840" s="407"/>
      <c r="H840" s="4"/>
      <c r="I840" s="4"/>
      <c r="J840" s="4"/>
      <c r="K840" s="4"/>
      <c r="L840" s="4"/>
      <c r="M840" s="4"/>
      <c r="N840" s="4"/>
      <c r="O840" s="4"/>
      <c r="P840" s="4"/>
      <c r="Q840" s="4"/>
      <c r="R840" s="4"/>
      <c r="S840" s="4"/>
      <c r="T840" s="4"/>
      <c r="U840" s="4"/>
      <c r="V840" s="4"/>
      <c r="W840" s="4"/>
      <c r="X840" s="4"/>
      <c r="Y840" s="4"/>
      <c r="Z840" s="4"/>
    </row>
    <row r="841" ht="9.75" customHeight="1">
      <c r="A841" s="343"/>
      <c r="B841" s="344"/>
      <c r="C841" s="182"/>
      <c r="D841" s="406"/>
      <c r="E841" s="406"/>
      <c r="F841" s="407"/>
      <c r="G841" s="407"/>
      <c r="H841" s="4"/>
      <c r="I841" s="4"/>
      <c r="J841" s="4"/>
      <c r="K841" s="4"/>
      <c r="L841" s="4"/>
      <c r="M841" s="4"/>
      <c r="N841" s="4"/>
      <c r="O841" s="4"/>
      <c r="P841" s="4"/>
      <c r="Q841" s="4"/>
      <c r="R841" s="4"/>
      <c r="S841" s="4"/>
      <c r="T841" s="4"/>
      <c r="U841" s="4"/>
      <c r="V841" s="4"/>
      <c r="W841" s="4"/>
      <c r="X841" s="4"/>
      <c r="Y841" s="4"/>
      <c r="Z841" s="4"/>
    </row>
    <row r="842" ht="9.75" customHeight="1">
      <c r="A842" s="343"/>
      <c r="B842" s="344"/>
      <c r="C842" s="182"/>
      <c r="D842" s="406"/>
      <c r="E842" s="406"/>
      <c r="F842" s="407"/>
      <c r="G842" s="407"/>
      <c r="H842" s="4"/>
      <c r="I842" s="4"/>
      <c r="J842" s="4"/>
      <c r="K842" s="4"/>
      <c r="L842" s="4"/>
      <c r="M842" s="4"/>
      <c r="N842" s="4"/>
      <c r="O842" s="4"/>
      <c r="P842" s="4"/>
      <c r="Q842" s="4"/>
      <c r="R842" s="4"/>
      <c r="S842" s="4"/>
      <c r="T842" s="4"/>
      <c r="U842" s="4"/>
      <c r="V842" s="4"/>
      <c r="W842" s="4"/>
      <c r="X842" s="4"/>
      <c r="Y842" s="4"/>
      <c r="Z842" s="4"/>
    </row>
    <row r="843" ht="9.75" customHeight="1">
      <c r="A843" s="343"/>
      <c r="B843" s="344"/>
      <c r="C843" s="182"/>
      <c r="D843" s="406"/>
      <c r="E843" s="406"/>
      <c r="F843" s="407"/>
      <c r="G843" s="407"/>
      <c r="H843" s="4"/>
      <c r="I843" s="4"/>
      <c r="J843" s="4"/>
      <c r="K843" s="4"/>
      <c r="L843" s="4"/>
      <c r="M843" s="4"/>
      <c r="N843" s="4"/>
      <c r="O843" s="4"/>
      <c r="P843" s="4"/>
      <c r="Q843" s="4"/>
      <c r="R843" s="4"/>
      <c r="S843" s="4"/>
      <c r="T843" s="4"/>
      <c r="U843" s="4"/>
      <c r="V843" s="4"/>
      <c r="W843" s="4"/>
      <c r="X843" s="4"/>
      <c r="Y843" s="4"/>
      <c r="Z843" s="4"/>
    </row>
    <row r="844" ht="9.75" customHeight="1">
      <c r="A844" s="343"/>
      <c r="B844" s="344"/>
      <c r="C844" s="182"/>
      <c r="D844" s="406"/>
      <c r="E844" s="406"/>
      <c r="F844" s="407"/>
      <c r="G844" s="407"/>
      <c r="H844" s="4"/>
      <c r="I844" s="4"/>
      <c r="J844" s="4"/>
      <c r="K844" s="4"/>
      <c r="L844" s="4"/>
      <c r="M844" s="4"/>
      <c r="N844" s="4"/>
      <c r="O844" s="4"/>
      <c r="P844" s="4"/>
      <c r="Q844" s="4"/>
      <c r="R844" s="4"/>
      <c r="S844" s="4"/>
      <c r="T844" s="4"/>
      <c r="U844" s="4"/>
      <c r="V844" s="4"/>
      <c r="W844" s="4"/>
      <c r="X844" s="4"/>
      <c r="Y844" s="4"/>
      <c r="Z844" s="4"/>
    </row>
    <row r="845" ht="9.75" customHeight="1">
      <c r="A845" s="343"/>
      <c r="B845" s="344"/>
      <c r="C845" s="182"/>
      <c r="D845" s="406"/>
      <c r="E845" s="406"/>
      <c r="F845" s="407"/>
      <c r="G845" s="407"/>
      <c r="H845" s="4"/>
      <c r="I845" s="4"/>
      <c r="J845" s="4"/>
      <c r="K845" s="4"/>
      <c r="L845" s="4"/>
      <c r="M845" s="4"/>
      <c r="N845" s="4"/>
      <c r="O845" s="4"/>
      <c r="P845" s="4"/>
      <c r="Q845" s="4"/>
      <c r="R845" s="4"/>
      <c r="S845" s="4"/>
      <c r="T845" s="4"/>
      <c r="U845" s="4"/>
      <c r="V845" s="4"/>
      <c r="W845" s="4"/>
      <c r="X845" s="4"/>
      <c r="Y845" s="4"/>
      <c r="Z845" s="4"/>
    </row>
    <row r="846" ht="9.75" customHeight="1">
      <c r="A846" s="343"/>
      <c r="B846" s="344"/>
      <c r="C846" s="182"/>
      <c r="D846" s="406"/>
      <c r="E846" s="406"/>
      <c r="F846" s="407"/>
      <c r="G846" s="407"/>
      <c r="H846" s="4"/>
      <c r="I846" s="4"/>
      <c r="J846" s="4"/>
      <c r="K846" s="4"/>
      <c r="L846" s="4"/>
      <c r="M846" s="4"/>
      <c r="N846" s="4"/>
      <c r="O846" s="4"/>
      <c r="P846" s="4"/>
      <c r="Q846" s="4"/>
      <c r="R846" s="4"/>
      <c r="S846" s="4"/>
      <c r="T846" s="4"/>
      <c r="U846" s="4"/>
      <c r="V846" s="4"/>
      <c r="W846" s="4"/>
      <c r="X846" s="4"/>
      <c r="Y846" s="4"/>
      <c r="Z846" s="4"/>
    </row>
    <row r="847" ht="9.75" customHeight="1">
      <c r="A847" s="343"/>
      <c r="B847" s="344"/>
      <c r="C847" s="182"/>
      <c r="D847" s="406"/>
      <c r="E847" s="406"/>
      <c r="F847" s="407"/>
      <c r="G847" s="407"/>
      <c r="H847" s="4"/>
      <c r="I847" s="4"/>
      <c r="J847" s="4"/>
      <c r="K847" s="4"/>
      <c r="L847" s="4"/>
      <c r="M847" s="4"/>
      <c r="N847" s="4"/>
      <c r="O847" s="4"/>
      <c r="P847" s="4"/>
      <c r="Q847" s="4"/>
      <c r="R847" s="4"/>
      <c r="S847" s="4"/>
      <c r="T847" s="4"/>
      <c r="U847" s="4"/>
      <c r="V847" s="4"/>
      <c r="W847" s="4"/>
      <c r="X847" s="4"/>
      <c r="Y847" s="4"/>
      <c r="Z847" s="4"/>
    </row>
    <row r="848" ht="9.75" customHeight="1">
      <c r="A848" s="343"/>
      <c r="B848" s="344"/>
      <c r="C848" s="182"/>
      <c r="D848" s="406"/>
      <c r="E848" s="406"/>
      <c r="F848" s="407"/>
      <c r="G848" s="407"/>
      <c r="H848" s="4"/>
      <c r="I848" s="4"/>
      <c r="J848" s="4"/>
      <c r="K848" s="4"/>
      <c r="L848" s="4"/>
      <c r="M848" s="4"/>
      <c r="N848" s="4"/>
      <c r="O848" s="4"/>
      <c r="P848" s="4"/>
      <c r="Q848" s="4"/>
      <c r="R848" s="4"/>
      <c r="S848" s="4"/>
      <c r="T848" s="4"/>
      <c r="U848" s="4"/>
      <c r="V848" s="4"/>
      <c r="W848" s="4"/>
      <c r="X848" s="4"/>
      <c r="Y848" s="4"/>
      <c r="Z848" s="4"/>
    </row>
    <row r="849" ht="9.75" customHeight="1">
      <c r="A849" s="343"/>
      <c r="B849" s="344"/>
      <c r="C849" s="182"/>
      <c r="D849" s="406"/>
      <c r="E849" s="406"/>
      <c r="F849" s="407"/>
      <c r="G849" s="407"/>
      <c r="H849" s="4"/>
      <c r="I849" s="4"/>
      <c r="J849" s="4"/>
      <c r="K849" s="4"/>
      <c r="L849" s="4"/>
      <c r="M849" s="4"/>
      <c r="N849" s="4"/>
      <c r="O849" s="4"/>
      <c r="P849" s="4"/>
      <c r="Q849" s="4"/>
      <c r="R849" s="4"/>
      <c r="S849" s="4"/>
      <c r="T849" s="4"/>
      <c r="U849" s="4"/>
      <c r="V849" s="4"/>
      <c r="W849" s="4"/>
      <c r="X849" s="4"/>
      <c r="Y849" s="4"/>
      <c r="Z849" s="4"/>
    </row>
    <row r="850" ht="9.75" customHeight="1">
      <c r="A850" s="343"/>
      <c r="B850" s="344"/>
      <c r="C850" s="182"/>
      <c r="D850" s="406"/>
      <c r="E850" s="406"/>
      <c r="F850" s="407"/>
      <c r="G850" s="407"/>
      <c r="H850" s="4"/>
      <c r="I850" s="4"/>
      <c r="J850" s="4"/>
      <c r="K850" s="4"/>
      <c r="L850" s="4"/>
      <c r="M850" s="4"/>
      <c r="N850" s="4"/>
      <c r="O850" s="4"/>
      <c r="P850" s="4"/>
      <c r="Q850" s="4"/>
      <c r="R850" s="4"/>
      <c r="S850" s="4"/>
      <c r="T850" s="4"/>
      <c r="U850" s="4"/>
      <c r="V850" s="4"/>
      <c r="W850" s="4"/>
      <c r="X850" s="4"/>
      <c r="Y850" s="4"/>
      <c r="Z850" s="4"/>
    </row>
    <row r="851" ht="9.75" customHeight="1">
      <c r="A851" s="343"/>
      <c r="B851" s="344"/>
      <c r="C851" s="182"/>
      <c r="D851" s="406"/>
      <c r="E851" s="406"/>
      <c r="F851" s="407"/>
      <c r="G851" s="407"/>
      <c r="H851" s="4"/>
      <c r="I851" s="4"/>
      <c r="J851" s="4"/>
      <c r="K851" s="4"/>
      <c r="L851" s="4"/>
      <c r="M851" s="4"/>
      <c r="N851" s="4"/>
      <c r="O851" s="4"/>
      <c r="P851" s="4"/>
      <c r="Q851" s="4"/>
      <c r="R851" s="4"/>
      <c r="S851" s="4"/>
      <c r="T851" s="4"/>
      <c r="U851" s="4"/>
      <c r="V851" s="4"/>
      <c r="W851" s="4"/>
      <c r="X851" s="4"/>
      <c r="Y851" s="4"/>
      <c r="Z851" s="4"/>
    </row>
    <row r="852" ht="9.75" customHeight="1">
      <c r="A852" s="343"/>
      <c r="B852" s="344"/>
      <c r="C852" s="182"/>
      <c r="D852" s="406"/>
      <c r="E852" s="406"/>
      <c r="F852" s="407"/>
      <c r="G852" s="407"/>
      <c r="H852" s="4"/>
      <c r="I852" s="4"/>
      <c r="J852" s="4"/>
      <c r="K852" s="4"/>
      <c r="L852" s="4"/>
      <c r="M852" s="4"/>
      <c r="N852" s="4"/>
      <c r="O852" s="4"/>
      <c r="P852" s="4"/>
      <c r="Q852" s="4"/>
      <c r="R852" s="4"/>
      <c r="S852" s="4"/>
      <c r="T852" s="4"/>
      <c r="U852" s="4"/>
      <c r="V852" s="4"/>
      <c r="W852" s="4"/>
      <c r="X852" s="4"/>
      <c r="Y852" s="4"/>
      <c r="Z852" s="4"/>
    </row>
    <row r="853" ht="9.75" customHeight="1">
      <c r="A853" s="343"/>
      <c r="B853" s="344"/>
      <c r="C853" s="182"/>
      <c r="D853" s="406"/>
      <c r="E853" s="406"/>
      <c r="F853" s="407"/>
      <c r="G853" s="407"/>
      <c r="H853" s="4"/>
      <c r="I853" s="4"/>
      <c r="J853" s="4"/>
      <c r="K853" s="4"/>
      <c r="L853" s="4"/>
      <c r="M853" s="4"/>
      <c r="N853" s="4"/>
      <c r="O853" s="4"/>
      <c r="P853" s="4"/>
      <c r="Q853" s="4"/>
      <c r="R853" s="4"/>
      <c r="S853" s="4"/>
      <c r="T853" s="4"/>
      <c r="U853" s="4"/>
      <c r="V853" s="4"/>
      <c r="W853" s="4"/>
      <c r="X853" s="4"/>
      <c r="Y853" s="4"/>
      <c r="Z853" s="4"/>
    </row>
    <row r="854" ht="9.75" customHeight="1">
      <c r="A854" s="343"/>
      <c r="B854" s="344"/>
      <c r="C854" s="182"/>
      <c r="D854" s="406"/>
      <c r="E854" s="406"/>
      <c r="F854" s="407"/>
      <c r="G854" s="407"/>
      <c r="H854" s="4"/>
      <c r="I854" s="4"/>
      <c r="J854" s="4"/>
      <c r="K854" s="4"/>
      <c r="L854" s="4"/>
      <c r="M854" s="4"/>
      <c r="N854" s="4"/>
      <c r="O854" s="4"/>
      <c r="P854" s="4"/>
      <c r="Q854" s="4"/>
      <c r="R854" s="4"/>
      <c r="S854" s="4"/>
      <c r="T854" s="4"/>
      <c r="U854" s="4"/>
      <c r="V854" s="4"/>
      <c r="W854" s="4"/>
      <c r="X854" s="4"/>
      <c r="Y854" s="4"/>
      <c r="Z854" s="4"/>
    </row>
    <row r="855" ht="9.75" customHeight="1">
      <c r="A855" s="343"/>
      <c r="B855" s="344"/>
      <c r="C855" s="182"/>
      <c r="D855" s="406"/>
      <c r="E855" s="406"/>
      <c r="F855" s="407"/>
      <c r="G855" s="407"/>
      <c r="H855" s="4"/>
      <c r="I855" s="4"/>
      <c r="J855" s="4"/>
      <c r="K855" s="4"/>
      <c r="L855" s="4"/>
      <c r="M855" s="4"/>
      <c r="N855" s="4"/>
      <c r="O855" s="4"/>
      <c r="P855" s="4"/>
      <c r="Q855" s="4"/>
      <c r="R855" s="4"/>
      <c r="S855" s="4"/>
      <c r="T855" s="4"/>
      <c r="U855" s="4"/>
      <c r="V855" s="4"/>
      <c r="W855" s="4"/>
      <c r="X855" s="4"/>
      <c r="Y855" s="4"/>
      <c r="Z855" s="4"/>
    </row>
    <row r="856" ht="9.75" customHeight="1">
      <c r="A856" s="343"/>
      <c r="B856" s="344"/>
      <c r="C856" s="182"/>
      <c r="D856" s="406"/>
      <c r="E856" s="406"/>
      <c r="F856" s="407"/>
      <c r="G856" s="407"/>
      <c r="H856" s="4"/>
      <c r="I856" s="4"/>
      <c r="J856" s="4"/>
      <c r="K856" s="4"/>
      <c r="L856" s="4"/>
      <c r="M856" s="4"/>
      <c r="N856" s="4"/>
      <c r="O856" s="4"/>
      <c r="P856" s="4"/>
      <c r="Q856" s="4"/>
      <c r="R856" s="4"/>
      <c r="S856" s="4"/>
      <c r="T856" s="4"/>
      <c r="U856" s="4"/>
      <c r="V856" s="4"/>
      <c r="W856" s="4"/>
      <c r="X856" s="4"/>
      <c r="Y856" s="4"/>
      <c r="Z856" s="4"/>
    </row>
    <row r="857" ht="9.75" customHeight="1">
      <c r="A857" s="343"/>
      <c r="B857" s="344"/>
      <c r="C857" s="182"/>
      <c r="D857" s="406"/>
      <c r="E857" s="406"/>
      <c r="F857" s="407"/>
      <c r="G857" s="407"/>
      <c r="H857" s="4"/>
      <c r="I857" s="4"/>
      <c r="J857" s="4"/>
      <c r="K857" s="4"/>
      <c r="L857" s="4"/>
      <c r="M857" s="4"/>
      <c r="N857" s="4"/>
      <c r="O857" s="4"/>
      <c r="P857" s="4"/>
      <c r="Q857" s="4"/>
      <c r="R857" s="4"/>
      <c r="S857" s="4"/>
      <c r="T857" s="4"/>
      <c r="U857" s="4"/>
      <c r="V857" s="4"/>
      <c r="W857" s="4"/>
      <c r="X857" s="4"/>
      <c r="Y857" s="4"/>
      <c r="Z857" s="4"/>
    </row>
    <row r="858" ht="9.75" customHeight="1">
      <c r="A858" s="343"/>
      <c r="B858" s="344"/>
      <c r="C858" s="182"/>
      <c r="D858" s="406"/>
      <c r="E858" s="406"/>
      <c r="F858" s="407"/>
      <c r="G858" s="407"/>
      <c r="H858" s="4"/>
      <c r="I858" s="4"/>
      <c r="J858" s="4"/>
      <c r="K858" s="4"/>
      <c r="L858" s="4"/>
      <c r="M858" s="4"/>
      <c r="N858" s="4"/>
      <c r="O858" s="4"/>
      <c r="P858" s="4"/>
      <c r="Q858" s="4"/>
      <c r="R858" s="4"/>
      <c r="S858" s="4"/>
      <c r="T858" s="4"/>
      <c r="U858" s="4"/>
      <c r="V858" s="4"/>
      <c r="W858" s="4"/>
      <c r="X858" s="4"/>
      <c r="Y858" s="4"/>
      <c r="Z858" s="4"/>
    </row>
    <row r="859" ht="9.75" customHeight="1">
      <c r="A859" s="343"/>
      <c r="B859" s="344"/>
      <c r="C859" s="182"/>
      <c r="D859" s="406"/>
      <c r="E859" s="406"/>
      <c r="F859" s="407"/>
      <c r="G859" s="407"/>
      <c r="H859" s="4"/>
      <c r="I859" s="4"/>
      <c r="J859" s="4"/>
      <c r="K859" s="4"/>
      <c r="L859" s="4"/>
      <c r="M859" s="4"/>
      <c r="N859" s="4"/>
      <c r="O859" s="4"/>
      <c r="P859" s="4"/>
      <c r="Q859" s="4"/>
      <c r="R859" s="4"/>
      <c r="S859" s="4"/>
      <c r="T859" s="4"/>
      <c r="U859" s="4"/>
      <c r="V859" s="4"/>
      <c r="W859" s="4"/>
      <c r="X859" s="4"/>
      <c r="Y859" s="4"/>
      <c r="Z859" s="4"/>
    </row>
    <row r="860" ht="9.75" customHeight="1">
      <c r="A860" s="343"/>
      <c r="B860" s="344"/>
      <c r="C860" s="182"/>
      <c r="D860" s="406"/>
      <c r="E860" s="406"/>
      <c r="F860" s="407"/>
      <c r="G860" s="407"/>
      <c r="H860" s="4"/>
      <c r="I860" s="4"/>
      <c r="J860" s="4"/>
      <c r="K860" s="4"/>
      <c r="L860" s="4"/>
      <c r="M860" s="4"/>
      <c r="N860" s="4"/>
      <c r="O860" s="4"/>
      <c r="P860" s="4"/>
      <c r="Q860" s="4"/>
      <c r="R860" s="4"/>
      <c r="S860" s="4"/>
      <c r="T860" s="4"/>
      <c r="U860" s="4"/>
      <c r="V860" s="4"/>
      <c r="W860" s="4"/>
      <c r="X860" s="4"/>
      <c r="Y860" s="4"/>
      <c r="Z860" s="4"/>
    </row>
    <row r="861" ht="9.75" customHeight="1">
      <c r="A861" s="343"/>
      <c r="B861" s="344"/>
      <c r="C861" s="182"/>
      <c r="D861" s="406"/>
      <c r="E861" s="406"/>
      <c r="F861" s="407"/>
      <c r="G861" s="407"/>
      <c r="H861" s="4"/>
      <c r="I861" s="4"/>
      <c r="J861" s="4"/>
      <c r="K861" s="4"/>
      <c r="L861" s="4"/>
      <c r="M861" s="4"/>
      <c r="N861" s="4"/>
      <c r="O861" s="4"/>
      <c r="P861" s="4"/>
      <c r="Q861" s="4"/>
      <c r="R861" s="4"/>
      <c r="S861" s="4"/>
      <c r="T861" s="4"/>
      <c r="U861" s="4"/>
      <c r="V861" s="4"/>
      <c r="W861" s="4"/>
      <c r="X861" s="4"/>
      <c r="Y861" s="4"/>
      <c r="Z861" s="4"/>
    </row>
    <row r="862" ht="9.75" customHeight="1">
      <c r="A862" s="343"/>
      <c r="B862" s="344"/>
      <c r="C862" s="182"/>
      <c r="D862" s="406"/>
      <c r="E862" s="406"/>
      <c r="F862" s="407"/>
      <c r="G862" s="407"/>
      <c r="H862" s="4"/>
      <c r="I862" s="4"/>
      <c r="J862" s="4"/>
      <c r="K862" s="4"/>
      <c r="L862" s="4"/>
      <c r="M862" s="4"/>
      <c r="N862" s="4"/>
      <c r="O862" s="4"/>
      <c r="P862" s="4"/>
      <c r="Q862" s="4"/>
      <c r="R862" s="4"/>
      <c r="S862" s="4"/>
      <c r="T862" s="4"/>
      <c r="U862" s="4"/>
      <c r="V862" s="4"/>
      <c r="W862" s="4"/>
      <c r="X862" s="4"/>
      <c r="Y862" s="4"/>
      <c r="Z862" s="4"/>
    </row>
    <row r="863" ht="9.75" customHeight="1">
      <c r="A863" s="343"/>
      <c r="B863" s="344"/>
      <c r="C863" s="182"/>
      <c r="D863" s="406"/>
      <c r="E863" s="406"/>
      <c r="F863" s="407"/>
      <c r="G863" s="407"/>
      <c r="H863" s="4"/>
      <c r="I863" s="4"/>
      <c r="J863" s="4"/>
      <c r="K863" s="4"/>
      <c r="L863" s="4"/>
      <c r="M863" s="4"/>
      <c r="N863" s="4"/>
      <c r="O863" s="4"/>
      <c r="P863" s="4"/>
      <c r="Q863" s="4"/>
      <c r="R863" s="4"/>
      <c r="S863" s="4"/>
      <c r="T863" s="4"/>
      <c r="U863" s="4"/>
      <c r="V863" s="4"/>
      <c r="W863" s="4"/>
      <c r="X863" s="4"/>
      <c r="Y863" s="4"/>
      <c r="Z863" s="4"/>
    </row>
    <row r="864" ht="9.75" customHeight="1">
      <c r="A864" s="343"/>
      <c r="B864" s="344"/>
      <c r="C864" s="182"/>
      <c r="D864" s="406"/>
      <c r="E864" s="406"/>
      <c r="F864" s="407"/>
      <c r="G864" s="407"/>
      <c r="H864" s="4"/>
      <c r="I864" s="4"/>
      <c r="J864" s="4"/>
      <c r="K864" s="4"/>
      <c r="L864" s="4"/>
      <c r="M864" s="4"/>
      <c r="N864" s="4"/>
      <c r="O864" s="4"/>
      <c r="P864" s="4"/>
      <c r="Q864" s="4"/>
      <c r="R864" s="4"/>
      <c r="S864" s="4"/>
      <c r="T864" s="4"/>
      <c r="U864" s="4"/>
      <c r="V864" s="4"/>
      <c r="W864" s="4"/>
      <c r="X864" s="4"/>
      <c r="Y864" s="4"/>
      <c r="Z864" s="4"/>
    </row>
    <row r="865" ht="9.75" customHeight="1">
      <c r="A865" s="343"/>
      <c r="B865" s="344"/>
      <c r="C865" s="182"/>
      <c r="D865" s="406"/>
      <c r="E865" s="406"/>
      <c r="F865" s="407"/>
      <c r="G865" s="407"/>
      <c r="H865" s="4"/>
      <c r="I865" s="4"/>
      <c r="J865" s="4"/>
      <c r="K865" s="4"/>
      <c r="L865" s="4"/>
      <c r="M865" s="4"/>
      <c r="N865" s="4"/>
      <c r="O865" s="4"/>
      <c r="P865" s="4"/>
      <c r="Q865" s="4"/>
      <c r="R865" s="4"/>
      <c r="S865" s="4"/>
      <c r="T865" s="4"/>
      <c r="U865" s="4"/>
      <c r="V865" s="4"/>
      <c r="W865" s="4"/>
      <c r="X865" s="4"/>
      <c r="Y865" s="4"/>
      <c r="Z865" s="4"/>
    </row>
    <row r="866" ht="9.75" customHeight="1">
      <c r="A866" s="343"/>
      <c r="B866" s="344"/>
      <c r="C866" s="182"/>
      <c r="D866" s="406"/>
      <c r="E866" s="406"/>
      <c r="F866" s="407"/>
      <c r="G866" s="407"/>
      <c r="H866" s="4"/>
      <c r="I866" s="4"/>
      <c r="J866" s="4"/>
      <c r="K866" s="4"/>
      <c r="L866" s="4"/>
      <c r="M866" s="4"/>
      <c r="N866" s="4"/>
      <c r="O866" s="4"/>
      <c r="P866" s="4"/>
      <c r="Q866" s="4"/>
      <c r="R866" s="4"/>
      <c r="S866" s="4"/>
      <c r="T866" s="4"/>
      <c r="U866" s="4"/>
      <c r="V866" s="4"/>
      <c r="W866" s="4"/>
      <c r="X866" s="4"/>
      <c r="Y866" s="4"/>
      <c r="Z866" s="4"/>
    </row>
    <row r="867" ht="9.75" customHeight="1">
      <c r="A867" s="343"/>
      <c r="B867" s="344"/>
      <c r="C867" s="182"/>
      <c r="D867" s="406"/>
      <c r="E867" s="406"/>
      <c r="F867" s="407"/>
      <c r="G867" s="407"/>
      <c r="H867" s="4"/>
      <c r="I867" s="4"/>
      <c r="J867" s="4"/>
      <c r="K867" s="4"/>
      <c r="L867" s="4"/>
      <c r="M867" s="4"/>
      <c r="N867" s="4"/>
      <c r="O867" s="4"/>
      <c r="P867" s="4"/>
      <c r="Q867" s="4"/>
      <c r="R867" s="4"/>
      <c r="S867" s="4"/>
      <c r="T867" s="4"/>
      <c r="U867" s="4"/>
      <c r="V867" s="4"/>
      <c r="W867" s="4"/>
      <c r="X867" s="4"/>
      <c r="Y867" s="4"/>
      <c r="Z867" s="4"/>
    </row>
    <row r="868" ht="9.75" customHeight="1">
      <c r="A868" s="343"/>
      <c r="B868" s="344"/>
      <c r="C868" s="182"/>
      <c r="D868" s="406"/>
      <c r="E868" s="406"/>
      <c r="F868" s="407"/>
      <c r="G868" s="407"/>
      <c r="H868" s="4"/>
      <c r="I868" s="4"/>
      <c r="J868" s="4"/>
      <c r="K868" s="4"/>
      <c r="L868" s="4"/>
      <c r="M868" s="4"/>
      <c r="N868" s="4"/>
      <c r="O868" s="4"/>
      <c r="P868" s="4"/>
      <c r="Q868" s="4"/>
      <c r="R868" s="4"/>
      <c r="S868" s="4"/>
      <c r="T868" s="4"/>
      <c r="U868" s="4"/>
      <c r="V868" s="4"/>
      <c r="W868" s="4"/>
      <c r="X868" s="4"/>
      <c r="Y868" s="4"/>
      <c r="Z868" s="4"/>
    </row>
    <row r="869" ht="9.75" customHeight="1">
      <c r="A869" s="343"/>
      <c r="B869" s="344"/>
      <c r="C869" s="182"/>
      <c r="D869" s="406"/>
      <c r="E869" s="406"/>
      <c r="F869" s="407"/>
      <c r="G869" s="407"/>
      <c r="H869" s="4"/>
      <c r="I869" s="4"/>
      <c r="J869" s="4"/>
      <c r="K869" s="4"/>
      <c r="L869" s="4"/>
      <c r="M869" s="4"/>
      <c r="N869" s="4"/>
      <c r="O869" s="4"/>
      <c r="P869" s="4"/>
      <c r="Q869" s="4"/>
      <c r="R869" s="4"/>
      <c r="S869" s="4"/>
      <c r="T869" s="4"/>
      <c r="U869" s="4"/>
      <c r="V869" s="4"/>
      <c r="W869" s="4"/>
      <c r="X869" s="4"/>
      <c r="Y869" s="4"/>
      <c r="Z869" s="4"/>
    </row>
    <row r="870" ht="9.75" customHeight="1">
      <c r="A870" s="343"/>
      <c r="B870" s="344"/>
      <c r="C870" s="182"/>
      <c r="D870" s="406"/>
      <c r="E870" s="406"/>
      <c r="F870" s="407"/>
      <c r="G870" s="407"/>
      <c r="H870" s="4"/>
      <c r="I870" s="4"/>
      <c r="J870" s="4"/>
      <c r="K870" s="4"/>
      <c r="L870" s="4"/>
      <c r="M870" s="4"/>
      <c r="N870" s="4"/>
      <c r="O870" s="4"/>
      <c r="P870" s="4"/>
      <c r="Q870" s="4"/>
      <c r="R870" s="4"/>
      <c r="S870" s="4"/>
      <c r="T870" s="4"/>
      <c r="U870" s="4"/>
      <c r="V870" s="4"/>
      <c r="W870" s="4"/>
      <c r="X870" s="4"/>
      <c r="Y870" s="4"/>
      <c r="Z870" s="4"/>
    </row>
    <row r="871" ht="9.75" customHeight="1">
      <c r="A871" s="343"/>
      <c r="B871" s="344"/>
      <c r="C871" s="182"/>
      <c r="D871" s="406"/>
      <c r="E871" s="406"/>
      <c r="F871" s="407"/>
      <c r="G871" s="407"/>
      <c r="H871" s="4"/>
      <c r="I871" s="4"/>
      <c r="J871" s="4"/>
      <c r="K871" s="4"/>
      <c r="L871" s="4"/>
      <c r="M871" s="4"/>
      <c r="N871" s="4"/>
      <c r="O871" s="4"/>
      <c r="P871" s="4"/>
      <c r="Q871" s="4"/>
      <c r="R871" s="4"/>
      <c r="S871" s="4"/>
      <c r="T871" s="4"/>
      <c r="U871" s="4"/>
      <c r="V871" s="4"/>
      <c r="W871" s="4"/>
      <c r="X871" s="4"/>
      <c r="Y871" s="4"/>
      <c r="Z871" s="4"/>
    </row>
    <row r="872" ht="9.75" customHeight="1">
      <c r="A872" s="343"/>
      <c r="B872" s="344"/>
      <c r="C872" s="182"/>
      <c r="D872" s="406"/>
      <c r="E872" s="406"/>
      <c r="F872" s="407"/>
      <c r="G872" s="407"/>
      <c r="H872" s="4"/>
      <c r="I872" s="4"/>
      <c r="J872" s="4"/>
      <c r="K872" s="4"/>
      <c r="L872" s="4"/>
      <c r="M872" s="4"/>
      <c r="N872" s="4"/>
      <c r="O872" s="4"/>
      <c r="P872" s="4"/>
      <c r="Q872" s="4"/>
      <c r="R872" s="4"/>
      <c r="S872" s="4"/>
      <c r="T872" s="4"/>
      <c r="U872" s="4"/>
      <c r="V872" s="4"/>
      <c r="W872" s="4"/>
      <c r="X872" s="4"/>
      <c r="Y872" s="4"/>
      <c r="Z872" s="4"/>
    </row>
    <row r="873" ht="9.75" customHeight="1">
      <c r="A873" s="343"/>
      <c r="B873" s="344"/>
      <c r="C873" s="182"/>
      <c r="D873" s="406"/>
      <c r="E873" s="406"/>
      <c r="F873" s="407"/>
      <c r="G873" s="407"/>
      <c r="H873" s="4"/>
      <c r="I873" s="4"/>
      <c r="J873" s="4"/>
      <c r="K873" s="4"/>
      <c r="L873" s="4"/>
      <c r="M873" s="4"/>
      <c r="N873" s="4"/>
      <c r="O873" s="4"/>
      <c r="P873" s="4"/>
      <c r="Q873" s="4"/>
      <c r="R873" s="4"/>
      <c r="S873" s="4"/>
      <c r="T873" s="4"/>
      <c r="U873" s="4"/>
      <c r="V873" s="4"/>
      <c r="W873" s="4"/>
      <c r="X873" s="4"/>
      <c r="Y873" s="4"/>
      <c r="Z873" s="4"/>
    </row>
    <row r="874" ht="9.75" customHeight="1">
      <c r="A874" s="343"/>
      <c r="B874" s="344"/>
      <c r="C874" s="182"/>
      <c r="D874" s="406"/>
      <c r="E874" s="406"/>
      <c r="F874" s="407"/>
      <c r="G874" s="407"/>
      <c r="H874" s="4"/>
      <c r="I874" s="4"/>
      <c r="J874" s="4"/>
      <c r="K874" s="4"/>
      <c r="L874" s="4"/>
      <c r="M874" s="4"/>
      <c r="N874" s="4"/>
      <c r="O874" s="4"/>
      <c r="P874" s="4"/>
      <c r="Q874" s="4"/>
      <c r="R874" s="4"/>
      <c r="S874" s="4"/>
      <c r="T874" s="4"/>
      <c r="U874" s="4"/>
      <c r="V874" s="4"/>
      <c r="W874" s="4"/>
      <c r="X874" s="4"/>
      <c r="Y874" s="4"/>
      <c r="Z874" s="4"/>
    </row>
    <row r="875" ht="9.75" customHeight="1">
      <c r="A875" s="343"/>
      <c r="B875" s="344"/>
      <c r="C875" s="182"/>
      <c r="D875" s="406"/>
      <c r="E875" s="406"/>
      <c r="F875" s="407"/>
      <c r="G875" s="407"/>
      <c r="H875" s="4"/>
      <c r="I875" s="4"/>
      <c r="J875" s="4"/>
      <c r="K875" s="4"/>
      <c r="L875" s="4"/>
      <c r="M875" s="4"/>
      <c r="N875" s="4"/>
      <c r="O875" s="4"/>
      <c r="P875" s="4"/>
      <c r="Q875" s="4"/>
      <c r="R875" s="4"/>
      <c r="S875" s="4"/>
      <c r="T875" s="4"/>
      <c r="U875" s="4"/>
      <c r="V875" s="4"/>
      <c r="W875" s="4"/>
      <c r="X875" s="4"/>
      <c r="Y875" s="4"/>
      <c r="Z875" s="4"/>
    </row>
    <row r="876" ht="9.75" customHeight="1">
      <c r="A876" s="343"/>
      <c r="B876" s="344"/>
      <c r="C876" s="182"/>
      <c r="D876" s="406"/>
      <c r="E876" s="406"/>
      <c r="F876" s="407"/>
      <c r="G876" s="407"/>
      <c r="H876" s="4"/>
      <c r="I876" s="4"/>
      <c r="J876" s="4"/>
      <c r="K876" s="4"/>
      <c r="L876" s="4"/>
      <c r="M876" s="4"/>
      <c r="N876" s="4"/>
      <c r="O876" s="4"/>
      <c r="P876" s="4"/>
      <c r="Q876" s="4"/>
      <c r="R876" s="4"/>
      <c r="S876" s="4"/>
      <c r="T876" s="4"/>
      <c r="U876" s="4"/>
      <c r="V876" s="4"/>
      <c r="W876" s="4"/>
      <c r="X876" s="4"/>
      <c r="Y876" s="4"/>
      <c r="Z876" s="4"/>
    </row>
    <row r="877" ht="9.75" customHeight="1">
      <c r="A877" s="343"/>
      <c r="B877" s="344"/>
      <c r="C877" s="182"/>
      <c r="D877" s="406"/>
      <c r="E877" s="406"/>
      <c r="F877" s="407"/>
      <c r="G877" s="407"/>
      <c r="H877" s="4"/>
      <c r="I877" s="4"/>
      <c r="J877" s="4"/>
      <c r="K877" s="4"/>
      <c r="L877" s="4"/>
      <c r="M877" s="4"/>
      <c r="N877" s="4"/>
      <c r="O877" s="4"/>
      <c r="P877" s="4"/>
      <c r="Q877" s="4"/>
      <c r="R877" s="4"/>
      <c r="S877" s="4"/>
      <c r="T877" s="4"/>
      <c r="U877" s="4"/>
      <c r="V877" s="4"/>
      <c r="W877" s="4"/>
      <c r="X877" s="4"/>
      <c r="Y877" s="4"/>
      <c r="Z877" s="4"/>
    </row>
    <row r="878" ht="9.75" customHeight="1">
      <c r="A878" s="343"/>
      <c r="B878" s="344"/>
      <c r="C878" s="182"/>
      <c r="D878" s="406"/>
      <c r="E878" s="406"/>
      <c r="F878" s="407"/>
      <c r="G878" s="407"/>
      <c r="H878" s="4"/>
      <c r="I878" s="4"/>
      <c r="J878" s="4"/>
      <c r="K878" s="4"/>
      <c r="L878" s="4"/>
      <c r="M878" s="4"/>
      <c r="N878" s="4"/>
      <c r="O878" s="4"/>
      <c r="P878" s="4"/>
      <c r="Q878" s="4"/>
      <c r="R878" s="4"/>
      <c r="S878" s="4"/>
      <c r="T878" s="4"/>
      <c r="U878" s="4"/>
      <c r="V878" s="4"/>
      <c r="W878" s="4"/>
      <c r="X878" s="4"/>
      <c r="Y878" s="4"/>
      <c r="Z878" s="4"/>
    </row>
    <row r="879" ht="9.75" customHeight="1">
      <c r="A879" s="343"/>
      <c r="B879" s="344"/>
      <c r="C879" s="182"/>
      <c r="D879" s="406"/>
      <c r="E879" s="406"/>
      <c r="F879" s="407"/>
      <c r="G879" s="407"/>
      <c r="H879" s="4"/>
      <c r="I879" s="4"/>
      <c r="J879" s="4"/>
      <c r="K879" s="4"/>
      <c r="L879" s="4"/>
      <c r="M879" s="4"/>
      <c r="N879" s="4"/>
      <c r="O879" s="4"/>
      <c r="P879" s="4"/>
      <c r="Q879" s="4"/>
      <c r="R879" s="4"/>
      <c r="S879" s="4"/>
      <c r="T879" s="4"/>
      <c r="U879" s="4"/>
      <c r="V879" s="4"/>
      <c r="W879" s="4"/>
      <c r="X879" s="4"/>
      <c r="Y879" s="4"/>
      <c r="Z879" s="4"/>
    </row>
    <row r="880" ht="9.75" customHeight="1">
      <c r="A880" s="343"/>
      <c r="B880" s="344"/>
      <c r="C880" s="182"/>
      <c r="D880" s="406"/>
      <c r="E880" s="406"/>
      <c r="F880" s="407"/>
      <c r="G880" s="407"/>
      <c r="H880" s="4"/>
      <c r="I880" s="4"/>
      <c r="J880" s="4"/>
      <c r="K880" s="4"/>
      <c r="L880" s="4"/>
      <c r="M880" s="4"/>
      <c r="N880" s="4"/>
      <c r="O880" s="4"/>
      <c r="P880" s="4"/>
      <c r="Q880" s="4"/>
      <c r="R880" s="4"/>
      <c r="S880" s="4"/>
      <c r="T880" s="4"/>
      <c r="U880" s="4"/>
      <c r="V880" s="4"/>
      <c r="W880" s="4"/>
      <c r="X880" s="4"/>
      <c r="Y880" s="4"/>
      <c r="Z880" s="4"/>
    </row>
    <row r="881" ht="9.75" customHeight="1">
      <c r="A881" s="343"/>
      <c r="B881" s="344"/>
      <c r="C881" s="182"/>
      <c r="D881" s="406"/>
      <c r="E881" s="406"/>
      <c r="F881" s="407"/>
      <c r="G881" s="407"/>
      <c r="H881" s="4"/>
      <c r="I881" s="4"/>
      <c r="J881" s="4"/>
      <c r="K881" s="4"/>
      <c r="L881" s="4"/>
      <c r="M881" s="4"/>
      <c r="N881" s="4"/>
      <c r="O881" s="4"/>
      <c r="P881" s="4"/>
      <c r="Q881" s="4"/>
      <c r="R881" s="4"/>
      <c r="S881" s="4"/>
      <c r="T881" s="4"/>
      <c r="U881" s="4"/>
      <c r="V881" s="4"/>
      <c r="W881" s="4"/>
      <c r="X881" s="4"/>
      <c r="Y881" s="4"/>
      <c r="Z881" s="4"/>
    </row>
    <row r="882" ht="9.75" customHeight="1">
      <c r="A882" s="343"/>
      <c r="B882" s="344"/>
      <c r="C882" s="182"/>
      <c r="D882" s="406"/>
      <c r="E882" s="406"/>
      <c r="F882" s="407"/>
      <c r="G882" s="407"/>
      <c r="H882" s="4"/>
      <c r="I882" s="4"/>
      <c r="J882" s="4"/>
      <c r="K882" s="4"/>
      <c r="L882" s="4"/>
      <c r="M882" s="4"/>
      <c r="N882" s="4"/>
      <c r="O882" s="4"/>
      <c r="P882" s="4"/>
      <c r="Q882" s="4"/>
      <c r="R882" s="4"/>
      <c r="S882" s="4"/>
      <c r="T882" s="4"/>
      <c r="U882" s="4"/>
      <c r="V882" s="4"/>
      <c r="W882" s="4"/>
      <c r="X882" s="4"/>
      <c r="Y882" s="4"/>
      <c r="Z882" s="4"/>
    </row>
    <row r="883" ht="9.75" customHeight="1">
      <c r="A883" s="343"/>
      <c r="B883" s="344"/>
      <c r="C883" s="182"/>
      <c r="D883" s="406"/>
      <c r="E883" s="406"/>
      <c r="F883" s="407"/>
      <c r="G883" s="407"/>
      <c r="H883" s="4"/>
      <c r="I883" s="4"/>
      <c r="J883" s="4"/>
      <c r="K883" s="4"/>
      <c r="L883" s="4"/>
      <c r="M883" s="4"/>
      <c r="N883" s="4"/>
      <c r="O883" s="4"/>
      <c r="P883" s="4"/>
      <c r="Q883" s="4"/>
      <c r="R883" s="4"/>
      <c r="S883" s="4"/>
      <c r="T883" s="4"/>
      <c r="U883" s="4"/>
      <c r="V883" s="4"/>
      <c r="W883" s="4"/>
      <c r="X883" s="4"/>
      <c r="Y883" s="4"/>
      <c r="Z883" s="4"/>
    </row>
    <row r="884" ht="9.75" customHeight="1">
      <c r="A884" s="343"/>
      <c r="B884" s="344"/>
      <c r="C884" s="182"/>
      <c r="D884" s="406"/>
      <c r="E884" s="406"/>
      <c r="F884" s="407"/>
      <c r="G884" s="407"/>
      <c r="H884" s="4"/>
      <c r="I884" s="4"/>
      <c r="J884" s="4"/>
      <c r="K884" s="4"/>
      <c r="L884" s="4"/>
      <c r="M884" s="4"/>
      <c r="N884" s="4"/>
      <c r="O884" s="4"/>
      <c r="P884" s="4"/>
      <c r="Q884" s="4"/>
      <c r="R884" s="4"/>
      <c r="S884" s="4"/>
      <c r="T884" s="4"/>
      <c r="U884" s="4"/>
      <c r="V884" s="4"/>
      <c r="W884" s="4"/>
      <c r="X884" s="4"/>
      <c r="Y884" s="4"/>
      <c r="Z884" s="4"/>
    </row>
    <row r="885" ht="9.75" customHeight="1">
      <c r="A885" s="343"/>
      <c r="B885" s="344"/>
      <c r="C885" s="182"/>
      <c r="D885" s="406"/>
      <c r="E885" s="406"/>
      <c r="F885" s="407"/>
      <c r="G885" s="407"/>
      <c r="H885" s="4"/>
      <c r="I885" s="4"/>
      <c r="J885" s="4"/>
      <c r="K885" s="4"/>
      <c r="L885" s="4"/>
      <c r="M885" s="4"/>
      <c r="N885" s="4"/>
      <c r="O885" s="4"/>
      <c r="P885" s="4"/>
      <c r="Q885" s="4"/>
      <c r="R885" s="4"/>
      <c r="S885" s="4"/>
      <c r="T885" s="4"/>
      <c r="U885" s="4"/>
      <c r="V885" s="4"/>
      <c r="W885" s="4"/>
      <c r="X885" s="4"/>
      <c r="Y885" s="4"/>
      <c r="Z885" s="4"/>
    </row>
    <row r="886" ht="9.75" customHeight="1">
      <c r="A886" s="343"/>
      <c r="B886" s="344"/>
      <c r="C886" s="182"/>
      <c r="D886" s="406"/>
      <c r="E886" s="406"/>
      <c r="F886" s="407"/>
      <c r="G886" s="407"/>
      <c r="H886" s="4"/>
      <c r="I886" s="4"/>
      <c r="J886" s="4"/>
      <c r="K886" s="4"/>
      <c r="L886" s="4"/>
      <c r="M886" s="4"/>
      <c r="N886" s="4"/>
      <c r="O886" s="4"/>
      <c r="P886" s="4"/>
      <c r="Q886" s="4"/>
      <c r="R886" s="4"/>
      <c r="S886" s="4"/>
      <c r="T886" s="4"/>
      <c r="U886" s="4"/>
      <c r="V886" s="4"/>
      <c r="W886" s="4"/>
      <c r="X886" s="4"/>
      <c r="Y886" s="4"/>
      <c r="Z886" s="4"/>
    </row>
    <row r="887" ht="9.75" customHeight="1">
      <c r="A887" s="343"/>
      <c r="B887" s="344"/>
      <c r="C887" s="182"/>
      <c r="D887" s="406"/>
      <c r="E887" s="406"/>
      <c r="F887" s="407"/>
      <c r="G887" s="407"/>
      <c r="H887" s="4"/>
      <c r="I887" s="4"/>
      <c r="J887" s="4"/>
      <c r="K887" s="4"/>
      <c r="L887" s="4"/>
      <c r="M887" s="4"/>
      <c r="N887" s="4"/>
      <c r="O887" s="4"/>
      <c r="P887" s="4"/>
      <c r="Q887" s="4"/>
      <c r="R887" s="4"/>
      <c r="S887" s="4"/>
      <c r="T887" s="4"/>
      <c r="U887" s="4"/>
      <c r="V887" s="4"/>
      <c r="W887" s="4"/>
      <c r="X887" s="4"/>
      <c r="Y887" s="4"/>
      <c r="Z887" s="4"/>
    </row>
    <row r="888" ht="9.75" customHeight="1">
      <c r="A888" s="343"/>
      <c r="B888" s="344"/>
      <c r="C888" s="182"/>
      <c r="D888" s="406"/>
      <c r="E888" s="406"/>
      <c r="F888" s="407"/>
      <c r="G888" s="407"/>
      <c r="H888" s="4"/>
      <c r="I888" s="4"/>
      <c r="J888" s="4"/>
      <c r="K888" s="4"/>
      <c r="L888" s="4"/>
      <c r="M888" s="4"/>
      <c r="N888" s="4"/>
      <c r="O888" s="4"/>
      <c r="P888" s="4"/>
      <c r="Q888" s="4"/>
      <c r="R888" s="4"/>
      <c r="S888" s="4"/>
      <c r="T888" s="4"/>
      <c r="U888" s="4"/>
      <c r="V888" s="4"/>
      <c r="W888" s="4"/>
      <c r="X888" s="4"/>
      <c r="Y888" s="4"/>
      <c r="Z888" s="4"/>
    </row>
    <row r="889" ht="9.75" customHeight="1">
      <c r="A889" s="343"/>
      <c r="B889" s="344"/>
      <c r="C889" s="182"/>
      <c r="D889" s="406"/>
      <c r="E889" s="406"/>
      <c r="F889" s="407"/>
      <c r="G889" s="407"/>
      <c r="H889" s="4"/>
      <c r="I889" s="4"/>
      <c r="J889" s="4"/>
      <c r="K889" s="4"/>
      <c r="L889" s="4"/>
      <c r="M889" s="4"/>
      <c r="N889" s="4"/>
      <c r="O889" s="4"/>
      <c r="P889" s="4"/>
      <c r="Q889" s="4"/>
      <c r="R889" s="4"/>
      <c r="S889" s="4"/>
      <c r="T889" s="4"/>
      <c r="U889" s="4"/>
      <c r="V889" s="4"/>
      <c r="W889" s="4"/>
      <c r="X889" s="4"/>
      <c r="Y889" s="4"/>
      <c r="Z889" s="4"/>
    </row>
    <row r="890" ht="9.75" customHeight="1">
      <c r="A890" s="343"/>
      <c r="B890" s="344"/>
      <c r="C890" s="182"/>
      <c r="D890" s="406"/>
      <c r="E890" s="406"/>
      <c r="F890" s="407"/>
      <c r="G890" s="407"/>
      <c r="H890" s="4"/>
      <c r="I890" s="4"/>
      <c r="J890" s="4"/>
      <c r="K890" s="4"/>
      <c r="L890" s="4"/>
      <c r="M890" s="4"/>
      <c r="N890" s="4"/>
      <c r="O890" s="4"/>
      <c r="P890" s="4"/>
      <c r="Q890" s="4"/>
      <c r="R890" s="4"/>
      <c r="S890" s="4"/>
      <c r="T890" s="4"/>
      <c r="U890" s="4"/>
      <c r="V890" s="4"/>
      <c r="W890" s="4"/>
      <c r="X890" s="4"/>
      <c r="Y890" s="4"/>
      <c r="Z890" s="4"/>
    </row>
    <row r="891" ht="9.75" customHeight="1">
      <c r="A891" s="343"/>
      <c r="B891" s="344"/>
      <c r="C891" s="182"/>
      <c r="D891" s="406"/>
      <c r="E891" s="406"/>
      <c r="F891" s="407"/>
      <c r="G891" s="407"/>
      <c r="H891" s="4"/>
      <c r="I891" s="4"/>
      <c r="J891" s="4"/>
      <c r="K891" s="4"/>
      <c r="L891" s="4"/>
      <c r="M891" s="4"/>
      <c r="N891" s="4"/>
      <c r="O891" s="4"/>
      <c r="P891" s="4"/>
      <c r="Q891" s="4"/>
      <c r="R891" s="4"/>
      <c r="S891" s="4"/>
      <c r="T891" s="4"/>
      <c r="U891" s="4"/>
      <c r="V891" s="4"/>
      <c r="W891" s="4"/>
      <c r="X891" s="4"/>
      <c r="Y891" s="4"/>
      <c r="Z891" s="4"/>
    </row>
    <row r="892" ht="9.75" customHeight="1">
      <c r="A892" s="343"/>
      <c r="B892" s="344"/>
      <c r="C892" s="182"/>
      <c r="D892" s="406"/>
      <c r="E892" s="406"/>
      <c r="F892" s="407"/>
      <c r="G892" s="407"/>
      <c r="H892" s="4"/>
      <c r="I892" s="4"/>
      <c r="J892" s="4"/>
      <c r="K892" s="4"/>
      <c r="L892" s="4"/>
      <c r="M892" s="4"/>
      <c r="N892" s="4"/>
      <c r="O892" s="4"/>
      <c r="P892" s="4"/>
      <c r="Q892" s="4"/>
      <c r="R892" s="4"/>
      <c r="S892" s="4"/>
      <c r="T892" s="4"/>
      <c r="U892" s="4"/>
      <c r="V892" s="4"/>
      <c r="W892" s="4"/>
      <c r="X892" s="4"/>
      <c r="Y892" s="4"/>
      <c r="Z892" s="4"/>
    </row>
    <row r="893" ht="9.75" customHeight="1">
      <c r="A893" s="343"/>
      <c r="B893" s="344"/>
      <c r="C893" s="182"/>
      <c r="D893" s="406"/>
      <c r="E893" s="406"/>
      <c r="F893" s="407"/>
      <c r="G893" s="407"/>
      <c r="H893" s="4"/>
      <c r="I893" s="4"/>
      <c r="J893" s="4"/>
      <c r="K893" s="4"/>
      <c r="L893" s="4"/>
      <c r="M893" s="4"/>
      <c r="N893" s="4"/>
      <c r="O893" s="4"/>
      <c r="P893" s="4"/>
      <c r="Q893" s="4"/>
      <c r="R893" s="4"/>
      <c r="S893" s="4"/>
      <c r="T893" s="4"/>
      <c r="U893" s="4"/>
      <c r="V893" s="4"/>
      <c r="W893" s="4"/>
      <c r="X893" s="4"/>
      <c r="Y893" s="4"/>
      <c r="Z893" s="4"/>
    </row>
    <row r="894" ht="9.75" customHeight="1">
      <c r="A894" s="343"/>
      <c r="B894" s="344"/>
      <c r="C894" s="182"/>
      <c r="D894" s="406"/>
      <c r="E894" s="406"/>
      <c r="F894" s="407"/>
      <c r="G894" s="407"/>
      <c r="H894" s="4"/>
      <c r="I894" s="4"/>
      <c r="J894" s="4"/>
      <c r="K894" s="4"/>
      <c r="L894" s="4"/>
      <c r="M894" s="4"/>
      <c r="N894" s="4"/>
      <c r="O894" s="4"/>
      <c r="P894" s="4"/>
      <c r="Q894" s="4"/>
      <c r="R894" s="4"/>
      <c r="S894" s="4"/>
      <c r="T894" s="4"/>
      <c r="U894" s="4"/>
      <c r="V894" s="4"/>
      <c r="W894" s="4"/>
      <c r="X894" s="4"/>
      <c r="Y894" s="4"/>
      <c r="Z894" s="4"/>
    </row>
    <row r="895" ht="9.75" customHeight="1">
      <c r="A895" s="343"/>
      <c r="B895" s="344"/>
      <c r="C895" s="182"/>
      <c r="D895" s="406"/>
      <c r="E895" s="406"/>
      <c r="F895" s="407"/>
      <c r="G895" s="407"/>
      <c r="H895" s="4"/>
      <c r="I895" s="4"/>
      <c r="J895" s="4"/>
      <c r="K895" s="4"/>
      <c r="L895" s="4"/>
      <c r="M895" s="4"/>
      <c r="N895" s="4"/>
      <c r="O895" s="4"/>
      <c r="P895" s="4"/>
      <c r="Q895" s="4"/>
      <c r="R895" s="4"/>
      <c r="S895" s="4"/>
      <c r="T895" s="4"/>
      <c r="U895" s="4"/>
      <c r="V895" s="4"/>
      <c r="W895" s="4"/>
      <c r="X895" s="4"/>
      <c r="Y895" s="4"/>
      <c r="Z895" s="4"/>
    </row>
    <row r="896" ht="9.75" customHeight="1">
      <c r="A896" s="343"/>
      <c r="B896" s="344"/>
      <c r="C896" s="182"/>
      <c r="D896" s="406"/>
      <c r="E896" s="406"/>
      <c r="F896" s="407"/>
      <c r="G896" s="407"/>
      <c r="H896" s="4"/>
      <c r="I896" s="4"/>
      <c r="J896" s="4"/>
      <c r="K896" s="4"/>
      <c r="L896" s="4"/>
      <c r="M896" s="4"/>
      <c r="N896" s="4"/>
      <c r="O896" s="4"/>
      <c r="P896" s="4"/>
      <c r="Q896" s="4"/>
      <c r="R896" s="4"/>
      <c r="S896" s="4"/>
      <c r="T896" s="4"/>
      <c r="U896" s="4"/>
      <c r="V896" s="4"/>
      <c r="W896" s="4"/>
      <c r="X896" s="4"/>
      <c r="Y896" s="4"/>
      <c r="Z896" s="4"/>
    </row>
    <row r="897" ht="9.75" customHeight="1">
      <c r="A897" s="343"/>
      <c r="B897" s="344"/>
      <c r="C897" s="182"/>
      <c r="D897" s="406"/>
      <c r="E897" s="406"/>
      <c r="F897" s="407"/>
      <c r="G897" s="407"/>
      <c r="H897" s="4"/>
      <c r="I897" s="4"/>
      <c r="J897" s="4"/>
      <c r="K897" s="4"/>
      <c r="L897" s="4"/>
      <c r="M897" s="4"/>
      <c r="N897" s="4"/>
      <c r="O897" s="4"/>
      <c r="P897" s="4"/>
      <c r="Q897" s="4"/>
      <c r="R897" s="4"/>
      <c r="S897" s="4"/>
      <c r="T897" s="4"/>
      <c r="U897" s="4"/>
      <c r="V897" s="4"/>
      <c r="W897" s="4"/>
      <c r="X897" s="4"/>
      <c r="Y897" s="4"/>
      <c r="Z897" s="4"/>
    </row>
    <row r="898" ht="9.75" customHeight="1">
      <c r="A898" s="343"/>
      <c r="B898" s="344"/>
      <c r="C898" s="182"/>
      <c r="D898" s="406"/>
      <c r="E898" s="406"/>
      <c r="F898" s="407"/>
      <c r="G898" s="407"/>
      <c r="H898" s="4"/>
      <c r="I898" s="4"/>
      <c r="J898" s="4"/>
      <c r="K898" s="4"/>
      <c r="L898" s="4"/>
      <c r="M898" s="4"/>
      <c r="N898" s="4"/>
      <c r="O898" s="4"/>
      <c r="P898" s="4"/>
      <c r="Q898" s="4"/>
      <c r="R898" s="4"/>
      <c r="S898" s="4"/>
      <c r="T898" s="4"/>
      <c r="U898" s="4"/>
      <c r="V898" s="4"/>
      <c r="W898" s="4"/>
      <c r="X898" s="4"/>
      <c r="Y898" s="4"/>
      <c r="Z898" s="4"/>
    </row>
    <row r="899" ht="9.75" customHeight="1">
      <c r="A899" s="343"/>
      <c r="B899" s="344"/>
      <c r="C899" s="182"/>
      <c r="D899" s="406"/>
      <c r="E899" s="406"/>
      <c r="F899" s="407"/>
      <c r="G899" s="407"/>
      <c r="H899" s="4"/>
      <c r="I899" s="4"/>
      <c r="J899" s="4"/>
      <c r="K899" s="4"/>
      <c r="L899" s="4"/>
      <c r="M899" s="4"/>
      <c r="N899" s="4"/>
      <c r="O899" s="4"/>
      <c r="P899" s="4"/>
      <c r="Q899" s="4"/>
      <c r="R899" s="4"/>
      <c r="S899" s="4"/>
      <c r="T899" s="4"/>
      <c r="U899" s="4"/>
      <c r="V899" s="4"/>
      <c r="W899" s="4"/>
      <c r="X899" s="4"/>
      <c r="Y899" s="4"/>
      <c r="Z899" s="4"/>
    </row>
    <row r="900" ht="9.75" customHeight="1">
      <c r="A900" s="343"/>
      <c r="B900" s="344"/>
      <c r="C900" s="182"/>
      <c r="D900" s="406"/>
      <c r="E900" s="406"/>
      <c r="F900" s="407"/>
      <c r="G900" s="407"/>
      <c r="H900" s="4"/>
      <c r="I900" s="4"/>
      <c r="J900" s="4"/>
      <c r="K900" s="4"/>
      <c r="L900" s="4"/>
      <c r="M900" s="4"/>
      <c r="N900" s="4"/>
      <c r="O900" s="4"/>
      <c r="P900" s="4"/>
      <c r="Q900" s="4"/>
      <c r="R900" s="4"/>
      <c r="S900" s="4"/>
      <c r="T900" s="4"/>
      <c r="U900" s="4"/>
      <c r="V900" s="4"/>
      <c r="W900" s="4"/>
      <c r="X900" s="4"/>
      <c r="Y900" s="4"/>
      <c r="Z900" s="4"/>
    </row>
    <row r="901" ht="9.75" customHeight="1">
      <c r="A901" s="343"/>
      <c r="B901" s="344"/>
      <c r="C901" s="182"/>
      <c r="D901" s="406"/>
      <c r="E901" s="406"/>
      <c r="F901" s="407"/>
      <c r="G901" s="407"/>
      <c r="H901" s="4"/>
      <c r="I901" s="4"/>
      <c r="J901" s="4"/>
      <c r="K901" s="4"/>
      <c r="L901" s="4"/>
      <c r="M901" s="4"/>
      <c r="N901" s="4"/>
      <c r="O901" s="4"/>
      <c r="P901" s="4"/>
      <c r="Q901" s="4"/>
      <c r="R901" s="4"/>
      <c r="S901" s="4"/>
      <c r="T901" s="4"/>
      <c r="U901" s="4"/>
      <c r="V901" s="4"/>
      <c r="W901" s="4"/>
      <c r="X901" s="4"/>
      <c r="Y901" s="4"/>
      <c r="Z901" s="4"/>
    </row>
    <row r="902" ht="9.75" customHeight="1">
      <c r="A902" s="343"/>
      <c r="B902" s="344"/>
      <c r="C902" s="182"/>
      <c r="D902" s="406"/>
      <c r="E902" s="406"/>
      <c r="F902" s="407"/>
      <c r="G902" s="407"/>
      <c r="H902" s="4"/>
      <c r="I902" s="4"/>
      <c r="J902" s="4"/>
      <c r="K902" s="4"/>
      <c r="L902" s="4"/>
      <c r="M902" s="4"/>
      <c r="N902" s="4"/>
      <c r="O902" s="4"/>
      <c r="P902" s="4"/>
      <c r="Q902" s="4"/>
      <c r="R902" s="4"/>
      <c r="S902" s="4"/>
      <c r="T902" s="4"/>
      <c r="U902" s="4"/>
      <c r="V902" s="4"/>
      <c r="W902" s="4"/>
      <c r="X902" s="4"/>
      <c r="Y902" s="4"/>
      <c r="Z902" s="4"/>
    </row>
    <row r="903" ht="9.75" customHeight="1">
      <c r="A903" s="343"/>
      <c r="B903" s="344"/>
      <c r="C903" s="182"/>
      <c r="D903" s="406"/>
      <c r="E903" s="406"/>
      <c r="F903" s="407"/>
      <c r="G903" s="407"/>
      <c r="H903" s="4"/>
      <c r="I903" s="4"/>
      <c r="J903" s="4"/>
      <c r="K903" s="4"/>
      <c r="L903" s="4"/>
      <c r="M903" s="4"/>
      <c r="N903" s="4"/>
      <c r="O903" s="4"/>
      <c r="P903" s="4"/>
      <c r="Q903" s="4"/>
      <c r="R903" s="4"/>
      <c r="S903" s="4"/>
      <c r="T903" s="4"/>
      <c r="U903" s="4"/>
      <c r="V903" s="4"/>
      <c r="W903" s="4"/>
      <c r="X903" s="4"/>
      <c r="Y903" s="4"/>
      <c r="Z903" s="4"/>
    </row>
    <row r="904" ht="9.75" customHeight="1">
      <c r="A904" s="343"/>
      <c r="B904" s="344"/>
      <c r="C904" s="182"/>
      <c r="D904" s="406"/>
      <c r="E904" s="406"/>
      <c r="F904" s="407"/>
      <c r="G904" s="407"/>
      <c r="H904" s="4"/>
      <c r="I904" s="4"/>
      <c r="J904" s="4"/>
      <c r="K904" s="4"/>
      <c r="L904" s="4"/>
      <c r="M904" s="4"/>
      <c r="N904" s="4"/>
      <c r="O904" s="4"/>
      <c r="P904" s="4"/>
      <c r="Q904" s="4"/>
      <c r="R904" s="4"/>
      <c r="S904" s="4"/>
      <c r="T904" s="4"/>
      <c r="U904" s="4"/>
      <c r="V904" s="4"/>
      <c r="W904" s="4"/>
      <c r="X904" s="4"/>
      <c r="Y904" s="4"/>
      <c r="Z904" s="4"/>
    </row>
    <row r="905" ht="9.75" customHeight="1">
      <c r="A905" s="343"/>
      <c r="B905" s="344"/>
      <c r="C905" s="182"/>
      <c r="D905" s="406"/>
      <c r="E905" s="406"/>
      <c r="F905" s="407"/>
      <c r="G905" s="407"/>
      <c r="H905" s="4"/>
      <c r="I905" s="4"/>
      <c r="J905" s="4"/>
      <c r="K905" s="4"/>
      <c r="L905" s="4"/>
      <c r="M905" s="4"/>
      <c r="N905" s="4"/>
      <c r="O905" s="4"/>
      <c r="P905" s="4"/>
      <c r="Q905" s="4"/>
      <c r="R905" s="4"/>
      <c r="S905" s="4"/>
      <c r="T905" s="4"/>
      <c r="U905" s="4"/>
      <c r="V905" s="4"/>
      <c r="W905" s="4"/>
      <c r="X905" s="4"/>
      <c r="Y905" s="4"/>
      <c r="Z905" s="4"/>
    </row>
    <row r="906" ht="9.75" customHeight="1">
      <c r="A906" s="343"/>
      <c r="B906" s="344"/>
      <c r="C906" s="182"/>
      <c r="D906" s="406"/>
      <c r="E906" s="406"/>
      <c r="F906" s="407"/>
      <c r="G906" s="407"/>
      <c r="H906" s="4"/>
      <c r="I906" s="4"/>
      <c r="J906" s="4"/>
      <c r="K906" s="4"/>
      <c r="L906" s="4"/>
      <c r="M906" s="4"/>
      <c r="N906" s="4"/>
      <c r="O906" s="4"/>
      <c r="P906" s="4"/>
      <c r="Q906" s="4"/>
      <c r="R906" s="4"/>
      <c r="S906" s="4"/>
      <c r="T906" s="4"/>
      <c r="U906" s="4"/>
      <c r="V906" s="4"/>
      <c r="W906" s="4"/>
      <c r="X906" s="4"/>
      <c r="Y906" s="4"/>
      <c r="Z906" s="4"/>
    </row>
    <row r="907" ht="9.75" customHeight="1">
      <c r="A907" s="343"/>
      <c r="B907" s="344"/>
      <c r="C907" s="182"/>
      <c r="D907" s="406"/>
      <c r="E907" s="406"/>
      <c r="F907" s="407"/>
      <c r="G907" s="407"/>
      <c r="H907" s="4"/>
      <c r="I907" s="4"/>
      <c r="J907" s="4"/>
      <c r="K907" s="4"/>
      <c r="L907" s="4"/>
      <c r="M907" s="4"/>
      <c r="N907" s="4"/>
      <c r="O907" s="4"/>
      <c r="P907" s="4"/>
      <c r="Q907" s="4"/>
      <c r="R907" s="4"/>
      <c r="S907" s="4"/>
      <c r="T907" s="4"/>
      <c r="U907" s="4"/>
      <c r="V907" s="4"/>
      <c r="W907" s="4"/>
      <c r="X907" s="4"/>
      <c r="Y907" s="4"/>
      <c r="Z907" s="4"/>
    </row>
    <row r="908" ht="9.75" customHeight="1">
      <c r="A908" s="343"/>
      <c r="B908" s="344"/>
      <c r="C908" s="182"/>
      <c r="D908" s="406"/>
      <c r="E908" s="406"/>
      <c r="F908" s="407"/>
      <c r="G908" s="407"/>
      <c r="H908" s="4"/>
      <c r="I908" s="4"/>
      <c r="J908" s="4"/>
      <c r="K908" s="4"/>
      <c r="L908" s="4"/>
      <c r="M908" s="4"/>
      <c r="N908" s="4"/>
      <c r="O908" s="4"/>
      <c r="P908" s="4"/>
      <c r="Q908" s="4"/>
      <c r="R908" s="4"/>
      <c r="S908" s="4"/>
      <c r="T908" s="4"/>
      <c r="U908" s="4"/>
      <c r="V908" s="4"/>
      <c r="W908" s="4"/>
      <c r="X908" s="4"/>
      <c r="Y908" s="4"/>
      <c r="Z908" s="4"/>
    </row>
    <row r="909" ht="9.75" customHeight="1">
      <c r="A909" s="343"/>
      <c r="B909" s="344"/>
      <c r="C909" s="182"/>
      <c r="D909" s="406"/>
      <c r="E909" s="406"/>
      <c r="F909" s="407"/>
      <c r="G909" s="407"/>
      <c r="H909" s="4"/>
      <c r="I909" s="4"/>
      <c r="J909" s="4"/>
      <c r="K909" s="4"/>
      <c r="L909" s="4"/>
      <c r="M909" s="4"/>
      <c r="N909" s="4"/>
      <c r="O909" s="4"/>
      <c r="P909" s="4"/>
      <c r="Q909" s="4"/>
      <c r="R909" s="4"/>
      <c r="S909" s="4"/>
      <c r="T909" s="4"/>
      <c r="U909" s="4"/>
      <c r="V909" s="4"/>
      <c r="W909" s="4"/>
      <c r="X909" s="4"/>
      <c r="Y909" s="4"/>
      <c r="Z909" s="4"/>
    </row>
    <row r="910" ht="9.75" customHeight="1">
      <c r="A910" s="343"/>
      <c r="B910" s="344"/>
      <c r="C910" s="182"/>
      <c r="D910" s="406"/>
      <c r="E910" s="406"/>
      <c r="F910" s="407"/>
      <c r="G910" s="407"/>
      <c r="H910" s="4"/>
      <c r="I910" s="4"/>
      <c r="J910" s="4"/>
      <c r="K910" s="4"/>
      <c r="L910" s="4"/>
      <c r="M910" s="4"/>
      <c r="N910" s="4"/>
      <c r="O910" s="4"/>
      <c r="P910" s="4"/>
      <c r="Q910" s="4"/>
      <c r="R910" s="4"/>
      <c r="S910" s="4"/>
      <c r="T910" s="4"/>
      <c r="U910" s="4"/>
      <c r="V910" s="4"/>
      <c r="W910" s="4"/>
      <c r="X910" s="4"/>
      <c r="Y910" s="4"/>
      <c r="Z910" s="4"/>
    </row>
    <row r="911" ht="9.75" customHeight="1">
      <c r="A911" s="343"/>
      <c r="B911" s="344"/>
      <c r="C911" s="182"/>
      <c r="D911" s="406"/>
      <c r="E911" s="406"/>
      <c r="F911" s="407"/>
      <c r="G911" s="407"/>
      <c r="H911" s="4"/>
      <c r="I911" s="4"/>
      <c r="J911" s="4"/>
      <c r="K911" s="4"/>
      <c r="L911" s="4"/>
      <c r="M911" s="4"/>
      <c r="N911" s="4"/>
      <c r="O911" s="4"/>
      <c r="P911" s="4"/>
      <c r="Q911" s="4"/>
      <c r="R911" s="4"/>
      <c r="S911" s="4"/>
      <c r="T911" s="4"/>
      <c r="U911" s="4"/>
      <c r="V911" s="4"/>
      <c r="W911" s="4"/>
      <c r="X911" s="4"/>
      <c r="Y911" s="4"/>
      <c r="Z911" s="4"/>
    </row>
    <row r="912" ht="9.75" customHeight="1">
      <c r="A912" s="343"/>
      <c r="B912" s="344"/>
      <c r="C912" s="182"/>
      <c r="D912" s="406"/>
      <c r="E912" s="406"/>
      <c r="F912" s="407"/>
      <c r="G912" s="407"/>
      <c r="H912" s="4"/>
      <c r="I912" s="4"/>
      <c r="J912" s="4"/>
      <c r="K912" s="4"/>
      <c r="L912" s="4"/>
      <c r="M912" s="4"/>
      <c r="N912" s="4"/>
      <c r="O912" s="4"/>
      <c r="P912" s="4"/>
      <c r="Q912" s="4"/>
      <c r="R912" s="4"/>
      <c r="S912" s="4"/>
      <c r="T912" s="4"/>
      <c r="U912" s="4"/>
      <c r="V912" s="4"/>
      <c r="W912" s="4"/>
      <c r="X912" s="4"/>
      <c r="Y912" s="4"/>
      <c r="Z912" s="4"/>
    </row>
    <row r="913" ht="9.75" customHeight="1">
      <c r="A913" s="343"/>
      <c r="B913" s="344"/>
      <c r="C913" s="182"/>
      <c r="D913" s="406"/>
      <c r="E913" s="406"/>
      <c r="F913" s="407"/>
      <c r="G913" s="407"/>
      <c r="H913" s="4"/>
      <c r="I913" s="4"/>
      <c r="J913" s="4"/>
      <c r="K913" s="4"/>
      <c r="L913" s="4"/>
      <c r="M913" s="4"/>
      <c r="N913" s="4"/>
      <c r="O913" s="4"/>
      <c r="P913" s="4"/>
      <c r="Q913" s="4"/>
      <c r="R913" s="4"/>
      <c r="S913" s="4"/>
      <c r="T913" s="4"/>
      <c r="U913" s="4"/>
      <c r="V913" s="4"/>
      <c r="W913" s="4"/>
      <c r="X913" s="4"/>
      <c r="Y913" s="4"/>
      <c r="Z913" s="4"/>
    </row>
    <row r="914" ht="9.75" customHeight="1">
      <c r="A914" s="343"/>
      <c r="B914" s="344"/>
      <c r="C914" s="182"/>
      <c r="D914" s="406"/>
      <c r="E914" s="406"/>
      <c r="F914" s="407"/>
      <c r="G914" s="407"/>
      <c r="H914" s="4"/>
      <c r="I914" s="4"/>
      <c r="J914" s="4"/>
      <c r="K914" s="4"/>
      <c r="L914" s="4"/>
      <c r="M914" s="4"/>
      <c r="N914" s="4"/>
      <c r="O914" s="4"/>
      <c r="P914" s="4"/>
      <c r="Q914" s="4"/>
      <c r="R914" s="4"/>
      <c r="S914" s="4"/>
      <c r="T914" s="4"/>
      <c r="U914" s="4"/>
      <c r="V914" s="4"/>
      <c r="W914" s="4"/>
      <c r="X914" s="4"/>
      <c r="Y914" s="4"/>
      <c r="Z914" s="4"/>
    </row>
    <row r="915" ht="9.75" customHeight="1">
      <c r="A915" s="343"/>
      <c r="B915" s="344"/>
      <c r="C915" s="182"/>
      <c r="D915" s="406"/>
      <c r="E915" s="406"/>
      <c r="F915" s="407"/>
      <c r="G915" s="407"/>
      <c r="H915" s="4"/>
      <c r="I915" s="4"/>
      <c r="J915" s="4"/>
      <c r="K915" s="4"/>
      <c r="L915" s="4"/>
      <c r="M915" s="4"/>
      <c r="N915" s="4"/>
      <c r="O915" s="4"/>
      <c r="P915" s="4"/>
      <c r="Q915" s="4"/>
      <c r="R915" s="4"/>
      <c r="S915" s="4"/>
      <c r="T915" s="4"/>
      <c r="U915" s="4"/>
      <c r="V915" s="4"/>
      <c r="W915" s="4"/>
      <c r="X915" s="4"/>
      <c r="Y915" s="4"/>
      <c r="Z915" s="4"/>
    </row>
    <row r="916" ht="9.75" customHeight="1">
      <c r="A916" s="343"/>
      <c r="B916" s="344"/>
      <c r="C916" s="182"/>
      <c r="D916" s="406"/>
      <c r="E916" s="406"/>
      <c r="F916" s="407"/>
      <c r="G916" s="407"/>
      <c r="H916" s="4"/>
      <c r="I916" s="4"/>
      <c r="J916" s="4"/>
      <c r="K916" s="4"/>
      <c r="L916" s="4"/>
      <c r="M916" s="4"/>
      <c r="N916" s="4"/>
      <c r="O916" s="4"/>
      <c r="P916" s="4"/>
      <c r="Q916" s="4"/>
      <c r="R916" s="4"/>
      <c r="S916" s="4"/>
      <c r="T916" s="4"/>
      <c r="U916" s="4"/>
      <c r="V916" s="4"/>
      <c r="W916" s="4"/>
      <c r="X916" s="4"/>
      <c r="Y916" s="4"/>
      <c r="Z916" s="4"/>
    </row>
    <row r="917" ht="9.75" customHeight="1">
      <c r="A917" s="343"/>
      <c r="B917" s="344"/>
      <c r="C917" s="182"/>
      <c r="D917" s="406"/>
      <c r="E917" s="406"/>
      <c r="F917" s="407"/>
      <c r="G917" s="407"/>
      <c r="H917" s="4"/>
      <c r="I917" s="4"/>
      <c r="J917" s="4"/>
      <c r="K917" s="4"/>
      <c r="L917" s="4"/>
      <c r="M917" s="4"/>
      <c r="N917" s="4"/>
      <c r="O917" s="4"/>
      <c r="P917" s="4"/>
      <c r="Q917" s="4"/>
      <c r="R917" s="4"/>
      <c r="S917" s="4"/>
      <c r="T917" s="4"/>
      <c r="U917" s="4"/>
      <c r="V917" s="4"/>
      <c r="W917" s="4"/>
      <c r="X917" s="4"/>
      <c r="Y917" s="4"/>
      <c r="Z917" s="4"/>
    </row>
    <row r="918" ht="9.75" customHeight="1">
      <c r="A918" s="343"/>
      <c r="B918" s="344"/>
      <c r="C918" s="182"/>
      <c r="D918" s="406"/>
      <c r="E918" s="406"/>
      <c r="F918" s="407"/>
      <c r="G918" s="407"/>
      <c r="H918" s="4"/>
      <c r="I918" s="4"/>
      <c r="J918" s="4"/>
      <c r="K918" s="4"/>
      <c r="L918" s="4"/>
      <c r="M918" s="4"/>
      <c r="N918" s="4"/>
      <c r="O918" s="4"/>
      <c r="P918" s="4"/>
      <c r="Q918" s="4"/>
      <c r="R918" s="4"/>
      <c r="S918" s="4"/>
      <c r="T918" s="4"/>
      <c r="U918" s="4"/>
      <c r="V918" s="4"/>
      <c r="W918" s="4"/>
      <c r="X918" s="4"/>
      <c r="Y918" s="4"/>
      <c r="Z918" s="4"/>
    </row>
    <row r="919" ht="9.75" customHeight="1">
      <c r="A919" s="343"/>
      <c r="B919" s="344"/>
      <c r="C919" s="182"/>
      <c r="D919" s="406"/>
      <c r="E919" s="406"/>
      <c r="F919" s="407"/>
      <c r="G919" s="407"/>
      <c r="H919" s="4"/>
      <c r="I919" s="4"/>
      <c r="J919" s="4"/>
      <c r="K919" s="4"/>
      <c r="L919" s="4"/>
      <c r="M919" s="4"/>
      <c r="N919" s="4"/>
      <c r="O919" s="4"/>
      <c r="P919" s="4"/>
      <c r="Q919" s="4"/>
      <c r="R919" s="4"/>
      <c r="S919" s="4"/>
      <c r="T919" s="4"/>
      <c r="U919" s="4"/>
      <c r="V919" s="4"/>
      <c r="W919" s="4"/>
      <c r="X919" s="4"/>
      <c r="Y919" s="4"/>
      <c r="Z919" s="4"/>
    </row>
    <row r="920" ht="9.75" customHeight="1">
      <c r="A920" s="343"/>
      <c r="B920" s="344"/>
      <c r="C920" s="182"/>
      <c r="D920" s="406"/>
      <c r="E920" s="406"/>
      <c r="F920" s="407"/>
      <c r="G920" s="407"/>
      <c r="H920" s="4"/>
      <c r="I920" s="4"/>
      <c r="J920" s="4"/>
      <c r="K920" s="4"/>
      <c r="L920" s="4"/>
      <c r="M920" s="4"/>
      <c r="N920" s="4"/>
      <c r="O920" s="4"/>
      <c r="P920" s="4"/>
      <c r="Q920" s="4"/>
      <c r="R920" s="4"/>
      <c r="S920" s="4"/>
      <c r="T920" s="4"/>
      <c r="U920" s="4"/>
      <c r="V920" s="4"/>
      <c r="W920" s="4"/>
      <c r="X920" s="4"/>
      <c r="Y920" s="4"/>
      <c r="Z920" s="4"/>
    </row>
    <row r="921" ht="9.75" customHeight="1">
      <c r="A921" s="343"/>
      <c r="B921" s="344"/>
      <c r="C921" s="182"/>
      <c r="D921" s="406"/>
      <c r="E921" s="406"/>
      <c r="F921" s="407"/>
      <c r="G921" s="407"/>
      <c r="H921" s="4"/>
      <c r="I921" s="4"/>
      <c r="J921" s="4"/>
      <c r="K921" s="4"/>
      <c r="L921" s="4"/>
      <c r="M921" s="4"/>
      <c r="N921" s="4"/>
      <c r="O921" s="4"/>
      <c r="P921" s="4"/>
      <c r="Q921" s="4"/>
      <c r="R921" s="4"/>
      <c r="S921" s="4"/>
      <c r="T921" s="4"/>
      <c r="U921" s="4"/>
      <c r="V921" s="4"/>
      <c r="W921" s="4"/>
      <c r="X921" s="4"/>
      <c r="Y921" s="4"/>
      <c r="Z921" s="4"/>
    </row>
    <row r="922" ht="9.75" customHeight="1">
      <c r="A922" s="343"/>
      <c r="B922" s="344"/>
      <c r="C922" s="182"/>
      <c r="D922" s="406"/>
      <c r="E922" s="406"/>
      <c r="F922" s="407"/>
      <c r="G922" s="407"/>
      <c r="H922" s="4"/>
      <c r="I922" s="4"/>
      <c r="J922" s="4"/>
      <c r="K922" s="4"/>
      <c r="L922" s="4"/>
      <c r="M922" s="4"/>
      <c r="N922" s="4"/>
      <c r="O922" s="4"/>
      <c r="P922" s="4"/>
      <c r="Q922" s="4"/>
      <c r="R922" s="4"/>
      <c r="S922" s="4"/>
      <c r="T922" s="4"/>
      <c r="U922" s="4"/>
      <c r="V922" s="4"/>
      <c r="W922" s="4"/>
      <c r="X922" s="4"/>
      <c r="Y922" s="4"/>
      <c r="Z922" s="4"/>
    </row>
    <row r="923" ht="9.75" customHeight="1">
      <c r="A923" s="343"/>
      <c r="B923" s="344"/>
      <c r="C923" s="182"/>
      <c r="D923" s="406"/>
      <c r="E923" s="406"/>
      <c r="F923" s="407"/>
      <c r="G923" s="407"/>
      <c r="H923" s="4"/>
      <c r="I923" s="4"/>
      <c r="J923" s="4"/>
      <c r="K923" s="4"/>
      <c r="L923" s="4"/>
      <c r="M923" s="4"/>
      <c r="N923" s="4"/>
      <c r="O923" s="4"/>
      <c r="P923" s="4"/>
      <c r="Q923" s="4"/>
      <c r="R923" s="4"/>
      <c r="S923" s="4"/>
      <c r="T923" s="4"/>
      <c r="U923" s="4"/>
      <c r="V923" s="4"/>
      <c r="W923" s="4"/>
      <c r="X923" s="4"/>
      <c r="Y923" s="4"/>
      <c r="Z923" s="4"/>
    </row>
    <row r="924" ht="9.75" customHeight="1">
      <c r="A924" s="343"/>
      <c r="B924" s="344"/>
      <c r="C924" s="182"/>
      <c r="D924" s="406"/>
      <c r="E924" s="406"/>
      <c r="F924" s="407"/>
      <c r="G924" s="407"/>
      <c r="H924" s="4"/>
      <c r="I924" s="4"/>
      <c r="J924" s="4"/>
      <c r="K924" s="4"/>
      <c r="L924" s="4"/>
      <c r="M924" s="4"/>
      <c r="N924" s="4"/>
      <c r="O924" s="4"/>
      <c r="P924" s="4"/>
      <c r="Q924" s="4"/>
      <c r="R924" s="4"/>
      <c r="S924" s="4"/>
      <c r="T924" s="4"/>
      <c r="U924" s="4"/>
      <c r="V924" s="4"/>
      <c r="W924" s="4"/>
      <c r="X924" s="4"/>
      <c r="Y924" s="4"/>
      <c r="Z924" s="4"/>
    </row>
    <row r="925" ht="9.75" customHeight="1">
      <c r="A925" s="343"/>
      <c r="B925" s="344"/>
      <c r="C925" s="182"/>
      <c r="D925" s="406"/>
      <c r="E925" s="406"/>
      <c r="F925" s="407"/>
      <c r="G925" s="407"/>
      <c r="H925" s="4"/>
      <c r="I925" s="4"/>
      <c r="J925" s="4"/>
      <c r="K925" s="4"/>
      <c r="L925" s="4"/>
      <c r="M925" s="4"/>
      <c r="N925" s="4"/>
      <c r="O925" s="4"/>
      <c r="P925" s="4"/>
      <c r="Q925" s="4"/>
      <c r="R925" s="4"/>
      <c r="S925" s="4"/>
      <c r="T925" s="4"/>
      <c r="U925" s="4"/>
      <c r="V925" s="4"/>
      <c r="W925" s="4"/>
      <c r="X925" s="4"/>
      <c r="Y925" s="4"/>
      <c r="Z925" s="4"/>
    </row>
    <row r="926" ht="9.75" customHeight="1">
      <c r="A926" s="343"/>
      <c r="B926" s="344"/>
      <c r="C926" s="182"/>
      <c r="D926" s="406"/>
      <c r="E926" s="406"/>
      <c r="F926" s="407"/>
      <c r="G926" s="407"/>
      <c r="H926" s="4"/>
      <c r="I926" s="4"/>
      <c r="J926" s="4"/>
      <c r="K926" s="4"/>
      <c r="L926" s="4"/>
      <c r="M926" s="4"/>
      <c r="N926" s="4"/>
      <c r="O926" s="4"/>
      <c r="P926" s="4"/>
      <c r="Q926" s="4"/>
      <c r="R926" s="4"/>
      <c r="S926" s="4"/>
      <c r="T926" s="4"/>
      <c r="U926" s="4"/>
      <c r="V926" s="4"/>
      <c r="W926" s="4"/>
      <c r="X926" s="4"/>
      <c r="Y926" s="4"/>
      <c r="Z926" s="4"/>
    </row>
    <row r="927" ht="9.75" customHeight="1">
      <c r="A927" s="343"/>
      <c r="B927" s="344"/>
      <c r="C927" s="182"/>
      <c r="D927" s="406"/>
      <c r="E927" s="406"/>
      <c r="F927" s="407"/>
      <c r="G927" s="407"/>
      <c r="H927" s="4"/>
      <c r="I927" s="4"/>
      <c r="J927" s="4"/>
      <c r="K927" s="4"/>
      <c r="L927" s="4"/>
      <c r="M927" s="4"/>
      <c r="N927" s="4"/>
      <c r="O927" s="4"/>
      <c r="P927" s="4"/>
      <c r="Q927" s="4"/>
      <c r="R927" s="4"/>
      <c r="S927" s="4"/>
      <c r="T927" s="4"/>
      <c r="U927" s="4"/>
      <c r="V927" s="4"/>
      <c r="W927" s="4"/>
      <c r="X927" s="4"/>
      <c r="Y927" s="4"/>
      <c r="Z927" s="4"/>
    </row>
    <row r="928" ht="9.75" customHeight="1">
      <c r="A928" s="343"/>
      <c r="B928" s="344"/>
      <c r="C928" s="182"/>
      <c r="D928" s="406"/>
      <c r="E928" s="406"/>
      <c r="F928" s="407"/>
      <c r="G928" s="407"/>
      <c r="H928" s="4"/>
      <c r="I928" s="4"/>
      <c r="J928" s="4"/>
      <c r="K928" s="4"/>
      <c r="L928" s="4"/>
      <c r="M928" s="4"/>
      <c r="N928" s="4"/>
      <c r="O928" s="4"/>
      <c r="P928" s="4"/>
      <c r="Q928" s="4"/>
      <c r="R928" s="4"/>
      <c r="S928" s="4"/>
      <c r="T928" s="4"/>
      <c r="U928" s="4"/>
      <c r="V928" s="4"/>
      <c r="W928" s="4"/>
      <c r="X928" s="4"/>
      <c r="Y928" s="4"/>
      <c r="Z928" s="4"/>
    </row>
    <row r="929" ht="9.75" customHeight="1">
      <c r="A929" s="343"/>
      <c r="B929" s="344"/>
      <c r="C929" s="182"/>
      <c r="D929" s="406"/>
      <c r="E929" s="406"/>
      <c r="F929" s="407"/>
      <c r="G929" s="407"/>
      <c r="H929" s="4"/>
      <c r="I929" s="4"/>
      <c r="J929" s="4"/>
      <c r="K929" s="4"/>
      <c r="L929" s="4"/>
      <c r="M929" s="4"/>
      <c r="N929" s="4"/>
      <c r="O929" s="4"/>
      <c r="P929" s="4"/>
      <c r="Q929" s="4"/>
      <c r="R929" s="4"/>
      <c r="S929" s="4"/>
      <c r="T929" s="4"/>
      <c r="U929" s="4"/>
      <c r="V929" s="4"/>
      <c r="W929" s="4"/>
      <c r="X929" s="4"/>
      <c r="Y929" s="4"/>
      <c r="Z929" s="4"/>
    </row>
    <row r="930" ht="9.75" customHeight="1">
      <c r="A930" s="343"/>
      <c r="B930" s="344"/>
      <c r="C930" s="182"/>
      <c r="D930" s="406"/>
      <c r="E930" s="406"/>
      <c r="F930" s="407"/>
      <c r="G930" s="407"/>
      <c r="H930" s="4"/>
      <c r="I930" s="4"/>
      <c r="J930" s="4"/>
      <c r="K930" s="4"/>
      <c r="L930" s="4"/>
      <c r="M930" s="4"/>
      <c r="N930" s="4"/>
      <c r="O930" s="4"/>
      <c r="P930" s="4"/>
      <c r="Q930" s="4"/>
      <c r="R930" s="4"/>
      <c r="S930" s="4"/>
      <c r="T930" s="4"/>
      <c r="U930" s="4"/>
      <c r="V930" s="4"/>
      <c r="W930" s="4"/>
      <c r="X930" s="4"/>
      <c r="Y930" s="4"/>
      <c r="Z930" s="4"/>
    </row>
    <row r="931" ht="9.75" customHeight="1">
      <c r="A931" s="343"/>
      <c r="B931" s="344"/>
      <c r="C931" s="182"/>
      <c r="D931" s="406"/>
      <c r="E931" s="406"/>
      <c r="F931" s="407"/>
      <c r="G931" s="407"/>
      <c r="H931" s="4"/>
      <c r="I931" s="4"/>
      <c r="J931" s="4"/>
      <c r="K931" s="4"/>
      <c r="L931" s="4"/>
      <c r="M931" s="4"/>
      <c r="N931" s="4"/>
      <c r="O931" s="4"/>
      <c r="P931" s="4"/>
      <c r="Q931" s="4"/>
      <c r="R931" s="4"/>
      <c r="S931" s="4"/>
      <c r="T931" s="4"/>
      <c r="U931" s="4"/>
      <c r="V931" s="4"/>
      <c r="W931" s="4"/>
      <c r="X931" s="4"/>
      <c r="Y931" s="4"/>
      <c r="Z931" s="4"/>
    </row>
    <row r="932" ht="9.75" customHeight="1">
      <c r="A932" s="343"/>
      <c r="B932" s="344"/>
      <c r="C932" s="182"/>
      <c r="D932" s="406"/>
      <c r="E932" s="406"/>
      <c r="F932" s="407"/>
      <c r="G932" s="407"/>
      <c r="H932" s="4"/>
      <c r="I932" s="4"/>
      <c r="J932" s="4"/>
      <c r="K932" s="4"/>
      <c r="L932" s="4"/>
      <c r="M932" s="4"/>
      <c r="N932" s="4"/>
      <c r="O932" s="4"/>
      <c r="P932" s="4"/>
      <c r="Q932" s="4"/>
      <c r="R932" s="4"/>
      <c r="S932" s="4"/>
      <c r="T932" s="4"/>
      <c r="U932" s="4"/>
      <c r="V932" s="4"/>
      <c r="W932" s="4"/>
      <c r="X932" s="4"/>
      <c r="Y932" s="4"/>
      <c r="Z932" s="4"/>
    </row>
    <row r="933" ht="9.75" customHeight="1">
      <c r="A933" s="343"/>
      <c r="B933" s="344"/>
      <c r="C933" s="182"/>
      <c r="D933" s="406"/>
      <c r="E933" s="406"/>
      <c r="F933" s="407"/>
      <c r="G933" s="407"/>
      <c r="H933" s="4"/>
      <c r="I933" s="4"/>
      <c r="J933" s="4"/>
      <c r="K933" s="4"/>
      <c r="L933" s="4"/>
      <c r="M933" s="4"/>
      <c r="N933" s="4"/>
      <c r="O933" s="4"/>
      <c r="P933" s="4"/>
      <c r="Q933" s="4"/>
      <c r="R933" s="4"/>
      <c r="S933" s="4"/>
      <c r="T933" s="4"/>
      <c r="U933" s="4"/>
      <c r="V933" s="4"/>
      <c r="W933" s="4"/>
      <c r="X933" s="4"/>
      <c r="Y933" s="4"/>
      <c r="Z933" s="4"/>
    </row>
    <row r="934" ht="9.75" customHeight="1">
      <c r="A934" s="343"/>
      <c r="B934" s="344"/>
      <c r="C934" s="182"/>
      <c r="D934" s="406"/>
      <c r="E934" s="406"/>
      <c r="F934" s="407"/>
      <c r="G934" s="407"/>
      <c r="H934" s="4"/>
      <c r="I934" s="4"/>
      <c r="J934" s="4"/>
      <c r="K934" s="4"/>
      <c r="L934" s="4"/>
      <c r="M934" s="4"/>
      <c r="N934" s="4"/>
      <c r="O934" s="4"/>
      <c r="P934" s="4"/>
      <c r="Q934" s="4"/>
      <c r="R934" s="4"/>
      <c r="S934" s="4"/>
      <c r="T934" s="4"/>
      <c r="U934" s="4"/>
      <c r="V934" s="4"/>
      <c r="W934" s="4"/>
      <c r="X934" s="4"/>
      <c r="Y934" s="4"/>
      <c r="Z934" s="4"/>
    </row>
    <row r="935" ht="9.75" customHeight="1">
      <c r="A935" s="343"/>
      <c r="B935" s="344"/>
      <c r="C935" s="182"/>
      <c r="D935" s="406"/>
      <c r="E935" s="406"/>
      <c r="F935" s="407"/>
      <c r="G935" s="407"/>
      <c r="H935" s="4"/>
      <c r="I935" s="4"/>
      <c r="J935" s="4"/>
      <c r="K935" s="4"/>
      <c r="L935" s="4"/>
      <c r="M935" s="4"/>
      <c r="N935" s="4"/>
      <c r="O935" s="4"/>
      <c r="P935" s="4"/>
      <c r="Q935" s="4"/>
      <c r="R935" s="4"/>
      <c r="S935" s="4"/>
      <c r="T935" s="4"/>
      <c r="U935" s="4"/>
      <c r="V935" s="4"/>
      <c r="W935" s="4"/>
      <c r="X935" s="4"/>
      <c r="Y935" s="4"/>
      <c r="Z935" s="4"/>
    </row>
    <row r="936" ht="9.75" customHeight="1">
      <c r="A936" s="343"/>
      <c r="B936" s="344"/>
      <c r="C936" s="182"/>
      <c r="D936" s="406"/>
      <c r="E936" s="406"/>
      <c r="F936" s="407"/>
      <c r="G936" s="407"/>
      <c r="H936" s="4"/>
      <c r="I936" s="4"/>
      <c r="J936" s="4"/>
      <c r="K936" s="4"/>
      <c r="L936" s="4"/>
      <c r="M936" s="4"/>
      <c r="N936" s="4"/>
      <c r="O936" s="4"/>
      <c r="P936" s="4"/>
      <c r="Q936" s="4"/>
      <c r="R936" s="4"/>
      <c r="S936" s="4"/>
      <c r="T936" s="4"/>
      <c r="U936" s="4"/>
      <c r="V936" s="4"/>
      <c r="W936" s="4"/>
      <c r="X936" s="4"/>
      <c r="Y936" s="4"/>
      <c r="Z936" s="4"/>
    </row>
    <row r="937" ht="9.75" customHeight="1">
      <c r="A937" s="343"/>
      <c r="B937" s="344"/>
      <c r="C937" s="182"/>
      <c r="D937" s="406"/>
      <c r="E937" s="406"/>
      <c r="F937" s="407"/>
      <c r="G937" s="407"/>
      <c r="H937" s="4"/>
      <c r="I937" s="4"/>
      <c r="J937" s="4"/>
      <c r="K937" s="4"/>
      <c r="L937" s="4"/>
      <c r="M937" s="4"/>
      <c r="N937" s="4"/>
      <c r="O937" s="4"/>
      <c r="P937" s="4"/>
      <c r="Q937" s="4"/>
      <c r="R937" s="4"/>
      <c r="S937" s="4"/>
      <c r="T937" s="4"/>
      <c r="U937" s="4"/>
      <c r="V937" s="4"/>
      <c r="W937" s="4"/>
      <c r="X937" s="4"/>
      <c r="Y937" s="4"/>
      <c r="Z937" s="4"/>
    </row>
    <row r="938" ht="9.75" customHeight="1">
      <c r="A938" s="343"/>
      <c r="B938" s="344"/>
      <c r="C938" s="182"/>
      <c r="D938" s="406"/>
      <c r="E938" s="406"/>
      <c r="F938" s="407"/>
      <c r="G938" s="407"/>
      <c r="H938" s="4"/>
      <c r="I938" s="4"/>
      <c r="J938" s="4"/>
      <c r="K938" s="4"/>
      <c r="L938" s="4"/>
      <c r="M938" s="4"/>
      <c r="N938" s="4"/>
      <c r="O938" s="4"/>
      <c r="P938" s="4"/>
      <c r="Q938" s="4"/>
      <c r="R938" s="4"/>
      <c r="S938" s="4"/>
      <c r="T938" s="4"/>
      <c r="U938" s="4"/>
      <c r="V938" s="4"/>
      <c r="W938" s="4"/>
      <c r="X938" s="4"/>
      <c r="Y938" s="4"/>
      <c r="Z938" s="4"/>
    </row>
    <row r="939" ht="9.75" customHeight="1">
      <c r="A939" s="343"/>
      <c r="B939" s="344"/>
      <c r="C939" s="182"/>
      <c r="D939" s="406"/>
      <c r="E939" s="406"/>
      <c r="F939" s="407"/>
      <c r="G939" s="407"/>
      <c r="H939" s="4"/>
      <c r="I939" s="4"/>
      <c r="J939" s="4"/>
      <c r="K939" s="4"/>
      <c r="L939" s="4"/>
      <c r="M939" s="4"/>
      <c r="N939" s="4"/>
      <c r="O939" s="4"/>
      <c r="P939" s="4"/>
      <c r="Q939" s="4"/>
      <c r="R939" s="4"/>
      <c r="S939" s="4"/>
      <c r="T939" s="4"/>
      <c r="U939" s="4"/>
      <c r="V939" s="4"/>
      <c r="W939" s="4"/>
      <c r="X939" s="4"/>
      <c r="Y939" s="4"/>
      <c r="Z939" s="4"/>
    </row>
    <row r="940" ht="9.75" customHeight="1">
      <c r="A940" s="343"/>
      <c r="B940" s="344"/>
      <c r="C940" s="182"/>
      <c r="D940" s="406"/>
      <c r="E940" s="406"/>
      <c r="F940" s="407"/>
      <c r="G940" s="407"/>
      <c r="H940" s="4"/>
      <c r="I940" s="4"/>
      <c r="J940" s="4"/>
      <c r="K940" s="4"/>
      <c r="L940" s="4"/>
      <c r="M940" s="4"/>
      <c r="N940" s="4"/>
      <c r="O940" s="4"/>
      <c r="P940" s="4"/>
      <c r="Q940" s="4"/>
      <c r="R940" s="4"/>
      <c r="S940" s="4"/>
      <c r="T940" s="4"/>
      <c r="U940" s="4"/>
      <c r="V940" s="4"/>
      <c r="W940" s="4"/>
      <c r="X940" s="4"/>
      <c r="Y940" s="4"/>
      <c r="Z940" s="4"/>
    </row>
    <row r="941" ht="9.75" customHeight="1">
      <c r="A941" s="343"/>
      <c r="B941" s="344"/>
      <c r="C941" s="182"/>
      <c r="D941" s="406"/>
      <c r="E941" s="406"/>
      <c r="F941" s="407"/>
      <c r="G941" s="407"/>
      <c r="H941" s="4"/>
      <c r="I941" s="4"/>
      <c r="J941" s="4"/>
      <c r="K941" s="4"/>
      <c r="L941" s="4"/>
      <c r="M941" s="4"/>
      <c r="N941" s="4"/>
      <c r="O941" s="4"/>
      <c r="P941" s="4"/>
      <c r="Q941" s="4"/>
      <c r="R941" s="4"/>
      <c r="S941" s="4"/>
      <c r="T941" s="4"/>
      <c r="U941" s="4"/>
      <c r="V941" s="4"/>
      <c r="W941" s="4"/>
      <c r="X941" s="4"/>
      <c r="Y941" s="4"/>
      <c r="Z941" s="4"/>
    </row>
    <row r="942" ht="9.75" customHeight="1">
      <c r="A942" s="343"/>
      <c r="B942" s="344"/>
      <c r="C942" s="182"/>
      <c r="D942" s="406"/>
      <c r="E942" s="406"/>
      <c r="F942" s="407"/>
      <c r="G942" s="407"/>
      <c r="H942" s="4"/>
      <c r="I942" s="4"/>
      <c r="J942" s="4"/>
      <c r="K942" s="4"/>
      <c r="L942" s="4"/>
      <c r="M942" s="4"/>
      <c r="N942" s="4"/>
      <c r="O942" s="4"/>
      <c r="P942" s="4"/>
      <c r="Q942" s="4"/>
      <c r="R942" s="4"/>
      <c r="S942" s="4"/>
      <c r="T942" s="4"/>
      <c r="U942" s="4"/>
      <c r="V942" s="4"/>
      <c r="W942" s="4"/>
      <c r="X942" s="4"/>
      <c r="Y942" s="4"/>
      <c r="Z942" s="4"/>
    </row>
    <row r="943" ht="9.75" customHeight="1">
      <c r="A943" s="343"/>
      <c r="B943" s="344"/>
      <c r="C943" s="182"/>
      <c r="D943" s="406"/>
      <c r="E943" s="406"/>
      <c r="F943" s="407"/>
      <c r="G943" s="407"/>
      <c r="H943" s="4"/>
      <c r="I943" s="4"/>
      <c r="J943" s="4"/>
      <c r="K943" s="4"/>
      <c r="L943" s="4"/>
      <c r="M943" s="4"/>
      <c r="N943" s="4"/>
      <c r="O943" s="4"/>
      <c r="P943" s="4"/>
      <c r="Q943" s="4"/>
      <c r="R943" s="4"/>
      <c r="S943" s="4"/>
      <c r="T943" s="4"/>
      <c r="U943" s="4"/>
      <c r="V943" s="4"/>
      <c r="W943" s="4"/>
      <c r="X943" s="4"/>
      <c r="Y943" s="4"/>
      <c r="Z943" s="4"/>
    </row>
    <row r="944" ht="9.75" customHeight="1">
      <c r="A944" s="343"/>
      <c r="B944" s="344"/>
      <c r="C944" s="182"/>
      <c r="D944" s="406"/>
      <c r="E944" s="406"/>
      <c r="F944" s="407"/>
      <c r="G944" s="407"/>
      <c r="H944" s="4"/>
      <c r="I944" s="4"/>
      <c r="J944" s="4"/>
      <c r="K944" s="4"/>
      <c r="L944" s="4"/>
      <c r="M944" s="4"/>
      <c r="N944" s="4"/>
      <c r="O944" s="4"/>
      <c r="P944" s="4"/>
      <c r="Q944" s="4"/>
      <c r="R944" s="4"/>
      <c r="S944" s="4"/>
      <c r="T944" s="4"/>
      <c r="U944" s="4"/>
      <c r="V944" s="4"/>
      <c r="W944" s="4"/>
      <c r="X944" s="4"/>
      <c r="Y944" s="4"/>
      <c r="Z944" s="4"/>
    </row>
    <row r="945" ht="9.75" customHeight="1">
      <c r="A945" s="343"/>
      <c r="B945" s="344"/>
      <c r="C945" s="182"/>
      <c r="D945" s="406"/>
      <c r="E945" s="406"/>
      <c r="F945" s="407"/>
      <c r="G945" s="407"/>
      <c r="H945" s="4"/>
      <c r="I945" s="4"/>
      <c r="J945" s="4"/>
      <c r="K945" s="4"/>
      <c r="L945" s="4"/>
      <c r="M945" s="4"/>
      <c r="N945" s="4"/>
      <c r="O945" s="4"/>
      <c r="P945" s="4"/>
      <c r="Q945" s="4"/>
      <c r="R945" s="4"/>
      <c r="S945" s="4"/>
      <c r="T945" s="4"/>
      <c r="U945" s="4"/>
      <c r="V945" s="4"/>
      <c r="W945" s="4"/>
      <c r="X945" s="4"/>
      <c r="Y945" s="4"/>
      <c r="Z945" s="4"/>
    </row>
    <row r="946" ht="9.75" customHeight="1">
      <c r="A946" s="343"/>
      <c r="B946" s="344"/>
      <c r="C946" s="182"/>
      <c r="D946" s="406"/>
      <c r="E946" s="406"/>
      <c r="F946" s="407"/>
      <c r="G946" s="407"/>
      <c r="H946" s="4"/>
      <c r="I946" s="4"/>
      <c r="J946" s="4"/>
      <c r="K946" s="4"/>
      <c r="L946" s="4"/>
      <c r="M946" s="4"/>
      <c r="N946" s="4"/>
      <c r="O946" s="4"/>
      <c r="P946" s="4"/>
      <c r="Q946" s="4"/>
      <c r="R946" s="4"/>
      <c r="S946" s="4"/>
      <c r="T946" s="4"/>
      <c r="U946" s="4"/>
      <c r="V946" s="4"/>
      <c r="W946" s="4"/>
      <c r="X946" s="4"/>
      <c r="Y946" s="4"/>
      <c r="Z946" s="4"/>
    </row>
    <row r="947" ht="9.75" customHeight="1">
      <c r="A947" s="343"/>
      <c r="B947" s="344"/>
      <c r="C947" s="182"/>
      <c r="D947" s="406"/>
      <c r="E947" s="406"/>
      <c r="F947" s="407"/>
      <c r="G947" s="407"/>
      <c r="H947" s="4"/>
      <c r="I947" s="4"/>
      <c r="J947" s="4"/>
      <c r="K947" s="4"/>
      <c r="L947" s="4"/>
      <c r="M947" s="4"/>
      <c r="N947" s="4"/>
      <c r="O947" s="4"/>
      <c r="P947" s="4"/>
      <c r="Q947" s="4"/>
      <c r="R947" s="4"/>
      <c r="S947" s="4"/>
      <c r="T947" s="4"/>
      <c r="U947" s="4"/>
      <c r="V947" s="4"/>
      <c r="W947" s="4"/>
      <c r="X947" s="4"/>
      <c r="Y947" s="4"/>
      <c r="Z947" s="4"/>
    </row>
    <row r="948" ht="9.75" customHeight="1">
      <c r="A948" s="343"/>
      <c r="B948" s="344"/>
      <c r="C948" s="182"/>
      <c r="D948" s="406"/>
      <c r="E948" s="406"/>
      <c r="F948" s="407"/>
      <c r="G948" s="407"/>
      <c r="H948" s="4"/>
      <c r="I948" s="4"/>
      <c r="J948" s="4"/>
      <c r="K948" s="4"/>
      <c r="L948" s="4"/>
      <c r="M948" s="4"/>
      <c r="N948" s="4"/>
      <c r="O948" s="4"/>
      <c r="P948" s="4"/>
      <c r="Q948" s="4"/>
      <c r="R948" s="4"/>
      <c r="S948" s="4"/>
      <c r="T948" s="4"/>
      <c r="U948" s="4"/>
      <c r="V948" s="4"/>
      <c r="W948" s="4"/>
      <c r="X948" s="4"/>
      <c r="Y948" s="4"/>
      <c r="Z948" s="4"/>
    </row>
    <row r="949" ht="9.75" customHeight="1">
      <c r="A949" s="343"/>
      <c r="B949" s="344"/>
      <c r="C949" s="182"/>
      <c r="D949" s="406"/>
      <c r="E949" s="406"/>
      <c r="F949" s="407"/>
      <c r="G949" s="407"/>
      <c r="H949" s="4"/>
      <c r="I949" s="4"/>
      <c r="J949" s="4"/>
      <c r="K949" s="4"/>
      <c r="L949" s="4"/>
      <c r="M949" s="4"/>
      <c r="N949" s="4"/>
      <c r="O949" s="4"/>
      <c r="P949" s="4"/>
      <c r="Q949" s="4"/>
      <c r="R949" s="4"/>
      <c r="S949" s="4"/>
      <c r="T949" s="4"/>
      <c r="U949" s="4"/>
      <c r="V949" s="4"/>
      <c r="W949" s="4"/>
      <c r="X949" s="4"/>
      <c r="Y949" s="4"/>
      <c r="Z949" s="4"/>
    </row>
    <row r="950" ht="9.75" customHeight="1">
      <c r="A950" s="343"/>
      <c r="B950" s="344"/>
      <c r="C950" s="182"/>
      <c r="D950" s="406"/>
      <c r="E950" s="406"/>
      <c r="F950" s="407"/>
      <c r="G950" s="407"/>
      <c r="H950" s="4"/>
      <c r="I950" s="4"/>
      <c r="J950" s="4"/>
      <c r="K950" s="4"/>
      <c r="L950" s="4"/>
      <c r="M950" s="4"/>
      <c r="N950" s="4"/>
      <c r="O950" s="4"/>
      <c r="P950" s="4"/>
      <c r="Q950" s="4"/>
      <c r="R950" s="4"/>
      <c r="S950" s="4"/>
      <c r="T950" s="4"/>
      <c r="U950" s="4"/>
      <c r="V950" s="4"/>
      <c r="W950" s="4"/>
      <c r="X950" s="4"/>
      <c r="Y950" s="4"/>
      <c r="Z950" s="4"/>
    </row>
    <row r="951" ht="9.75" customHeight="1">
      <c r="A951" s="343"/>
      <c r="B951" s="344"/>
      <c r="C951" s="182"/>
      <c r="D951" s="406"/>
      <c r="E951" s="406"/>
      <c r="F951" s="407"/>
      <c r="G951" s="407"/>
      <c r="H951" s="4"/>
      <c r="I951" s="4"/>
      <c r="J951" s="4"/>
      <c r="K951" s="4"/>
      <c r="L951" s="4"/>
      <c r="M951" s="4"/>
      <c r="N951" s="4"/>
      <c r="O951" s="4"/>
      <c r="P951" s="4"/>
      <c r="Q951" s="4"/>
      <c r="R951" s="4"/>
      <c r="S951" s="4"/>
      <c r="T951" s="4"/>
      <c r="U951" s="4"/>
      <c r="V951" s="4"/>
      <c r="W951" s="4"/>
      <c r="X951" s="4"/>
      <c r="Y951" s="4"/>
      <c r="Z951" s="4"/>
    </row>
    <row r="952" ht="9.75" customHeight="1">
      <c r="A952" s="343"/>
      <c r="B952" s="344"/>
      <c r="C952" s="182"/>
      <c r="D952" s="406"/>
      <c r="E952" s="406"/>
      <c r="F952" s="407"/>
      <c r="G952" s="407"/>
      <c r="H952" s="4"/>
      <c r="I952" s="4"/>
      <c r="J952" s="4"/>
      <c r="K952" s="4"/>
      <c r="L952" s="4"/>
      <c r="M952" s="4"/>
      <c r="N952" s="4"/>
      <c r="O952" s="4"/>
      <c r="P952" s="4"/>
      <c r="Q952" s="4"/>
      <c r="R952" s="4"/>
      <c r="S952" s="4"/>
      <c r="T952" s="4"/>
      <c r="U952" s="4"/>
      <c r="V952" s="4"/>
      <c r="W952" s="4"/>
      <c r="X952" s="4"/>
      <c r="Y952" s="4"/>
      <c r="Z952" s="4"/>
    </row>
    <row r="953" ht="9.75" customHeight="1">
      <c r="A953" s="343"/>
      <c r="B953" s="344"/>
      <c r="C953" s="182"/>
      <c r="D953" s="406"/>
      <c r="E953" s="406"/>
      <c r="F953" s="407"/>
      <c r="G953" s="407"/>
      <c r="H953" s="4"/>
      <c r="I953" s="4"/>
      <c r="J953" s="4"/>
      <c r="K953" s="4"/>
      <c r="L953" s="4"/>
      <c r="M953" s="4"/>
      <c r="N953" s="4"/>
      <c r="O953" s="4"/>
      <c r="P953" s="4"/>
      <c r="Q953" s="4"/>
      <c r="R953" s="4"/>
      <c r="S953" s="4"/>
      <c r="T953" s="4"/>
      <c r="U953" s="4"/>
      <c r="V953" s="4"/>
      <c r="W953" s="4"/>
      <c r="X953" s="4"/>
      <c r="Y953" s="4"/>
      <c r="Z953" s="4"/>
    </row>
    <row r="954" ht="9.75" customHeight="1">
      <c r="A954" s="343"/>
      <c r="B954" s="344"/>
      <c r="C954" s="182"/>
      <c r="D954" s="406"/>
      <c r="E954" s="406"/>
      <c r="F954" s="407"/>
      <c r="G954" s="407"/>
      <c r="H954" s="4"/>
      <c r="I954" s="4"/>
      <c r="J954" s="4"/>
      <c r="K954" s="4"/>
      <c r="L954" s="4"/>
      <c r="M954" s="4"/>
      <c r="N954" s="4"/>
      <c r="O954" s="4"/>
      <c r="P954" s="4"/>
      <c r="Q954" s="4"/>
      <c r="R954" s="4"/>
      <c r="S954" s="4"/>
      <c r="T954" s="4"/>
      <c r="U954" s="4"/>
      <c r="V954" s="4"/>
      <c r="W954" s="4"/>
      <c r="X954" s="4"/>
      <c r="Y954" s="4"/>
      <c r="Z954" s="4"/>
    </row>
    <row r="955" ht="9.75" customHeight="1">
      <c r="A955" s="343"/>
      <c r="B955" s="344"/>
      <c r="C955" s="182"/>
      <c r="D955" s="406"/>
      <c r="E955" s="406"/>
      <c r="F955" s="407"/>
      <c r="G955" s="407"/>
      <c r="H955" s="4"/>
      <c r="I955" s="4"/>
      <c r="J955" s="4"/>
      <c r="K955" s="4"/>
      <c r="L955" s="4"/>
      <c r="M955" s="4"/>
      <c r="N955" s="4"/>
      <c r="O955" s="4"/>
      <c r="P955" s="4"/>
      <c r="Q955" s="4"/>
      <c r="R955" s="4"/>
      <c r="S955" s="4"/>
      <c r="T955" s="4"/>
      <c r="U955" s="4"/>
      <c r="V955" s="4"/>
      <c r="W955" s="4"/>
      <c r="X955" s="4"/>
      <c r="Y955" s="4"/>
      <c r="Z955" s="4"/>
    </row>
    <row r="956" ht="9.75" customHeight="1">
      <c r="A956" s="343"/>
      <c r="B956" s="344"/>
      <c r="C956" s="182"/>
      <c r="D956" s="406"/>
      <c r="E956" s="406"/>
      <c r="F956" s="407"/>
      <c r="G956" s="407"/>
      <c r="H956" s="4"/>
      <c r="I956" s="4"/>
      <c r="J956" s="4"/>
      <c r="K956" s="4"/>
      <c r="L956" s="4"/>
      <c r="M956" s="4"/>
      <c r="N956" s="4"/>
      <c r="O956" s="4"/>
      <c r="P956" s="4"/>
      <c r="Q956" s="4"/>
      <c r="R956" s="4"/>
      <c r="S956" s="4"/>
      <c r="T956" s="4"/>
      <c r="U956" s="4"/>
      <c r="V956" s="4"/>
      <c r="W956" s="4"/>
      <c r="X956" s="4"/>
      <c r="Y956" s="4"/>
      <c r="Z956" s="4"/>
    </row>
    <row r="957" ht="9.75" customHeight="1">
      <c r="A957" s="343"/>
      <c r="B957" s="344"/>
      <c r="C957" s="182"/>
      <c r="D957" s="406"/>
      <c r="E957" s="406"/>
      <c r="F957" s="407"/>
      <c r="G957" s="407"/>
      <c r="H957" s="4"/>
      <c r="I957" s="4"/>
      <c r="J957" s="4"/>
      <c r="K957" s="4"/>
      <c r="L957" s="4"/>
      <c r="M957" s="4"/>
      <c r="N957" s="4"/>
      <c r="O957" s="4"/>
      <c r="P957" s="4"/>
      <c r="Q957" s="4"/>
      <c r="R957" s="4"/>
      <c r="S957" s="4"/>
      <c r="T957" s="4"/>
      <c r="U957" s="4"/>
      <c r="V957" s="4"/>
      <c r="W957" s="4"/>
      <c r="X957" s="4"/>
      <c r="Y957" s="4"/>
      <c r="Z957" s="4"/>
    </row>
    <row r="958" ht="9.75" customHeight="1">
      <c r="A958" s="343"/>
      <c r="B958" s="344"/>
      <c r="C958" s="182"/>
      <c r="D958" s="406"/>
      <c r="E958" s="406"/>
      <c r="F958" s="407"/>
      <c r="G958" s="407"/>
      <c r="H958" s="4"/>
      <c r="I958" s="4"/>
      <c r="J958" s="4"/>
      <c r="K958" s="4"/>
      <c r="L958" s="4"/>
      <c r="M958" s="4"/>
      <c r="N958" s="4"/>
      <c r="O958" s="4"/>
      <c r="P958" s="4"/>
      <c r="Q958" s="4"/>
      <c r="R958" s="4"/>
      <c r="S958" s="4"/>
      <c r="T958" s="4"/>
      <c r="U958" s="4"/>
      <c r="V958" s="4"/>
      <c r="W958" s="4"/>
      <c r="X958" s="4"/>
      <c r="Y958" s="4"/>
      <c r="Z958" s="4"/>
    </row>
    <row r="959" ht="9.75" customHeight="1">
      <c r="A959" s="343"/>
      <c r="B959" s="344"/>
      <c r="C959" s="182"/>
      <c r="D959" s="406"/>
      <c r="E959" s="406"/>
      <c r="F959" s="407"/>
      <c r="G959" s="407"/>
      <c r="H959" s="4"/>
      <c r="I959" s="4"/>
      <c r="J959" s="4"/>
      <c r="K959" s="4"/>
      <c r="L959" s="4"/>
      <c r="M959" s="4"/>
      <c r="N959" s="4"/>
      <c r="O959" s="4"/>
      <c r="P959" s="4"/>
      <c r="Q959" s="4"/>
      <c r="R959" s="4"/>
      <c r="S959" s="4"/>
      <c r="T959" s="4"/>
      <c r="U959" s="4"/>
      <c r="V959" s="4"/>
      <c r="W959" s="4"/>
      <c r="X959" s="4"/>
      <c r="Y959" s="4"/>
      <c r="Z959" s="4"/>
    </row>
    <row r="960" ht="9.75" customHeight="1">
      <c r="A960" s="343"/>
      <c r="B960" s="344"/>
      <c r="C960" s="182"/>
      <c r="D960" s="406"/>
      <c r="E960" s="406"/>
      <c r="F960" s="407"/>
      <c r="G960" s="407"/>
      <c r="H960" s="4"/>
      <c r="I960" s="4"/>
      <c r="J960" s="4"/>
      <c r="K960" s="4"/>
      <c r="L960" s="4"/>
      <c r="M960" s="4"/>
      <c r="N960" s="4"/>
      <c r="O960" s="4"/>
      <c r="P960" s="4"/>
      <c r="Q960" s="4"/>
      <c r="R960" s="4"/>
      <c r="S960" s="4"/>
      <c r="T960" s="4"/>
      <c r="U960" s="4"/>
      <c r="V960" s="4"/>
      <c r="W960" s="4"/>
      <c r="X960" s="4"/>
      <c r="Y960" s="4"/>
      <c r="Z960" s="4"/>
    </row>
    <row r="961" ht="9.75" customHeight="1">
      <c r="A961" s="343"/>
      <c r="B961" s="344"/>
      <c r="C961" s="182"/>
      <c r="D961" s="406"/>
      <c r="E961" s="406"/>
      <c r="F961" s="407"/>
      <c r="G961" s="407"/>
      <c r="H961" s="4"/>
      <c r="I961" s="4"/>
      <c r="J961" s="4"/>
      <c r="K961" s="4"/>
      <c r="L961" s="4"/>
      <c r="M961" s="4"/>
      <c r="N961" s="4"/>
      <c r="O961" s="4"/>
      <c r="P961" s="4"/>
      <c r="Q961" s="4"/>
      <c r="R961" s="4"/>
      <c r="S961" s="4"/>
      <c r="T961" s="4"/>
      <c r="U961" s="4"/>
      <c r="V961" s="4"/>
      <c r="W961" s="4"/>
      <c r="X961" s="4"/>
      <c r="Y961" s="4"/>
      <c r="Z961" s="4"/>
    </row>
    <row r="962" ht="9.75" customHeight="1">
      <c r="A962" s="343"/>
      <c r="B962" s="344"/>
      <c r="C962" s="182"/>
      <c r="D962" s="406"/>
      <c r="E962" s="406"/>
      <c r="F962" s="407"/>
      <c r="G962" s="407"/>
      <c r="H962" s="4"/>
      <c r="I962" s="4"/>
      <c r="J962" s="4"/>
      <c r="K962" s="4"/>
      <c r="L962" s="4"/>
      <c r="M962" s="4"/>
      <c r="N962" s="4"/>
      <c r="O962" s="4"/>
      <c r="P962" s="4"/>
      <c r="Q962" s="4"/>
      <c r="R962" s="4"/>
      <c r="S962" s="4"/>
      <c r="T962" s="4"/>
      <c r="U962" s="4"/>
      <c r="V962" s="4"/>
      <c r="W962" s="4"/>
      <c r="X962" s="4"/>
      <c r="Y962" s="4"/>
      <c r="Z962" s="4"/>
    </row>
    <row r="963" ht="9.75" customHeight="1">
      <c r="A963" s="343"/>
      <c r="B963" s="344"/>
      <c r="C963" s="182"/>
      <c r="D963" s="406"/>
      <c r="E963" s="406"/>
      <c r="F963" s="407"/>
      <c r="G963" s="407"/>
      <c r="H963" s="4"/>
      <c r="I963" s="4"/>
      <c r="J963" s="4"/>
      <c r="K963" s="4"/>
      <c r="L963" s="4"/>
      <c r="M963" s="4"/>
      <c r="N963" s="4"/>
      <c r="O963" s="4"/>
      <c r="P963" s="4"/>
      <c r="Q963" s="4"/>
      <c r="R963" s="4"/>
      <c r="S963" s="4"/>
      <c r="T963" s="4"/>
      <c r="U963" s="4"/>
      <c r="V963" s="4"/>
      <c r="W963" s="4"/>
      <c r="X963" s="4"/>
      <c r="Y963" s="4"/>
      <c r="Z963" s="4"/>
    </row>
    <row r="964" ht="9.75" customHeight="1">
      <c r="A964" s="343"/>
      <c r="B964" s="344"/>
      <c r="C964" s="182"/>
      <c r="D964" s="406"/>
      <c r="E964" s="406"/>
      <c r="F964" s="407"/>
      <c r="G964" s="407"/>
      <c r="H964" s="4"/>
      <c r="I964" s="4"/>
      <c r="J964" s="4"/>
      <c r="K964" s="4"/>
      <c r="L964" s="4"/>
      <c r="M964" s="4"/>
      <c r="N964" s="4"/>
      <c r="O964" s="4"/>
      <c r="P964" s="4"/>
      <c r="Q964" s="4"/>
      <c r="R964" s="4"/>
      <c r="S964" s="4"/>
      <c r="T964" s="4"/>
      <c r="U964" s="4"/>
      <c r="V964" s="4"/>
      <c r="W964" s="4"/>
      <c r="X964" s="4"/>
      <c r="Y964" s="4"/>
      <c r="Z964" s="4"/>
    </row>
    <row r="965" ht="9.75" customHeight="1">
      <c r="A965" s="343"/>
      <c r="B965" s="344"/>
      <c r="C965" s="182"/>
      <c r="D965" s="406"/>
      <c r="E965" s="406"/>
      <c r="F965" s="407"/>
      <c r="G965" s="407"/>
      <c r="H965" s="4"/>
      <c r="I965" s="4"/>
      <c r="J965" s="4"/>
      <c r="K965" s="4"/>
      <c r="L965" s="4"/>
      <c r="M965" s="4"/>
      <c r="N965" s="4"/>
      <c r="O965" s="4"/>
      <c r="P965" s="4"/>
      <c r="Q965" s="4"/>
      <c r="R965" s="4"/>
      <c r="S965" s="4"/>
      <c r="T965" s="4"/>
      <c r="U965" s="4"/>
      <c r="V965" s="4"/>
      <c r="W965" s="4"/>
      <c r="X965" s="4"/>
      <c r="Y965" s="4"/>
      <c r="Z965" s="4"/>
    </row>
    <row r="966" ht="9.75" customHeight="1">
      <c r="A966" s="343"/>
      <c r="B966" s="344"/>
      <c r="C966" s="182"/>
      <c r="D966" s="406"/>
      <c r="E966" s="406"/>
      <c r="F966" s="407"/>
      <c r="G966" s="407"/>
      <c r="H966" s="4"/>
      <c r="I966" s="4"/>
      <c r="J966" s="4"/>
      <c r="K966" s="4"/>
      <c r="L966" s="4"/>
      <c r="M966" s="4"/>
      <c r="N966" s="4"/>
      <c r="O966" s="4"/>
      <c r="P966" s="4"/>
      <c r="Q966" s="4"/>
      <c r="R966" s="4"/>
      <c r="S966" s="4"/>
      <c r="T966" s="4"/>
      <c r="U966" s="4"/>
      <c r="V966" s="4"/>
      <c r="W966" s="4"/>
      <c r="X966" s="4"/>
      <c r="Y966" s="4"/>
      <c r="Z966" s="4"/>
    </row>
    <row r="967" ht="9.75" customHeight="1">
      <c r="A967" s="343"/>
      <c r="B967" s="344"/>
      <c r="C967" s="182"/>
      <c r="D967" s="406"/>
      <c r="E967" s="406"/>
      <c r="F967" s="407"/>
      <c r="G967" s="407"/>
      <c r="H967" s="4"/>
      <c r="I967" s="4"/>
      <c r="J967" s="4"/>
      <c r="K967" s="4"/>
      <c r="L967" s="4"/>
      <c r="M967" s="4"/>
      <c r="N967" s="4"/>
      <c r="O967" s="4"/>
      <c r="P967" s="4"/>
      <c r="Q967" s="4"/>
      <c r="R967" s="4"/>
      <c r="S967" s="4"/>
      <c r="T967" s="4"/>
      <c r="U967" s="4"/>
      <c r="V967" s="4"/>
      <c r="W967" s="4"/>
      <c r="X967" s="4"/>
      <c r="Y967" s="4"/>
      <c r="Z967" s="4"/>
    </row>
    <row r="968" ht="9.75" customHeight="1">
      <c r="A968" s="343"/>
      <c r="B968" s="344"/>
      <c r="C968" s="182"/>
      <c r="D968" s="406"/>
      <c r="E968" s="406"/>
      <c r="F968" s="407"/>
      <c r="G968" s="407"/>
      <c r="H968" s="4"/>
      <c r="I968" s="4"/>
      <c r="J968" s="4"/>
      <c r="K968" s="4"/>
      <c r="L968" s="4"/>
      <c r="M968" s="4"/>
      <c r="N968" s="4"/>
      <c r="O968" s="4"/>
      <c r="P968" s="4"/>
      <c r="Q968" s="4"/>
      <c r="R968" s="4"/>
      <c r="S968" s="4"/>
      <c r="T968" s="4"/>
      <c r="U968" s="4"/>
      <c r="V968" s="4"/>
      <c r="W968" s="4"/>
      <c r="X968" s="4"/>
      <c r="Y968" s="4"/>
      <c r="Z968" s="4"/>
    </row>
    <row r="969" ht="9.75" customHeight="1">
      <c r="A969" s="343"/>
      <c r="B969" s="344"/>
      <c r="C969" s="182"/>
      <c r="D969" s="406"/>
      <c r="E969" s="406"/>
      <c r="F969" s="407"/>
      <c r="G969" s="407"/>
      <c r="H969" s="4"/>
      <c r="I969" s="4"/>
      <c r="J969" s="4"/>
      <c r="K969" s="4"/>
      <c r="L969" s="4"/>
      <c r="M969" s="4"/>
      <c r="N969" s="4"/>
      <c r="O969" s="4"/>
      <c r="P969" s="4"/>
      <c r="Q969" s="4"/>
      <c r="R969" s="4"/>
      <c r="S969" s="4"/>
      <c r="T969" s="4"/>
      <c r="U969" s="4"/>
      <c r="V969" s="4"/>
      <c r="W969" s="4"/>
      <c r="X969" s="4"/>
      <c r="Y969" s="4"/>
      <c r="Z969" s="4"/>
    </row>
    <row r="970" ht="9.75" customHeight="1">
      <c r="A970" s="343"/>
      <c r="B970" s="344"/>
      <c r="C970" s="182"/>
      <c r="D970" s="406"/>
      <c r="E970" s="406"/>
      <c r="F970" s="407"/>
      <c r="G970" s="407"/>
      <c r="H970" s="4"/>
      <c r="I970" s="4"/>
      <c r="J970" s="4"/>
      <c r="K970" s="4"/>
      <c r="L970" s="4"/>
      <c r="M970" s="4"/>
      <c r="N970" s="4"/>
      <c r="O970" s="4"/>
      <c r="P970" s="4"/>
      <c r="Q970" s="4"/>
      <c r="R970" s="4"/>
      <c r="S970" s="4"/>
      <c r="T970" s="4"/>
      <c r="U970" s="4"/>
      <c r="V970" s="4"/>
      <c r="W970" s="4"/>
      <c r="X970" s="4"/>
      <c r="Y970" s="4"/>
      <c r="Z970" s="4"/>
    </row>
    <row r="971" ht="9.75" customHeight="1">
      <c r="A971" s="343"/>
      <c r="B971" s="344"/>
      <c r="C971" s="182"/>
      <c r="D971" s="406"/>
      <c r="E971" s="406"/>
      <c r="F971" s="407"/>
      <c r="G971" s="407"/>
      <c r="H971" s="4"/>
      <c r="I971" s="4"/>
      <c r="J971" s="4"/>
      <c r="K971" s="4"/>
      <c r="L971" s="4"/>
      <c r="M971" s="4"/>
      <c r="N971" s="4"/>
      <c r="O971" s="4"/>
      <c r="P971" s="4"/>
      <c r="Q971" s="4"/>
      <c r="R971" s="4"/>
      <c r="S971" s="4"/>
      <c r="T971" s="4"/>
      <c r="U971" s="4"/>
      <c r="V971" s="4"/>
      <c r="W971" s="4"/>
      <c r="X971" s="4"/>
      <c r="Y971" s="4"/>
      <c r="Z971" s="4"/>
    </row>
    <row r="972" ht="9.75" customHeight="1">
      <c r="A972" s="343"/>
      <c r="B972" s="344"/>
      <c r="C972" s="182"/>
      <c r="D972" s="406"/>
      <c r="E972" s="406"/>
      <c r="F972" s="407"/>
      <c r="G972" s="407"/>
      <c r="H972" s="4"/>
      <c r="I972" s="4"/>
      <c r="J972" s="4"/>
      <c r="K972" s="4"/>
      <c r="L972" s="4"/>
      <c r="M972" s="4"/>
      <c r="N972" s="4"/>
      <c r="O972" s="4"/>
      <c r="P972" s="4"/>
      <c r="Q972" s="4"/>
      <c r="R972" s="4"/>
      <c r="S972" s="4"/>
      <c r="T972" s="4"/>
      <c r="U972" s="4"/>
      <c r="V972" s="4"/>
      <c r="W972" s="4"/>
      <c r="X972" s="4"/>
      <c r="Y972" s="4"/>
      <c r="Z972" s="4"/>
    </row>
    <row r="973" ht="9.75" customHeight="1">
      <c r="A973" s="343"/>
      <c r="B973" s="344"/>
      <c r="C973" s="182"/>
      <c r="D973" s="406"/>
      <c r="E973" s="406"/>
      <c r="F973" s="407"/>
      <c r="G973" s="407"/>
      <c r="H973" s="4"/>
      <c r="I973" s="4"/>
      <c r="J973" s="4"/>
      <c r="K973" s="4"/>
      <c r="L973" s="4"/>
      <c r="M973" s="4"/>
      <c r="N973" s="4"/>
      <c r="O973" s="4"/>
      <c r="P973" s="4"/>
      <c r="Q973" s="4"/>
      <c r="R973" s="4"/>
      <c r="S973" s="4"/>
      <c r="T973" s="4"/>
      <c r="U973" s="4"/>
      <c r="V973" s="4"/>
      <c r="W973" s="4"/>
      <c r="X973" s="4"/>
      <c r="Y973" s="4"/>
      <c r="Z973" s="4"/>
    </row>
    <row r="974" ht="9.75" customHeight="1">
      <c r="A974" s="343"/>
      <c r="B974" s="344"/>
      <c r="C974" s="182"/>
      <c r="D974" s="406"/>
      <c r="E974" s="406"/>
      <c r="F974" s="407"/>
      <c r="G974" s="407"/>
      <c r="H974" s="4"/>
      <c r="I974" s="4"/>
      <c r="J974" s="4"/>
      <c r="K974" s="4"/>
      <c r="L974" s="4"/>
      <c r="M974" s="4"/>
      <c r="N974" s="4"/>
      <c r="O974" s="4"/>
      <c r="P974" s="4"/>
      <c r="Q974" s="4"/>
      <c r="R974" s="4"/>
      <c r="S974" s="4"/>
      <c r="T974" s="4"/>
      <c r="U974" s="4"/>
      <c r="V974" s="4"/>
      <c r="W974" s="4"/>
      <c r="X974" s="4"/>
      <c r="Y974" s="4"/>
      <c r="Z974" s="4"/>
    </row>
    <row r="975" ht="9.75" customHeight="1">
      <c r="A975" s="343"/>
      <c r="B975" s="344"/>
      <c r="C975" s="182"/>
      <c r="D975" s="406"/>
      <c r="E975" s="406"/>
      <c r="F975" s="407"/>
      <c r="G975" s="407"/>
      <c r="H975" s="4"/>
      <c r="I975" s="4"/>
      <c r="J975" s="4"/>
      <c r="K975" s="4"/>
      <c r="L975" s="4"/>
      <c r="M975" s="4"/>
      <c r="N975" s="4"/>
      <c r="O975" s="4"/>
      <c r="P975" s="4"/>
      <c r="Q975" s="4"/>
      <c r="R975" s="4"/>
      <c r="S975" s="4"/>
      <c r="T975" s="4"/>
      <c r="U975" s="4"/>
      <c r="V975" s="4"/>
      <c r="W975" s="4"/>
      <c r="X975" s="4"/>
      <c r="Y975" s="4"/>
      <c r="Z975" s="4"/>
    </row>
    <row r="976" ht="9.75" customHeight="1">
      <c r="A976" s="343"/>
      <c r="B976" s="344"/>
      <c r="C976" s="182"/>
      <c r="D976" s="406"/>
      <c r="E976" s="406"/>
      <c r="F976" s="407"/>
      <c r="G976" s="407"/>
      <c r="H976" s="4"/>
      <c r="I976" s="4"/>
      <c r="J976" s="4"/>
      <c r="K976" s="4"/>
      <c r="L976" s="4"/>
      <c r="M976" s="4"/>
      <c r="N976" s="4"/>
      <c r="O976" s="4"/>
      <c r="P976" s="4"/>
      <c r="Q976" s="4"/>
      <c r="R976" s="4"/>
      <c r="S976" s="4"/>
      <c r="T976" s="4"/>
      <c r="U976" s="4"/>
      <c r="V976" s="4"/>
      <c r="W976" s="4"/>
      <c r="X976" s="4"/>
      <c r="Y976" s="4"/>
      <c r="Z976" s="4"/>
    </row>
    <row r="977" ht="9.75" customHeight="1">
      <c r="A977" s="343"/>
      <c r="B977" s="344"/>
      <c r="C977" s="182"/>
      <c r="D977" s="406"/>
      <c r="E977" s="406"/>
      <c r="F977" s="407"/>
      <c r="G977" s="407"/>
      <c r="H977" s="4"/>
      <c r="I977" s="4"/>
      <c r="J977" s="4"/>
      <c r="K977" s="4"/>
      <c r="L977" s="4"/>
      <c r="M977" s="4"/>
      <c r="N977" s="4"/>
      <c r="O977" s="4"/>
      <c r="P977" s="4"/>
      <c r="Q977" s="4"/>
      <c r="R977" s="4"/>
      <c r="S977" s="4"/>
      <c r="T977" s="4"/>
      <c r="U977" s="4"/>
      <c r="V977" s="4"/>
      <c r="W977" s="4"/>
      <c r="X977" s="4"/>
      <c r="Y977" s="4"/>
      <c r="Z977" s="4"/>
    </row>
    <row r="978" ht="9.75" customHeight="1">
      <c r="A978" s="343"/>
      <c r="B978" s="344"/>
      <c r="C978" s="182"/>
      <c r="D978" s="406"/>
      <c r="E978" s="406"/>
      <c r="F978" s="407"/>
      <c r="G978" s="407"/>
      <c r="H978" s="4"/>
      <c r="I978" s="4"/>
      <c r="J978" s="4"/>
      <c r="K978" s="4"/>
      <c r="L978" s="4"/>
      <c r="M978" s="4"/>
      <c r="N978" s="4"/>
      <c r="O978" s="4"/>
      <c r="P978" s="4"/>
      <c r="Q978" s="4"/>
      <c r="R978" s="4"/>
      <c r="S978" s="4"/>
      <c r="T978" s="4"/>
      <c r="U978" s="4"/>
      <c r="V978" s="4"/>
      <c r="W978" s="4"/>
      <c r="X978" s="4"/>
      <c r="Y978" s="4"/>
      <c r="Z978" s="4"/>
    </row>
    <row r="979" ht="9.75" customHeight="1">
      <c r="A979" s="343"/>
      <c r="B979" s="344"/>
      <c r="C979" s="182"/>
      <c r="D979" s="406"/>
      <c r="E979" s="406"/>
      <c r="F979" s="407"/>
      <c r="G979" s="407"/>
      <c r="H979" s="4"/>
      <c r="I979" s="4"/>
      <c r="J979" s="4"/>
      <c r="K979" s="4"/>
      <c r="L979" s="4"/>
      <c r="M979" s="4"/>
      <c r="N979" s="4"/>
      <c r="O979" s="4"/>
      <c r="P979" s="4"/>
      <c r="Q979" s="4"/>
      <c r="R979" s="4"/>
      <c r="S979" s="4"/>
      <c r="T979" s="4"/>
      <c r="U979" s="4"/>
      <c r="V979" s="4"/>
      <c r="W979" s="4"/>
      <c r="X979" s="4"/>
      <c r="Y979" s="4"/>
      <c r="Z979" s="4"/>
    </row>
    <row r="980" ht="9.75" customHeight="1">
      <c r="A980" s="343"/>
      <c r="B980" s="344"/>
      <c r="C980" s="182"/>
      <c r="D980" s="406"/>
      <c r="E980" s="406"/>
      <c r="F980" s="407"/>
      <c r="G980" s="407"/>
      <c r="H980" s="4"/>
      <c r="I980" s="4"/>
      <c r="J980" s="4"/>
      <c r="K980" s="4"/>
      <c r="L980" s="4"/>
      <c r="M980" s="4"/>
      <c r="N980" s="4"/>
      <c r="O980" s="4"/>
      <c r="P980" s="4"/>
      <c r="Q980" s="4"/>
      <c r="R980" s="4"/>
      <c r="S980" s="4"/>
      <c r="T980" s="4"/>
      <c r="U980" s="4"/>
      <c r="V980" s="4"/>
      <c r="W980" s="4"/>
      <c r="X980" s="4"/>
      <c r="Y980" s="4"/>
      <c r="Z980" s="4"/>
    </row>
    <row r="981" ht="9.75" customHeight="1">
      <c r="A981" s="343"/>
      <c r="B981" s="344"/>
      <c r="C981" s="182"/>
      <c r="D981" s="406"/>
      <c r="E981" s="406"/>
      <c r="F981" s="407"/>
      <c r="G981" s="407"/>
      <c r="H981" s="4"/>
      <c r="I981" s="4"/>
      <c r="J981" s="4"/>
      <c r="K981" s="4"/>
      <c r="L981" s="4"/>
      <c r="M981" s="4"/>
      <c r="N981" s="4"/>
      <c r="O981" s="4"/>
      <c r="P981" s="4"/>
      <c r="Q981" s="4"/>
      <c r="R981" s="4"/>
      <c r="S981" s="4"/>
      <c r="T981" s="4"/>
      <c r="U981" s="4"/>
      <c r="V981" s="4"/>
      <c r="W981" s="4"/>
      <c r="X981" s="4"/>
      <c r="Y981" s="4"/>
      <c r="Z981" s="4"/>
    </row>
    <row r="982" ht="9.75" customHeight="1">
      <c r="A982" s="343"/>
      <c r="B982" s="344"/>
      <c r="C982" s="182"/>
      <c r="D982" s="406"/>
      <c r="E982" s="406"/>
      <c r="F982" s="407"/>
      <c r="G982" s="407"/>
      <c r="H982" s="4"/>
      <c r="I982" s="4"/>
      <c r="J982" s="4"/>
      <c r="K982" s="4"/>
      <c r="L982" s="4"/>
      <c r="M982" s="4"/>
      <c r="N982" s="4"/>
      <c r="O982" s="4"/>
      <c r="P982" s="4"/>
      <c r="Q982" s="4"/>
      <c r="R982" s="4"/>
      <c r="S982" s="4"/>
      <c r="T982" s="4"/>
      <c r="U982" s="4"/>
      <c r="V982" s="4"/>
      <c r="W982" s="4"/>
      <c r="X982" s="4"/>
      <c r="Y982" s="4"/>
      <c r="Z982" s="4"/>
    </row>
    <row r="983" ht="9.75" customHeight="1">
      <c r="A983" s="343"/>
      <c r="B983" s="344"/>
      <c r="C983" s="182"/>
      <c r="D983" s="406"/>
      <c r="E983" s="406"/>
      <c r="F983" s="407"/>
      <c r="G983" s="407"/>
      <c r="H983" s="4"/>
      <c r="I983" s="4"/>
      <c r="J983" s="4"/>
      <c r="K983" s="4"/>
      <c r="L983" s="4"/>
      <c r="M983" s="4"/>
      <c r="N983" s="4"/>
      <c r="O983" s="4"/>
      <c r="P983" s="4"/>
      <c r="Q983" s="4"/>
      <c r="R983" s="4"/>
      <c r="S983" s="4"/>
      <c r="T983" s="4"/>
      <c r="U983" s="4"/>
      <c r="V983" s="4"/>
      <c r="W983" s="4"/>
      <c r="X983" s="4"/>
      <c r="Y983" s="4"/>
      <c r="Z983" s="4"/>
    </row>
    <row r="984" ht="9.75" customHeight="1">
      <c r="A984" s="343"/>
      <c r="B984" s="344"/>
      <c r="C984" s="182"/>
      <c r="D984" s="406"/>
      <c r="E984" s="406"/>
      <c r="F984" s="407"/>
      <c r="G984" s="407"/>
      <c r="H984" s="4"/>
      <c r="I984" s="4"/>
      <c r="J984" s="4"/>
      <c r="K984" s="4"/>
      <c r="L984" s="4"/>
      <c r="M984" s="4"/>
      <c r="N984" s="4"/>
      <c r="O984" s="4"/>
      <c r="P984" s="4"/>
      <c r="Q984" s="4"/>
      <c r="R984" s="4"/>
      <c r="S984" s="4"/>
      <c r="T984" s="4"/>
      <c r="U984" s="4"/>
      <c r="V984" s="4"/>
      <c r="W984" s="4"/>
      <c r="X984" s="4"/>
      <c r="Y984" s="4"/>
      <c r="Z984" s="4"/>
    </row>
    <row r="985" ht="9.75" customHeight="1">
      <c r="A985" s="343"/>
      <c r="B985" s="344"/>
      <c r="C985" s="182"/>
      <c r="D985" s="406"/>
      <c r="E985" s="406"/>
      <c r="F985" s="407"/>
      <c r="G985" s="407"/>
      <c r="H985" s="4"/>
      <c r="I985" s="4"/>
      <c r="J985" s="4"/>
      <c r="K985" s="4"/>
      <c r="L985" s="4"/>
      <c r="M985" s="4"/>
      <c r="N985" s="4"/>
      <c r="O985" s="4"/>
      <c r="P985" s="4"/>
      <c r="Q985" s="4"/>
      <c r="R985" s="4"/>
      <c r="S985" s="4"/>
      <c r="T985" s="4"/>
      <c r="U985" s="4"/>
      <c r="V985" s="4"/>
      <c r="W985" s="4"/>
      <c r="X985" s="4"/>
      <c r="Y985" s="4"/>
      <c r="Z985" s="4"/>
    </row>
    <row r="986" ht="9.75" customHeight="1">
      <c r="A986" s="343"/>
      <c r="B986" s="344"/>
      <c r="C986" s="182"/>
      <c r="D986" s="406"/>
      <c r="E986" s="406"/>
      <c r="F986" s="407"/>
      <c r="G986" s="407"/>
      <c r="H986" s="4"/>
      <c r="I986" s="4"/>
      <c r="J986" s="4"/>
      <c r="K986" s="4"/>
      <c r="L986" s="4"/>
      <c r="M986" s="4"/>
      <c r="N986" s="4"/>
      <c r="O986" s="4"/>
      <c r="P986" s="4"/>
      <c r="Q986" s="4"/>
      <c r="R986" s="4"/>
      <c r="S986" s="4"/>
      <c r="T986" s="4"/>
      <c r="U986" s="4"/>
      <c r="V986" s="4"/>
      <c r="W986" s="4"/>
      <c r="X986" s="4"/>
      <c r="Y986" s="4"/>
      <c r="Z986" s="4"/>
    </row>
    <row r="987" ht="9.75" customHeight="1">
      <c r="A987" s="343"/>
      <c r="B987" s="344"/>
      <c r="C987" s="182"/>
      <c r="D987" s="406"/>
      <c r="E987" s="406"/>
      <c r="F987" s="407"/>
      <c r="G987" s="407"/>
      <c r="H987" s="4"/>
      <c r="I987" s="4"/>
      <c r="J987" s="4"/>
      <c r="K987" s="4"/>
      <c r="L987" s="4"/>
      <c r="M987" s="4"/>
      <c r="N987" s="4"/>
      <c r="O987" s="4"/>
      <c r="P987" s="4"/>
      <c r="Q987" s="4"/>
      <c r="R987" s="4"/>
      <c r="S987" s="4"/>
      <c r="T987" s="4"/>
      <c r="U987" s="4"/>
      <c r="V987" s="4"/>
      <c r="W987" s="4"/>
      <c r="X987" s="4"/>
      <c r="Y987" s="4"/>
      <c r="Z987" s="4"/>
    </row>
    <row r="988" ht="9.75" customHeight="1">
      <c r="A988" s="343"/>
      <c r="B988" s="344"/>
      <c r="C988" s="182"/>
      <c r="D988" s="406"/>
      <c r="E988" s="406"/>
      <c r="F988" s="407"/>
      <c r="G988" s="407"/>
      <c r="H988" s="4"/>
      <c r="I988" s="4"/>
      <c r="J988" s="4"/>
      <c r="K988" s="4"/>
      <c r="L988" s="4"/>
      <c r="M988" s="4"/>
      <c r="N988" s="4"/>
      <c r="O988" s="4"/>
      <c r="P988" s="4"/>
      <c r="Q988" s="4"/>
      <c r="R988" s="4"/>
      <c r="S988" s="4"/>
      <c r="T988" s="4"/>
      <c r="U988" s="4"/>
      <c r="V988" s="4"/>
      <c r="W988" s="4"/>
      <c r="X988" s="4"/>
      <c r="Y988" s="4"/>
      <c r="Z988" s="4"/>
    </row>
    <row r="989" ht="9.75" customHeight="1">
      <c r="A989" s="343"/>
      <c r="B989" s="344"/>
      <c r="C989" s="182"/>
      <c r="D989" s="406"/>
      <c r="E989" s="406"/>
      <c r="F989" s="407"/>
      <c r="G989" s="407"/>
      <c r="H989" s="4"/>
      <c r="I989" s="4"/>
      <c r="J989" s="4"/>
      <c r="K989" s="4"/>
      <c r="L989" s="4"/>
      <c r="M989" s="4"/>
      <c r="N989" s="4"/>
      <c r="O989" s="4"/>
      <c r="P989" s="4"/>
      <c r="Q989" s="4"/>
      <c r="R989" s="4"/>
      <c r="S989" s="4"/>
      <c r="T989" s="4"/>
      <c r="U989" s="4"/>
      <c r="V989" s="4"/>
      <c r="W989" s="4"/>
      <c r="X989" s="4"/>
      <c r="Y989" s="4"/>
      <c r="Z989" s="4"/>
    </row>
    <row r="990" ht="9.75" customHeight="1">
      <c r="A990" s="343"/>
      <c r="B990" s="344"/>
      <c r="C990" s="182"/>
      <c r="D990" s="406"/>
      <c r="E990" s="406"/>
      <c r="F990" s="407"/>
      <c r="G990" s="407"/>
      <c r="H990" s="4"/>
      <c r="I990" s="4"/>
      <c r="J990" s="4"/>
      <c r="K990" s="4"/>
      <c r="L990" s="4"/>
      <c r="M990" s="4"/>
      <c r="N990" s="4"/>
      <c r="O990" s="4"/>
      <c r="P990" s="4"/>
      <c r="Q990" s="4"/>
      <c r="R990" s="4"/>
      <c r="S990" s="4"/>
      <c r="T990" s="4"/>
      <c r="U990" s="4"/>
      <c r="V990" s="4"/>
      <c r="W990" s="4"/>
      <c r="X990" s="4"/>
      <c r="Y990" s="4"/>
      <c r="Z990" s="4"/>
    </row>
    <row r="991" ht="9.75" customHeight="1">
      <c r="A991" s="343"/>
      <c r="B991" s="344"/>
      <c r="C991" s="182"/>
      <c r="D991" s="406"/>
      <c r="E991" s="406"/>
      <c r="F991" s="407"/>
      <c r="G991" s="407"/>
      <c r="H991" s="4"/>
      <c r="I991" s="4"/>
      <c r="J991" s="4"/>
      <c r="K991" s="4"/>
      <c r="L991" s="4"/>
      <c r="M991" s="4"/>
      <c r="N991" s="4"/>
      <c r="O991" s="4"/>
      <c r="P991" s="4"/>
      <c r="Q991" s="4"/>
      <c r="R991" s="4"/>
      <c r="S991" s="4"/>
      <c r="T991" s="4"/>
      <c r="U991" s="4"/>
      <c r="V991" s="4"/>
      <c r="W991" s="4"/>
      <c r="X991" s="4"/>
      <c r="Y991" s="4"/>
      <c r="Z991" s="4"/>
    </row>
    <row r="992" ht="9.75" customHeight="1">
      <c r="A992" s="343"/>
      <c r="B992" s="344"/>
      <c r="C992" s="182"/>
      <c r="D992" s="406"/>
      <c r="E992" s="406"/>
      <c r="F992" s="407"/>
      <c r="G992" s="407"/>
      <c r="H992" s="4"/>
      <c r="I992" s="4"/>
      <c r="J992" s="4"/>
      <c r="K992" s="4"/>
      <c r="L992" s="4"/>
      <c r="M992" s="4"/>
      <c r="N992" s="4"/>
      <c r="O992" s="4"/>
      <c r="P992" s="4"/>
      <c r="Q992" s="4"/>
      <c r="R992" s="4"/>
      <c r="S992" s="4"/>
      <c r="T992" s="4"/>
      <c r="U992" s="4"/>
      <c r="V992" s="4"/>
      <c r="W992" s="4"/>
      <c r="X992" s="4"/>
      <c r="Y992" s="4"/>
      <c r="Z992" s="4"/>
    </row>
    <row r="993" ht="9.75" customHeight="1">
      <c r="A993" s="343"/>
      <c r="B993" s="344"/>
      <c r="C993" s="182"/>
      <c r="D993" s="406"/>
      <c r="E993" s="406"/>
      <c r="F993" s="407"/>
      <c r="G993" s="407"/>
      <c r="H993" s="4"/>
      <c r="I993" s="4"/>
      <c r="J993" s="4"/>
      <c r="K993" s="4"/>
      <c r="L993" s="4"/>
      <c r="M993" s="4"/>
      <c r="N993" s="4"/>
      <c r="O993" s="4"/>
      <c r="P993" s="4"/>
      <c r="Q993" s="4"/>
      <c r="R993" s="4"/>
      <c r="S993" s="4"/>
      <c r="T993" s="4"/>
      <c r="U993" s="4"/>
      <c r="V993" s="4"/>
      <c r="W993" s="4"/>
      <c r="X993" s="4"/>
      <c r="Y993" s="4"/>
      <c r="Z993" s="4"/>
    </row>
    <row r="994" ht="9.75" customHeight="1">
      <c r="A994" s="343"/>
      <c r="B994" s="344"/>
      <c r="C994" s="182"/>
      <c r="D994" s="406"/>
      <c r="E994" s="406"/>
      <c r="F994" s="407"/>
      <c r="G994" s="407"/>
      <c r="H994" s="4"/>
      <c r="I994" s="4"/>
      <c r="J994" s="4"/>
      <c r="K994" s="4"/>
      <c r="L994" s="4"/>
      <c r="M994" s="4"/>
      <c r="N994" s="4"/>
      <c r="O994" s="4"/>
      <c r="P994" s="4"/>
      <c r="Q994" s="4"/>
      <c r="R994" s="4"/>
      <c r="S994" s="4"/>
      <c r="T994" s="4"/>
      <c r="U994" s="4"/>
      <c r="V994" s="4"/>
      <c r="W994" s="4"/>
      <c r="X994" s="4"/>
      <c r="Y994" s="4"/>
      <c r="Z994" s="4"/>
    </row>
    <row r="995" ht="9.75" customHeight="1">
      <c r="A995" s="343"/>
      <c r="B995" s="344"/>
      <c r="C995" s="182"/>
      <c r="D995" s="406"/>
      <c r="E995" s="406"/>
      <c r="F995" s="407"/>
      <c r="G995" s="407"/>
      <c r="H995" s="4"/>
      <c r="I995" s="4"/>
      <c r="J995" s="4"/>
      <c r="K995" s="4"/>
      <c r="L995" s="4"/>
      <c r="M995" s="4"/>
      <c r="N995" s="4"/>
      <c r="O995" s="4"/>
      <c r="P995" s="4"/>
      <c r="Q995" s="4"/>
      <c r="R995" s="4"/>
      <c r="S995" s="4"/>
      <c r="T995" s="4"/>
      <c r="U995" s="4"/>
      <c r="V995" s="4"/>
      <c r="W995" s="4"/>
      <c r="X995" s="4"/>
      <c r="Y995" s="4"/>
      <c r="Z995" s="4"/>
    </row>
    <row r="996" ht="9.75" customHeight="1">
      <c r="A996" s="343"/>
      <c r="B996" s="344"/>
      <c r="C996" s="182"/>
      <c r="D996" s="406"/>
      <c r="E996" s="406"/>
      <c r="F996" s="407"/>
      <c r="G996" s="407"/>
      <c r="H996" s="4"/>
      <c r="I996" s="4"/>
      <c r="J996" s="4"/>
      <c r="K996" s="4"/>
      <c r="L996" s="4"/>
      <c r="M996" s="4"/>
      <c r="N996" s="4"/>
      <c r="O996" s="4"/>
      <c r="P996" s="4"/>
      <c r="Q996" s="4"/>
      <c r="R996" s="4"/>
      <c r="S996" s="4"/>
      <c r="T996" s="4"/>
      <c r="U996" s="4"/>
      <c r="V996" s="4"/>
      <c r="W996" s="4"/>
      <c r="X996" s="4"/>
      <c r="Y996" s="4"/>
      <c r="Z996" s="4"/>
    </row>
    <row r="997" ht="9.75" customHeight="1">
      <c r="A997" s="343"/>
      <c r="B997" s="344"/>
      <c r="C997" s="182"/>
      <c r="D997" s="406"/>
      <c r="E997" s="406"/>
      <c r="F997" s="407"/>
      <c r="G997" s="407"/>
      <c r="H997" s="4"/>
      <c r="I997" s="4"/>
      <c r="J997" s="4"/>
      <c r="K997" s="4"/>
      <c r="L997" s="4"/>
      <c r="M997" s="4"/>
      <c r="N997" s="4"/>
      <c r="O997" s="4"/>
      <c r="P997" s="4"/>
      <c r="Q997" s="4"/>
      <c r="R997" s="4"/>
      <c r="S997" s="4"/>
      <c r="T997" s="4"/>
      <c r="U997" s="4"/>
      <c r="V997" s="4"/>
      <c r="W997" s="4"/>
      <c r="X997" s="4"/>
      <c r="Y997" s="4"/>
      <c r="Z997" s="4"/>
    </row>
    <row r="998" ht="9.75" customHeight="1">
      <c r="A998" s="343"/>
      <c r="B998" s="344"/>
      <c r="C998" s="182"/>
      <c r="D998" s="406"/>
      <c r="E998" s="406"/>
      <c r="F998" s="407"/>
      <c r="G998" s="407"/>
      <c r="H998" s="4"/>
      <c r="I998" s="4"/>
      <c r="J998" s="4"/>
      <c r="K998" s="4"/>
      <c r="L998" s="4"/>
      <c r="M998" s="4"/>
      <c r="N998" s="4"/>
      <c r="O998" s="4"/>
      <c r="P998" s="4"/>
      <c r="Q998" s="4"/>
      <c r="R998" s="4"/>
      <c r="S998" s="4"/>
      <c r="T998" s="4"/>
      <c r="U998" s="4"/>
      <c r="V998" s="4"/>
      <c r="W998" s="4"/>
      <c r="X998" s="4"/>
      <c r="Y998" s="4"/>
      <c r="Z998" s="4"/>
    </row>
    <row r="999" ht="9.75" customHeight="1">
      <c r="A999" s="343"/>
      <c r="B999" s="344"/>
      <c r="C999" s="182"/>
      <c r="D999" s="406"/>
      <c r="E999" s="406"/>
      <c r="F999" s="407"/>
      <c r="G999" s="407"/>
      <c r="H999" s="4"/>
      <c r="I999" s="4"/>
      <c r="J999" s="4"/>
      <c r="K999" s="4"/>
      <c r="L999" s="4"/>
      <c r="M999" s="4"/>
      <c r="N999" s="4"/>
      <c r="O999" s="4"/>
      <c r="P999" s="4"/>
      <c r="Q999" s="4"/>
      <c r="R999" s="4"/>
      <c r="S999" s="4"/>
      <c r="T999" s="4"/>
      <c r="U999" s="4"/>
      <c r="V999" s="4"/>
      <c r="W999" s="4"/>
      <c r="X999" s="4"/>
      <c r="Y999" s="4"/>
      <c r="Z999" s="4"/>
    </row>
    <row r="1000" ht="9.75" customHeight="1">
      <c r="A1000" s="343"/>
      <c r="B1000" s="344"/>
      <c r="C1000" s="182"/>
      <c r="D1000" s="406"/>
      <c r="E1000" s="406"/>
      <c r="F1000" s="407"/>
      <c r="G1000" s="407"/>
      <c r="H1000" s="4"/>
      <c r="I1000" s="4"/>
      <c r="J1000" s="4"/>
      <c r="K1000" s="4"/>
      <c r="L1000" s="4"/>
      <c r="M1000" s="4"/>
      <c r="N1000" s="4"/>
      <c r="O1000" s="4"/>
      <c r="P1000" s="4"/>
      <c r="Q1000" s="4"/>
      <c r="R1000" s="4"/>
      <c r="S1000" s="4"/>
      <c r="T1000" s="4"/>
      <c r="U1000" s="4"/>
      <c r="V1000" s="4"/>
      <c r="W1000" s="4"/>
      <c r="X1000" s="4"/>
      <c r="Y1000" s="4"/>
      <c r="Z1000" s="4"/>
    </row>
  </sheetData>
  <mergeCells count="3">
    <mergeCell ref="C1:G1"/>
    <mergeCell ref="E2:F2"/>
    <mergeCell ref="E3:F3"/>
  </mergeCells>
  <printOptions/>
  <pageMargins bottom="0.5905511811023623" footer="0.0" header="0.0" left="0.35433070866141736" right="0.3937007874015748" top="0.2755905511811024"/>
  <pageSetup paperSize="9" scale="85" orientation="portrait"/>
  <headerFooter>
    <oddFooter>&amp;LFichier : &amp;F_x000D_#000000 Data sensitivity - Restricted&amp;RPage : &amp;P/</oddFooter>
  </headerFooter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tabColor rgb="FF8DB3E2"/>
    <pageSetUpPr/>
  </sheetPr>
  <sheetViews>
    <sheetView workbookViewId="0"/>
  </sheetViews>
  <sheetFormatPr customHeight="1" defaultColWidth="14.43" defaultRowHeight="15.0"/>
  <cols>
    <col customWidth="1" min="1" max="1" width="3.14"/>
    <col customWidth="1" min="2" max="2" width="1.29"/>
    <col customWidth="1" min="3" max="3" width="75.86"/>
    <col customWidth="1" min="4" max="4" width="9.43"/>
    <col customWidth="1" min="5" max="5" width="11.43"/>
    <col customWidth="1" min="6" max="6" width="2.29"/>
    <col customWidth="1" min="7" max="26" width="11.43"/>
  </cols>
  <sheetData>
    <row r="1" ht="13.5" customHeight="1">
      <c r="A1" s="408"/>
      <c r="B1" s="408"/>
      <c r="C1" s="409"/>
      <c r="D1" s="408"/>
      <c r="E1" s="408"/>
      <c r="F1" s="408"/>
      <c r="G1" s="408"/>
      <c r="H1" s="408"/>
      <c r="I1" s="408"/>
      <c r="J1" s="408"/>
      <c r="K1" s="408"/>
      <c r="L1" s="408"/>
      <c r="M1" s="408"/>
      <c r="N1" s="408"/>
      <c r="O1" s="408"/>
      <c r="P1" s="408"/>
      <c r="Q1" s="408"/>
      <c r="R1" s="408"/>
      <c r="S1" s="408"/>
      <c r="T1" s="408"/>
      <c r="U1" s="408"/>
      <c r="V1" s="408"/>
      <c r="W1" s="408"/>
      <c r="X1" s="408"/>
      <c r="Y1" s="408"/>
      <c r="Z1" s="408"/>
    </row>
    <row r="2" ht="14.25" customHeight="1">
      <c r="A2" s="408"/>
      <c r="B2" s="410"/>
      <c r="C2" s="411"/>
      <c r="D2" s="411"/>
      <c r="E2" s="411"/>
      <c r="F2" s="412"/>
      <c r="G2" s="408"/>
      <c r="H2" s="408"/>
      <c r="I2" s="408"/>
      <c r="J2" s="408"/>
      <c r="K2" s="408"/>
      <c r="L2" s="408"/>
      <c r="M2" s="408"/>
      <c r="N2" s="408"/>
      <c r="O2" s="408"/>
      <c r="P2" s="408"/>
      <c r="Q2" s="408"/>
      <c r="R2" s="408"/>
      <c r="S2" s="408"/>
      <c r="T2" s="408"/>
      <c r="U2" s="408"/>
      <c r="V2" s="408"/>
      <c r="W2" s="408"/>
      <c r="X2" s="408"/>
      <c r="Y2" s="408"/>
      <c r="Z2" s="408"/>
    </row>
    <row r="3" ht="14.25" customHeight="1">
      <c r="A3" s="408"/>
      <c r="B3" s="413"/>
      <c r="C3" s="414" t="s">
        <v>890</v>
      </c>
      <c r="D3" s="415"/>
      <c r="E3" s="223"/>
      <c r="F3" s="416"/>
      <c r="G3" s="408"/>
      <c r="H3" s="408"/>
      <c r="I3" s="408"/>
      <c r="J3" s="408"/>
      <c r="K3" s="408"/>
      <c r="L3" s="408"/>
      <c r="M3" s="408"/>
      <c r="N3" s="408"/>
      <c r="O3" s="408"/>
      <c r="P3" s="408"/>
      <c r="Q3" s="408"/>
      <c r="R3" s="408"/>
      <c r="S3" s="408"/>
      <c r="T3" s="408"/>
      <c r="U3" s="408"/>
      <c r="V3" s="408"/>
      <c r="W3" s="408"/>
      <c r="X3" s="408"/>
      <c r="Y3" s="408"/>
      <c r="Z3" s="408"/>
    </row>
    <row r="4" ht="48.75" customHeight="1">
      <c r="A4" s="417"/>
      <c r="B4" s="418"/>
      <c r="C4" s="419" t="s">
        <v>891</v>
      </c>
      <c r="D4" s="420" t="s">
        <v>892</v>
      </c>
      <c r="E4" s="421" t="s">
        <v>893</v>
      </c>
      <c r="F4" s="422"/>
      <c r="G4" s="417"/>
      <c r="H4" s="417"/>
      <c r="I4" s="417"/>
      <c r="J4" s="417"/>
      <c r="K4" s="417"/>
      <c r="L4" s="417"/>
      <c r="M4" s="417"/>
      <c r="N4" s="417"/>
      <c r="O4" s="417"/>
      <c r="P4" s="417"/>
      <c r="Q4" s="417"/>
      <c r="R4" s="417"/>
      <c r="S4" s="417"/>
      <c r="T4" s="417"/>
      <c r="U4" s="417"/>
      <c r="V4" s="417"/>
      <c r="W4" s="417"/>
      <c r="X4" s="417"/>
      <c r="Y4" s="417"/>
      <c r="Z4" s="417"/>
    </row>
    <row r="5" ht="14.25" customHeight="1">
      <c r="A5" s="408"/>
      <c r="B5" s="413"/>
      <c r="C5" s="423" t="s">
        <v>894</v>
      </c>
      <c r="D5" s="424">
        <f t="shared" ref="D5:D21" si="1">IFERROR(E5/E$22,0)</f>
        <v>0.2902532359</v>
      </c>
      <c r="E5" s="425">
        <f>ERP!G117</f>
        <v>1260405</v>
      </c>
      <c r="F5" s="416"/>
      <c r="G5" s="408"/>
      <c r="H5" s="408"/>
      <c r="I5" s="408"/>
      <c r="J5" s="408"/>
      <c r="K5" s="408"/>
      <c r="L5" s="408"/>
      <c r="M5" s="408"/>
      <c r="N5" s="408"/>
      <c r="O5" s="408"/>
      <c r="P5" s="408"/>
      <c r="Q5" s="408"/>
      <c r="R5" s="408"/>
      <c r="S5" s="408"/>
      <c r="T5" s="408"/>
      <c r="U5" s="408"/>
      <c r="V5" s="408"/>
      <c r="W5" s="408"/>
      <c r="X5" s="408"/>
      <c r="Y5" s="408"/>
      <c r="Z5" s="408"/>
    </row>
    <row r="6" ht="14.25" customHeight="1">
      <c r="A6" s="408"/>
      <c r="B6" s="413"/>
      <c r="C6" s="426" t="s">
        <v>895</v>
      </c>
      <c r="D6" s="427">
        <f t="shared" si="1"/>
        <v>0.004364144123</v>
      </c>
      <c r="E6" s="428">
        <f>ERP!G144</f>
        <v>18951</v>
      </c>
      <c r="F6" s="416"/>
      <c r="G6" s="408"/>
      <c r="H6" s="408"/>
      <c r="I6" s="408"/>
      <c r="J6" s="408"/>
      <c r="K6" s="408"/>
      <c r="L6" s="408"/>
      <c r="M6" s="408"/>
      <c r="N6" s="408"/>
      <c r="O6" s="408"/>
      <c r="P6" s="408"/>
      <c r="Q6" s="408"/>
      <c r="R6" s="408"/>
      <c r="S6" s="408"/>
      <c r="T6" s="408"/>
      <c r="U6" s="408"/>
      <c r="V6" s="408"/>
      <c r="W6" s="408"/>
      <c r="X6" s="408"/>
      <c r="Y6" s="408"/>
      <c r="Z6" s="408"/>
    </row>
    <row r="7" ht="14.25" customHeight="1">
      <c r="A7" s="408"/>
      <c r="B7" s="413"/>
      <c r="C7" s="426" t="s">
        <v>143</v>
      </c>
      <c r="D7" s="427">
        <f t="shared" si="1"/>
        <v>0.4145242905</v>
      </c>
      <c r="E7" s="428">
        <f>ERP!G209</f>
        <v>1800043.63</v>
      </c>
      <c r="F7" s="416"/>
      <c r="G7" s="408"/>
      <c r="H7" s="408"/>
      <c r="I7" s="408"/>
      <c r="J7" s="408"/>
      <c r="K7" s="408"/>
      <c r="L7" s="408"/>
      <c r="M7" s="408"/>
      <c r="N7" s="408"/>
      <c r="O7" s="408"/>
      <c r="P7" s="408"/>
      <c r="Q7" s="408"/>
      <c r="R7" s="408"/>
      <c r="S7" s="408"/>
      <c r="T7" s="408"/>
      <c r="U7" s="408"/>
      <c r="V7" s="408"/>
      <c r="W7" s="408"/>
      <c r="X7" s="408"/>
      <c r="Y7" s="408"/>
      <c r="Z7" s="408"/>
    </row>
    <row r="8" ht="14.25" customHeight="1">
      <c r="A8" s="408"/>
      <c r="B8" s="413"/>
      <c r="C8" s="426" t="s">
        <v>201</v>
      </c>
      <c r="D8" s="427">
        <f t="shared" si="1"/>
        <v>0.03796605038</v>
      </c>
      <c r="E8" s="428">
        <f>ERP!G224</f>
        <v>164865</v>
      </c>
      <c r="F8" s="416"/>
      <c r="G8" s="408"/>
      <c r="H8" s="408"/>
      <c r="I8" s="408"/>
      <c r="J8" s="408"/>
      <c r="K8" s="408"/>
      <c r="L8" s="408"/>
      <c r="M8" s="408"/>
      <c r="N8" s="408"/>
      <c r="O8" s="408"/>
      <c r="P8" s="408"/>
      <c r="Q8" s="408"/>
      <c r="R8" s="408"/>
      <c r="S8" s="408"/>
      <c r="T8" s="408"/>
      <c r="U8" s="408"/>
      <c r="V8" s="408"/>
      <c r="W8" s="408"/>
      <c r="X8" s="408"/>
      <c r="Y8" s="408"/>
      <c r="Z8" s="408"/>
    </row>
    <row r="9" ht="14.25" customHeight="1">
      <c r="A9" s="408"/>
      <c r="B9" s="413"/>
      <c r="C9" s="426" t="s">
        <v>747</v>
      </c>
      <c r="D9" s="427">
        <f t="shared" si="1"/>
        <v>0.1264240116</v>
      </c>
      <c r="E9" s="428">
        <f>ERP!G255+ERP!G262+ERP!G288</f>
        <v>548987.7</v>
      </c>
      <c r="F9" s="416"/>
      <c r="G9" s="408"/>
      <c r="H9" s="408"/>
      <c r="I9" s="408"/>
      <c r="J9" s="408"/>
      <c r="K9" s="408"/>
      <c r="L9" s="408"/>
      <c r="M9" s="408"/>
      <c r="N9" s="408"/>
      <c r="O9" s="408"/>
      <c r="P9" s="408"/>
      <c r="Q9" s="408"/>
      <c r="R9" s="408"/>
      <c r="S9" s="408"/>
      <c r="T9" s="408"/>
      <c r="U9" s="408"/>
      <c r="V9" s="408"/>
      <c r="W9" s="408"/>
      <c r="X9" s="408"/>
      <c r="Y9" s="408"/>
      <c r="Z9" s="408"/>
    </row>
    <row r="10" ht="14.25" customHeight="1">
      <c r="A10" s="408"/>
      <c r="B10" s="413"/>
      <c r="C10" s="426" t="s">
        <v>424</v>
      </c>
      <c r="D10" s="427">
        <f t="shared" si="1"/>
        <v>0.0003822281893</v>
      </c>
      <c r="E10" s="428">
        <f>ERP!G309</f>
        <v>1659.8</v>
      </c>
      <c r="F10" s="416"/>
      <c r="G10" s="408"/>
      <c r="H10" s="408"/>
      <c r="I10" s="408"/>
      <c r="J10" s="408"/>
      <c r="K10" s="408"/>
      <c r="L10" s="408"/>
      <c r="M10" s="408"/>
      <c r="N10" s="408"/>
      <c r="O10" s="408"/>
      <c r="P10" s="408"/>
      <c r="Q10" s="408"/>
      <c r="R10" s="408"/>
      <c r="S10" s="408"/>
      <c r="T10" s="408"/>
      <c r="U10" s="408"/>
      <c r="V10" s="408"/>
      <c r="W10" s="408"/>
      <c r="X10" s="408"/>
      <c r="Y10" s="408"/>
      <c r="Z10" s="408"/>
    </row>
    <row r="11" ht="14.25" customHeight="1">
      <c r="A11" s="408"/>
      <c r="B11" s="413"/>
      <c r="C11" s="426" t="s">
        <v>896</v>
      </c>
      <c r="D11" s="427">
        <f t="shared" si="1"/>
        <v>0.000086163694</v>
      </c>
      <c r="E11" s="428">
        <f>ERP!G340</f>
        <v>374.16</v>
      </c>
      <c r="F11" s="416"/>
      <c r="G11" s="408"/>
      <c r="H11" s="408"/>
      <c r="I11" s="408"/>
      <c r="J11" s="408"/>
      <c r="K11" s="408"/>
      <c r="L11" s="408"/>
      <c r="M11" s="408"/>
      <c r="N11" s="408"/>
      <c r="O11" s="408"/>
      <c r="P11" s="408"/>
      <c r="Q11" s="408"/>
      <c r="R11" s="408"/>
      <c r="S11" s="408"/>
      <c r="T11" s="408"/>
      <c r="U11" s="408"/>
      <c r="V11" s="408"/>
      <c r="W11" s="408"/>
      <c r="X11" s="408"/>
      <c r="Y11" s="408"/>
      <c r="Z11" s="408"/>
    </row>
    <row r="12" ht="14.25" customHeight="1">
      <c r="A12" s="408"/>
      <c r="B12" s="413"/>
      <c r="C12" s="426" t="s">
        <v>302</v>
      </c>
      <c r="D12" s="427">
        <f t="shared" si="1"/>
        <v>0.0007229819257</v>
      </c>
      <c r="E12" s="428">
        <f>ERP!G370</f>
        <v>3139.5</v>
      </c>
      <c r="F12" s="416"/>
      <c r="G12" s="408"/>
      <c r="H12" s="408"/>
      <c r="I12" s="408"/>
      <c r="J12" s="408"/>
      <c r="K12" s="408"/>
      <c r="L12" s="408"/>
      <c r="M12" s="408"/>
      <c r="N12" s="408"/>
      <c r="O12" s="408"/>
      <c r="P12" s="408"/>
      <c r="Q12" s="408"/>
      <c r="R12" s="408"/>
      <c r="S12" s="408"/>
      <c r="T12" s="408"/>
      <c r="U12" s="408"/>
      <c r="V12" s="408"/>
      <c r="W12" s="408"/>
      <c r="X12" s="408"/>
      <c r="Y12" s="408"/>
      <c r="Z12" s="408"/>
    </row>
    <row r="13" ht="14.25" customHeight="1">
      <c r="A13" s="408"/>
      <c r="B13" s="413"/>
      <c r="C13" s="426" t="s">
        <v>330</v>
      </c>
      <c r="D13" s="427">
        <f t="shared" si="1"/>
        <v>0.00001249299872</v>
      </c>
      <c r="E13" s="428">
        <f>ERP!G390</f>
        <v>54.25</v>
      </c>
      <c r="F13" s="416"/>
      <c r="G13" s="408"/>
      <c r="H13" s="408"/>
      <c r="I13" s="408"/>
      <c r="J13" s="408"/>
      <c r="K13" s="408"/>
      <c r="L13" s="408"/>
      <c r="M13" s="408"/>
      <c r="N13" s="408"/>
      <c r="O13" s="408"/>
      <c r="P13" s="408"/>
      <c r="Q13" s="408"/>
      <c r="R13" s="408"/>
      <c r="S13" s="408"/>
      <c r="T13" s="408"/>
      <c r="U13" s="408"/>
      <c r="V13" s="408"/>
      <c r="W13" s="408"/>
      <c r="X13" s="408"/>
      <c r="Y13" s="408"/>
      <c r="Z13" s="408"/>
    </row>
    <row r="14" ht="14.25" customHeight="1">
      <c r="A14" s="408"/>
      <c r="B14" s="413"/>
      <c r="C14" s="426" t="s">
        <v>348</v>
      </c>
      <c r="D14" s="427">
        <f t="shared" si="1"/>
        <v>0.001191440592</v>
      </c>
      <c r="E14" s="428">
        <f>ERP!G438</f>
        <v>5173.75</v>
      </c>
      <c r="F14" s="416"/>
      <c r="G14" s="408"/>
      <c r="H14" s="408"/>
      <c r="I14" s="408"/>
      <c r="J14" s="408"/>
      <c r="K14" s="408"/>
      <c r="L14" s="408"/>
      <c r="M14" s="408"/>
      <c r="N14" s="408"/>
      <c r="O14" s="408"/>
      <c r="P14" s="408"/>
      <c r="Q14" s="408"/>
      <c r="R14" s="408"/>
      <c r="S14" s="408"/>
      <c r="T14" s="408"/>
      <c r="U14" s="408"/>
      <c r="V14" s="408"/>
      <c r="W14" s="408"/>
      <c r="X14" s="408"/>
      <c r="Y14" s="408"/>
      <c r="Z14" s="408"/>
    </row>
    <row r="15" ht="14.25" customHeight="1">
      <c r="A15" s="408"/>
      <c r="B15" s="413"/>
      <c r="C15" s="429" t="s">
        <v>897</v>
      </c>
      <c r="D15" s="427">
        <f t="shared" si="1"/>
        <v>0.003249146866</v>
      </c>
      <c r="E15" s="430">
        <f>ERP!G481</f>
        <v>14109.2</v>
      </c>
      <c r="F15" s="416"/>
      <c r="G15" s="408"/>
      <c r="H15" s="408"/>
      <c r="I15" s="408"/>
      <c r="J15" s="408"/>
      <c r="K15" s="408"/>
      <c r="L15" s="408"/>
      <c r="M15" s="408"/>
      <c r="N15" s="408"/>
      <c r="O15" s="408"/>
      <c r="P15" s="408"/>
      <c r="Q15" s="408"/>
      <c r="R15" s="408"/>
      <c r="S15" s="408"/>
      <c r="T15" s="408"/>
      <c r="U15" s="408"/>
      <c r="V15" s="408"/>
      <c r="W15" s="408"/>
      <c r="X15" s="408"/>
      <c r="Y15" s="408"/>
      <c r="Z15" s="408"/>
    </row>
    <row r="16" ht="14.25" customHeight="1">
      <c r="A16" s="408"/>
      <c r="B16" s="413"/>
      <c r="C16" s="431" t="s">
        <v>898</v>
      </c>
      <c r="D16" s="432">
        <f t="shared" si="1"/>
        <v>0.0000004605713812</v>
      </c>
      <c r="E16" s="433">
        <f>ERP!G498</f>
        <v>2</v>
      </c>
      <c r="F16" s="416"/>
      <c r="G16" s="408"/>
      <c r="H16" s="408"/>
      <c r="I16" s="408"/>
      <c r="J16" s="408"/>
      <c r="K16" s="408"/>
      <c r="L16" s="408"/>
      <c r="M16" s="408"/>
      <c r="N16" s="408"/>
      <c r="O16" s="408"/>
      <c r="P16" s="408"/>
      <c r="Q16" s="408"/>
      <c r="R16" s="408"/>
      <c r="S16" s="408"/>
      <c r="T16" s="408"/>
      <c r="U16" s="408"/>
      <c r="V16" s="408"/>
      <c r="W16" s="408"/>
      <c r="X16" s="408"/>
      <c r="Y16" s="408"/>
      <c r="Z16" s="408"/>
    </row>
    <row r="17" ht="14.25" customHeight="1">
      <c r="A17" s="408"/>
      <c r="B17" s="413"/>
      <c r="C17" s="434" t="s">
        <v>899</v>
      </c>
      <c r="D17" s="435">
        <f t="shared" si="1"/>
        <v>0.003643200226</v>
      </c>
      <c r="E17" s="436">
        <f>ERP!G539+ERP!G551</f>
        <v>15820.35</v>
      </c>
      <c r="F17" s="416"/>
      <c r="G17" s="408"/>
      <c r="H17" s="408"/>
      <c r="I17" s="408"/>
      <c r="J17" s="408"/>
      <c r="K17" s="408"/>
      <c r="L17" s="408"/>
      <c r="M17" s="408"/>
      <c r="N17" s="408"/>
      <c r="O17" s="408"/>
      <c r="P17" s="408"/>
      <c r="Q17" s="408"/>
      <c r="R17" s="408"/>
      <c r="S17" s="408"/>
      <c r="T17" s="408"/>
      <c r="U17" s="408"/>
      <c r="V17" s="408"/>
      <c r="W17" s="408"/>
      <c r="X17" s="408"/>
      <c r="Y17" s="408"/>
      <c r="Z17" s="408"/>
    </row>
    <row r="18" ht="14.25" customHeight="1">
      <c r="A18" s="408"/>
      <c r="B18" s="413"/>
      <c r="C18" s="434" t="s">
        <v>900</v>
      </c>
      <c r="D18" s="435">
        <f t="shared" si="1"/>
        <v>0.004382134041</v>
      </c>
      <c r="E18" s="436">
        <f>ERP!G611</f>
        <v>19029.12</v>
      </c>
      <c r="F18" s="416"/>
      <c r="G18" s="408"/>
      <c r="H18" s="408"/>
      <c r="I18" s="408"/>
      <c r="J18" s="408"/>
      <c r="K18" s="408"/>
      <c r="L18" s="408"/>
      <c r="M18" s="408"/>
      <c r="N18" s="408"/>
      <c r="O18" s="408"/>
      <c r="P18" s="408"/>
      <c r="Q18" s="408"/>
      <c r="R18" s="408"/>
      <c r="S18" s="408"/>
      <c r="T18" s="408"/>
      <c r="U18" s="408"/>
      <c r="V18" s="408"/>
      <c r="W18" s="408"/>
      <c r="X18" s="408"/>
      <c r="Y18" s="408"/>
      <c r="Z18" s="408"/>
    </row>
    <row r="19" ht="14.25" customHeight="1">
      <c r="A19" s="408"/>
      <c r="B19" s="413"/>
      <c r="C19" s="434" t="s">
        <v>547</v>
      </c>
      <c r="D19" s="435">
        <f t="shared" si="1"/>
        <v>0.0007937947756</v>
      </c>
      <c r="E19" s="436">
        <f>ERP!G670</f>
        <v>3447</v>
      </c>
      <c r="F19" s="416"/>
      <c r="G19" s="408"/>
      <c r="H19" s="408"/>
      <c r="I19" s="408"/>
      <c r="J19" s="408"/>
      <c r="K19" s="408"/>
      <c r="L19" s="408"/>
      <c r="M19" s="408"/>
      <c r="N19" s="408"/>
      <c r="O19" s="408"/>
      <c r="P19" s="408"/>
      <c r="Q19" s="408"/>
      <c r="R19" s="408"/>
      <c r="S19" s="408"/>
      <c r="T19" s="408"/>
      <c r="U19" s="408"/>
      <c r="V19" s="408"/>
      <c r="W19" s="408"/>
      <c r="X19" s="408"/>
      <c r="Y19" s="408"/>
      <c r="Z19" s="408"/>
    </row>
    <row r="20" ht="14.25" customHeight="1">
      <c r="A20" s="408"/>
      <c r="B20" s="413"/>
      <c r="C20" s="434" t="s">
        <v>901</v>
      </c>
      <c r="D20" s="435">
        <f t="shared" si="1"/>
        <v>0.005767067579</v>
      </c>
      <c r="E20" s="436">
        <f>ERP!G781</f>
        <v>25043.1</v>
      </c>
      <c r="F20" s="416"/>
      <c r="G20" s="408"/>
      <c r="H20" s="408"/>
      <c r="I20" s="408"/>
      <c r="J20" s="408"/>
      <c r="K20" s="408"/>
      <c r="L20" s="408"/>
      <c r="M20" s="408"/>
      <c r="N20" s="408"/>
      <c r="O20" s="408"/>
      <c r="P20" s="408"/>
      <c r="Q20" s="408"/>
      <c r="R20" s="408"/>
      <c r="S20" s="408"/>
      <c r="T20" s="408"/>
      <c r="U20" s="408"/>
      <c r="V20" s="408"/>
      <c r="W20" s="408"/>
      <c r="X20" s="408"/>
      <c r="Y20" s="408"/>
      <c r="Z20" s="408"/>
    </row>
    <row r="21" ht="14.25" customHeight="1">
      <c r="A21" s="408"/>
      <c r="B21" s="413"/>
      <c r="C21" s="437" t="s">
        <v>170</v>
      </c>
      <c r="D21" s="438">
        <f t="shared" si="1"/>
        <v>0.106237156</v>
      </c>
      <c r="E21" s="439">
        <f>ERP!H6-SUM(E5:E20)</f>
        <v>461327.648</v>
      </c>
      <c r="F21" s="416"/>
      <c r="G21" s="408"/>
      <c r="H21" s="408"/>
      <c r="I21" s="408"/>
      <c r="J21" s="408"/>
      <c r="K21" s="408"/>
      <c r="L21" s="408"/>
      <c r="M21" s="408"/>
      <c r="N21" s="408"/>
      <c r="O21" s="408"/>
      <c r="P21" s="408"/>
      <c r="Q21" s="408"/>
      <c r="R21" s="408"/>
      <c r="S21" s="408"/>
      <c r="T21" s="408"/>
      <c r="U21" s="408"/>
      <c r="V21" s="408"/>
      <c r="W21" s="408"/>
      <c r="X21" s="408"/>
      <c r="Y21" s="408"/>
      <c r="Z21" s="408"/>
    </row>
    <row r="22" ht="14.25" customHeight="1">
      <c r="A22" s="408"/>
      <c r="B22" s="413"/>
      <c r="C22" s="440" t="s">
        <v>902</v>
      </c>
      <c r="D22" s="441">
        <f t="shared" ref="D22:E22" si="2">SUM(D5:D21)</f>
        <v>1</v>
      </c>
      <c r="E22" s="442">
        <f t="shared" si="2"/>
        <v>4342432.208</v>
      </c>
      <c r="F22" s="416"/>
      <c r="G22" s="408"/>
      <c r="H22" s="408"/>
      <c r="I22" s="408"/>
      <c r="J22" s="408"/>
      <c r="K22" s="408"/>
      <c r="L22" s="408"/>
      <c r="M22" s="408"/>
      <c r="N22" s="408"/>
      <c r="O22" s="408"/>
      <c r="P22" s="408"/>
      <c r="Q22" s="408"/>
      <c r="R22" s="408"/>
      <c r="S22" s="408"/>
      <c r="T22" s="408"/>
      <c r="U22" s="408"/>
      <c r="V22" s="408"/>
      <c r="W22" s="408"/>
      <c r="X22" s="408"/>
      <c r="Y22" s="408"/>
      <c r="Z22" s="408"/>
    </row>
    <row r="23" ht="14.25" customHeight="1">
      <c r="A23" s="408"/>
      <c r="B23" s="413"/>
      <c r="C23" s="443"/>
      <c r="D23" s="443"/>
      <c r="E23" s="443"/>
      <c r="F23" s="416"/>
      <c r="G23" s="408"/>
      <c r="H23" s="408"/>
      <c r="I23" s="408"/>
      <c r="J23" s="408"/>
      <c r="K23" s="408"/>
      <c r="L23" s="408"/>
      <c r="M23" s="408"/>
      <c r="N23" s="408"/>
      <c r="O23" s="408"/>
      <c r="P23" s="408"/>
      <c r="Q23" s="408"/>
      <c r="R23" s="408"/>
      <c r="S23" s="408"/>
      <c r="T23" s="408"/>
      <c r="U23" s="408"/>
      <c r="V23" s="408"/>
      <c r="W23" s="408"/>
      <c r="X23" s="408"/>
      <c r="Y23" s="408"/>
      <c r="Z23" s="408"/>
    </row>
    <row r="24" ht="14.25" customHeight="1">
      <c r="A24" s="408"/>
      <c r="B24" s="413"/>
      <c r="C24" s="443"/>
      <c r="D24" s="443"/>
      <c r="E24" s="443"/>
      <c r="F24" s="416"/>
      <c r="G24" s="408"/>
      <c r="H24" s="408"/>
      <c r="I24" s="408"/>
      <c r="J24" s="408"/>
      <c r="K24" s="408"/>
      <c r="L24" s="408"/>
      <c r="M24" s="408"/>
      <c r="N24" s="408"/>
      <c r="O24" s="408"/>
      <c r="P24" s="408"/>
      <c r="Q24" s="408"/>
      <c r="R24" s="408"/>
      <c r="S24" s="408"/>
      <c r="T24" s="408"/>
      <c r="U24" s="408"/>
      <c r="V24" s="408"/>
      <c r="W24" s="408"/>
      <c r="X24" s="408"/>
      <c r="Y24" s="408"/>
      <c r="Z24" s="408"/>
    </row>
    <row r="25" ht="14.25" customHeight="1">
      <c r="A25" s="408"/>
      <c r="B25" s="413"/>
      <c r="C25" s="443"/>
      <c r="D25" s="443"/>
      <c r="E25" s="443"/>
      <c r="F25" s="416"/>
      <c r="G25" s="408"/>
      <c r="H25" s="408"/>
      <c r="I25" s="408"/>
      <c r="J25" s="408"/>
      <c r="K25" s="408"/>
      <c r="L25" s="408"/>
      <c r="M25" s="408"/>
      <c r="N25" s="408"/>
      <c r="O25" s="408"/>
      <c r="P25" s="408"/>
      <c r="Q25" s="408"/>
      <c r="R25" s="408"/>
      <c r="S25" s="408"/>
      <c r="T25" s="408"/>
      <c r="U25" s="408"/>
      <c r="V25" s="408"/>
      <c r="W25" s="408"/>
      <c r="X25" s="408"/>
      <c r="Y25" s="408"/>
      <c r="Z25" s="408"/>
    </row>
    <row r="26" ht="14.25" customHeight="1">
      <c r="A26" s="408"/>
      <c r="B26" s="413"/>
      <c r="C26" s="443"/>
      <c r="D26" s="443"/>
      <c r="E26" s="443"/>
      <c r="F26" s="416"/>
      <c r="G26" s="408"/>
      <c r="H26" s="408"/>
      <c r="I26" s="408"/>
      <c r="J26" s="408"/>
      <c r="K26" s="408"/>
      <c r="L26" s="408"/>
      <c r="M26" s="408"/>
      <c r="N26" s="408"/>
      <c r="O26" s="408"/>
      <c r="P26" s="408"/>
      <c r="Q26" s="408"/>
      <c r="R26" s="408"/>
      <c r="S26" s="408"/>
      <c r="T26" s="408"/>
      <c r="U26" s="408"/>
      <c r="V26" s="408"/>
      <c r="W26" s="408"/>
      <c r="X26" s="408"/>
      <c r="Y26" s="408"/>
      <c r="Z26" s="408"/>
    </row>
    <row r="27" ht="14.25" customHeight="1">
      <c r="A27" s="408"/>
      <c r="B27" s="413"/>
      <c r="C27" s="443"/>
      <c r="D27" s="443"/>
      <c r="E27" s="443"/>
      <c r="F27" s="416"/>
      <c r="G27" s="408"/>
      <c r="H27" s="408"/>
      <c r="I27" s="408"/>
      <c r="J27" s="408"/>
      <c r="K27" s="408"/>
      <c r="L27" s="408"/>
      <c r="M27" s="408"/>
      <c r="N27" s="408"/>
      <c r="O27" s="408"/>
      <c r="P27" s="408"/>
      <c r="Q27" s="408"/>
      <c r="R27" s="408"/>
      <c r="S27" s="408"/>
      <c r="T27" s="408"/>
      <c r="U27" s="408"/>
      <c r="V27" s="408"/>
      <c r="W27" s="408"/>
      <c r="X27" s="408"/>
      <c r="Y27" s="408"/>
      <c r="Z27" s="408"/>
    </row>
    <row r="28" ht="14.25" customHeight="1">
      <c r="A28" s="408"/>
      <c r="B28" s="413"/>
      <c r="C28" s="443"/>
      <c r="D28" s="443"/>
      <c r="E28" s="443"/>
      <c r="F28" s="416"/>
      <c r="G28" s="408"/>
      <c r="H28" s="408"/>
      <c r="I28" s="408"/>
      <c r="J28" s="408"/>
      <c r="K28" s="408"/>
      <c r="L28" s="408"/>
      <c r="M28" s="408"/>
      <c r="N28" s="408"/>
      <c r="O28" s="408"/>
      <c r="P28" s="408"/>
      <c r="Q28" s="408"/>
      <c r="R28" s="408"/>
      <c r="S28" s="408"/>
      <c r="T28" s="408"/>
      <c r="U28" s="408"/>
      <c r="V28" s="408"/>
      <c r="W28" s="408"/>
      <c r="X28" s="408"/>
      <c r="Y28" s="408"/>
      <c r="Z28" s="408"/>
    </row>
    <row r="29" ht="14.25" customHeight="1">
      <c r="A29" s="408"/>
      <c r="B29" s="413"/>
      <c r="C29" s="443"/>
      <c r="D29" s="443"/>
      <c r="E29" s="443"/>
      <c r="F29" s="416"/>
      <c r="G29" s="408"/>
      <c r="H29" s="408"/>
      <c r="I29" s="408"/>
      <c r="J29" s="408"/>
      <c r="K29" s="408"/>
      <c r="L29" s="408"/>
      <c r="M29" s="408"/>
      <c r="N29" s="408"/>
      <c r="O29" s="408"/>
      <c r="P29" s="408"/>
      <c r="Q29" s="408"/>
      <c r="R29" s="408"/>
      <c r="S29" s="408"/>
      <c r="T29" s="408"/>
      <c r="U29" s="408"/>
      <c r="V29" s="408"/>
      <c r="W29" s="408"/>
      <c r="X29" s="408"/>
      <c r="Y29" s="408"/>
      <c r="Z29" s="408"/>
    </row>
    <row r="30" ht="14.25" customHeight="1">
      <c r="A30" s="408"/>
      <c r="B30" s="413"/>
      <c r="C30" s="443"/>
      <c r="D30" s="443"/>
      <c r="E30" s="443"/>
      <c r="F30" s="416"/>
      <c r="G30" s="408"/>
      <c r="H30" s="408"/>
      <c r="I30" s="408"/>
      <c r="J30" s="408"/>
      <c r="K30" s="408"/>
      <c r="L30" s="408"/>
      <c r="M30" s="408"/>
      <c r="N30" s="408"/>
      <c r="O30" s="408"/>
      <c r="P30" s="408"/>
      <c r="Q30" s="408"/>
      <c r="R30" s="408"/>
      <c r="S30" s="408"/>
      <c r="T30" s="408"/>
      <c r="U30" s="408"/>
      <c r="V30" s="408"/>
      <c r="W30" s="408"/>
      <c r="X30" s="408"/>
      <c r="Y30" s="408"/>
      <c r="Z30" s="408"/>
    </row>
    <row r="31" ht="14.25" customHeight="1">
      <c r="A31" s="408"/>
      <c r="B31" s="413"/>
      <c r="C31" s="443"/>
      <c r="D31" s="443"/>
      <c r="E31" s="443"/>
      <c r="F31" s="416"/>
      <c r="G31" s="408"/>
      <c r="H31" s="408"/>
      <c r="I31" s="408"/>
      <c r="J31" s="408"/>
      <c r="K31" s="408"/>
      <c r="L31" s="408"/>
      <c r="M31" s="408"/>
      <c r="N31" s="408"/>
      <c r="O31" s="408"/>
      <c r="P31" s="408"/>
      <c r="Q31" s="408"/>
      <c r="R31" s="408"/>
      <c r="S31" s="408"/>
      <c r="T31" s="408"/>
      <c r="U31" s="408"/>
      <c r="V31" s="408"/>
      <c r="W31" s="408"/>
      <c r="X31" s="408"/>
      <c r="Y31" s="408"/>
      <c r="Z31" s="408"/>
    </row>
    <row r="32" ht="14.25" customHeight="1">
      <c r="A32" s="408"/>
      <c r="B32" s="413"/>
      <c r="C32" s="443"/>
      <c r="D32" s="443"/>
      <c r="E32" s="443"/>
      <c r="F32" s="416"/>
      <c r="G32" s="408"/>
      <c r="H32" s="408"/>
      <c r="I32" s="408"/>
      <c r="J32" s="408"/>
      <c r="K32" s="408"/>
      <c r="L32" s="408"/>
      <c r="M32" s="408"/>
      <c r="N32" s="408"/>
      <c r="O32" s="408"/>
      <c r="P32" s="408"/>
      <c r="Q32" s="408"/>
      <c r="R32" s="408"/>
      <c r="S32" s="408"/>
      <c r="T32" s="408"/>
      <c r="U32" s="408"/>
      <c r="V32" s="408"/>
      <c r="W32" s="408"/>
      <c r="X32" s="408"/>
      <c r="Y32" s="408"/>
      <c r="Z32" s="408"/>
    </row>
    <row r="33" ht="14.25" customHeight="1">
      <c r="A33" s="408"/>
      <c r="B33" s="413"/>
      <c r="C33" s="443"/>
      <c r="D33" s="443"/>
      <c r="E33" s="443"/>
      <c r="F33" s="416"/>
      <c r="G33" s="408"/>
      <c r="H33" s="408"/>
      <c r="I33" s="408"/>
      <c r="J33" s="408"/>
      <c r="K33" s="408"/>
      <c r="L33" s="408"/>
      <c r="M33" s="408"/>
      <c r="N33" s="408"/>
      <c r="O33" s="408"/>
      <c r="P33" s="408"/>
      <c r="Q33" s="408"/>
      <c r="R33" s="408"/>
      <c r="S33" s="408"/>
      <c r="T33" s="408"/>
      <c r="U33" s="408"/>
      <c r="V33" s="408"/>
      <c r="W33" s="408"/>
      <c r="X33" s="408"/>
      <c r="Y33" s="408"/>
      <c r="Z33" s="408"/>
    </row>
    <row r="34" ht="14.25" customHeight="1">
      <c r="A34" s="408"/>
      <c r="B34" s="413"/>
      <c r="C34" s="443"/>
      <c r="D34" s="443"/>
      <c r="E34" s="443"/>
      <c r="F34" s="416"/>
      <c r="G34" s="408"/>
      <c r="H34" s="408"/>
      <c r="I34" s="408"/>
      <c r="J34" s="408"/>
      <c r="K34" s="408"/>
      <c r="L34" s="408"/>
      <c r="M34" s="408"/>
      <c r="N34" s="408"/>
      <c r="O34" s="408"/>
      <c r="P34" s="408"/>
      <c r="Q34" s="408"/>
      <c r="R34" s="408"/>
      <c r="S34" s="408"/>
      <c r="T34" s="408"/>
      <c r="U34" s="408"/>
      <c r="V34" s="408"/>
      <c r="W34" s="408"/>
      <c r="X34" s="408"/>
      <c r="Y34" s="408"/>
      <c r="Z34" s="408"/>
    </row>
    <row r="35" ht="14.25" customHeight="1">
      <c r="A35" s="408"/>
      <c r="B35" s="413"/>
      <c r="C35" s="443"/>
      <c r="D35" s="443"/>
      <c r="E35" s="443"/>
      <c r="F35" s="416"/>
      <c r="G35" s="408"/>
      <c r="H35" s="408"/>
      <c r="I35" s="408"/>
      <c r="J35" s="408"/>
      <c r="K35" s="408"/>
      <c r="L35" s="408"/>
      <c r="M35" s="408"/>
      <c r="N35" s="408"/>
      <c r="O35" s="408"/>
      <c r="P35" s="408"/>
      <c r="Q35" s="408"/>
      <c r="R35" s="408"/>
      <c r="S35" s="408"/>
      <c r="T35" s="408"/>
      <c r="U35" s="408"/>
      <c r="V35" s="408"/>
      <c r="W35" s="408"/>
      <c r="X35" s="408"/>
      <c r="Y35" s="408"/>
      <c r="Z35" s="408"/>
    </row>
    <row r="36" ht="14.25" customHeight="1">
      <c r="A36" s="408"/>
      <c r="B36" s="413"/>
      <c r="C36" s="443"/>
      <c r="D36" s="443"/>
      <c r="E36" s="443"/>
      <c r="F36" s="416"/>
      <c r="G36" s="408"/>
      <c r="H36" s="408"/>
      <c r="I36" s="408"/>
      <c r="J36" s="408"/>
      <c r="K36" s="408"/>
      <c r="L36" s="408"/>
      <c r="M36" s="408"/>
      <c r="N36" s="408"/>
      <c r="O36" s="408"/>
      <c r="P36" s="408"/>
      <c r="Q36" s="408"/>
      <c r="R36" s="408"/>
      <c r="S36" s="408"/>
      <c r="T36" s="408"/>
      <c r="U36" s="408"/>
      <c r="V36" s="408"/>
      <c r="W36" s="408"/>
      <c r="X36" s="408"/>
      <c r="Y36" s="408"/>
      <c r="Z36" s="408"/>
    </row>
    <row r="37" ht="14.25" customHeight="1">
      <c r="A37" s="408"/>
      <c r="B37" s="413"/>
      <c r="C37" s="443"/>
      <c r="D37" s="443"/>
      <c r="E37" s="443"/>
      <c r="F37" s="416"/>
      <c r="G37" s="408"/>
      <c r="H37" s="408"/>
      <c r="I37" s="408"/>
      <c r="J37" s="408"/>
      <c r="K37" s="408"/>
      <c r="L37" s="408"/>
      <c r="M37" s="408"/>
      <c r="N37" s="408"/>
      <c r="O37" s="408"/>
      <c r="P37" s="408"/>
      <c r="Q37" s="408"/>
      <c r="R37" s="408"/>
      <c r="S37" s="408"/>
      <c r="T37" s="408"/>
      <c r="U37" s="408"/>
      <c r="V37" s="408"/>
      <c r="W37" s="408"/>
      <c r="X37" s="408"/>
      <c r="Y37" s="408"/>
      <c r="Z37" s="408"/>
    </row>
    <row r="38" ht="14.25" customHeight="1">
      <c r="A38" s="408"/>
      <c r="B38" s="413"/>
      <c r="C38" s="443"/>
      <c r="D38" s="443"/>
      <c r="E38" s="443"/>
      <c r="F38" s="416"/>
      <c r="G38" s="408"/>
      <c r="H38" s="408"/>
      <c r="I38" s="408"/>
      <c r="J38" s="408"/>
      <c r="K38" s="408"/>
      <c r="L38" s="408"/>
      <c r="M38" s="408"/>
      <c r="N38" s="408"/>
      <c r="O38" s="408"/>
      <c r="P38" s="408"/>
      <c r="Q38" s="408"/>
      <c r="R38" s="408"/>
      <c r="S38" s="408"/>
      <c r="T38" s="408"/>
      <c r="U38" s="408"/>
      <c r="V38" s="408"/>
      <c r="W38" s="408"/>
      <c r="X38" s="408"/>
      <c r="Y38" s="408"/>
      <c r="Z38" s="408"/>
    </row>
    <row r="39" ht="14.25" customHeight="1">
      <c r="A39" s="408"/>
      <c r="B39" s="413"/>
      <c r="C39" s="443"/>
      <c r="D39" s="443"/>
      <c r="E39" s="443"/>
      <c r="F39" s="416"/>
      <c r="G39" s="408"/>
      <c r="H39" s="408"/>
      <c r="I39" s="408"/>
      <c r="J39" s="408"/>
      <c r="K39" s="408"/>
      <c r="L39" s="408"/>
      <c r="M39" s="408"/>
      <c r="N39" s="408"/>
      <c r="O39" s="408"/>
      <c r="P39" s="408"/>
      <c r="Q39" s="408"/>
      <c r="R39" s="408"/>
      <c r="S39" s="408"/>
      <c r="T39" s="408"/>
      <c r="U39" s="408"/>
      <c r="V39" s="408"/>
      <c r="W39" s="408"/>
      <c r="X39" s="408"/>
      <c r="Y39" s="408"/>
      <c r="Z39" s="408"/>
    </row>
    <row r="40" ht="14.25" customHeight="1">
      <c r="A40" s="408"/>
      <c r="B40" s="413"/>
      <c r="C40" s="443"/>
      <c r="D40" s="443"/>
      <c r="E40" s="443"/>
      <c r="F40" s="416"/>
      <c r="G40" s="408"/>
      <c r="H40" s="408"/>
      <c r="I40" s="408"/>
      <c r="J40" s="408"/>
      <c r="K40" s="408"/>
      <c r="L40" s="408"/>
      <c r="M40" s="408"/>
      <c r="N40" s="408"/>
      <c r="O40" s="408"/>
      <c r="P40" s="408"/>
      <c r="Q40" s="408"/>
      <c r="R40" s="408"/>
      <c r="S40" s="408"/>
      <c r="T40" s="408"/>
      <c r="U40" s="408"/>
      <c r="V40" s="408"/>
      <c r="W40" s="408"/>
      <c r="X40" s="408"/>
      <c r="Y40" s="408"/>
      <c r="Z40" s="408"/>
    </row>
    <row r="41" ht="46.5" customHeight="1">
      <c r="A41" s="408"/>
      <c r="B41" s="413"/>
      <c r="C41" s="443"/>
      <c r="D41" s="443"/>
      <c r="E41" s="443"/>
      <c r="F41" s="416"/>
      <c r="G41" s="408"/>
      <c r="H41" s="408"/>
      <c r="I41" s="408"/>
      <c r="J41" s="408"/>
      <c r="K41" s="408"/>
      <c r="L41" s="408"/>
      <c r="M41" s="408"/>
      <c r="N41" s="408"/>
      <c r="O41" s="408"/>
      <c r="P41" s="408"/>
      <c r="Q41" s="408"/>
      <c r="R41" s="408"/>
      <c r="S41" s="408"/>
      <c r="T41" s="408"/>
      <c r="U41" s="408"/>
      <c r="V41" s="408"/>
      <c r="W41" s="408"/>
      <c r="X41" s="408"/>
      <c r="Y41" s="408"/>
      <c r="Z41" s="408"/>
    </row>
    <row r="42" ht="78.75" customHeight="1">
      <c r="A42" s="408"/>
      <c r="B42" s="413"/>
      <c r="C42" s="443"/>
      <c r="D42" s="443"/>
      <c r="E42" s="443"/>
      <c r="F42" s="416"/>
      <c r="G42" s="408"/>
      <c r="H42" s="408"/>
      <c r="I42" s="408"/>
      <c r="J42" s="408"/>
      <c r="K42" s="408"/>
      <c r="L42" s="408"/>
      <c r="M42" s="408"/>
      <c r="N42" s="408"/>
      <c r="O42" s="408"/>
      <c r="P42" s="408"/>
      <c r="Q42" s="408"/>
      <c r="R42" s="408"/>
      <c r="S42" s="408"/>
      <c r="T42" s="408"/>
      <c r="U42" s="408"/>
      <c r="V42" s="408"/>
      <c r="W42" s="408"/>
      <c r="X42" s="408"/>
      <c r="Y42" s="408"/>
      <c r="Z42" s="408"/>
    </row>
    <row r="43" ht="14.25" customHeight="1">
      <c r="A43" s="408"/>
      <c r="B43" s="444"/>
      <c r="C43" s="445"/>
      <c r="D43" s="445"/>
      <c r="E43" s="445"/>
      <c r="F43" s="446"/>
      <c r="G43" s="408"/>
      <c r="H43" s="408"/>
      <c r="I43" s="408"/>
      <c r="J43" s="408"/>
      <c r="K43" s="408"/>
      <c r="L43" s="408"/>
      <c r="M43" s="408"/>
      <c r="N43" s="408"/>
      <c r="O43" s="408"/>
      <c r="P43" s="408"/>
      <c r="Q43" s="408"/>
      <c r="R43" s="408"/>
      <c r="S43" s="408"/>
      <c r="T43" s="408"/>
      <c r="U43" s="408"/>
      <c r="V43" s="408"/>
      <c r="W43" s="408"/>
      <c r="X43" s="408"/>
      <c r="Y43" s="408"/>
      <c r="Z43" s="408"/>
    </row>
    <row r="44" ht="14.25" customHeight="1">
      <c r="A44" s="408"/>
      <c r="B44" s="408"/>
      <c r="C44" s="408"/>
      <c r="D44" s="408"/>
      <c r="E44" s="408"/>
      <c r="F44" s="408"/>
      <c r="G44" s="408"/>
      <c r="H44" s="408"/>
      <c r="I44" s="408"/>
      <c r="J44" s="408"/>
      <c r="K44" s="408"/>
      <c r="L44" s="408"/>
      <c r="M44" s="408"/>
      <c r="N44" s="408"/>
      <c r="O44" s="408"/>
      <c r="P44" s="408"/>
      <c r="Q44" s="408"/>
      <c r="R44" s="408"/>
      <c r="S44" s="408"/>
      <c r="T44" s="408"/>
      <c r="U44" s="408"/>
      <c r="V44" s="408"/>
      <c r="W44" s="408"/>
      <c r="X44" s="408"/>
      <c r="Y44" s="408"/>
      <c r="Z44" s="408"/>
    </row>
    <row r="45" ht="14.25" customHeight="1">
      <c r="A45" s="408"/>
      <c r="B45" s="408"/>
      <c r="C45" s="408"/>
      <c r="D45" s="408"/>
      <c r="E45" s="408"/>
      <c r="F45" s="408"/>
      <c r="G45" s="408"/>
      <c r="H45" s="408"/>
      <c r="I45" s="408"/>
      <c r="J45" s="408"/>
      <c r="K45" s="408"/>
      <c r="L45" s="408"/>
      <c r="M45" s="408"/>
      <c r="N45" s="408"/>
      <c r="O45" s="408"/>
      <c r="P45" s="408"/>
      <c r="Q45" s="408"/>
      <c r="R45" s="408"/>
      <c r="S45" s="408"/>
      <c r="T45" s="408"/>
      <c r="U45" s="408"/>
      <c r="V45" s="408"/>
      <c r="W45" s="408"/>
      <c r="X45" s="408"/>
      <c r="Y45" s="408"/>
      <c r="Z45" s="408"/>
    </row>
    <row r="46" ht="14.25" customHeight="1">
      <c r="A46" s="408"/>
      <c r="B46" s="408"/>
      <c r="C46" s="408"/>
      <c r="D46" s="408"/>
      <c r="E46" s="408"/>
      <c r="F46" s="408"/>
      <c r="G46" s="408"/>
      <c r="H46" s="408"/>
      <c r="I46" s="408"/>
      <c r="J46" s="408"/>
      <c r="K46" s="408"/>
      <c r="L46" s="408"/>
      <c r="M46" s="408"/>
      <c r="N46" s="408"/>
      <c r="O46" s="408"/>
      <c r="P46" s="408"/>
      <c r="Q46" s="408"/>
      <c r="R46" s="408"/>
      <c r="S46" s="408"/>
      <c r="T46" s="408"/>
      <c r="U46" s="408"/>
      <c r="V46" s="408"/>
      <c r="W46" s="408"/>
      <c r="X46" s="408"/>
      <c r="Y46" s="408"/>
      <c r="Z46" s="408"/>
    </row>
    <row r="47" ht="14.25" customHeight="1">
      <c r="A47" s="408"/>
      <c r="B47" s="408"/>
      <c r="C47" s="408"/>
      <c r="D47" s="408"/>
      <c r="E47" s="408"/>
      <c r="F47" s="408"/>
      <c r="G47" s="408"/>
      <c r="H47" s="408"/>
      <c r="I47" s="408"/>
      <c r="J47" s="408"/>
      <c r="K47" s="408"/>
      <c r="L47" s="408"/>
      <c r="M47" s="408"/>
      <c r="N47" s="408"/>
      <c r="O47" s="408"/>
      <c r="P47" s="408"/>
      <c r="Q47" s="408"/>
      <c r="R47" s="408"/>
      <c r="S47" s="408"/>
      <c r="T47" s="408"/>
      <c r="U47" s="408"/>
      <c r="V47" s="408"/>
      <c r="W47" s="408"/>
      <c r="X47" s="408"/>
      <c r="Y47" s="408"/>
      <c r="Z47" s="408"/>
    </row>
    <row r="48" ht="14.25" customHeight="1">
      <c r="A48" s="408"/>
      <c r="B48" s="408"/>
      <c r="C48" s="408"/>
      <c r="D48" s="408"/>
      <c r="E48" s="408"/>
      <c r="F48" s="408"/>
      <c r="G48" s="408"/>
      <c r="H48" s="408"/>
      <c r="I48" s="408"/>
      <c r="J48" s="408"/>
      <c r="K48" s="408"/>
      <c r="L48" s="408"/>
      <c r="M48" s="408"/>
      <c r="N48" s="408"/>
      <c r="O48" s="408"/>
      <c r="P48" s="408"/>
      <c r="Q48" s="408"/>
      <c r="R48" s="408"/>
      <c r="S48" s="408"/>
      <c r="T48" s="408"/>
      <c r="U48" s="408"/>
      <c r="V48" s="408"/>
      <c r="W48" s="408"/>
      <c r="X48" s="408"/>
      <c r="Y48" s="408"/>
      <c r="Z48" s="408"/>
    </row>
    <row r="49" ht="14.25" customHeight="1">
      <c r="A49" s="408"/>
      <c r="B49" s="408"/>
      <c r="C49" s="408"/>
      <c r="D49" s="408"/>
      <c r="E49" s="408"/>
      <c r="F49" s="408"/>
      <c r="G49" s="408"/>
      <c r="H49" s="408"/>
      <c r="I49" s="408"/>
      <c r="J49" s="408"/>
      <c r="K49" s="408"/>
      <c r="L49" s="408"/>
      <c r="M49" s="408"/>
      <c r="N49" s="408"/>
      <c r="O49" s="408"/>
      <c r="P49" s="408"/>
      <c r="Q49" s="408"/>
      <c r="R49" s="408"/>
      <c r="S49" s="408"/>
      <c r="T49" s="408"/>
      <c r="U49" s="408"/>
      <c r="V49" s="408"/>
      <c r="W49" s="408"/>
      <c r="X49" s="408"/>
      <c r="Y49" s="408"/>
      <c r="Z49" s="408"/>
    </row>
    <row r="50" ht="14.25" customHeight="1">
      <c r="A50" s="408"/>
      <c r="B50" s="408"/>
      <c r="C50" s="408"/>
      <c r="D50" s="408"/>
      <c r="E50" s="408"/>
      <c r="F50" s="408"/>
      <c r="G50" s="408"/>
      <c r="H50" s="408"/>
      <c r="I50" s="408"/>
      <c r="J50" s="408"/>
      <c r="K50" s="408"/>
      <c r="L50" s="408"/>
      <c r="M50" s="408"/>
      <c r="N50" s="408"/>
      <c r="O50" s="408"/>
      <c r="P50" s="408"/>
      <c r="Q50" s="408"/>
      <c r="R50" s="408"/>
      <c r="S50" s="408"/>
      <c r="T50" s="408"/>
      <c r="U50" s="408"/>
      <c r="V50" s="408"/>
      <c r="W50" s="408"/>
      <c r="X50" s="408"/>
      <c r="Y50" s="408"/>
      <c r="Z50" s="408"/>
    </row>
    <row r="51" ht="14.25" customHeight="1">
      <c r="A51" s="408"/>
      <c r="B51" s="408"/>
      <c r="C51" s="408"/>
      <c r="D51" s="408"/>
      <c r="E51" s="408"/>
      <c r="F51" s="408"/>
      <c r="G51" s="408"/>
      <c r="H51" s="408"/>
      <c r="I51" s="408"/>
      <c r="J51" s="408"/>
      <c r="K51" s="408"/>
      <c r="L51" s="408"/>
      <c r="M51" s="408"/>
      <c r="N51" s="408"/>
      <c r="O51" s="408"/>
      <c r="P51" s="408"/>
      <c r="Q51" s="408"/>
      <c r="R51" s="408"/>
      <c r="S51" s="408"/>
      <c r="T51" s="408"/>
      <c r="U51" s="408"/>
      <c r="V51" s="408"/>
      <c r="W51" s="408"/>
      <c r="X51" s="408"/>
      <c r="Y51" s="408"/>
      <c r="Z51" s="408"/>
    </row>
    <row r="52" ht="14.25" customHeight="1">
      <c r="A52" s="408"/>
      <c r="B52" s="408"/>
      <c r="C52" s="408"/>
      <c r="D52" s="408"/>
      <c r="E52" s="408"/>
      <c r="F52" s="408"/>
      <c r="G52" s="408"/>
      <c r="H52" s="408"/>
      <c r="I52" s="408"/>
      <c r="J52" s="408"/>
      <c r="K52" s="408"/>
      <c r="L52" s="408"/>
      <c r="M52" s="408"/>
      <c r="N52" s="408"/>
      <c r="O52" s="408"/>
      <c r="P52" s="408"/>
      <c r="Q52" s="408"/>
      <c r="R52" s="408"/>
      <c r="S52" s="408"/>
      <c r="T52" s="408"/>
      <c r="U52" s="408"/>
      <c r="V52" s="408"/>
      <c r="W52" s="408"/>
      <c r="X52" s="408"/>
      <c r="Y52" s="408"/>
      <c r="Z52" s="408"/>
    </row>
    <row r="53" ht="14.25" customHeight="1">
      <c r="A53" s="408"/>
      <c r="B53" s="408"/>
      <c r="C53" s="408"/>
      <c r="D53" s="408"/>
      <c r="E53" s="408"/>
      <c r="F53" s="408"/>
      <c r="G53" s="408"/>
      <c r="H53" s="408"/>
      <c r="I53" s="408"/>
      <c r="J53" s="408"/>
      <c r="K53" s="408"/>
      <c r="L53" s="408"/>
      <c r="M53" s="408"/>
      <c r="N53" s="408"/>
      <c r="O53" s="408"/>
      <c r="P53" s="408"/>
      <c r="Q53" s="408"/>
      <c r="R53" s="408"/>
      <c r="S53" s="408"/>
      <c r="T53" s="408"/>
      <c r="U53" s="408"/>
      <c r="V53" s="408"/>
      <c r="W53" s="408"/>
      <c r="X53" s="408"/>
      <c r="Y53" s="408"/>
      <c r="Z53" s="408"/>
    </row>
    <row r="54" ht="14.25" customHeight="1">
      <c r="A54" s="408"/>
      <c r="B54" s="408"/>
      <c r="C54" s="408"/>
      <c r="D54" s="408"/>
      <c r="E54" s="408"/>
      <c r="F54" s="408"/>
      <c r="G54" s="408"/>
      <c r="H54" s="408"/>
      <c r="I54" s="408"/>
      <c r="J54" s="408"/>
      <c r="K54" s="408"/>
      <c r="L54" s="408"/>
      <c r="M54" s="408"/>
      <c r="N54" s="408"/>
      <c r="O54" s="408"/>
      <c r="P54" s="408"/>
      <c r="Q54" s="408"/>
      <c r="R54" s="408"/>
      <c r="S54" s="408"/>
      <c r="T54" s="408"/>
      <c r="U54" s="408"/>
      <c r="V54" s="408"/>
      <c r="W54" s="408"/>
      <c r="X54" s="408"/>
      <c r="Y54" s="408"/>
      <c r="Z54" s="408"/>
    </row>
    <row r="55" ht="14.25" customHeight="1">
      <c r="A55" s="408"/>
      <c r="B55" s="408"/>
      <c r="C55" s="408"/>
      <c r="D55" s="408"/>
      <c r="E55" s="408"/>
      <c r="F55" s="408"/>
      <c r="G55" s="408"/>
      <c r="H55" s="408"/>
      <c r="I55" s="408"/>
      <c r="J55" s="408"/>
      <c r="K55" s="408"/>
      <c r="L55" s="408"/>
      <c r="M55" s="408"/>
      <c r="N55" s="408"/>
      <c r="O55" s="408"/>
      <c r="P55" s="408"/>
      <c r="Q55" s="408"/>
      <c r="R55" s="408"/>
      <c r="S55" s="408"/>
      <c r="T55" s="408"/>
      <c r="U55" s="408"/>
      <c r="V55" s="408"/>
      <c r="W55" s="408"/>
      <c r="X55" s="408"/>
      <c r="Y55" s="408"/>
      <c r="Z55" s="408"/>
    </row>
    <row r="56" ht="14.25" customHeight="1">
      <c r="A56" s="408"/>
      <c r="B56" s="408"/>
      <c r="C56" s="408"/>
      <c r="D56" s="408"/>
      <c r="E56" s="408"/>
      <c r="F56" s="408"/>
      <c r="G56" s="408"/>
      <c r="H56" s="408"/>
      <c r="I56" s="408"/>
      <c r="J56" s="408"/>
      <c r="K56" s="408"/>
      <c r="L56" s="408"/>
      <c r="M56" s="408"/>
      <c r="N56" s="408"/>
      <c r="O56" s="408"/>
      <c r="P56" s="408"/>
      <c r="Q56" s="408"/>
      <c r="R56" s="408"/>
      <c r="S56" s="408"/>
      <c r="T56" s="408"/>
      <c r="U56" s="408"/>
      <c r="V56" s="408"/>
      <c r="W56" s="408"/>
      <c r="X56" s="408"/>
      <c r="Y56" s="408"/>
      <c r="Z56" s="408"/>
    </row>
    <row r="57" ht="14.25" customHeight="1">
      <c r="A57" s="408"/>
      <c r="B57" s="408"/>
      <c r="C57" s="408"/>
      <c r="D57" s="408"/>
      <c r="E57" s="408"/>
      <c r="F57" s="408"/>
      <c r="G57" s="408"/>
      <c r="H57" s="408"/>
      <c r="I57" s="408"/>
      <c r="J57" s="408"/>
      <c r="K57" s="408"/>
      <c r="L57" s="408"/>
      <c r="M57" s="408"/>
      <c r="N57" s="408"/>
      <c r="O57" s="408"/>
      <c r="P57" s="408"/>
      <c r="Q57" s="408"/>
      <c r="R57" s="408"/>
      <c r="S57" s="408"/>
      <c r="T57" s="408"/>
      <c r="U57" s="408"/>
      <c r="V57" s="408"/>
      <c r="W57" s="408"/>
      <c r="X57" s="408"/>
      <c r="Y57" s="408"/>
      <c r="Z57" s="408"/>
    </row>
    <row r="58" ht="14.25" customHeight="1">
      <c r="A58" s="408"/>
      <c r="B58" s="408"/>
      <c r="C58" s="408"/>
      <c r="D58" s="408"/>
      <c r="E58" s="408"/>
      <c r="F58" s="408"/>
      <c r="G58" s="408"/>
      <c r="H58" s="408"/>
      <c r="I58" s="408"/>
      <c r="J58" s="408"/>
      <c r="K58" s="408"/>
      <c r="L58" s="408"/>
      <c r="M58" s="408"/>
      <c r="N58" s="408"/>
      <c r="O58" s="408"/>
      <c r="P58" s="408"/>
      <c r="Q58" s="408"/>
      <c r="R58" s="408"/>
      <c r="S58" s="408"/>
      <c r="T58" s="408"/>
      <c r="U58" s="408"/>
      <c r="V58" s="408"/>
      <c r="W58" s="408"/>
      <c r="X58" s="408"/>
      <c r="Y58" s="408"/>
      <c r="Z58" s="408"/>
    </row>
    <row r="59" ht="14.25" customHeight="1">
      <c r="A59" s="408"/>
      <c r="B59" s="408"/>
      <c r="C59" s="408"/>
      <c r="D59" s="408"/>
      <c r="E59" s="408"/>
      <c r="F59" s="408"/>
      <c r="G59" s="408"/>
      <c r="H59" s="408"/>
      <c r="I59" s="408"/>
      <c r="J59" s="408"/>
      <c r="K59" s="408"/>
      <c r="L59" s="408"/>
      <c r="M59" s="408"/>
      <c r="N59" s="408"/>
      <c r="O59" s="408"/>
      <c r="P59" s="408"/>
      <c r="Q59" s="408"/>
      <c r="R59" s="408"/>
      <c r="S59" s="408"/>
      <c r="T59" s="408"/>
      <c r="U59" s="408"/>
      <c r="V59" s="408"/>
      <c r="W59" s="408"/>
      <c r="X59" s="408"/>
      <c r="Y59" s="408"/>
      <c r="Z59" s="408"/>
    </row>
    <row r="60" ht="14.25" customHeight="1">
      <c r="A60" s="408"/>
      <c r="B60" s="408"/>
      <c r="C60" s="408"/>
      <c r="D60" s="408"/>
      <c r="E60" s="408"/>
      <c r="F60" s="408"/>
      <c r="G60" s="408"/>
      <c r="H60" s="408"/>
      <c r="I60" s="408"/>
      <c r="J60" s="408"/>
      <c r="K60" s="408"/>
      <c r="L60" s="408"/>
      <c r="M60" s="408"/>
      <c r="N60" s="408"/>
      <c r="O60" s="408"/>
      <c r="P60" s="408"/>
      <c r="Q60" s="408"/>
      <c r="R60" s="408"/>
      <c r="S60" s="408"/>
      <c r="T60" s="408"/>
      <c r="U60" s="408"/>
      <c r="V60" s="408"/>
      <c r="W60" s="408"/>
      <c r="X60" s="408"/>
      <c r="Y60" s="408"/>
      <c r="Z60" s="408"/>
    </row>
    <row r="61" ht="14.25" customHeight="1">
      <c r="A61" s="408"/>
      <c r="B61" s="408"/>
      <c r="C61" s="408"/>
      <c r="D61" s="408"/>
      <c r="E61" s="408"/>
      <c r="F61" s="408"/>
      <c r="G61" s="408"/>
      <c r="H61" s="408"/>
      <c r="I61" s="408"/>
      <c r="J61" s="408"/>
      <c r="K61" s="408"/>
      <c r="L61" s="408"/>
      <c r="M61" s="408"/>
      <c r="N61" s="408"/>
      <c r="O61" s="408"/>
      <c r="P61" s="408"/>
      <c r="Q61" s="408"/>
      <c r="R61" s="408"/>
      <c r="S61" s="408"/>
      <c r="T61" s="408"/>
      <c r="U61" s="408"/>
      <c r="V61" s="408"/>
      <c r="W61" s="408"/>
      <c r="X61" s="408"/>
      <c r="Y61" s="408"/>
      <c r="Z61" s="408"/>
    </row>
    <row r="62" ht="14.25" customHeight="1">
      <c r="A62" s="408"/>
      <c r="B62" s="408"/>
      <c r="C62" s="408"/>
      <c r="D62" s="408"/>
      <c r="E62" s="408"/>
      <c r="F62" s="408"/>
      <c r="G62" s="408"/>
      <c r="H62" s="408"/>
      <c r="I62" s="408"/>
      <c r="J62" s="408"/>
      <c r="K62" s="408"/>
      <c r="L62" s="408"/>
      <c r="M62" s="408"/>
      <c r="N62" s="408"/>
      <c r="O62" s="408"/>
      <c r="P62" s="408"/>
      <c r="Q62" s="408"/>
      <c r="R62" s="408"/>
      <c r="S62" s="408"/>
      <c r="T62" s="408"/>
      <c r="U62" s="408"/>
      <c r="V62" s="408"/>
      <c r="W62" s="408"/>
      <c r="X62" s="408"/>
      <c r="Y62" s="408"/>
      <c r="Z62" s="408"/>
    </row>
    <row r="63" ht="14.25" customHeight="1">
      <c r="A63" s="408"/>
      <c r="B63" s="408"/>
      <c r="C63" s="408"/>
      <c r="D63" s="408"/>
      <c r="E63" s="408"/>
      <c r="F63" s="408"/>
      <c r="G63" s="408"/>
      <c r="H63" s="408"/>
      <c r="I63" s="408"/>
      <c r="J63" s="408"/>
      <c r="K63" s="408"/>
      <c r="L63" s="408"/>
      <c r="M63" s="408"/>
      <c r="N63" s="408"/>
      <c r="O63" s="408"/>
      <c r="P63" s="408"/>
      <c r="Q63" s="408"/>
      <c r="R63" s="408"/>
      <c r="S63" s="408"/>
      <c r="T63" s="408"/>
      <c r="U63" s="408"/>
      <c r="V63" s="408"/>
      <c r="W63" s="408"/>
      <c r="X63" s="408"/>
      <c r="Y63" s="408"/>
      <c r="Z63" s="408"/>
    </row>
    <row r="64" ht="14.25" customHeight="1">
      <c r="A64" s="408"/>
      <c r="B64" s="408"/>
      <c r="C64" s="408"/>
      <c r="D64" s="408"/>
      <c r="E64" s="408"/>
      <c r="F64" s="408"/>
      <c r="G64" s="408"/>
      <c r="H64" s="408"/>
      <c r="I64" s="408"/>
      <c r="J64" s="408"/>
      <c r="K64" s="408"/>
      <c r="L64" s="408"/>
      <c r="M64" s="408"/>
      <c r="N64" s="408"/>
      <c r="O64" s="408"/>
      <c r="P64" s="408"/>
      <c r="Q64" s="408"/>
      <c r="R64" s="408"/>
      <c r="S64" s="408"/>
      <c r="T64" s="408"/>
      <c r="U64" s="408"/>
      <c r="V64" s="408"/>
      <c r="W64" s="408"/>
      <c r="X64" s="408"/>
      <c r="Y64" s="408"/>
      <c r="Z64" s="408"/>
    </row>
    <row r="65" ht="14.25" customHeight="1">
      <c r="A65" s="408"/>
      <c r="B65" s="408"/>
      <c r="C65" s="408"/>
      <c r="D65" s="408"/>
      <c r="E65" s="408"/>
      <c r="F65" s="408"/>
      <c r="G65" s="408"/>
      <c r="H65" s="408"/>
      <c r="I65" s="408"/>
      <c r="J65" s="408"/>
      <c r="K65" s="408"/>
      <c r="L65" s="408"/>
      <c r="M65" s="408"/>
      <c r="N65" s="408"/>
      <c r="O65" s="408"/>
      <c r="P65" s="408"/>
      <c r="Q65" s="408"/>
      <c r="R65" s="408"/>
      <c r="S65" s="408"/>
      <c r="T65" s="408"/>
      <c r="U65" s="408"/>
      <c r="V65" s="408"/>
      <c r="W65" s="408"/>
      <c r="X65" s="408"/>
      <c r="Y65" s="408"/>
      <c r="Z65" s="408"/>
    </row>
    <row r="66" ht="14.25" customHeight="1">
      <c r="A66" s="408"/>
      <c r="B66" s="408"/>
      <c r="C66" s="408"/>
      <c r="D66" s="408"/>
      <c r="E66" s="408"/>
      <c r="F66" s="408"/>
      <c r="G66" s="408"/>
      <c r="H66" s="408"/>
      <c r="I66" s="408"/>
      <c r="J66" s="408"/>
      <c r="K66" s="408"/>
      <c r="L66" s="408"/>
      <c r="M66" s="408"/>
      <c r="N66" s="408"/>
      <c r="O66" s="408"/>
      <c r="P66" s="408"/>
      <c r="Q66" s="408"/>
      <c r="R66" s="408"/>
      <c r="S66" s="408"/>
      <c r="T66" s="408"/>
      <c r="U66" s="408"/>
      <c r="V66" s="408"/>
      <c r="W66" s="408"/>
      <c r="X66" s="408"/>
      <c r="Y66" s="408"/>
      <c r="Z66" s="408"/>
    </row>
    <row r="67" ht="14.25" customHeight="1">
      <c r="A67" s="408"/>
      <c r="B67" s="408"/>
      <c r="C67" s="408"/>
      <c r="D67" s="408"/>
      <c r="E67" s="408"/>
      <c r="F67" s="408"/>
      <c r="G67" s="408"/>
      <c r="H67" s="408"/>
      <c r="I67" s="408"/>
      <c r="J67" s="408"/>
      <c r="K67" s="408"/>
      <c r="L67" s="408"/>
      <c r="M67" s="408"/>
      <c r="N67" s="408"/>
      <c r="O67" s="408"/>
      <c r="P67" s="408"/>
      <c r="Q67" s="408"/>
      <c r="R67" s="408"/>
      <c r="S67" s="408"/>
      <c r="T67" s="408"/>
      <c r="U67" s="408"/>
      <c r="V67" s="408"/>
      <c r="W67" s="408"/>
      <c r="X67" s="408"/>
      <c r="Y67" s="408"/>
      <c r="Z67" s="408"/>
    </row>
    <row r="68" ht="14.25" customHeight="1">
      <c r="A68" s="408"/>
      <c r="B68" s="408"/>
      <c r="C68" s="408"/>
      <c r="D68" s="408"/>
      <c r="E68" s="408"/>
      <c r="F68" s="408"/>
      <c r="G68" s="408"/>
      <c r="H68" s="408"/>
      <c r="I68" s="408"/>
      <c r="J68" s="408"/>
      <c r="K68" s="408"/>
      <c r="L68" s="408"/>
      <c r="M68" s="408"/>
      <c r="N68" s="408"/>
      <c r="O68" s="408"/>
      <c r="P68" s="408"/>
      <c r="Q68" s="408"/>
      <c r="R68" s="408"/>
      <c r="S68" s="408"/>
      <c r="T68" s="408"/>
      <c r="U68" s="408"/>
      <c r="V68" s="408"/>
      <c r="W68" s="408"/>
      <c r="X68" s="408"/>
      <c r="Y68" s="408"/>
      <c r="Z68" s="408"/>
    </row>
    <row r="69" ht="14.25" customHeight="1">
      <c r="A69" s="408"/>
      <c r="B69" s="408"/>
      <c r="C69" s="408"/>
      <c r="D69" s="408"/>
      <c r="E69" s="408"/>
      <c r="F69" s="408"/>
      <c r="G69" s="408"/>
      <c r="H69" s="408"/>
      <c r="I69" s="408"/>
      <c r="J69" s="408"/>
      <c r="K69" s="408"/>
      <c r="L69" s="408"/>
      <c r="M69" s="408"/>
      <c r="N69" s="408"/>
      <c r="O69" s="408"/>
      <c r="P69" s="408"/>
      <c r="Q69" s="408"/>
      <c r="R69" s="408"/>
      <c r="S69" s="408"/>
      <c r="T69" s="408"/>
      <c r="U69" s="408"/>
      <c r="V69" s="408"/>
      <c r="W69" s="408"/>
      <c r="X69" s="408"/>
      <c r="Y69" s="408"/>
      <c r="Z69" s="408"/>
    </row>
    <row r="70" ht="14.25" customHeight="1">
      <c r="A70" s="408"/>
      <c r="B70" s="408"/>
      <c r="C70" s="408"/>
      <c r="D70" s="408"/>
      <c r="E70" s="408"/>
      <c r="F70" s="408"/>
      <c r="G70" s="408"/>
      <c r="H70" s="408"/>
      <c r="I70" s="408"/>
      <c r="J70" s="408"/>
      <c r="K70" s="408"/>
      <c r="L70" s="408"/>
      <c r="M70" s="408"/>
      <c r="N70" s="408"/>
      <c r="O70" s="408"/>
      <c r="P70" s="408"/>
      <c r="Q70" s="408"/>
      <c r="R70" s="408"/>
      <c r="S70" s="408"/>
      <c r="T70" s="408"/>
      <c r="U70" s="408"/>
      <c r="V70" s="408"/>
      <c r="W70" s="408"/>
      <c r="X70" s="408"/>
      <c r="Y70" s="408"/>
      <c r="Z70" s="408"/>
    </row>
    <row r="71" ht="14.25" customHeight="1">
      <c r="A71" s="408"/>
      <c r="B71" s="408"/>
      <c r="C71" s="408"/>
      <c r="D71" s="408"/>
      <c r="E71" s="408"/>
      <c r="F71" s="408"/>
      <c r="G71" s="408"/>
      <c r="H71" s="408"/>
      <c r="I71" s="408"/>
      <c r="J71" s="408"/>
      <c r="K71" s="408"/>
      <c r="L71" s="408"/>
      <c r="M71" s="408"/>
      <c r="N71" s="408"/>
      <c r="O71" s="408"/>
      <c r="P71" s="408"/>
      <c r="Q71" s="408"/>
      <c r="R71" s="408"/>
      <c r="S71" s="408"/>
      <c r="T71" s="408"/>
      <c r="U71" s="408"/>
      <c r="V71" s="408"/>
      <c r="W71" s="408"/>
      <c r="X71" s="408"/>
      <c r="Y71" s="408"/>
      <c r="Z71" s="408"/>
    </row>
    <row r="72" ht="14.25" customHeight="1">
      <c r="A72" s="408"/>
      <c r="B72" s="408"/>
      <c r="C72" s="408"/>
      <c r="D72" s="408"/>
      <c r="E72" s="408"/>
      <c r="F72" s="408"/>
      <c r="G72" s="408"/>
      <c r="H72" s="408"/>
      <c r="I72" s="408"/>
      <c r="J72" s="408"/>
      <c r="K72" s="408"/>
      <c r="L72" s="408"/>
      <c r="M72" s="408"/>
      <c r="N72" s="408"/>
      <c r="O72" s="408"/>
      <c r="P72" s="408"/>
      <c r="Q72" s="408"/>
      <c r="R72" s="408"/>
      <c r="S72" s="408"/>
      <c r="T72" s="408"/>
      <c r="U72" s="408"/>
      <c r="V72" s="408"/>
      <c r="W72" s="408"/>
      <c r="X72" s="408"/>
      <c r="Y72" s="408"/>
      <c r="Z72" s="408"/>
    </row>
    <row r="73" ht="14.25" customHeight="1">
      <c r="A73" s="408"/>
      <c r="B73" s="408"/>
      <c r="C73" s="408"/>
      <c r="D73" s="408"/>
      <c r="E73" s="408"/>
      <c r="F73" s="408"/>
      <c r="G73" s="408"/>
      <c r="H73" s="408"/>
      <c r="I73" s="408"/>
      <c r="J73" s="408"/>
      <c r="K73" s="408"/>
      <c r="L73" s="408"/>
      <c r="M73" s="408"/>
      <c r="N73" s="408"/>
      <c r="O73" s="408"/>
      <c r="P73" s="408"/>
      <c r="Q73" s="408"/>
      <c r="R73" s="408"/>
      <c r="S73" s="408"/>
      <c r="T73" s="408"/>
      <c r="U73" s="408"/>
      <c r="V73" s="408"/>
      <c r="W73" s="408"/>
      <c r="X73" s="408"/>
      <c r="Y73" s="408"/>
      <c r="Z73" s="408"/>
    </row>
    <row r="74" ht="14.25" customHeight="1">
      <c r="A74" s="408"/>
      <c r="B74" s="408"/>
      <c r="C74" s="408"/>
      <c r="D74" s="408"/>
      <c r="E74" s="408"/>
      <c r="F74" s="408"/>
      <c r="G74" s="408"/>
      <c r="H74" s="408"/>
      <c r="I74" s="408"/>
      <c r="J74" s="408"/>
      <c r="K74" s="408"/>
      <c r="L74" s="408"/>
      <c r="M74" s="408"/>
      <c r="N74" s="408"/>
      <c r="O74" s="408"/>
      <c r="P74" s="408"/>
      <c r="Q74" s="408"/>
      <c r="R74" s="408"/>
      <c r="S74" s="408"/>
      <c r="T74" s="408"/>
      <c r="U74" s="408"/>
      <c r="V74" s="408"/>
      <c r="W74" s="408"/>
      <c r="X74" s="408"/>
      <c r="Y74" s="408"/>
      <c r="Z74" s="408"/>
    </row>
    <row r="75" ht="14.25" customHeight="1">
      <c r="A75" s="408"/>
      <c r="B75" s="408"/>
      <c r="C75" s="408"/>
      <c r="D75" s="408"/>
      <c r="E75" s="408"/>
      <c r="F75" s="408"/>
      <c r="G75" s="408"/>
      <c r="H75" s="408"/>
      <c r="I75" s="408"/>
      <c r="J75" s="408"/>
      <c r="K75" s="408"/>
      <c r="L75" s="408"/>
      <c r="M75" s="408"/>
      <c r="N75" s="408"/>
      <c r="O75" s="408"/>
      <c r="P75" s="408"/>
      <c r="Q75" s="408"/>
      <c r="R75" s="408"/>
      <c r="S75" s="408"/>
      <c r="T75" s="408"/>
      <c r="U75" s="408"/>
      <c r="V75" s="408"/>
      <c r="W75" s="408"/>
      <c r="X75" s="408"/>
      <c r="Y75" s="408"/>
      <c r="Z75" s="408"/>
    </row>
    <row r="76" ht="14.25" customHeight="1">
      <c r="A76" s="408"/>
      <c r="B76" s="408"/>
      <c r="C76" s="408"/>
      <c r="D76" s="408"/>
      <c r="E76" s="408"/>
      <c r="F76" s="408"/>
      <c r="G76" s="408"/>
      <c r="H76" s="408"/>
      <c r="I76" s="408"/>
      <c r="J76" s="408"/>
      <c r="K76" s="408"/>
      <c r="L76" s="408"/>
      <c r="M76" s="408"/>
      <c r="N76" s="408"/>
      <c r="O76" s="408"/>
      <c r="P76" s="408"/>
      <c r="Q76" s="408"/>
      <c r="R76" s="408"/>
      <c r="S76" s="408"/>
      <c r="T76" s="408"/>
      <c r="U76" s="408"/>
      <c r="V76" s="408"/>
      <c r="W76" s="408"/>
      <c r="X76" s="408"/>
      <c r="Y76" s="408"/>
      <c r="Z76" s="408"/>
    </row>
    <row r="77" ht="14.25" customHeight="1">
      <c r="A77" s="408"/>
      <c r="B77" s="408"/>
      <c r="C77" s="408"/>
      <c r="D77" s="408"/>
      <c r="E77" s="408"/>
      <c r="F77" s="408"/>
      <c r="G77" s="408"/>
      <c r="H77" s="408"/>
      <c r="I77" s="408"/>
      <c r="J77" s="408"/>
      <c r="K77" s="408"/>
      <c r="L77" s="408"/>
      <c r="M77" s="408"/>
      <c r="N77" s="408"/>
      <c r="O77" s="408"/>
      <c r="P77" s="408"/>
      <c r="Q77" s="408"/>
      <c r="R77" s="408"/>
      <c r="S77" s="408"/>
      <c r="T77" s="408"/>
      <c r="U77" s="408"/>
      <c r="V77" s="408"/>
      <c r="W77" s="408"/>
      <c r="X77" s="408"/>
      <c r="Y77" s="408"/>
      <c r="Z77" s="408"/>
    </row>
    <row r="78" ht="14.25" customHeight="1">
      <c r="A78" s="408"/>
      <c r="B78" s="408"/>
      <c r="C78" s="408"/>
      <c r="D78" s="408"/>
      <c r="E78" s="408"/>
      <c r="F78" s="408"/>
      <c r="G78" s="408"/>
      <c r="H78" s="408"/>
      <c r="I78" s="408"/>
      <c r="J78" s="408"/>
      <c r="K78" s="408"/>
      <c r="L78" s="408"/>
      <c r="M78" s="408"/>
      <c r="N78" s="408"/>
      <c r="O78" s="408"/>
      <c r="P78" s="408"/>
      <c r="Q78" s="408"/>
      <c r="R78" s="408"/>
      <c r="S78" s="408"/>
      <c r="T78" s="408"/>
      <c r="U78" s="408"/>
      <c r="V78" s="408"/>
      <c r="W78" s="408"/>
      <c r="X78" s="408"/>
      <c r="Y78" s="408"/>
      <c r="Z78" s="408"/>
    </row>
    <row r="79" ht="14.25" customHeight="1">
      <c r="A79" s="408"/>
      <c r="B79" s="408"/>
      <c r="C79" s="408"/>
      <c r="D79" s="408"/>
      <c r="E79" s="408"/>
      <c r="F79" s="408"/>
      <c r="G79" s="408"/>
      <c r="H79" s="408"/>
      <c r="I79" s="408"/>
      <c r="J79" s="408"/>
      <c r="K79" s="408"/>
      <c r="L79" s="408"/>
      <c r="M79" s="408"/>
      <c r="N79" s="408"/>
      <c r="O79" s="408"/>
      <c r="P79" s="408"/>
      <c r="Q79" s="408"/>
      <c r="R79" s="408"/>
      <c r="S79" s="408"/>
      <c r="T79" s="408"/>
      <c r="U79" s="408"/>
      <c r="V79" s="408"/>
      <c r="W79" s="408"/>
      <c r="X79" s="408"/>
      <c r="Y79" s="408"/>
      <c r="Z79" s="408"/>
    </row>
    <row r="80" ht="14.25" customHeight="1">
      <c r="A80" s="408"/>
      <c r="B80" s="408"/>
      <c r="C80" s="408"/>
      <c r="D80" s="408"/>
      <c r="E80" s="408"/>
      <c r="F80" s="408"/>
      <c r="G80" s="408"/>
      <c r="H80" s="408"/>
      <c r="I80" s="408"/>
      <c r="J80" s="408"/>
      <c r="K80" s="408"/>
      <c r="L80" s="408"/>
      <c r="M80" s="408"/>
      <c r="N80" s="408"/>
      <c r="O80" s="408"/>
      <c r="P80" s="408"/>
      <c r="Q80" s="408"/>
      <c r="R80" s="408"/>
      <c r="S80" s="408"/>
      <c r="T80" s="408"/>
      <c r="U80" s="408"/>
      <c r="V80" s="408"/>
      <c r="W80" s="408"/>
      <c r="X80" s="408"/>
      <c r="Y80" s="408"/>
      <c r="Z80" s="408"/>
    </row>
    <row r="81" ht="14.25" customHeight="1">
      <c r="A81" s="408"/>
      <c r="B81" s="408"/>
      <c r="C81" s="408"/>
      <c r="D81" s="408"/>
      <c r="E81" s="408"/>
      <c r="F81" s="408"/>
      <c r="G81" s="408"/>
      <c r="H81" s="408"/>
      <c r="I81" s="408"/>
      <c r="J81" s="408"/>
      <c r="K81" s="408"/>
      <c r="L81" s="408"/>
      <c r="M81" s="408"/>
      <c r="N81" s="408"/>
      <c r="O81" s="408"/>
      <c r="P81" s="408"/>
      <c r="Q81" s="408"/>
      <c r="R81" s="408"/>
      <c r="S81" s="408"/>
      <c r="T81" s="408"/>
      <c r="U81" s="408"/>
      <c r="V81" s="408"/>
      <c r="W81" s="408"/>
      <c r="X81" s="408"/>
      <c r="Y81" s="408"/>
      <c r="Z81" s="408"/>
    </row>
    <row r="82" ht="14.25" customHeight="1">
      <c r="A82" s="408"/>
      <c r="B82" s="408"/>
      <c r="C82" s="408"/>
      <c r="D82" s="408"/>
      <c r="E82" s="408"/>
      <c r="F82" s="408"/>
      <c r="G82" s="408"/>
      <c r="H82" s="408"/>
      <c r="I82" s="408"/>
      <c r="J82" s="408"/>
      <c r="K82" s="408"/>
      <c r="L82" s="408"/>
      <c r="M82" s="408"/>
      <c r="N82" s="408"/>
      <c r="O82" s="408"/>
      <c r="P82" s="408"/>
      <c r="Q82" s="408"/>
      <c r="R82" s="408"/>
      <c r="S82" s="408"/>
      <c r="T82" s="408"/>
      <c r="U82" s="408"/>
      <c r="V82" s="408"/>
      <c r="W82" s="408"/>
      <c r="X82" s="408"/>
      <c r="Y82" s="408"/>
      <c r="Z82" s="408"/>
    </row>
    <row r="83" ht="14.25" customHeight="1">
      <c r="A83" s="408"/>
      <c r="B83" s="408"/>
      <c r="C83" s="408"/>
      <c r="D83" s="408"/>
      <c r="E83" s="408"/>
      <c r="F83" s="408"/>
      <c r="G83" s="408"/>
      <c r="H83" s="408"/>
      <c r="I83" s="408"/>
      <c r="J83" s="408"/>
      <c r="K83" s="408"/>
      <c r="L83" s="408"/>
      <c r="M83" s="408"/>
      <c r="N83" s="408"/>
      <c r="O83" s="408"/>
      <c r="P83" s="408"/>
      <c r="Q83" s="408"/>
      <c r="R83" s="408"/>
      <c r="S83" s="408"/>
      <c r="T83" s="408"/>
      <c r="U83" s="408"/>
      <c r="V83" s="408"/>
      <c r="W83" s="408"/>
      <c r="X83" s="408"/>
      <c r="Y83" s="408"/>
      <c r="Z83" s="408"/>
    </row>
    <row r="84" ht="14.25" customHeight="1">
      <c r="A84" s="408"/>
      <c r="B84" s="408"/>
      <c r="C84" s="408"/>
      <c r="D84" s="408"/>
      <c r="E84" s="408"/>
      <c r="F84" s="408"/>
      <c r="G84" s="408"/>
      <c r="H84" s="408"/>
      <c r="I84" s="408"/>
      <c r="J84" s="408"/>
      <c r="K84" s="408"/>
      <c r="L84" s="408"/>
      <c r="M84" s="408"/>
      <c r="N84" s="408"/>
      <c r="O84" s="408"/>
      <c r="P84" s="408"/>
      <c r="Q84" s="408"/>
      <c r="R84" s="408"/>
      <c r="S84" s="408"/>
      <c r="T84" s="408"/>
      <c r="U84" s="408"/>
      <c r="V84" s="408"/>
      <c r="W84" s="408"/>
      <c r="X84" s="408"/>
      <c r="Y84" s="408"/>
      <c r="Z84" s="408"/>
    </row>
    <row r="85" ht="14.25" customHeight="1">
      <c r="A85" s="408"/>
      <c r="B85" s="408"/>
      <c r="C85" s="408"/>
      <c r="D85" s="408"/>
      <c r="E85" s="408"/>
      <c r="F85" s="408"/>
      <c r="G85" s="408"/>
      <c r="H85" s="408"/>
      <c r="I85" s="408"/>
      <c r="J85" s="408"/>
      <c r="K85" s="408"/>
      <c r="L85" s="408"/>
      <c r="M85" s="408"/>
      <c r="N85" s="408"/>
      <c r="O85" s="408"/>
      <c r="P85" s="408"/>
      <c r="Q85" s="408"/>
      <c r="R85" s="408"/>
      <c r="S85" s="408"/>
      <c r="T85" s="408"/>
      <c r="U85" s="408"/>
      <c r="V85" s="408"/>
      <c r="W85" s="408"/>
      <c r="X85" s="408"/>
      <c r="Y85" s="408"/>
      <c r="Z85" s="408"/>
    </row>
    <row r="86" ht="14.25" customHeight="1">
      <c r="A86" s="408"/>
      <c r="B86" s="408"/>
      <c r="C86" s="408"/>
      <c r="D86" s="408"/>
      <c r="E86" s="408"/>
      <c r="F86" s="408"/>
      <c r="G86" s="408"/>
      <c r="H86" s="408"/>
      <c r="I86" s="408"/>
      <c r="J86" s="408"/>
      <c r="K86" s="408"/>
      <c r="L86" s="408"/>
      <c r="M86" s="408"/>
      <c r="N86" s="408"/>
      <c r="O86" s="408"/>
      <c r="P86" s="408"/>
      <c r="Q86" s="408"/>
      <c r="R86" s="408"/>
      <c r="S86" s="408"/>
      <c r="T86" s="408"/>
      <c r="U86" s="408"/>
      <c r="V86" s="408"/>
      <c r="W86" s="408"/>
      <c r="X86" s="408"/>
      <c r="Y86" s="408"/>
      <c r="Z86" s="408"/>
    </row>
    <row r="87" ht="14.25" customHeight="1">
      <c r="A87" s="408"/>
      <c r="B87" s="408"/>
      <c r="C87" s="408"/>
      <c r="D87" s="408"/>
      <c r="E87" s="408"/>
      <c r="F87" s="408"/>
      <c r="G87" s="408"/>
      <c r="H87" s="408"/>
      <c r="I87" s="408"/>
      <c r="J87" s="408"/>
      <c r="K87" s="408"/>
      <c r="L87" s="408"/>
      <c r="M87" s="408"/>
      <c r="N87" s="408"/>
      <c r="O87" s="408"/>
      <c r="P87" s="408"/>
      <c r="Q87" s="408"/>
      <c r="R87" s="408"/>
      <c r="S87" s="408"/>
      <c r="T87" s="408"/>
      <c r="U87" s="408"/>
      <c r="V87" s="408"/>
      <c r="W87" s="408"/>
      <c r="X87" s="408"/>
      <c r="Y87" s="408"/>
      <c r="Z87" s="408"/>
    </row>
    <row r="88" ht="14.25" customHeight="1">
      <c r="A88" s="408"/>
      <c r="B88" s="408"/>
      <c r="C88" s="408"/>
      <c r="D88" s="408"/>
      <c r="E88" s="408"/>
      <c r="F88" s="408"/>
      <c r="G88" s="408"/>
      <c r="H88" s="408"/>
      <c r="I88" s="408"/>
      <c r="J88" s="408"/>
      <c r="K88" s="408"/>
      <c r="L88" s="408"/>
      <c r="M88" s="408"/>
      <c r="N88" s="408"/>
      <c r="O88" s="408"/>
      <c r="P88" s="408"/>
      <c r="Q88" s="408"/>
      <c r="R88" s="408"/>
      <c r="S88" s="408"/>
      <c r="T88" s="408"/>
      <c r="U88" s="408"/>
      <c r="V88" s="408"/>
      <c r="W88" s="408"/>
      <c r="X88" s="408"/>
      <c r="Y88" s="408"/>
      <c r="Z88" s="408"/>
    </row>
    <row r="89" ht="14.25" customHeight="1">
      <c r="A89" s="408"/>
      <c r="B89" s="408"/>
      <c r="C89" s="408"/>
      <c r="D89" s="408"/>
      <c r="E89" s="408"/>
      <c r="F89" s="408"/>
      <c r="G89" s="408"/>
      <c r="H89" s="408"/>
      <c r="I89" s="408"/>
      <c r="J89" s="408"/>
      <c r="K89" s="408"/>
      <c r="L89" s="408"/>
      <c r="M89" s="408"/>
      <c r="N89" s="408"/>
      <c r="O89" s="408"/>
      <c r="P89" s="408"/>
      <c r="Q89" s="408"/>
      <c r="R89" s="408"/>
      <c r="S89" s="408"/>
      <c r="T89" s="408"/>
      <c r="U89" s="408"/>
      <c r="V89" s="408"/>
      <c r="W89" s="408"/>
      <c r="X89" s="408"/>
      <c r="Y89" s="408"/>
      <c r="Z89" s="408"/>
    </row>
    <row r="90" ht="14.25" customHeight="1">
      <c r="A90" s="408"/>
      <c r="B90" s="408"/>
      <c r="C90" s="408"/>
      <c r="D90" s="408"/>
      <c r="E90" s="408"/>
      <c r="F90" s="408"/>
      <c r="G90" s="408"/>
      <c r="H90" s="408"/>
      <c r="I90" s="408"/>
      <c r="J90" s="408"/>
      <c r="K90" s="408"/>
      <c r="L90" s="408"/>
      <c r="M90" s="408"/>
      <c r="N90" s="408"/>
      <c r="O90" s="408"/>
      <c r="P90" s="408"/>
      <c r="Q90" s="408"/>
      <c r="R90" s="408"/>
      <c r="S90" s="408"/>
      <c r="T90" s="408"/>
      <c r="U90" s="408"/>
      <c r="V90" s="408"/>
      <c r="W90" s="408"/>
      <c r="X90" s="408"/>
      <c r="Y90" s="408"/>
      <c r="Z90" s="408"/>
    </row>
    <row r="91" ht="14.25" customHeight="1">
      <c r="A91" s="408"/>
      <c r="B91" s="408"/>
      <c r="C91" s="408"/>
      <c r="D91" s="408"/>
      <c r="E91" s="408"/>
      <c r="F91" s="408"/>
      <c r="G91" s="408"/>
      <c r="H91" s="408"/>
      <c r="I91" s="408"/>
      <c r="J91" s="408"/>
      <c r="K91" s="408"/>
      <c r="L91" s="408"/>
      <c r="M91" s="408"/>
      <c r="N91" s="408"/>
      <c r="O91" s="408"/>
      <c r="P91" s="408"/>
      <c r="Q91" s="408"/>
      <c r="R91" s="408"/>
      <c r="S91" s="408"/>
      <c r="T91" s="408"/>
      <c r="U91" s="408"/>
      <c r="V91" s="408"/>
      <c r="W91" s="408"/>
      <c r="X91" s="408"/>
      <c r="Y91" s="408"/>
      <c r="Z91" s="408"/>
    </row>
    <row r="92" ht="14.25" customHeight="1">
      <c r="A92" s="408"/>
      <c r="B92" s="408"/>
      <c r="C92" s="408"/>
      <c r="D92" s="408"/>
      <c r="E92" s="408"/>
      <c r="F92" s="408"/>
      <c r="G92" s="408"/>
      <c r="H92" s="408"/>
      <c r="I92" s="408"/>
      <c r="J92" s="408"/>
      <c r="K92" s="408"/>
      <c r="L92" s="408"/>
      <c r="M92" s="408"/>
      <c r="N92" s="408"/>
      <c r="O92" s="408"/>
      <c r="P92" s="408"/>
      <c r="Q92" s="408"/>
      <c r="R92" s="408"/>
      <c r="S92" s="408"/>
      <c r="T92" s="408"/>
      <c r="U92" s="408"/>
      <c r="V92" s="408"/>
      <c r="W92" s="408"/>
      <c r="X92" s="408"/>
      <c r="Y92" s="408"/>
      <c r="Z92" s="408"/>
    </row>
    <row r="93" ht="14.25" customHeight="1">
      <c r="A93" s="408"/>
      <c r="B93" s="408"/>
      <c r="C93" s="408"/>
      <c r="D93" s="408"/>
      <c r="E93" s="408"/>
      <c r="F93" s="408"/>
      <c r="G93" s="408"/>
      <c r="H93" s="408"/>
      <c r="I93" s="408"/>
      <c r="J93" s="408"/>
      <c r="K93" s="408"/>
      <c r="L93" s="408"/>
      <c r="M93" s="408"/>
      <c r="N93" s="408"/>
      <c r="O93" s="408"/>
      <c r="P93" s="408"/>
      <c r="Q93" s="408"/>
      <c r="R93" s="408"/>
      <c r="S93" s="408"/>
      <c r="T93" s="408"/>
      <c r="U93" s="408"/>
      <c r="V93" s="408"/>
      <c r="W93" s="408"/>
      <c r="X93" s="408"/>
      <c r="Y93" s="408"/>
      <c r="Z93" s="408"/>
    </row>
    <row r="94" ht="14.25" customHeight="1">
      <c r="A94" s="408"/>
      <c r="B94" s="408"/>
      <c r="C94" s="408"/>
      <c r="D94" s="408"/>
      <c r="E94" s="408"/>
      <c r="F94" s="408"/>
      <c r="G94" s="408"/>
      <c r="H94" s="408"/>
      <c r="I94" s="408"/>
      <c r="J94" s="408"/>
      <c r="K94" s="408"/>
      <c r="L94" s="408"/>
      <c r="M94" s="408"/>
      <c r="N94" s="408"/>
      <c r="O94" s="408"/>
      <c r="P94" s="408"/>
      <c r="Q94" s="408"/>
      <c r="R94" s="408"/>
      <c r="S94" s="408"/>
      <c r="T94" s="408"/>
      <c r="U94" s="408"/>
      <c r="V94" s="408"/>
      <c r="W94" s="408"/>
      <c r="X94" s="408"/>
      <c r="Y94" s="408"/>
      <c r="Z94" s="408"/>
    </row>
    <row r="95" ht="14.25" customHeight="1">
      <c r="A95" s="408"/>
      <c r="B95" s="408"/>
      <c r="C95" s="408"/>
      <c r="D95" s="408"/>
      <c r="E95" s="408"/>
      <c r="F95" s="408"/>
      <c r="G95" s="408"/>
      <c r="H95" s="408"/>
      <c r="I95" s="408"/>
      <c r="J95" s="408"/>
      <c r="K95" s="408"/>
      <c r="L95" s="408"/>
      <c r="M95" s="408"/>
      <c r="N95" s="408"/>
      <c r="O95" s="408"/>
      <c r="P95" s="408"/>
      <c r="Q95" s="408"/>
      <c r="R95" s="408"/>
      <c r="S95" s="408"/>
      <c r="T95" s="408"/>
      <c r="U95" s="408"/>
      <c r="V95" s="408"/>
      <c r="W95" s="408"/>
      <c r="X95" s="408"/>
      <c r="Y95" s="408"/>
      <c r="Z95" s="408"/>
    </row>
    <row r="96" ht="14.25" customHeight="1">
      <c r="A96" s="408"/>
      <c r="B96" s="408"/>
      <c r="C96" s="408"/>
      <c r="D96" s="408"/>
      <c r="E96" s="408"/>
      <c r="F96" s="408"/>
      <c r="G96" s="408"/>
      <c r="H96" s="408"/>
      <c r="I96" s="408"/>
      <c r="J96" s="408"/>
      <c r="K96" s="408"/>
      <c r="L96" s="408"/>
      <c r="M96" s="408"/>
      <c r="N96" s="408"/>
      <c r="O96" s="408"/>
      <c r="P96" s="408"/>
      <c r="Q96" s="408"/>
      <c r="R96" s="408"/>
      <c r="S96" s="408"/>
      <c r="T96" s="408"/>
      <c r="U96" s="408"/>
      <c r="V96" s="408"/>
      <c r="W96" s="408"/>
      <c r="X96" s="408"/>
      <c r="Y96" s="408"/>
      <c r="Z96" s="408"/>
    </row>
    <row r="97" ht="14.25" customHeight="1">
      <c r="A97" s="408"/>
      <c r="B97" s="408"/>
      <c r="C97" s="408"/>
      <c r="D97" s="408"/>
      <c r="E97" s="408"/>
      <c r="F97" s="408"/>
      <c r="G97" s="408"/>
      <c r="H97" s="408"/>
      <c r="I97" s="408"/>
      <c r="J97" s="408"/>
      <c r="K97" s="408"/>
      <c r="L97" s="408"/>
      <c r="M97" s="408"/>
      <c r="N97" s="408"/>
      <c r="O97" s="408"/>
      <c r="P97" s="408"/>
      <c r="Q97" s="408"/>
      <c r="R97" s="408"/>
      <c r="S97" s="408"/>
      <c r="T97" s="408"/>
      <c r="U97" s="408"/>
      <c r="V97" s="408"/>
      <c r="W97" s="408"/>
      <c r="X97" s="408"/>
      <c r="Y97" s="408"/>
      <c r="Z97" s="408"/>
    </row>
    <row r="98" ht="14.25" customHeight="1">
      <c r="A98" s="408"/>
      <c r="B98" s="408"/>
      <c r="C98" s="408"/>
      <c r="D98" s="408"/>
      <c r="E98" s="408"/>
      <c r="F98" s="408"/>
      <c r="G98" s="408"/>
      <c r="H98" s="408"/>
      <c r="I98" s="408"/>
      <c r="J98" s="408"/>
      <c r="K98" s="408"/>
      <c r="L98" s="408"/>
      <c r="M98" s="408"/>
      <c r="N98" s="408"/>
      <c r="O98" s="408"/>
      <c r="P98" s="408"/>
      <c r="Q98" s="408"/>
      <c r="R98" s="408"/>
      <c r="S98" s="408"/>
      <c r="T98" s="408"/>
      <c r="U98" s="408"/>
      <c r="V98" s="408"/>
      <c r="W98" s="408"/>
      <c r="X98" s="408"/>
      <c r="Y98" s="408"/>
      <c r="Z98" s="408"/>
    </row>
    <row r="99" ht="14.25" customHeight="1">
      <c r="A99" s="408"/>
      <c r="B99" s="408"/>
      <c r="C99" s="408"/>
      <c r="D99" s="408"/>
      <c r="E99" s="408"/>
      <c r="F99" s="408"/>
      <c r="G99" s="408"/>
      <c r="H99" s="408"/>
      <c r="I99" s="408"/>
      <c r="J99" s="408"/>
      <c r="K99" s="408"/>
      <c r="L99" s="408"/>
      <c r="M99" s="408"/>
      <c r="N99" s="408"/>
      <c r="O99" s="408"/>
      <c r="P99" s="408"/>
      <c r="Q99" s="408"/>
      <c r="R99" s="408"/>
      <c r="S99" s="408"/>
      <c r="T99" s="408"/>
      <c r="U99" s="408"/>
      <c r="V99" s="408"/>
      <c r="W99" s="408"/>
      <c r="X99" s="408"/>
      <c r="Y99" s="408"/>
      <c r="Z99" s="408"/>
    </row>
    <row r="100" ht="14.25" customHeight="1">
      <c r="A100" s="408"/>
      <c r="B100" s="408"/>
      <c r="C100" s="408"/>
      <c r="D100" s="408"/>
      <c r="E100" s="408"/>
      <c r="F100" s="408"/>
      <c r="G100" s="408"/>
      <c r="H100" s="408"/>
      <c r="I100" s="408"/>
      <c r="J100" s="408"/>
      <c r="K100" s="408"/>
      <c r="L100" s="408"/>
      <c r="M100" s="408"/>
      <c r="N100" s="408"/>
      <c r="O100" s="408"/>
      <c r="P100" s="408"/>
      <c r="Q100" s="408"/>
      <c r="R100" s="408"/>
      <c r="S100" s="408"/>
      <c r="T100" s="408"/>
      <c r="U100" s="408"/>
      <c r="V100" s="408"/>
      <c r="W100" s="408"/>
      <c r="X100" s="408"/>
      <c r="Y100" s="408"/>
      <c r="Z100" s="408"/>
    </row>
    <row r="101" ht="14.25" customHeight="1">
      <c r="A101" s="408"/>
      <c r="B101" s="408"/>
      <c r="C101" s="408"/>
      <c r="D101" s="408"/>
      <c r="E101" s="408"/>
      <c r="F101" s="408"/>
      <c r="G101" s="408"/>
      <c r="H101" s="408"/>
      <c r="I101" s="408"/>
      <c r="J101" s="408"/>
      <c r="K101" s="408"/>
      <c r="L101" s="408"/>
      <c r="M101" s="408"/>
      <c r="N101" s="408"/>
      <c r="O101" s="408"/>
      <c r="P101" s="408"/>
      <c r="Q101" s="408"/>
      <c r="R101" s="408"/>
      <c r="S101" s="408"/>
      <c r="T101" s="408"/>
      <c r="U101" s="408"/>
      <c r="V101" s="408"/>
      <c r="W101" s="408"/>
      <c r="X101" s="408"/>
      <c r="Y101" s="408"/>
      <c r="Z101" s="408"/>
    </row>
    <row r="102" ht="14.25" customHeight="1">
      <c r="A102" s="408"/>
      <c r="B102" s="408"/>
      <c r="C102" s="408"/>
      <c r="D102" s="408"/>
      <c r="E102" s="408"/>
      <c r="F102" s="408"/>
      <c r="G102" s="408"/>
      <c r="H102" s="408"/>
      <c r="I102" s="408"/>
      <c r="J102" s="408"/>
      <c r="K102" s="408"/>
      <c r="L102" s="408"/>
      <c r="M102" s="408"/>
      <c r="N102" s="408"/>
      <c r="O102" s="408"/>
      <c r="P102" s="408"/>
      <c r="Q102" s="408"/>
      <c r="R102" s="408"/>
      <c r="S102" s="408"/>
      <c r="T102" s="408"/>
      <c r="U102" s="408"/>
      <c r="V102" s="408"/>
      <c r="W102" s="408"/>
      <c r="X102" s="408"/>
      <c r="Y102" s="408"/>
      <c r="Z102" s="408"/>
    </row>
    <row r="103" ht="14.25" customHeight="1">
      <c r="A103" s="408"/>
      <c r="B103" s="408"/>
      <c r="C103" s="408"/>
      <c r="D103" s="408"/>
      <c r="E103" s="408"/>
      <c r="F103" s="408"/>
      <c r="G103" s="408"/>
      <c r="H103" s="408"/>
      <c r="I103" s="408"/>
      <c r="J103" s="408"/>
      <c r="K103" s="408"/>
      <c r="L103" s="408"/>
      <c r="M103" s="408"/>
      <c r="N103" s="408"/>
      <c r="O103" s="408"/>
      <c r="P103" s="408"/>
      <c r="Q103" s="408"/>
      <c r="R103" s="408"/>
      <c r="S103" s="408"/>
      <c r="T103" s="408"/>
      <c r="U103" s="408"/>
      <c r="V103" s="408"/>
      <c r="W103" s="408"/>
      <c r="X103" s="408"/>
      <c r="Y103" s="408"/>
      <c r="Z103" s="408"/>
    </row>
    <row r="104" ht="14.25" customHeight="1">
      <c r="A104" s="408"/>
      <c r="B104" s="408"/>
      <c r="C104" s="408"/>
      <c r="D104" s="408"/>
      <c r="E104" s="408"/>
      <c r="F104" s="408"/>
      <c r="G104" s="408"/>
      <c r="H104" s="408"/>
      <c r="I104" s="408"/>
      <c r="J104" s="408"/>
      <c r="K104" s="408"/>
      <c r="L104" s="408"/>
      <c r="M104" s="408"/>
      <c r="N104" s="408"/>
      <c r="O104" s="408"/>
      <c r="P104" s="408"/>
      <c r="Q104" s="408"/>
      <c r="R104" s="408"/>
      <c r="S104" s="408"/>
      <c r="T104" s="408"/>
      <c r="U104" s="408"/>
      <c r="V104" s="408"/>
      <c r="W104" s="408"/>
      <c r="X104" s="408"/>
      <c r="Y104" s="408"/>
      <c r="Z104" s="408"/>
    </row>
    <row r="105" ht="14.25" customHeight="1">
      <c r="A105" s="408"/>
      <c r="B105" s="408"/>
      <c r="C105" s="408"/>
      <c r="D105" s="408"/>
      <c r="E105" s="408"/>
      <c r="F105" s="408"/>
      <c r="G105" s="408"/>
      <c r="H105" s="408"/>
      <c r="I105" s="408"/>
      <c r="J105" s="408"/>
      <c r="K105" s="408"/>
      <c r="L105" s="408"/>
      <c r="M105" s="408"/>
      <c r="N105" s="408"/>
      <c r="O105" s="408"/>
      <c r="P105" s="408"/>
      <c r="Q105" s="408"/>
      <c r="R105" s="408"/>
      <c r="S105" s="408"/>
      <c r="T105" s="408"/>
      <c r="U105" s="408"/>
      <c r="V105" s="408"/>
      <c r="W105" s="408"/>
      <c r="X105" s="408"/>
      <c r="Y105" s="408"/>
      <c r="Z105" s="408"/>
    </row>
    <row r="106" ht="14.25" customHeight="1">
      <c r="A106" s="408"/>
      <c r="B106" s="408"/>
      <c r="C106" s="408"/>
      <c r="D106" s="408"/>
      <c r="E106" s="408"/>
      <c r="F106" s="408"/>
      <c r="G106" s="408"/>
      <c r="H106" s="408"/>
      <c r="I106" s="408"/>
      <c r="J106" s="408"/>
      <c r="K106" s="408"/>
      <c r="L106" s="408"/>
      <c r="M106" s="408"/>
      <c r="N106" s="408"/>
      <c r="O106" s="408"/>
      <c r="P106" s="408"/>
      <c r="Q106" s="408"/>
      <c r="R106" s="408"/>
      <c r="S106" s="408"/>
      <c r="T106" s="408"/>
      <c r="U106" s="408"/>
      <c r="V106" s="408"/>
      <c r="W106" s="408"/>
      <c r="X106" s="408"/>
      <c r="Y106" s="408"/>
      <c r="Z106" s="408"/>
    </row>
    <row r="107" ht="14.25" customHeight="1">
      <c r="A107" s="408"/>
      <c r="B107" s="408"/>
      <c r="C107" s="408"/>
      <c r="D107" s="408"/>
      <c r="E107" s="408"/>
      <c r="F107" s="408"/>
      <c r="G107" s="408"/>
      <c r="H107" s="408"/>
      <c r="I107" s="408"/>
      <c r="J107" s="408"/>
      <c r="K107" s="408"/>
      <c r="L107" s="408"/>
      <c r="M107" s="408"/>
      <c r="N107" s="408"/>
      <c r="O107" s="408"/>
      <c r="P107" s="408"/>
      <c r="Q107" s="408"/>
      <c r="R107" s="408"/>
      <c r="S107" s="408"/>
      <c r="T107" s="408"/>
      <c r="U107" s="408"/>
      <c r="V107" s="408"/>
      <c r="W107" s="408"/>
      <c r="X107" s="408"/>
      <c r="Y107" s="408"/>
      <c r="Z107" s="408"/>
    </row>
    <row r="108" ht="14.25" customHeight="1">
      <c r="A108" s="408"/>
      <c r="B108" s="408"/>
      <c r="C108" s="408"/>
      <c r="D108" s="408"/>
      <c r="E108" s="408"/>
      <c r="F108" s="408"/>
      <c r="G108" s="408"/>
      <c r="H108" s="408"/>
      <c r="I108" s="408"/>
      <c r="J108" s="408"/>
      <c r="K108" s="408"/>
      <c r="L108" s="408"/>
      <c r="M108" s="408"/>
      <c r="N108" s="408"/>
      <c r="O108" s="408"/>
      <c r="P108" s="408"/>
      <c r="Q108" s="408"/>
      <c r="R108" s="408"/>
      <c r="S108" s="408"/>
      <c r="T108" s="408"/>
      <c r="U108" s="408"/>
      <c r="V108" s="408"/>
      <c r="W108" s="408"/>
      <c r="X108" s="408"/>
      <c r="Y108" s="408"/>
      <c r="Z108" s="408"/>
    </row>
    <row r="109" ht="14.25" customHeight="1">
      <c r="A109" s="408"/>
      <c r="B109" s="408"/>
      <c r="C109" s="408"/>
      <c r="D109" s="408"/>
      <c r="E109" s="408"/>
      <c r="F109" s="408"/>
      <c r="G109" s="408"/>
      <c r="H109" s="408"/>
      <c r="I109" s="408"/>
      <c r="J109" s="408"/>
      <c r="K109" s="408"/>
      <c r="L109" s="408"/>
      <c r="M109" s="408"/>
      <c r="N109" s="408"/>
      <c r="O109" s="408"/>
      <c r="P109" s="408"/>
      <c r="Q109" s="408"/>
      <c r="R109" s="408"/>
      <c r="S109" s="408"/>
      <c r="T109" s="408"/>
      <c r="U109" s="408"/>
      <c r="V109" s="408"/>
      <c r="W109" s="408"/>
      <c r="X109" s="408"/>
      <c r="Y109" s="408"/>
      <c r="Z109" s="408"/>
    </row>
    <row r="110" ht="14.25" customHeight="1">
      <c r="A110" s="408"/>
      <c r="B110" s="408"/>
      <c r="C110" s="408"/>
      <c r="D110" s="408"/>
      <c r="E110" s="408"/>
      <c r="F110" s="408"/>
      <c r="G110" s="408"/>
      <c r="H110" s="408"/>
      <c r="I110" s="408"/>
      <c r="J110" s="408"/>
      <c r="K110" s="408"/>
      <c r="L110" s="408"/>
      <c r="M110" s="408"/>
      <c r="N110" s="408"/>
      <c r="O110" s="408"/>
      <c r="P110" s="408"/>
      <c r="Q110" s="408"/>
      <c r="R110" s="408"/>
      <c r="S110" s="408"/>
      <c r="T110" s="408"/>
      <c r="U110" s="408"/>
      <c r="V110" s="408"/>
      <c r="W110" s="408"/>
      <c r="X110" s="408"/>
      <c r="Y110" s="408"/>
      <c r="Z110" s="408"/>
    </row>
    <row r="111" ht="14.25" customHeight="1">
      <c r="A111" s="408"/>
      <c r="B111" s="408"/>
      <c r="C111" s="408"/>
      <c r="D111" s="408"/>
      <c r="E111" s="408"/>
      <c r="F111" s="408"/>
      <c r="G111" s="408"/>
      <c r="H111" s="408"/>
      <c r="I111" s="408"/>
      <c r="J111" s="408"/>
      <c r="K111" s="408"/>
      <c r="L111" s="408"/>
      <c r="M111" s="408"/>
      <c r="N111" s="408"/>
      <c r="O111" s="408"/>
      <c r="P111" s="408"/>
      <c r="Q111" s="408"/>
      <c r="R111" s="408"/>
      <c r="S111" s="408"/>
      <c r="T111" s="408"/>
      <c r="U111" s="408"/>
      <c r="V111" s="408"/>
      <c r="W111" s="408"/>
      <c r="X111" s="408"/>
      <c r="Y111" s="408"/>
      <c r="Z111" s="408"/>
    </row>
    <row r="112" ht="14.25" customHeight="1">
      <c r="A112" s="408"/>
      <c r="B112" s="408"/>
      <c r="C112" s="408"/>
      <c r="D112" s="408"/>
      <c r="E112" s="408"/>
      <c r="F112" s="408"/>
      <c r="G112" s="408"/>
      <c r="H112" s="408"/>
      <c r="I112" s="408"/>
      <c r="J112" s="408"/>
      <c r="K112" s="408"/>
      <c r="L112" s="408"/>
      <c r="M112" s="408"/>
      <c r="N112" s="408"/>
      <c r="O112" s="408"/>
      <c r="P112" s="408"/>
      <c r="Q112" s="408"/>
      <c r="R112" s="408"/>
      <c r="S112" s="408"/>
      <c r="T112" s="408"/>
      <c r="U112" s="408"/>
      <c r="V112" s="408"/>
      <c r="W112" s="408"/>
      <c r="X112" s="408"/>
      <c r="Y112" s="408"/>
      <c r="Z112" s="408"/>
    </row>
    <row r="113" ht="14.25" customHeight="1">
      <c r="A113" s="408"/>
      <c r="B113" s="408"/>
      <c r="C113" s="408"/>
      <c r="D113" s="408"/>
      <c r="E113" s="408"/>
      <c r="F113" s="408"/>
      <c r="G113" s="408"/>
      <c r="H113" s="408"/>
      <c r="I113" s="408"/>
      <c r="J113" s="408"/>
      <c r="K113" s="408"/>
      <c r="L113" s="408"/>
      <c r="M113" s="408"/>
      <c r="N113" s="408"/>
      <c r="O113" s="408"/>
      <c r="P113" s="408"/>
      <c r="Q113" s="408"/>
      <c r="R113" s="408"/>
      <c r="S113" s="408"/>
      <c r="T113" s="408"/>
      <c r="U113" s="408"/>
      <c r="V113" s="408"/>
      <c r="W113" s="408"/>
      <c r="X113" s="408"/>
      <c r="Y113" s="408"/>
      <c r="Z113" s="408"/>
    </row>
    <row r="114" ht="14.25" customHeight="1">
      <c r="A114" s="408"/>
      <c r="B114" s="408"/>
      <c r="C114" s="408"/>
      <c r="D114" s="408"/>
      <c r="E114" s="408"/>
      <c r="F114" s="408"/>
      <c r="G114" s="408"/>
      <c r="H114" s="408"/>
      <c r="I114" s="408"/>
      <c r="J114" s="408"/>
      <c r="K114" s="408"/>
      <c r="L114" s="408"/>
      <c r="M114" s="408"/>
      <c r="N114" s="408"/>
      <c r="O114" s="408"/>
      <c r="P114" s="408"/>
      <c r="Q114" s="408"/>
      <c r="R114" s="408"/>
      <c r="S114" s="408"/>
      <c r="T114" s="408"/>
      <c r="U114" s="408"/>
      <c r="V114" s="408"/>
      <c r="W114" s="408"/>
      <c r="X114" s="408"/>
      <c r="Y114" s="408"/>
      <c r="Z114" s="408"/>
    </row>
    <row r="115" ht="14.25" customHeight="1">
      <c r="A115" s="408"/>
      <c r="B115" s="408"/>
      <c r="C115" s="408"/>
      <c r="D115" s="408"/>
      <c r="E115" s="408"/>
      <c r="F115" s="408"/>
      <c r="G115" s="408"/>
      <c r="H115" s="408"/>
      <c r="I115" s="408"/>
      <c r="J115" s="408"/>
      <c r="K115" s="408"/>
      <c r="L115" s="408"/>
      <c r="M115" s="408"/>
      <c r="N115" s="408"/>
      <c r="O115" s="408"/>
      <c r="P115" s="408"/>
      <c r="Q115" s="408"/>
      <c r="R115" s="408"/>
      <c r="S115" s="408"/>
      <c r="T115" s="408"/>
      <c r="U115" s="408"/>
      <c r="V115" s="408"/>
      <c r="W115" s="408"/>
      <c r="X115" s="408"/>
      <c r="Y115" s="408"/>
      <c r="Z115" s="408"/>
    </row>
    <row r="116" ht="14.25" customHeight="1">
      <c r="A116" s="408"/>
      <c r="B116" s="408"/>
      <c r="C116" s="408"/>
      <c r="D116" s="408"/>
      <c r="E116" s="408"/>
      <c r="F116" s="408"/>
      <c r="G116" s="408"/>
      <c r="H116" s="408"/>
      <c r="I116" s="408"/>
      <c r="J116" s="408"/>
      <c r="K116" s="408"/>
      <c r="L116" s="408"/>
      <c r="M116" s="408"/>
      <c r="N116" s="408"/>
      <c r="O116" s="408"/>
      <c r="P116" s="408"/>
      <c r="Q116" s="408"/>
      <c r="R116" s="408"/>
      <c r="S116" s="408"/>
      <c r="T116" s="408"/>
      <c r="U116" s="408"/>
      <c r="V116" s="408"/>
      <c r="W116" s="408"/>
      <c r="X116" s="408"/>
      <c r="Y116" s="408"/>
      <c r="Z116" s="408"/>
    </row>
    <row r="117" ht="14.25" customHeight="1">
      <c r="A117" s="408"/>
      <c r="B117" s="408"/>
      <c r="C117" s="408"/>
      <c r="D117" s="408"/>
      <c r="E117" s="408"/>
      <c r="F117" s="408"/>
      <c r="G117" s="408"/>
      <c r="H117" s="408"/>
      <c r="I117" s="408"/>
      <c r="J117" s="408"/>
      <c r="K117" s="408"/>
      <c r="L117" s="408"/>
      <c r="M117" s="408"/>
      <c r="N117" s="408"/>
      <c r="O117" s="408"/>
      <c r="P117" s="408"/>
      <c r="Q117" s="408"/>
      <c r="R117" s="408"/>
      <c r="S117" s="408"/>
      <c r="T117" s="408"/>
      <c r="U117" s="408"/>
      <c r="V117" s="408"/>
      <c r="W117" s="408"/>
      <c r="X117" s="408"/>
      <c r="Y117" s="408"/>
      <c r="Z117" s="408"/>
    </row>
    <row r="118" ht="14.25" customHeight="1">
      <c r="A118" s="408"/>
      <c r="B118" s="408"/>
      <c r="C118" s="408"/>
      <c r="D118" s="408"/>
      <c r="E118" s="408"/>
      <c r="F118" s="408"/>
      <c r="G118" s="408"/>
      <c r="H118" s="408"/>
      <c r="I118" s="408"/>
      <c r="J118" s="408"/>
      <c r="K118" s="408"/>
      <c r="L118" s="408"/>
      <c r="M118" s="408"/>
      <c r="N118" s="408"/>
      <c r="O118" s="408"/>
      <c r="P118" s="408"/>
      <c r="Q118" s="408"/>
      <c r="R118" s="408"/>
      <c r="S118" s="408"/>
      <c r="T118" s="408"/>
      <c r="U118" s="408"/>
      <c r="V118" s="408"/>
      <c r="W118" s="408"/>
      <c r="X118" s="408"/>
      <c r="Y118" s="408"/>
      <c r="Z118" s="408"/>
    </row>
    <row r="119" ht="14.25" customHeight="1">
      <c r="A119" s="408"/>
      <c r="B119" s="408"/>
      <c r="C119" s="408"/>
      <c r="D119" s="408"/>
      <c r="E119" s="408"/>
      <c r="F119" s="408"/>
      <c r="G119" s="408"/>
      <c r="H119" s="408"/>
      <c r="I119" s="408"/>
      <c r="J119" s="408"/>
      <c r="K119" s="408"/>
      <c r="L119" s="408"/>
      <c r="M119" s="408"/>
      <c r="N119" s="408"/>
      <c r="O119" s="408"/>
      <c r="P119" s="408"/>
      <c r="Q119" s="408"/>
      <c r="R119" s="408"/>
      <c r="S119" s="408"/>
      <c r="T119" s="408"/>
      <c r="U119" s="408"/>
      <c r="V119" s="408"/>
      <c r="W119" s="408"/>
      <c r="X119" s="408"/>
      <c r="Y119" s="408"/>
      <c r="Z119" s="408"/>
    </row>
    <row r="120" ht="14.25" customHeight="1">
      <c r="A120" s="408"/>
      <c r="B120" s="408"/>
      <c r="C120" s="408"/>
      <c r="D120" s="408"/>
      <c r="E120" s="408"/>
      <c r="F120" s="408"/>
      <c r="G120" s="408"/>
      <c r="H120" s="408"/>
      <c r="I120" s="408"/>
      <c r="J120" s="408"/>
      <c r="K120" s="408"/>
      <c r="L120" s="408"/>
      <c r="M120" s="408"/>
      <c r="N120" s="408"/>
      <c r="O120" s="408"/>
      <c r="P120" s="408"/>
      <c r="Q120" s="408"/>
      <c r="R120" s="408"/>
      <c r="S120" s="408"/>
      <c r="T120" s="408"/>
      <c r="U120" s="408"/>
      <c r="V120" s="408"/>
      <c r="W120" s="408"/>
      <c r="X120" s="408"/>
      <c r="Y120" s="408"/>
      <c r="Z120" s="408"/>
    </row>
    <row r="121" ht="14.25" customHeight="1">
      <c r="A121" s="408"/>
      <c r="B121" s="408"/>
      <c r="C121" s="408"/>
      <c r="D121" s="408"/>
      <c r="E121" s="408"/>
      <c r="F121" s="408"/>
      <c r="G121" s="408"/>
      <c r="H121" s="408"/>
      <c r="I121" s="408"/>
      <c r="J121" s="408"/>
      <c r="K121" s="408"/>
      <c r="L121" s="408"/>
      <c r="M121" s="408"/>
      <c r="N121" s="408"/>
      <c r="O121" s="408"/>
      <c r="P121" s="408"/>
      <c r="Q121" s="408"/>
      <c r="R121" s="408"/>
      <c r="S121" s="408"/>
      <c r="T121" s="408"/>
      <c r="U121" s="408"/>
      <c r="V121" s="408"/>
      <c r="W121" s="408"/>
      <c r="X121" s="408"/>
      <c r="Y121" s="408"/>
      <c r="Z121" s="408"/>
    </row>
    <row r="122" ht="14.25" customHeight="1">
      <c r="A122" s="408"/>
      <c r="B122" s="408"/>
      <c r="C122" s="408"/>
      <c r="D122" s="408"/>
      <c r="E122" s="408"/>
      <c r="F122" s="408"/>
      <c r="G122" s="408"/>
      <c r="H122" s="408"/>
      <c r="I122" s="408"/>
      <c r="J122" s="408"/>
      <c r="K122" s="408"/>
      <c r="L122" s="408"/>
      <c r="M122" s="408"/>
      <c r="N122" s="408"/>
      <c r="O122" s="408"/>
      <c r="P122" s="408"/>
      <c r="Q122" s="408"/>
      <c r="R122" s="408"/>
      <c r="S122" s="408"/>
      <c r="T122" s="408"/>
      <c r="U122" s="408"/>
      <c r="V122" s="408"/>
      <c r="W122" s="408"/>
      <c r="X122" s="408"/>
      <c r="Y122" s="408"/>
      <c r="Z122" s="408"/>
    </row>
    <row r="123" ht="14.25" customHeight="1">
      <c r="A123" s="408"/>
      <c r="B123" s="408"/>
      <c r="C123" s="408"/>
      <c r="D123" s="408"/>
      <c r="E123" s="408"/>
      <c r="F123" s="408"/>
      <c r="G123" s="408"/>
      <c r="H123" s="408"/>
      <c r="I123" s="408"/>
      <c r="J123" s="408"/>
      <c r="K123" s="408"/>
      <c r="L123" s="408"/>
      <c r="M123" s="408"/>
      <c r="N123" s="408"/>
      <c r="O123" s="408"/>
      <c r="P123" s="408"/>
      <c r="Q123" s="408"/>
      <c r="R123" s="408"/>
      <c r="S123" s="408"/>
      <c r="T123" s="408"/>
      <c r="U123" s="408"/>
      <c r="V123" s="408"/>
      <c r="W123" s="408"/>
      <c r="X123" s="408"/>
      <c r="Y123" s="408"/>
      <c r="Z123" s="408"/>
    </row>
    <row r="124" ht="14.25" customHeight="1">
      <c r="A124" s="408"/>
      <c r="B124" s="408"/>
      <c r="C124" s="408"/>
      <c r="D124" s="408"/>
      <c r="E124" s="408"/>
      <c r="F124" s="408"/>
      <c r="G124" s="408"/>
      <c r="H124" s="408"/>
      <c r="I124" s="408"/>
      <c r="J124" s="408"/>
      <c r="K124" s="408"/>
      <c r="L124" s="408"/>
      <c r="M124" s="408"/>
      <c r="N124" s="408"/>
      <c r="O124" s="408"/>
      <c r="P124" s="408"/>
      <c r="Q124" s="408"/>
      <c r="R124" s="408"/>
      <c r="S124" s="408"/>
      <c r="T124" s="408"/>
      <c r="U124" s="408"/>
      <c r="V124" s="408"/>
      <c r="W124" s="408"/>
      <c r="X124" s="408"/>
      <c r="Y124" s="408"/>
      <c r="Z124" s="408"/>
    </row>
    <row r="125" ht="14.25" customHeight="1">
      <c r="A125" s="408"/>
      <c r="B125" s="408"/>
      <c r="C125" s="408"/>
      <c r="D125" s="408"/>
      <c r="E125" s="408"/>
      <c r="F125" s="408"/>
      <c r="G125" s="408"/>
      <c r="H125" s="408"/>
      <c r="I125" s="408"/>
      <c r="J125" s="408"/>
      <c r="K125" s="408"/>
      <c r="L125" s="408"/>
      <c r="M125" s="408"/>
      <c r="N125" s="408"/>
      <c r="O125" s="408"/>
      <c r="P125" s="408"/>
      <c r="Q125" s="408"/>
      <c r="R125" s="408"/>
      <c r="S125" s="408"/>
      <c r="T125" s="408"/>
      <c r="U125" s="408"/>
      <c r="V125" s="408"/>
      <c r="W125" s="408"/>
      <c r="X125" s="408"/>
      <c r="Y125" s="408"/>
      <c r="Z125" s="408"/>
    </row>
    <row r="126" ht="14.25" customHeight="1">
      <c r="A126" s="408"/>
      <c r="B126" s="408"/>
      <c r="C126" s="408"/>
      <c r="D126" s="408"/>
      <c r="E126" s="408"/>
      <c r="F126" s="408"/>
      <c r="G126" s="408"/>
      <c r="H126" s="408"/>
      <c r="I126" s="408"/>
      <c r="J126" s="408"/>
      <c r="K126" s="408"/>
      <c r="L126" s="408"/>
      <c r="M126" s="408"/>
      <c r="N126" s="408"/>
      <c r="O126" s="408"/>
      <c r="P126" s="408"/>
      <c r="Q126" s="408"/>
      <c r="R126" s="408"/>
      <c r="S126" s="408"/>
      <c r="T126" s="408"/>
      <c r="U126" s="408"/>
      <c r="V126" s="408"/>
      <c r="W126" s="408"/>
      <c r="X126" s="408"/>
      <c r="Y126" s="408"/>
      <c r="Z126" s="408"/>
    </row>
    <row r="127" ht="14.25" customHeight="1">
      <c r="A127" s="408"/>
      <c r="B127" s="408"/>
      <c r="C127" s="408"/>
      <c r="D127" s="408"/>
      <c r="E127" s="408"/>
      <c r="F127" s="408"/>
      <c r="G127" s="408"/>
      <c r="H127" s="408"/>
      <c r="I127" s="408"/>
      <c r="J127" s="408"/>
      <c r="K127" s="408"/>
      <c r="L127" s="408"/>
      <c r="M127" s="408"/>
      <c r="N127" s="408"/>
      <c r="O127" s="408"/>
      <c r="P127" s="408"/>
      <c r="Q127" s="408"/>
      <c r="R127" s="408"/>
      <c r="S127" s="408"/>
      <c r="T127" s="408"/>
      <c r="U127" s="408"/>
      <c r="V127" s="408"/>
      <c r="W127" s="408"/>
      <c r="X127" s="408"/>
      <c r="Y127" s="408"/>
      <c r="Z127" s="408"/>
    </row>
    <row r="128" ht="14.25" customHeight="1">
      <c r="A128" s="408"/>
      <c r="B128" s="408"/>
      <c r="C128" s="408"/>
      <c r="D128" s="408"/>
      <c r="E128" s="408"/>
      <c r="F128" s="408"/>
      <c r="G128" s="408"/>
      <c r="H128" s="408"/>
      <c r="I128" s="408"/>
      <c r="J128" s="408"/>
      <c r="K128" s="408"/>
      <c r="L128" s="408"/>
      <c r="M128" s="408"/>
      <c r="N128" s="408"/>
      <c r="O128" s="408"/>
      <c r="P128" s="408"/>
      <c r="Q128" s="408"/>
      <c r="R128" s="408"/>
      <c r="S128" s="408"/>
      <c r="T128" s="408"/>
      <c r="U128" s="408"/>
      <c r="V128" s="408"/>
      <c r="W128" s="408"/>
      <c r="X128" s="408"/>
      <c r="Y128" s="408"/>
      <c r="Z128" s="408"/>
    </row>
    <row r="129" ht="14.25" customHeight="1">
      <c r="A129" s="408"/>
      <c r="B129" s="408"/>
      <c r="C129" s="408"/>
      <c r="D129" s="408"/>
      <c r="E129" s="408"/>
      <c r="F129" s="408"/>
      <c r="G129" s="408"/>
      <c r="H129" s="408"/>
      <c r="I129" s="408"/>
      <c r="J129" s="408"/>
      <c r="K129" s="408"/>
      <c r="L129" s="408"/>
      <c r="M129" s="408"/>
      <c r="N129" s="408"/>
      <c r="O129" s="408"/>
      <c r="P129" s="408"/>
      <c r="Q129" s="408"/>
      <c r="R129" s="408"/>
      <c r="S129" s="408"/>
      <c r="T129" s="408"/>
      <c r="U129" s="408"/>
      <c r="V129" s="408"/>
      <c r="W129" s="408"/>
      <c r="X129" s="408"/>
      <c r="Y129" s="408"/>
      <c r="Z129" s="408"/>
    </row>
    <row r="130" ht="14.25" customHeight="1">
      <c r="A130" s="408"/>
      <c r="B130" s="408"/>
      <c r="C130" s="408"/>
      <c r="D130" s="408"/>
      <c r="E130" s="408"/>
      <c r="F130" s="408"/>
      <c r="G130" s="408"/>
      <c r="H130" s="408"/>
      <c r="I130" s="408"/>
      <c r="J130" s="408"/>
      <c r="K130" s="408"/>
      <c r="L130" s="408"/>
      <c r="M130" s="408"/>
      <c r="N130" s="408"/>
      <c r="O130" s="408"/>
      <c r="P130" s="408"/>
      <c r="Q130" s="408"/>
      <c r="R130" s="408"/>
      <c r="S130" s="408"/>
      <c r="T130" s="408"/>
      <c r="U130" s="408"/>
      <c r="V130" s="408"/>
      <c r="W130" s="408"/>
      <c r="X130" s="408"/>
      <c r="Y130" s="408"/>
      <c r="Z130" s="408"/>
    </row>
    <row r="131" ht="14.25" customHeight="1">
      <c r="A131" s="408"/>
      <c r="B131" s="408"/>
      <c r="C131" s="408"/>
      <c r="D131" s="408"/>
      <c r="E131" s="408"/>
      <c r="F131" s="408"/>
      <c r="G131" s="408"/>
      <c r="H131" s="408"/>
      <c r="I131" s="408"/>
      <c r="J131" s="408"/>
      <c r="K131" s="408"/>
      <c r="L131" s="408"/>
      <c r="M131" s="408"/>
      <c r="N131" s="408"/>
      <c r="O131" s="408"/>
      <c r="P131" s="408"/>
      <c r="Q131" s="408"/>
      <c r="R131" s="408"/>
      <c r="S131" s="408"/>
      <c r="T131" s="408"/>
      <c r="U131" s="408"/>
      <c r="V131" s="408"/>
      <c r="W131" s="408"/>
      <c r="X131" s="408"/>
      <c r="Y131" s="408"/>
      <c r="Z131" s="408"/>
    </row>
    <row r="132" ht="14.25" customHeight="1">
      <c r="A132" s="408"/>
      <c r="B132" s="408"/>
      <c r="C132" s="408"/>
      <c r="D132" s="408"/>
      <c r="E132" s="408"/>
      <c r="F132" s="408"/>
      <c r="G132" s="408"/>
      <c r="H132" s="408"/>
      <c r="I132" s="408"/>
      <c r="J132" s="408"/>
      <c r="K132" s="408"/>
      <c r="L132" s="408"/>
      <c r="M132" s="408"/>
      <c r="N132" s="408"/>
      <c r="O132" s="408"/>
      <c r="P132" s="408"/>
      <c r="Q132" s="408"/>
      <c r="R132" s="408"/>
      <c r="S132" s="408"/>
      <c r="T132" s="408"/>
      <c r="U132" s="408"/>
      <c r="V132" s="408"/>
      <c r="W132" s="408"/>
      <c r="X132" s="408"/>
      <c r="Y132" s="408"/>
      <c r="Z132" s="408"/>
    </row>
    <row r="133" ht="14.25" customHeight="1">
      <c r="A133" s="408"/>
      <c r="B133" s="408"/>
      <c r="C133" s="408"/>
      <c r="D133" s="408"/>
      <c r="E133" s="408"/>
      <c r="F133" s="408"/>
      <c r="G133" s="408"/>
      <c r="H133" s="408"/>
      <c r="I133" s="408"/>
      <c r="J133" s="408"/>
      <c r="K133" s="408"/>
      <c r="L133" s="408"/>
      <c r="M133" s="408"/>
      <c r="N133" s="408"/>
      <c r="O133" s="408"/>
      <c r="P133" s="408"/>
      <c r="Q133" s="408"/>
      <c r="R133" s="408"/>
      <c r="S133" s="408"/>
      <c r="T133" s="408"/>
      <c r="U133" s="408"/>
      <c r="V133" s="408"/>
      <c r="W133" s="408"/>
      <c r="X133" s="408"/>
      <c r="Y133" s="408"/>
      <c r="Z133" s="408"/>
    </row>
    <row r="134" ht="14.25" customHeight="1">
      <c r="A134" s="408"/>
      <c r="B134" s="408"/>
      <c r="C134" s="408"/>
      <c r="D134" s="408"/>
      <c r="E134" s="408"/>
      <c r="F134" s="408"/>
      <c r="G134" s="408"/>
      <c r="H134" s="408"/>
      <c r="I134" s="408"/>
      <c r="J134" s="408"/>
      <c r="K134" s="408"/>
      <c r="L134" s="408"/>
      <c r="M134" s="408"/>
      <c r="N134" s="408"/>
      <c r="O134" s="408"/>
      <c r="P134" s="408"/>
      <c r="Q134" s="408"/>
      <c r="R134" s="408"/>
      <c r="S134" s="408"/>
      <c r="T134" s="408"/>
      <c r="U134" s="408"/>
      <c r="V134" s="408"/>
      <c r="W134" s="408"/>
      <c r="X134" s="408"/>
      <c r="Y134" s="408"/>
      <c r="Z134" s="408"/>
    </row>
    <row r="135" ht="14.25" customHeight="1">
      <c r="A135" s="408"/>
      <c r="B135" s="408"/>
      <c r="C135" s="408"/>
      <c r="D135" s="408"/>
      <c r="E135" s="408"/>
      <c r="F135" s="408"/>
      <c r="G135" s="408"/>
      <c r="H135" s="408"/>
      <c r="I135" s="408"/>
      <c r="J135" s="408"/>
      <c r="K135" s="408"/>
      <c r="L135" s="408"/>
      <c r="M135" s="408"/>
      <c r="N135" s="408"/>
      <c r="O135" s="408"/>
      <c r="P135" s="408"/>
      <c r="Q135" s="408"/>
      <c r="R135" s="408"/>
      <c r="S135" s="408"/>
      <c r="T135" s="408"/>
      <c r="U135" s="408"/>
      <c r="V135" s="408"/>
      <c r="W135" s="408"/>
      <c r="X135" s="408"/>
      <c r="Y135" s="408"/>
      <c r="Z135" s="408"/>
    </row>
    <row r="136" ht="14.25" customHeight="1">
      <c r="A136" s="408"/>
      <c r="B136" s="408"/>
      <c r="C136" s="408"/>
      <c r="D136" s="408"/>
      <c r="E136" s="408"/>
      <c r="F136" s="408"/>
      <c r="G136" s="408"/>
      <c r="H136" s="408"/>
      <c r="I136" s="408"/>
      <c r="J136" s="408"/>
      <c r="K136" s="408"/>
      <c r="L136" s="408"/>
      <c r="M136" s="408"/>
      <c r="N136" s="408"/>
      <c r="O136" s="408"/>
      <c r="P136" s="408"/>
      <c r="Q136" s="408"/>
      <c r="R136" s="408"/>
      <c r="S136" s="408"/>
      <c r="T136" s="408"/>
      <c r="U136" s="408"/>
      <c r="V136" s="408"/>
      <c r="W136" s="408"/>
      <c r="X136" s="408"/>
      <c r="Y136" s="408"/>
      <c r="Z136" s="408"/>
    </row>
    <row r="137" ht="14.25" customHeight="1">
      <c r="A137" s="408"/>
      <c r="B137" s="408"/>
      <c r="C137" s="408"/>
      <c r="D137" s="408"/>
      <c r="E137" s="408"/>
      <c r="F137" s="408"/>
      <c r="G137" s="408"/>
      <c r="H137" s="408"/>
      <c r="I137" s="408"/>
      <c r="J137" s="408"/>
      <c r="K137" s="408"/>
      <c r="L137" s="408"/>
      <c r="M137" s="408"/>
      <c r="N137" s="408"/>
      <c r="O137" s="408"/>
      <c r="P137" s="408"/>
      <c r="Q137" s="408"/>
      <c r="R137" s="408"/>
      <c r="S137" s="408"/>
      <c r="T137" s="408"/>
      <c r="U137" s="408"/>
      <c r="V137" s="408"/>
      <c r="W137" s="408"/>
      <c r="X137" s="408"/>
      <c r="Y137" s="408"/>
      <c r="Z137" s="408"/>
    </row>
    <row r="138" ht="14.25" customHeight="1">
      <c r="A138" s="408"/>
      <c r="B138" s="408"/>
      <c r="C138" s="408"/>
      <c r="D138" s="408"/>
      <c r="E138" s="408"/>
      <c r="F138" s="408"/>
      <c r="G138" s="408"/>
      <c r="H138" s="408"/>
      <c r="I138" s="408"/>
      <c r="J138" s="408"/>
      <c r="K138" s="408"/>
      <c r="L138" s="408"/>
      <c r="M138" s="408"/>
      <c r="N138" s="408"/>
      <c r="O138" s="408"/>
      <c r="P138" s="408"/>
      <c r="Q138" s="408"/>
      <c r="R138" s="408"/>
      <c r="S138" s="408"/>
      <c r="T138" s="408"/>
      <c r="U138" s="408"/>
      <c r="V138" s="408"/>
      <c r="W138" s="408"/>
      <c r="X138" s="408"/>
      <c r="Y138" s="408"/>
      <c r="Z138" s="408"/>
    </row>
    <row r="139" ht="14.25" customHeight="1">
      <c r="A139" s="408"/>
      <c r="B139" s="408"/>
      <c r="C139" s="408"/>
      <c r="D139" s="408"/>
      <c r="E139" s="408"/>
      <c r="F139" s="408"/>
      <c r="G139" s="408"/>
      <c r="H139" s="408"/>
      <c r="I139" s="408"/>
      <c r="J139" s="408"/>
      <c r="K139" s="408"/>
      <c r="L139" s="408"/>
      <c r="M139" s="408"/>
      <c r="N139" s="408"/>
      <c r="O139" s="408"/>
      <c r="P139" s="408"/>
      <c r="Q139" s="408"/>
      <c r="R139" s="408"/>
      <c r="S139" s="408"/>
      <c r="T139" s="408"/>
      <c r="U139" s="408"/>
      <c r="V139" s="408"/>
      <c r="W139" s="408"/>
      <c r="X139" s="408"/>
      <c r="Y139" s="408"/>
      <c r="Z139" s="408"/>
    </row>
    <row r="140" ht="14.25" customHeight="1">
      <c r="A140" s="408"/>
      <c r="B140" s="408"/>
      <c r="C140" s="408"/>
      <c r="D140" s="408"/>
      <c r="E140" s="408"/>
      <c r="F140" s="408"/>
      <c r="G140" s="408"/>
      <c r="H140" s="408"/>
      <c r="I140" s="408"/>
      <c r="J140" s="408"/>
      <c r="K140" s="408"/>
      <c r="L140" s="408"/>
      <c r="M140" s="408"/>
      <c r="N140" s="408"/>
      <c r="O140" s="408"/>
      <c r="P140" s="408"/>
      <c r="Q140" s="408"/>
      <c r="R140" s="408"/>
      <c r="S140" s="408"/>
      <c r="T140" s="408"/>
      <c r="U140" s="408"/>
      <c r="V140" s="408"/>
      <c r="W140" s="408"/>
      <c r="X140" s="408"/>
      <c r="Y140" s="408"/>
      <c r="Z140" s="408"/>
    </row>
    <row r="141" ht="14.25" customHeight="1">
      <c r="A141" s="408"/>
      <c r="B141" s="408"/>
      <c r="C141" s="408"/>
      <c r="D141" s="408"/>
      <c r="E141" s="408"/>
      <c r="F141" s="408"/>
      <c r="G141" s="408"/>
      <c r="H141" s="408"/>
      <c r="I141" s="408"/>
      <c r="J141" s="408"/>
      <c r="K141" s="408"/>
      <c r="L141" s="408"/>
      <c r="M141" s="408"/>
      <c r="N141" s="408"/>
      <c r="O141" s="408"/>
      <c r="P141" s="408"/>
      <c r="Q141" s="408"/>
      <c r="R141" s="408"/>
      <c r="S141" s="408"/>
      <c r="T141" s="408"/>
      <c r="U141" s="408"/>
      <c r="V141" s="408"/>
      <c r="W141" s="408"/>
      <c r="X141" s="408"/>
      <c r="Y141" s="408"/>
      <c r="Z141" s="408"/>
    </row>
    <row r="142" ht="14.25" customHeight="1">
      <c r="A142" s="408"/>
      <c r="B142" s="408"/>
      <c r="C142" s="408"/>
      <c r="D142" s="408"/>
      <c r="E142" s="408"/>
      <c r="F142" s="408"/>
      <c r="G142" s="408"/>
      <c r="H142" s="408"/>
      <c r="I142" s="408"/>
      <c r="J142" s="408"/>
      <c r="K142" s="408"/>
      <c r="L142" s="408"/>
      <c r="M142" s="408"/>
      <c r="N142" s="408"/>
      <c r="O142" s="408"/>
      <c r="P142" s="408"/>
      <c r="Q142" s="408"/>
      <c r="R142" s="408"/>
      <c r="S142" s="408"/>
      <c r="T142" s="408"/>
      <c r="U142" s="408"/>
      <c r="V142" s="408"/>
      <c r="W142" s="408"/>
      <c r="X142" s="408"/>
      <c r="Y142" s="408"/>
      <c r="Z142" s="408"/>
    </row>
    <row r="143" ht="14.25" customHeight="1">
      <c r="A143" s="408"/>
      <c r="B143" s="408"/>
      <c r="C143" s="408"/>
      <c r="D143" s="408"/>
      <c r="E143" s="408"/>
      <c r="F143" s="408"/>
      <c r="G143" s="408"/>
      <c r="H143" s="408"/>
      <c r="I143" s="408"/>
      <c r="J143" s="408"/>
      <c r="K143" s="408"/>
      <c r="L143" s="408"/>
      <c r="M143" s="408"/>
      <c r="N143" s="408"/>
      <c r="O143" s="408"/>
      <c r="P143" s="408"/>
      <c r="Q143" s="408"/>
      <c r="R143" s="408"/>
      <c r="S143" s="408"/>
      <c r="T143" s="408"/>
      <c r="U143" s="408"/>
      <c r="V143" s="408"/>
      <c r="W143" s="408"/>
      <c r="X143" s="408"/>
      <c r="Y143" s="408"/>
      <c r="Z143" s="408"/>
    </row>
    <row r="144" ht="14.25" customHeight="1">
      <c r="A144" s="408"/>
      <c r="B144" s="408"/>
      <c r="C144" s="408"/>
      <c r="D144" s="408"/>
      <c r="E144" s="408"/>
      <c r="F144" s="408"/>
      <c r="G144" s="408"/>
      <c r="H144" s="408"/>
      <c r="I144" s="408"/>
      <c r="J144" s="408"/>
      <c r="K144" s="408"/>
      <c r="L144" s="408"/>
      <c r="M144" s="408"/>
      <c r="N144" s="408"/>
      <c r="O144" s="408"/>
      <c r="P144" s="408"/>
      <c r="Q144" s="408"/>
      <c r="R144" s="408"/>
      <c r="S144" s="408"/>
      <c r="T144" s="408"/>
      <c r="U144" s="408"/>
      <c r="V144" s="408"/>
      <c r="W144" s="408"/>
      <c r="X144" s="408"/>
      <c r="Y144" s="408"/>
      <c r="Z144" s="408"/>
    </row>
    <row r="145" ht="14.25" customHeight="1">
      <c r="A145" s="408"/>
      <c r="B145" s="408"/>
      <c r="C145" s="408"/>
      <c r="D145" s="408"/>
      <c r="E145" s="408"/>
      <c r="F145" s="408"/>
      <c r="G145" s="408"/>
      <c r="H145" s="408"/>
      <c r="I145" s="408"/>
      <c r="J145" s="408"/>
      <c r="K145" s="408"/>
      <c r="L145" s="408"/>
      <c r="M145" s="408"/>
      <c r="N145" s="408"/>
      <c r="O145" s="408"/>
      <c r="P145" s="408"/>
      <c r="Q145" s="408"/>
      <c r="R145" s="408"/>
      <c r="S145" s="408"/>
      <c r="T145" s="408"/>
      <c r="U145" s="408"/>
      <c r="V145" s="408"/>
      <c r="W145" s="408"/>
      <c r="X145" s="408"/>
      <c r="Y145" s="408"/>
      <c r="Z145" s="408"/>
    </row>
    <row r="146" ht="14.25" customHeight="1">
      <c r="A146" s="408"/>
      <c r="B146" s="408"/>
      <c r="C146" s="408"/>
      <c r="D146" s="408"/>
      <c r="E146" s="408"/>
      <c r="F146" s="408"/>
      <c r="G146" s="408"/>
      <c r="H146" s="408"/>
      <c r="I146" s="408"/>
      <c r="J146" s="408"/>
      <c r="K146" s="408"/>
      <c r="L146" s="408"/>
      <c r="M146" s="408"/>
      <c r="N146" s="408"/>
      <c r="O146" s="408"/>
      <c r="P146" s="408"/>
      <c r="Q146" s="408"/>
      <c r="R146" s="408"/>
      <c r="S146" s="408"/>
      <c r="T146" s="408"/>
      <c r="U146" s="408"/>
      <c r="V146" s="408"/>
      <c r="W146" s="408"/>
      <c r="X146" s="408"/>
      <c r="Y146" s="408"/>
      <c r="Z146" s="408"/>
    </row>
    <row r="147" ht="14.25" customHeight="1">
      <c r="A147" s="408"/>
      <c r="B147" s="408"/>
      <c r="C147" s="408"/>
      <c r="D147" s="408"/>
      <c r="E147" s="408"/>
      <c r="F147" s="408"/>
      <c r="G147" s="408"/>
      <c r="H147" s="408"/>
      <c r="I147" s="408"/>
      <c r="J147" s="408"/>
      <c r="K147" s="408"/>
      <c r="L147" s="408"/>
      <c r="M147" s="408"/>
      <c r="N147" s="408"/>
      <c r="O147" s="408"/>
      <c r="P147" s="408"/>
      <c r="Q147" s="408"/>
      <c r="R147" s="408"/>
      <c r="S147" s="408"/>
      <c r="T147" s="408"/>
      <c r="U147" s="408"/>
      <c r="V147" s="408"/>
      <c r="W147" s="408"/>
      <c r="X147" s="408"/>
      <c r="Y147" s="408"/>
      <c r="Z147" s="408"/>
    </row>
    <row r="148" ht="14.25" customHeight="1">
      <c r="A148" s="408"/>
      <c r="B148" s="408"/>
      <c r="C148" s="408"/>
      <c r="D148" s="408"/>
      <c r="E148" s="408"/>
      <c r="F148" s="408"/>
      <c r="G148" s="408"/>
      <c r="H148" s="408"/>
      <c r="I148" s="408"/>
      <c r="J148" s="408"/>
      <c r="K148" s="408"/>
      <c r="L148" s="408"/>
      <c r="M148" s="408"/>
      <c r="N148" s="408"/>
      <c r="O148" s="408"/>
      <c r="P148" s="408"/>
      <c r="Q148" s="408"/>
      <c r="R148" s="408"/>
      <c r="S148" s="408"/>
      <c r="T148" s="408"/>
      <c r="U148" s="408"/>
      <c r="V148" s="408"/>
      <c r="W148" s="408"/>
      <c r="X148" s="408"/>
      <c r="Y148" s="408"/>
      <c r="Z148" s="408"/>
    </row>
    <row r="149" ht="14.25" customHeight="1">
      <c r="A149" s="408"/>
      <c r="B149" s="408"/>
      <c r="C149" s="408"/>
      <c r="D149" s="408"/>
      <c r="E149" s="408"/>
      <c r="F149" s="408"/>
      <c r="G149" s="408"/>
      <c r="H149" s="408"/>
      <c r="I149" s="408"/>
      <c r="J149" s="408"/>
      <c r="K149" s="408"/>
      <c r="L149" s="408"/>
      <c r="M149" s="408"/>
      <c r="N149" s="408"/>
      <c r="O149" s="408"/>
      <c r="P149" s="408"/>
      <c r="Q149" s="408"/>
      <c r="R149" s="408"/>
      <c r="S149" s="408"/>
      <c r="T149" s="408"/>
      <c r="U149" s="408"/>
      <c r="V149" s="408"/>
      <c r="W149" s="408"/>
      <c r="X149" s="408"/>
      <c r="Y149" s="408"/>
      <c r="Z149" s="408"/>
    </row>
    <row r="150" ht="14.25" customHeight="1">
      <c r="A150" s="408"/>
      <c r="B150" s="408"/>
      <c r="C150" s="408"/>
      <c r="D150" s="408"/>
      <c r="E150" s="408"/>
      <c r="F150" s="408"/>
      <c r="G150" s="408"/>
      <c r="H150" s="408"/>
      <c r="I150" s="408"/>
      <c r="J150" s="408"/>
      <c r="K150" s="408"/>
      <c r="L150" s="408"/>
      <c r="M150" s="408"/>
      <c r="N150" s="408"/>
      <c r="O150" s="408"/>
      <c r="P150" s="408"/>
      <c r="Q150" s="408"/>
      <c r="R150" s="408"/>
      <c r="S150" s="408"/>
      <c r="T150" s="408"/>
      <c r="U150" s="408"/>
      <c r="V150" s="408"/>
      <c r="W150" s="408"/>
      <c r="X150" s="408"/>
      <c r="Y150" s="408"/>
      <c r="Z150" s="408"/>
    </row>
    <row r="151" ht="14.25" customHeight="1">
      <c r="A151" s="408"/>
      <c r="B151" s="408"/>
      <c r="C151" s="408"/>
      <c r="D151" s="408"/>
      <c r="E151" s="408"/>
      <c r="F151" s="408"/>
      <c r="G151" s="408"/>
      <c r="H151" s="408"/>
      <c r="I151" s="408"/>
      <c r="J151" s="408"/>
      <c r="K151" s="408"/>
      <c r="L151" s="408"/>
      <c r="M151" s="408"/>
      <c r="N151" s="408"/>
      <c r="O151" s="408"/>
      <c r="P151" s="408"/>
      <c r="Q151" s="408"/>
      <c r="R151" s="408"/>
      <c r="S151" s="408"/>
      <c r="T151" s="408"/>
      <c r="U151" s="408"/>
      <c r="V151" s="408"/>
      <c r="W151" s="408"/>
      <c r="X151" s="408"/>
      <c r="Y151" s="408"/>
      <c r="Z151" s="408"/>
    </row>
    <row r="152" ht="14.25" customHeight="1">
      <c r="A152" s="408"/>
      <c r="B152" s="408"/>
      <c r="C152" s="408"/>
      <c r="D152" s="408"/>
      <c r="E152" s="408"/>
      <c r="F152" s="408"/>
      <c r="G152" s="408"/>
      <c r="H152" s="408"/>
      <c r="I152" s="408"/>
      <c r="J152" s="408"/>
      <c r="K152" s="408"/>
      <c r="L152" s="408"/>
      <c r="M152" s="408"/>
      <c r="N152" s="408"/>
      <c r="O152" s="408"/>
      <c r="P152" s="408"/>
      <c r="Q152" s="408"/>
      <c r="R152" s="408"/>
      <c r="S152" s="408"/>
      <c r="T152" s="408"/>
      <c r="U152" s="408"/>
      <c r="V152" s="408"/>
      <c r="W152" s="408"/>
      <c r="X152" s="408"/>
      <c r="Y152" s="408"/>
      <c r="Z152" s="408"/>
    </row>
    <row r="153" ht="14.25" customHeight="1">
      <c r="A153" s="408"/>
      <c r="B153" s="408"/>
      <c r="C153" s="408"/>
      <c r="D153" s="408"/>
      <c r="E153" s="408"/>
      <c r="F153" s="408"/>
      <c r="G153" s="408"/>
      <c r="H153" s="408"/>
      <c r="I153" s="408"/>
      <c r="J153" s="408"/>
      <c r="K153" s="408"/>
      <c r="L153" s="408"/>
      <c r="M153" s="408"/>
      <c r="N153" s="408"/>
      <c r="O153" s="408"/>
      <c r="P153" s="408"/>
      <c r="Q153" s="408"/>
      <c r="R153" s="408"/>
      <c r="S153" s="408"/>
      <c r="T153" s="408"/>
      <c r="U153" s="408"/>
      <c r="V153" s="408"/>
      <c r="W153" s="408"/>
      <c r="X153" s="408"/>
      <c r="Y153" s="408"/>
      <c r="Z153" s="408"/>
    </row>
    <row r="154" ht="14.25" customHeight="1">
      <c r="A154" s="408"/>
      <c r="B154" s="408"/>
      <c r="C154" s="408"/>
      <c r="D154" s="408"/>
      <c r="E154" s="408"/>
      <c r="F154" s="408"/>
      <c r="G154" s="408"/>
      <c r="H154" s="408"/>
      <c r="I154" s="408"/>
      <c r="J154" s="408"/>
      <c r="K154" s="408"/>
      <c r="L154" s="408"/>
      <c r="M154" s="408"/>
      <c r="N154" s="408"/>
      <c r="O154" s="408"/>
      <c r="P154" s="408"/>
      <c r="Q154" s="408"/>
      <c r="R154" s="408"/>
      <c r="S154" s="408"/>
      <c r="T154" s="408"/>
      <c r="U154" s="408"/>
      <c r="V154" s="408"/>
      <c r="W154" s="408"/>
      <c r="X154" s="408"/>
      <c r="Y154" s="408"/>
      <c r="Z154" s="408"/>
    </row>
    <row r="155" ht="14.25" customHeight="1">
      <c r="A155" s="408"/>
      <c r="B155" s="408"/>
      <c r="C155" s="408"/>
      <c r="D155" s="408"/>
      <c r="E155" s="408"/>
      <c r="F155" s="408"/>
      <c r="G155" s="408"/>
      <c r="H155" s="408"/>
      <c r="I155" s="408"/>
      <c r="J155" s="408"/>
      <c r="K155" s="408"/>
      <c r="L155" s="408"/>
      <c r="M155" s="408"/>
      <c r="N155" s="408"/>
      <c r="O155" s="408"/>
      <c r="P155" s="408"/>
      <c r="Q155" s="408"/>
      <c r="R155" s="408"/>
      <c r="S155" s="408"/>
      <c r="T155" s="408"/>
      <c r="U155" s="408"/>
      <c r="V155" s="408"/>
      <c r="W155" s="408"/>
      <c r="X155" s="408"/>
      <c r="Y155" s="408"/>
      <c r="Z155" s="408"/>
    </row>
    <row r="156" ht="14.25" customHeight="1">
      <c r="A156" s="408"/>
      <c r="B156" s="408"/>
      <c r="C156" s="408"/>
      <c r="D156" s="408"/>
      <c r="E156" s="408"/>
      <c r="F156" s="408"/>
      <c r="G156" s="408"/>
      <c r="H156" s="408"/>
      <c r="I156" s="408"/>
      <c r="J156" s="408"/>
      <c r="K156" s="408"/>
      <c r="L156" s="408"/>
      <c r="M156" s="408"/>
      <c r="N156" s="408"/>
      <c r="O156" s="408"/>
      <c r="P156" s="408"/>
      <c r="Q156" s="408"/>
      <c r="R156" s="408"/>
      <c r="S156" s="408"/>
      <c r="T156" s="408"/>
      <c r="U156" s="408"/>
      <c r="V156" s="408"/>
      <c r="W156" s="408"/>
      <c r="X156" s="408"/>
      <c r="Y156" s="408"/>
      <c r="Z156" s="408"/>
    </row>
    <row r="157" ht="14.25" customHeight="1">
      <c r="A157" s="408"/>
      <c r="B157" s="408"/>
      <c r="C157" s="408"/>
      <c r="D157" s="408"/>
      <c r="E157" s="408"/>
      <c r="F157" s="408"/>
      <c r="G157" s="408"/>
      <c r="H157" s="408"/>
      <c r="I157" s="408"/>
      <c r="J157" s="408"/>
      <c r="K157" s="408"/>
      <c r="L157" s="408"/>
      <c r="M157" s="408"/>
      <c r="N157" s="408"/>
      <c r="O157" s="408"/>
      <c r="P157" s="408"/>
      <c r="Q157" s="408"/>
      <c r="R157" s="408"/>
      <c r="S157" s="408"/>
      <c r="T157" s="408"/>
      <c r="U157" s="408"/>
      <c r="V157" s="408"/>
      <c r="W157" s="408"/>
      <c r="X157" s="408"/>
      <c r="Y157" s="408"/>
      <c r="Z157" s="408"/>
    </row>
    <row r="158" ht="14.25" customHeight="1">
      <c r="A158" s="408"/>
      <c r="B158" s="408"/>
      <c r="C158" s="408"/>
      <c r="D158" s="408"/>
      <c r="E158" s="408"/>
      <c r="F158" s="408"/>
      <c r="G158" s="408"/>
      <c r="H158" s="408"/>
      <c r="I158" s="408"/>
      <c r="J158" s="408"/>
      <c r="K158" s="408"/>
      <c r="L158" s="408"/>
      <c r="M158" s="408"/>
      <c r="N158" s="408"/>
      <c r="O158" s="408"/>
      <c r="P158" s="408"/>
      <c r="Q158" s="408"/>
      <c r="R158" s="408"/>
      <c r="S158" s="408"/>
      <c r="T158" s="408"/>
      <c r="U158" s="408"/>
      <c r="V158" s="408"/>
      <c r="W158" s="408"/>
      <c r="X158" s="408"/>
      <c r="Y158" s="408"/>
      <c r="Z158" s="408"/>
    </row>
    <row r="159" ht="14.25" customHeight="1">
      <c r="A159" s="408"/>
      <c r="B159" s="408"/>
      <c r="C159" s="408"/>
      <c r="D159" s="408"/>
      <c r="E159" s="408"/>
      <c r="F159" s="408"/>
      <c r="G159" s="408"/>
      <c r="H159" s="408"/>
      <c r="I159" s="408"/>
      <c r="J159" s="408"/>
      <c r="K159" s="408"/>
      <c r="L159" s="408"/>
      <c r="M159" s="408"/>
      <c r="N159" s="408"/>
      <c r="O159" s="408"/>
      <c r="P159" s="408"/>
      <c r="Q159" s="408"/>
      <c r="R159" s="408"/>
      <c r="S159" s="408"/>
      <c r="T159" s="408"/>
      <c r="U159" s="408"/>
      <c r="V159" s="408"/>
      <c r="W159" s="408"/>
      <c r="X159" s="408"/>
      <c r="Y159" s="408"/>
      <c r="Z159" s="408"/>
    </row>
    <row r="160" ht="14.25" customHeight="1">
      <c r="A160" s="408"/>
      <c r="B160" s="408"/>
      <c r="C160" s="408"/>
      <c r="D160" s="408"/>
      <c r="E160" s="408"/>
      <c r="F160" s="408"/>
      <c r="G160" s="408"/>
      <c r="H160" s="408"/>
      <c r="I160" s="408"/>
      <c r="J160" s="408"/>
      <c r="K160" s="408"/>
      <c r="L160" s="408"/>
      <c r="M160" s="408"/>
      <c r="N160" s="408"/>
      <c r="O160" s="408"/>
      <c r="P160" s="408"/>
      <c r="Q160" s="408"/>
      <c r="R160" s="408"/>
      <c r="S160" s="408"/>
      <c r="T160" s="408"/>
      <c r="U160" s="408"/>
      <c r="V160" s="408"/>
      <c r="W160" s="408"/>
      <c r="X160" s="408"/>
      <c r="Y160" s="408"/>
      <c r="Z160" s="408"/>
    </row>
    <row r="161" ht="14.25" customHeight="1">
      <c r="A161" s="408"/>
      <c r="B161" s="408"/>
      <c r="C161" s="408"/>
      <c r="D161" s="408"/>
      <c r="E161" s="408"/>
      <c r="F161" s="408"/>
      <c r="G161" s="408"/>
      <c r="H161" s="408"/>
      <c r="I161" s="408"/>
      <c r="J161" s="408"/>
      <c r="K161" s="408"/>
      <c r="L161" s="408"/>
      <c r="M161" s="408"/>
      <c r="N161" s="408"/>
      <c r="O161" s="408"/>
      <c r="P161" s="408"/>
      <c r="Q161" s="408"/>
      <c r="R161" s="408"/>
      <c r="S161" s="408"/>
      <c r="T161" s="408"/>
      <c r="U161" s="408"/>
      <c r="V161" s="408"/>
      <c r="W161" s="408"/>
      <c r="X161" s="408"/>
      <c r="Y161" s="408"/>
      <c r="Z161" s="408"/>
    </row>
    <row r="162" ht="14.25" customHeight="1">
      <c r="A162" s="408"/>
      <c r="B162" s="408"/>
      <c r="C162" s="408"/>
      <c r="D162" s="408"/>
      <c r="E162" s="408"/>
      <c r="F162" s="408"/>
      <c r="G162" s="408"/>
      <c r="H162" s="408"/>
      <c r="I162" s="408"/>
      <c r="J162" s="408"/>
      <c r="K162" s="408"/>
      <c r="L162" s="408"/>
      <c r="M162" s="408"/>
      <c r="N162" s="408"/>
      <c r="O162" s="408"/>
      <c r="P162" s="408"/>
      <c r="Q162" s="408"/>
      <c r="R162" s="408"/>
      <c r="S162" s="408"/>
      <c r="T162" s="408"/>
      <c r="U162" s="408"/>
      <c r="V162" s="408"/>
      <c r="W162" s="408"/>
      <c r="X162" s="408"/>
      <c r="Y162" s="408"/>
      <c r="Z162" s="408"/>
    </row>
    <row r="163" ht="14.25" customHeight="1">
      <c r="A163" s="408"/>
      <c r="B163" s="408"/>
      <c r="C163" s="408"/>
      <c r="D163" s="408"/>
      <c r="E163" s="408"/>
      <c r="F163" s="408"/>
      <c r="G163" s="408"/>
      <c r="H163" s="408"/>
      <c r="I163" s="408"/>
      <c r="J163" s="408"/>
      <c r="K163" s="408"/>
      <c r="L163" s="408"/>
      <c r="M163" s="408"/>
      <c r="N163" s="408"/>
      <c r="O163" s="408"/>
      <c r="P163" s="408"/>
      <c r="Q163" s="408"/>
      <c r="R163" s="408"/>
      <c r="S163" s="408"/>
      <c r="T163" s="408"/>
      <c r="U163" s="408"/>
      <c r="V163" s="408"/>
      <c r="W163" s="408"/>
      <c r="X163" s="408"/>
      <c r="Y163" s="408"/>
      <c r="Z163" s="408"/>
    </row>
    <row r="164" ht="14.25" customHeight="1">
      <c r="A164" s="408"/>
      <c r="B164" s="408"/>
      <c r="C164" s="408"/>
      <c r="D164" s="408"/>
      <c r="E164" s="408"/>
      <c r="F164" s="408"/>
      <c r="G164" s="408"/>
      <c r="H164" s="408"/>
      <c r="I164" s="408"/>
      <c r="J164" s="408"/>
      <c r="K164" s="408"/>
      <c r="L164" s="408"/>
      <c r="M164" s="408"/>
      <c r="N164" s="408"/>
      <c r="O164" s="408"/>
      <c r="P164" s="408"/>
      <c r="Q164" s="408"/>
      <c r="R164" s="408"/>
      <c r="S164" s="408"/>
      <c r="T164" s="408"/>
      <c r="U164" s="408"/>
      <c r="V164" s="408"/>
      <c r="W164" s="408"/>
      <c r="X164" s="408"/>
      <c r="Y164" s="408"/>
      <c r="Z164" s="408"/>
    </row>
    <row r="165" ht="14.25" customHeight="1">
      <c r="A165" s="408"/>
      <c r="B165" s="408"/>
      <c r="C165" s="408"/>
      <c r="D165" s="408"/>
      <c r="E165" s="408"/>
      <c r="F165" s="408"/>
      <c r="G165" s="408"/>
      <c r="H165" s="408"/>
      <c r="I165" s="408"/>
      <c r="J165" s="408"/>
      <c r="K165" s="408"/>
      <c r="L165" s="408"/>
      <c r="M165" s="408"/>
      <c r="N165" s="408"/>
      <c r="O165" s="408"/>
      <c r="P165" s="408"/>
      <c r="Q165" s="408"/>
      <c r="R165" s="408"/>
      <c r="S165" s="408"/>
      <c r="T165" s="408"/>
      <c r="U165" s="408"/>
      <c r="V165" s="408"/>
      <c r="W165" s="408"/>
      <c r="X165" s="408"/>
      <c r="Y165" s="408"/>
      <c r="Z165" s="408"/>
    </row>
    <row r="166" ht="14.25" customHeight="1">
      <c r="A166" s="408"/>
      <c r="B166" s="408"/>
      <c r="C166" s="408"/>
      <c r="D166" s="408"/>
      <c r="E166" s="408"/>
      <c r="F166" s="408"/>
      <c r="G166" s="408"/>
      <c r="H166" s="408"/>
      <c r="I166" s="408"/>
      <c r="J166" s="408"/>
      <c r="K166" s="408"/>
      <c r="L166" s="408"/>
      <c r="M166" s="408"/>
      <c r="N166" s="408"/>
      <c r="O166" s="408"/>
      <c r="P166" s="408"/>
      <c r="Q166" s="408"/>
      <c r="R166" s="408"/>
      <c r="S166" s="408"/>
      <c r="T166" s="408"/>
      <c r="U166" s="408"/>
      <c r="V166" s="408"/>
      <c r="W166" s="408"/>
      <c r="X166" s="408"/>
      <c r="Y166" s="408"/>
      <c r="Z166" s="408"/>
    </row>
    <row r="167" ht="14.25" customHeight="1">
      <c r="A167" s="408"/>
      <c r="B167" s="408"/>
      <c r="C167" s="408"/>
      <c r="D167" s="408"/>
      <c r="E167" s="408"/>
      <c r="F167" s="408"/>
      <c r="G167" s="408"/>
      <c r="H167" s="408"/>
      <c r="I167" s="408"/>
      <c r="J167" s="408"/>
      <c r="K167" s="408"/>
      <c r="L167" s="408"/>
      <c r="M167" s="408"/>
      <c r="N167" s="408"/>
      <c r="O167" s="408"/>
      <c r="P167" s="408"/>
      <c r="Q167" s="408"/>
      <c r="R167" s="408"/>
      <c r="S167" s="408"/>
      <c r="T167" s="408"/>
      <c r="U167" s="408"/>
      <c r="V167" s="408"/>
      <c r="W167" s="408"/>
      <c r="X167" s="408"/>
      <c r="Y167" s="408"/>
      <c r="Z167" s="408"/>
    </row>
    <row r="168" ht="14.25" customHeight="1">
      <c r="A168" s="408"/>
      <c r="B168" s="408"/>
      <c r="C168" s="408"/>
      <c r="D168" s="408"/>
      <c r="E168" s="408"/>
      <c r="F168" s="408"/>
      <c r="G168" s="408"/>
      <c r="H168" s="408"/>
      <c r="I168" s="408"/>
      <c r="J168" s="408"/>
      <c r="K168" s="408"/>
      <c r="L168" s="408"/>
      <c r="M168" s="408"/>
      <c r="N168" s="408"/>
      <c r="O168" s="408"/>
      <c r="P168" s="408"/>
      <c r="Q168" s="408"/>
      <c r="R168" s="408"/>
      <c r="S168" s="408"/>
      <c r="T168" s="408"/>
      <c r="U168" s="408"/>
      <c r="V168" s="408"/>
      <c r="W168" s="408"/>
      <c r="X168" s="408"/>
      <c r="Y168" s="408"/>
      <c r="Z168" s="408"/>
    </row>
    <row r="169" ht="14.25" customHeight="1">
      <c r="A169" s="408"/>
      <c r="B169" s="408"/>
      <c r="C169" s="408"/>
      <c r="D169" s="408"/>
      <c r="E169" s="408"/>
      <c r="F169" s="408"/>
      <c r="G169" s="408"/>
      <c r="H169" s="408"/>
      <c r="I169" s="408"/>
      <c r="J169" s="408"/>
      <c r="K169" s="408"/>
      <c r="L169" s="408"/>
      <c r="M169" s="408"/>
      <c r="N169" s="408"/>
      <c r="O169" s="408"/>
      <c r="P169" s="408"/>
      <c r="Q169" s="408"/>
      <c r="R169" s="408"/>
      <c r="S169" s="408"/>
      <c r="T169" s="408"/>
      <c r="U169" s="408"/>
      <c r="V169" s="408"/>
      <c r="W169" s="408"/>
      <c r="X169" s="408"/>
      <c r="Y169" s="408"/>
      <c r="Z169" s="408"/>
    </row>
    <row r="170" ht="14.25" customHeight="1">
      <c r="A170" s="408"/>
      <c r="B170" s="408"/>
      <c r="C170" s="408"/>
      <c r="D170" s="408"/>
      <c r="E170" s="408"/>
      <c r="F170" s="408"/>
      <c r="G170" s="408"/>
      <c r="H170" s="408"/>
      <c r="I170" s="408"/>
      <c r="J170" s="408"/>
      <c r="K170" s="408"/>
      <c r="L170" s="408"/>
      <c r="M170" s="408"/>
      <c r="N170" s="408"/>
      <c r="O170" s="408"/>
      <c r="P170" s="408"/>
      <c r="Q170" s="408"/>
      <c r="R170" s="408"/>
      <c r="S170" s="408"/>
      <c r="T170" s="408"/>
      <c r="U170" s="408"/>
      <c r="V170" s="408"/>
      <c r="W170" s="408"/>
      <c r="X170" s="408"/>
      <c r="Y170" s="408"/>
      <c r="Z170" s="408"/>
    </row>
    <row r="171" ht="14.25" customHeight="1">
      <c r="A171" s="408"/>
      <c r="B171" s="408"/>
      <c r="C171" s="408"/>
      <c r="D171" s="408"/>
      <c r="E171" s="408"/>
      <c r="F171" s="408"/>
      <c r="G171" s="408"/>
      <c r="H171" s="408"/>
      <c r="I171" s="408"/>
      <c r="J171" s="408"/>
      <c r="K171" s="408"/>
      <c r="L171" s="408"/>
      <c r="M171" s="408"/>
      <c r="N171" s="408"/>
      <c r="O171" s="408"/>
      <c r="P171" s="408"/>
      <c r="Q171" s="408"/>
      <c r="R171" s="408"/>
      <c r="S171" s="408"/>
      <c r="T171" s="408"/>
      <c r="U171" s="408"/>
      <c r="V171" s="408"/>
      <c r="W171" s="408"/>
      <c r="X171" s="408"/>
      <c r="Y171" s="408"/>
      <c r="Z171" s="408"/>
    </row>
    <row r="172" ht="14.25" customHeight="1">
      <c r="A172" s="408"/>
      <c r="B172" s="408"/>
      <c r="C172" s="408"/>
      <c r="D172" s="408"/>
      <c r="E172" s="408"/>
      <c r="F172" s="408"/>
      <c r="G172" s="408"/>
      <c r="H172" s="408"/>
      <c r="I172" s="408"/>
      <c r="J172" s="408"/>
      <c r="K172" s="408"/>
      <c r="L172" s="408"/>
      <c r="M172" s="408"/>
      <c r="N172" s="408"/>
      <c r="O172" s="408"/>
      <c r="P172" s="408"/>
      <c r="Q172" s="408"/>
      <c r="R172" s="408"/>
      <c r="S172" s="408"/>
      <c r="T172" s="408"/>
      <c r="U172" s="408"/>
      <c r="V172" s="408"/>
      <c r="W172" s="408"/>
      <c r="X172" s="408"/>
      <c r="Y172" s="408"/>
      <c r="Z172" s="408"/>
    </row>
    <row r="173" ht="14.25" customHeight="1">
      <c r="A173" s="408"/>
      <c r="B173" s="408"/>
      <c r="C173" s="408"/>
      <c r="D173" s="408"/>
      <c r="E173" s="408"/>
      <c r="F173" s="408"/>
      <c r="G173" s="408"/>
      <c r="H173" s="408"/>
      <c r="I173" s="408"/>
      <c r="J173" s="408"/>
      <c r="K173" s="408"/>
      <c r="L173" s="408"/>
      <c r="M173" s="408"/>
      <c r="N173" s="408"/>
      <c r="O173" s="408"/>
      <c r="P173" s="408"/>
      <c r="Q173" s="408"/>
      <c r="R173" s="408"/>
      <c r="S173" s="408"/>
      <c r="T173" s="408"/>
      <c r="U173" s="408"/>
      <c r="V173" s="408"/>
      <c r="W173" s="408"/>
      <c r="X173" s="408"/>
      <c r="Y173" s="408"/>
      <c r="Z173" s="408"/>
    </row>
    <row r="174" ht="14.25" customHeight="1">
      <c r="A174" s="408"/>
      <c r="B174" s="408"/>
      <c r="C174" s="408"/>
      <c r="D174" s="408"/>
      <c r="E174" s="408"/>
      <c r="F174" s="408"/>
      <c r="G174" s="408"/>
      <c r="H174" s="408"/>
      <c r="I174" s="408"/>
      <c r="J174" s="408"/>
      <c r="K174" s="408"/>
      <c r="L174" s="408"/>
      <c r="M174" s="408"/>
      <c r="N174" s="408"/>
      <c r="O174" s="408"/>
      <c r="P174" s="408"/>
      <c r="Q174" s="408"/>
      <c r="R174" s="408"/>
      <c r="S174" s="408"/>
      <c r="T174" s="408"/>
      <c r="U174" s="408"/>
      <c r="V174" s="408"/>
      <c r="W174" s="408"/>
      <c r="X174" s="408"/>
      <c r="Y174" s="408"/>
      <c r="Z174" s="408"/>
    </row>
    <row r="175" ht="14.25" customHeight="1">
      <c r="A175" s="408"/>
      <c r="B175" s="408"/>
      <c r="C175" s="408"/>
      <c r="D175" s="408"/>
      <c r="E175" s="408"/>
      <c r="F175" s="408"/>
      <c r="G175" s="408"/>
      <c r="H175" s="408"/>
      <c r="I175" s="408"/>
      <c r="J175" s="408"/>
      <c r="K175" s="408"/>
      <c r="L175" s="408"/>
      <c r="M175" s="408"/>
      <c r="N175" s="408"/>
      <c r="O175" s="408"/>
      <c r="P175" s="408"/>
      <c r="Q175" s="408"/>
      <c r="R175" s="408"/>
      <c r="S175" s="408"/>
      <c r="T175" s="408"/>
      <c r="U175" s="408"/>
      <c r="V175" s="408"/>
      <c r="W175" s="408"/>
      <c r="X175" s="408"/>
      <c r="Y175" s="408"/>
      <c r="Z175" s="408"/>
    </row>
    <row r="176" ht="14.25" customHeight="1">
      <c r="A176" s="408"/>
      <c r="B176" s="408"/>
      <c r="C176" s="408"/>
      <c r="D176" s="408"/>
      <c r="E176" s="408"/>
      <c r="F176" s="408"/>
      <c r="G176" s="408"/>
      <c r="H176" s="408"/>
      <c r="I176" s="408"/>
      <c r="J176" s="408"/>
      <c r="K176" s="408"/>
      <c r="L176" s="408"/>
      <c r="M176" s="408"/>
      <c r="N176" s="408"/>
      <c r="O176" s="408"/>
      <c r="P176" s="408"/>
      <c r="Q176" s="408"/>
      <c r="R176" s="408"/>
      <c r="S176" s="408"/>
      <c r="T176" s="408"/>
      <c r="U176" s="408"/>
      <c r="V176" s="408"/>
      <c r="W176" s="408"/>
      <c r="X176" s="408"/>
      <c r="Y176" s="408"/>
      <c r="Z176" s="408"/>
    </row>
    <row r="177" ht="14.25" customHeight="1">
      <c r="A177" s="408"/>
      <c r="B177" s="408"/>
      <c r="C177" s="408"/>
      <c r="D177" s="408"/>
      <c r="E177" s="408"/>
      <c r="F177" s="408"/>
      <c r="G177" s="408"/>
      <c r="H177" s="408"/>
      <c r="I177" s="408"/>
      <c r="J177" s="408"/>
      <c r="K177" s="408"/>
      <c r="L177" s="408"/>
      <c r="M177" s="408"/>
      <c r="N177" s="408"/>
      <c r="O177" s="408"/>
      <c r="P177" s="408"/>
      <c r="Q177" s="408"/>
      <c r="R177" s="408"/>
      <c r="S177" s="408"/>
      <c r="T177" s="408"/>
      <c r="U177" s="408"/>
      <c r="V177" s="408"/>
      <c r="W177" s="408"/>
      <c r="X177" s="408"/>
      <c r="Y177" s="408"/>
      <c r="Z177" s="408"/>
    </row>
    <row r="178" ht="14.25" customHeight="1">
      <c r="A178" s="408"/>
      <c r="B178" s="408"/>
      <c r="C178" s="408"/>
      <c r="D178" s="408"/>
      <c r="E178" s="408"/>
      <c r="F178" s="408"/>
      <c r="G178" s="408"/>
      <c r="H178" s="408"/>
      <c r="I178" s="408"/>
      <c r="J178" s="408"/>
      <c r="K178" s="408"/>
      <c r="L178" s="408"/>
      <c r="M178" s="408"/>
      <c r="N178" s="408"/>
      <c r="O178" s="408"/>
      <c r="P178" s="408"/>
      <c r="Q178" s="408"/>
      <c r="R178" s="408"/>
      <c r="S178" s="408"/>
      <c r="T178" s="408"/>
      <c r="U178" s="408"/>
      <c r="V178" s="408"/>
      <c r="W178" s="408"/>
      <c r="X178" s="408"/>
      <c r="Y178" s="408"/>
      <c r="Z178" s="408"/>
    </row>
    <row r="179" ht="14.25" customHeight="1">
      <c r="A179" s="408"/>
      <c r="B179" s="408"/>
      <c r="C179" s="408"/>
      <c r="D179" s="408"/>
      <c r="E179" s="408"/>
      <c r="F179" s="408"/>
      <c r="G179" s="408"/>
      <c r="H179" s="408"/>
      <c r="I179" s="408"/>
      <c r="J179" s="408"/>
      <c r="K179" s="408"/>
      <c r="L179" s="408"/>
      <c r="M179" s="408"/>
      <c r="N179" s="408"/>
      <c r="O179" s="408"/>
      <c r="P179" s="408"/>
      <c r="Q179" s="408"/>
      <c r="R179" s="408"/>
      <c r="S179" s="408"/>
      <c r="T179" s="408"/>
      <c r="U179" s="408"/>
      <c r="V179" s="408"/>
      <c r="W179" s="408"/>
      <c r="X179" s="408"/>
      <c r="Y179" s="408"/>
      <c r="Z179" s="408"/>
    </row>
    <row r="180" ht="14.25" customHeight="1">
      <c r="A180" s="408"/>
      <c r="B180" s="408"/>
      <c r="C180" s="408"/>
      <c r="D180" s="408"/>
      <c r="E180" s="408"/>
      <c r="F180" s="408"/>
      <c r="G180" s="408"/>
      <c r="H180" s="408"/>
      <c r="I180" s="408"/>
      <c r="J180" s="408"/>
      <c r="K180" s="408"/>
      <c r="L180" s="408"/>
      <c r="M180" s="408"/>
      <c r="N180" s="408"/>
      <c r="O180" s="408"/>
      <c r="P180" s="408"/>
      <c r="Q180" s="408"/>
      <c r="R180" s="408"/>
      <c r="S180" s="408"/>
      <c r="T180" s="408"/>
      <c r="U180" s="408"/>
      <c r="V180" s="408"/>
      <c r="W180" s="408"/>
      <c r="X180" s="408"/>
      <c r="Y180" s="408"/>
      <c r="Z180" s="408"/>
    </row>
    <row r="181" ht="14.25" customHeight="1">
      <c r="A181" s="408"/>
      <c r="B181" s="408"/>
      <c r="C181" s="408"/>
      <c r="D181" s="408"/>
      <c r="E181" s="408"/>
      <c r="F181" s="408"/>
      <c r="G181" s="408"/>
      <c r="H181" s="408"/>
      <c r="I181" s="408"/>
      <c r="J181" s="408"/>
      <c r="K181" s="408"/>
      <c r="L181" s="408"/>
      <c r="M181" s="408"/>
      <c r="N181" s="408"/>
      <c r="O181" s="408"/>
      <c r="P181" s="408"/>
      <c r="Q181" s="408"/>
      <c r="R181" s="408"/>
      <c r="S181" s="408"/>
      <c r="T181" s="408"/>
      <c r="U181" s="408"/>
      <c r="V181" s="408"/>
      <c r="W181" s="408"/>
      <c r="X181" s="408"/>
      <c r="Y181" s="408"/>
      <c r="Z181" s="408"/>
    </row>
    <row r="182" ht="14.25" customHeight="1">
      <c r="A182" s="408"/>
      <c r="B182" s="408"/>
      <c r="C182" s="408"/>
      <c r="D182" s="408"/>
      <c r="E182" s="408"/>
      <c r="F182" s="408"/>
      <c r="G182" s="408"/>
      <c r="H182" s="408"/>
      <c r="I182" s="408"/>
      <c r="J182" s="408"/>
      <c r="K182" s="408"/>
      <c r="L182" s="408"/>
      <c r="M182" s="408"/>
      <c r="N182" s="408"/>
      <c r="O182" s="408"/>
      <c r="P182" s="408"/>
      <c r="Q182" s="408"/>
      <c r="R182" s="408"/>
      <c r="S182" s="408"/>
      <c r="T182" s="408"/>
      <c r="U182" s="408"/>
      <c r="V182" s="408"/>
      <c r="W182" s="408"/>
      <c r="X182" s="408"/>
      <c r="Y182" s="408"/>
      <c r="Z182" s="408"/>
    </row>
    <row r="183" ht="14.25" customHeight="1">
      <c r="A183" s="408"/>
      <c r="B183" s="408"/>
      <c r="C183" s="408"/>
      <c r="D183" s="408"/>
      <c r="E183" s="408"/>
      <c r="F183" s="408"/>
      <c r="G183" s="408"/>
      <c r="H183" s="408"/>
      <c r="I183" s="408"/>
      <c r="J183" s="408"/>
      <c r="K183" s="408"/>
      <c r="L183" s="408"/>
      <c r="M183" s="408"/>
      <c r="N183" s="408"/>
      <c r="O183" s="408"/>
      <c r="P183" s="408"/>
      <c r="Q183" s="408"/>
      <c r="R183" s="408"/>
      <c r="S183" s="408"/>
      <c r="T183" s="408"/>
      <c r="U183" s="408"/>
      <c r="V183" s="408"/>
      <c r="W183" s="408"/>
      <c r="X183" s="408"/>
      <c r="Y183" s="408"/>
      <c r="Z183" s="408"/>
    </row>
    <row r="184" ht="14.25" customHeight="1">
      <c r="A184" s="408"/>
      <c r="B184" s="408"/>
      <c r="C184" s="408"/>
      <c r="D184" s="408"/>
      <c r="E184" s="408"/>
      <c r="F184" s="408"/>
      <c r="G184" s="408"/>
      <c r="H184" s="408"/>
      <c r="I184" s="408"/>
      <c r="J184" s="408"/>
      <c r="K184" s="408"/>
      <c r="L184" s="408"/>
      <c r="M184" s="408"/>
      <c r="N184" s="408"/>
      <c r="O184" s="408"/>
      <c r="P184" s="408"/>
      <c r="Q184" s="408"/>
      <c r="R184" s="408"/>
      <c r="S184" s="408"/>
      <c r="T184" s="408"/>
      <c r="U184" s="408"/>
      <c r="V184" s="408"/>
      <c r="W184" s="408"/>
      <c r="X184" s="408"/>
      <c r="Y184" s="408"/>
      <c r="Z184" s="408"/>
    </row>
    <row r="185" ht="14.25" customHeight="1">
      <c r="A185" s="408"/>
      <c r="B185" s="408"/>
      <c r="C185" s="408"/>
      <c r="D185" s="408"/>
      <c r="E185" s="408"/>
      <c r="F185" s="408"/>
      <c r="G185" s="408"/>
      <c r="H185" s="408"/>
      <c r="I185" s="408"/>
      <c r="J185" s="408"/>
      <c r="K185" s="408"/>
      <c r="L185" s="408"/>
      <c r="M185" s="408"/>
      <c r="N185" s="408"/>
      <c r="O185" s="408"/>
      <c r="P185" s="408"/>
      <c r="Q185" s="408"/>
      <c r="R185" s="408"/>
      <c r="S185" s="408"/>
      <c r="T185" s="408"/>
      <c r="U185" s="408"/>
      <c r="V185" s="408"/>
      <c r="W185" s="408"/>
      <c r="X185" s="408"/>
      <c r="Y185" s="408"/>
      <c r="Z185" s="408"/>
    </row>
    <row r="186" ht="14.25" customHeight="1">
      <c r="A186" s="408"/>
      <c r="B186" s="408"/>
      <c r="C186" s="408"/>
      <c r="D186" s="408"/>
      <c r="E186" s="408"/>
      <c r="F186" s="408"/>
      <c r="G186" s="408"/>
      <c r="H186" s="408"/>
      <c r="I186" s="408"/>
      <c r="J186" s="408"/>
      <c r="K186" s="408"/>
      <c r="L186" s="408"/>
      <c r="M186" s="408"/>
      <c r="N186" s="408"/>
      <c r="O186" s="408"/>
      <c r="P186" s="408"/>
      <c r="Q186" s="408"/>
      <c r="R186" s="408"/>
      <c r="S186" s="408"/>
      <c r="T186" s="408"/>
      <c r="U186" s="408"/>
      <c r="V186" s="408"/>
      <c r="W186" s="408"/>
      <c r="X186" s="408"/>
      <c r="Y186" s="408"/>
      <c r="Z186" s="408"/>
    </row>
    <row r="187" ht="14.25" customHeight="1">
      <c r="A187" s="408"/>
      <c r="B187" s="408"/>
      <c r="C187" s="408"/>
      <c r="D187" s="408"/>
      <c r="E187" s="408"/>
      <c r="F187" s="408"/>
      <c r="G187" s="408"/>
      <c r="H187" s="408"/>
      <c r="I187" s="408"/>
      <c r="J187" s="408"/>
      <c r="K187" s="408"/>
      <c r="L187" s="408"/>
      <c r="M187" s="408"/>
      <c r="N187" s="408"/>
      <c r="O187" s="408"/>
      <c r="P187" s="408"/>
      <c r="Q187" s="408"/>
      <c r="R187" s="408"/>
      <c r="S187" s="408"/>
      <c r="T187" s="408"/>
      <c r="U187" s="408"/>
      <c r="V187" s="408"/>
      <c r="W187" s="408"/>
      <c r="X187" s="408"/>
      <c r="Y187" s="408"/>
      <c r="Z187" s="408"/>
    </row>
    <row r="188" ht="14.25" customHeight="1">
      <c r="A188" s="408"/>
      <c r="B188" s="408"/>
      <c r="C188" s="408"/>
      <c r="D188" s="408"/>
      <c r="E188" s="408"/>
      <c r="F188" s="408"/>
      <c r="G188" s="408"/>
      <c r="H188" s="408"/>
      <c r="I188" s="408"/>
      <c r="J188" s="408"/>
      <c r="K188" s="408"/>
      <c r="L188" s="408"/>
      <c r="M188" s="408"/>
      <c r="N188" s="408"/>
      <c r="O188" s="408"/>
      <c r="P188" s="408"/>
      <c r="Q188" s="408"/>
      <c r="R188" s="408"/>
      <c r="S188" s="408"/>
      <c r="T188" s="408"/>
      <c r="U188" s="408"/>
      <c r="V188" s="408"/>
      <c r="W188" s="408"/>
      <c r="X188" s="408"/>
      <c r="Y188" s="408"/>
      <c r="Z188" s="408"/>
    </row>
    <row r="189" ht="14.25" customHeight="1">
      <c r="A189" s="408"/>
      <c r="B189" s="408"/>
      <c r="C189" s="408"/>
      <c r="D189" s="408"/>
      <c r="E189" s="408"/>
      <c r="F189" s="408"/>
      <c r="G189" s="408"/>
      <c r="H189" s="408"/>
      <c r="I189" s="408"/>
      <c r="J189" s="408"/>
      <c r="K189" s="408"/>
      <c r="L189" s="408"/>
      <c r="M189" s="408"/>
      <c r="N189" s="408"/>
      <c r="O189" s="408"/>
      <c r="P189" s="408"/>
      <c r="Q189" s="408"/>
      <c r="R189" s="408"/>
      <c r="S189" s="408"/>
      <c r="T189" s="408"/>
      <c r="U189" s="408"/>
      <c r="V189" s="408"/>
      <c r="W189" s="408"/>
      <c r="X189" s="408"/>
      <c r="Y189" s="408"/>
      <c r="Z189" s="408"/>
    </row>
    <row r="190" ht="14.25" customHeight="1">
      <c r="A190" s="408"/>
      <c r="B190" s="408"/>
      <c r="C190" s="408"/>
      <c r="D190" s="408"/>
      <c r="E190" s="408"/>
      <c r="F190" s="408"/>
      <c r="G190" s="408"/>
      <c r="H190" s="408"/>
      <c r="I190" s="408"/>
      <c r="J190" s="408"/>
      <c r="K190" s="408"/>
      <c r="L190" s="408"/>
      <c r="M190" s="408"/>
      <c r="N190" s="408"/>
      <c r="O190" s="408"/>
      <c r="P190" s="408"/>
      <c r="Q190" s="408"/>
      <c r="R190" s="408"/>
      <c r="S190" s="408"/>
      <c r="T190" s="408"/>
      <c r="U190" s="408"/>
      <c r="V190" s="408"/>
      <c r="W190" s="408"/>
      <c r="X190" s="408"/>
      <c r="Y190" s="408"/>
      <c r="Z190" s="408"/>
    </row>
    <row r="191" ht="14.25" customHeight="1">
      <c r="A191" s="408"/>
      <c r="B191" s="408"/>
      <c r="C191" s="408"/>
      <c r="D191" s="408"/>
      <c r="E191" s="408"/>
      <c r="F191" s="408"/>
      <c r="G191" s="408"/>
      <c r="H191" s="408"/>
      <c r="I191" s="408"/>
      <c r="J191" s="408"/>
      <c r="K191" s="408"/>
      <c r="L191" s="408"/>
      <c r="M191" s="408"/>
      <c r="N191" s="408"/>
      <c r="O191" s="408"/>
      <c r="P191" s="408"/>
      <c r="Q191" s="408"/>
      <c r="R191" s="408"/>
      <c r="S191" s="408"/>
      <c r="T191" s="408"/>
      <c r="U191" s="408"/>
      <c r="V191" s="408"/>
      <c r="W191" s="408"/>
      <c r="X191" s="408"/>
      <c r="Y191" s="408"/>
      <c r="Z191" s="408"/>
    </row>
    <row r="192" ht="14.25" customHeight="1">
      <c r="A192" s="408"/>
      <c r="B192" s="408"/>
      <c r="C192" s="408"/>
      <c r="D192" s="408"/>
      <c r="E192" s="408"/>
      <c r="F192" s="408"/>
      <c r="G192" s="408"/>
      <c r="H192" s="408"/>
      <c r="I192" s="408"/>
      <c r="J192" s="408"/>
      <c r="K192" s="408"/>
      <c r="L192" s="408"/>
      <c r="M192" s="408"/>
      <c r="N192" s="408"/>
      <c r="O192" s="408"/>
      <c r="P192" s="408"/>
      <c r="Q192" s="408"/>
      <c r="R192" s="408"/>
      <c r="S192" s="408"/>
      <c r="T192" s="408"/>
      <c r="U192" s="408"/>
      <c r="V192" s="408"/>
      <c r="W192" s="408"/>
      <c r="X192" s="408"/>
      <c r="Y192" s="408"/>
      <c r="Z192" s="408"/>
    </row>
    <row r="193" ht="14.25" customHeight="1">
      <c r="A193" s="408"/>
      <c r="B193" s="408"/>
      <c r="C193" s="408"/>
      <c r="D193" s="408"/>
      <c r="E193" s="408"/>
      <c r="F193" s="408"/>
      <c r="G193" s="408"/>
      <c r="H193" s="408"/>
      <c r="I193" s="408"/>
      <c r="J193" s="408"/>
      <c r="K193" s="408"/>
      <c r="L193" s="408"/>
      <c r="M193" s="408"/>
      <c r="N193" s="408"/>
      <c r="O193" s="408"/>
      <c r="P193" s="408"/>
      <c r="Q193" s="408"/>
      <c r="R193" s="408"/>
      <c r="S193" s="408"/>
      <c r="T193" s="408"/>
      <c r="U193" s="408"/>
      <c r="V193" s="408"/>
      <c r="W193" s="408"/>
      <c r="X193" s="408"/>
      <c r="Y193" s="408"/>
      <c r="Z193" s="408"/>
    </row>
    <row r="194" ht="14.25" customHeight="1">
      <c r="A194" s="408"/>
      <c r="B194" s="408"/>
      <c r="C194" s="408"/>
      <c r="D194" s="408"/>
      <c r="E194" s="408"/>
      <c r="F194" s="408"/>
      <c r="G194" s="408"/>
      <c r="H194" s="408"/>
      <c r="I194" s="408"/>
      <c r="J194" s="408"/>
      <c r="K194" s="408"/>
      <c r="L194" s="408"/>
      <c r="M194" s="408"/>
      <c r="N194" s="408"/>
      <c r="O194" s="408"/>
      <c r="P194" s="408"/>
      <c r="Q194" s="408"/>
      <c r="R194" s="408"/>
      <c r="S194" s="408"/>
      <c r="T194" s="408"/>
      <c r="U194" s="408"/>
      <c r="V194" s="408"/>
      <c r="W194" s="408"/>
      <c r="X194" s="408"/>
      <c r="Y194" s="408"/>
      <c r="Z194" s="408"/>
    </row>
    <row r="195" ht="14.25" customHeight="1">
      <c r="A195" s="408"/>
      <c r="B195" s="408"/>
      <c r="C195" s="408"/>
      <c r="D195" s="408"/>
      <c r="E195" s="408"/>
      <c r="F195" s="408"/>
      <c r="G195" s="408"/>
      <c r="H195" s="408"/>
      <c r="I195" s="408"/>
      <c r="J195" s="408"/>
      <c r="K195" s="408"/>
      <c r="L195" s="408"/>
      <c r="M195" s="408"/>
      <c r="N195" s="408"/>
      <c r="O195" s="408"/>
      <c r="P195" s="408"/>
      <c r="Q195" s="408"/>
      <c r="R195" s="408"/>
      <c r="S195" s="408"/>
      <c r="T195" s="408"/>
      <c r="U195" s="408"/>
      <c r="V195" s="408"/>
      <c r="W195" s="408"/>
      <c r="X195" s="408"/>
      <c r="Y195" s="408"/>
      <c r="Z195" s="408"/>
    </row>
    <row r="196" ht="14.25" customHeight="1">
      <c r="A196" s="408"/>
      <c r="B196" s="408"/>
      <c r="C196" s="408"/>
      <c r="D196" s="408"/>
      <c r="E196" s="408"/>
      <c r="F196" s="408"/>
      <c r="G196" s="408"/>
      <c r="H196" s="408"/>
      <c r="I196" s="408"/>
      <c r="J196" s="408"/>
      <c r="K196" s="408"/>
      <c r="L196" s="408"/>
      <c r="M196" s="408"/>
      <c r="N196" s="408"/>
      <c r="O196" s="408"/>
      <c r="P196" s="408"/>
      <c r="Q196" s="408"/>
      <c r="R196" s="408"/>
      <c r="S196" s="408"/>
      <c r="T196" s="408"/>
      <c r="U196" s="408"/>
      <c r="V196" s="408"/>
      <c r="W196" s="408"/>
      <c r="X196" s="408"/>
      <c r="Y196" s="408"/>
      <c r="Z196" s="408"/>
    </row>
    <row r="197" ht="14.25" customHeight="1">
      <c r="A197" s="408"/>
      <c r="B197" s="408"/>
      <c r="C197" s="408"/>
      <c r="D197" s="408"/>
      <c r="E197" s="408"/>
      <c r="F197" s="408"/>
      <c r="G197" s="408"/>
      <c r="H197" s="408"/>
      <c r="I197" s="408"/>
      <c r="J197" s="408"/>
      <c r="K197" s="408"/>
      <c r="L197" s="408"/>
      <c r="M197" s="408"/>
      <c r="N197" s="408"/>
      <c r="O197" s="408"/>
      <c r="P197" s="408"/>
      <c r="Q197" s="408"/>
      <c r="R197" s="408"/>
      <c r="S197" s="408"/>
      <c r="T197" s="408"/>
      <c r="U197" s="408"/>
      <c r="V197" s="408"/>
      <c r="W197" s="408"/>
      <c r="X197" s="408"/>
      <c r="Y197" s="408"/>
      <c r="Z197" s="408"/>
    </row>
    <row r="198" ht="14.25" customHeight="1">
      <c r="A198" s="408"/>
      <c r="B198" s="408"/>
      <c r="C198" s="408"/>
      <c r="D198" s="408"/>
      <c r="E198" s="408"/>
      <c r="F198" s="408"/>
      <c r="G198" s="408"/>
      <c r="H198" s="408"/>
      <c r="I198" s="408"/>
      <c r="J198" s="408"/>
      <c r="K198" s="408"/>
      <c r="L198" s="408"/>
      <c r="M198" s="408"/>
      <c r="N198" s="408"/>
      <c r="O198" s="408"/>
      <c r="P198" s="408"/>
      <c r="Q198" s="408"/>
      <c r="R198" s="408"/>
      <c r="S198" s="408"/>
      <c r="T198" s="408"/>
      <c r="U198" s="408"/>
      <c r="V198" s="408"/>
      <c r="W198" s="408"/>
      <c r="X198" s="408"/>
      <c r="Y198" s="408"/>
      <c r="Z198" s="408"/>
    </row>
    <row r="199" ht="14.25" customHeight="1">
      <c r="A199" s="408"/>
      <c r="B199" s="408"/>
      <c r="C199" s="408"/>
      <c r="D199" s="408"/>
      <c r="E199" s="408"/>
      <c r="F199" s="408"/>
      <c r="G199" s="408"/>
      <c r="H199" s="408"/>
      <c r="I199" s="408"/>
      <c r="J199" s="408"/>
      <c r="K199" s="408"/>
      <c r="L199" s="408"/>
      <c r="M199" s="408"/>
      <c r="N199" s="408"/>
      <c r="O199" s="408"/>
      <c r="P199" s="408"/>
      <c r="Q199" s="408"/>
      <c r="R199" s="408"/>
      <c r="S199" s="408"/>
      <c r="T199" s="408"/>
      <c r="U199" s="408"/>
      <c r="V199" s="408"/>
      <c r="W199" s="408"/>
      <c r="X199" s="408"/>
      <c r="Y199" s="408"/>
      <c r="Z199" s="408"/>
    </row>
    <row r="200" ht="14.25" customHeight="1">
      <c r="A200" s="408"/>
      <c r="B200" s="408"/>
      <c r="C200" s="408"/>
      <c r="D200" s="408"/>
      <c r="E200" s="408"/>
      <c r="F200" s="408"/>
      <c r="G200" s="408"/>
      <c r="H200" s="408"/>
      <c r="I200" s="408"/>
      <c r="J200" s="408"/>
      <c r="K200" s="408"/>
      <c r="L200" s="408"/>
      <c r="M200" s="408"/>
      <c r="N200" s="408"/>
      <c r="O200" s="408"/>
      <c r="P200" s="408"/>
      <c r="Q200" s="408"/>
      <c r="R200" s="408"/>
      <c r="S200" s="408"/>
      <c r="T200" s="408"/>
      <c r="U200" s="408"/>
      <c r="V200" s="408"/>
      <c r="W200" s="408"/>
      <c r="X200" s="408"/>
      <c r="Y200" s="408"/>
      <c r="Z200" s="408"/>
    </row>
    <row r="201" ht="14.25" customHeight="1">
      <c r="A201" s="408"/>
      <c r="B201" s="408"/>
      <c r="C201" s="408"/>
      <c r="D201" s="408"/>
      <c r="E201" s="408"/>
      <c r="F201" s="408"/>
      <c r="G201" s="408"/>
      <c r="H201" s="408"/>
      <c r="I201" s="408"/>
      <c r="J201" s="408"/>
      <c r="K201" s="408"/>
      <c r="L201" s="408"/>
      <c r="M201" s="408"/>
      <c r="N201" s="408"/>
      <c r="O201" s="408"/>
      <c r="P201" s="408"/>
      <c r="Q201" s="408"/>
      <c r="R201" s="408"/>
      <c r="S201" s="408"/>
      <c r="T201" s="408"/>
      <c r="U201" s="408"/>
      <c r="V201" s="408"/>
      <c r="W201" s="408"/>
      <c r="X201" s="408"/>
      <c r="Y201" s="408"/>
      <c r="Z201" s="408"/>
    </row>
    <row r="202" ht="14.25" customHeight="1">
      <c r="A202" s="408"/>
      <c r="B202" s="408"/>
      <c r="C202" s="408"/>
      <c r="D202" s="408"/>
      <c r="E202" s="408"/>
      <c r="F202" s="408"/>
      <c r="G202" s="408"/>
      <c r="H202" s="408"/>
      <c r="I202" s="408"/>
      <c r="J202" s="408"/>
      <c r="K202" s="408"/>
      <c r="L202" s="408"/>
      <c r="M202" s="408"/>
      <c r="N202" s="408"/>
      <c r="O202" s="408"/>
      <c r="P202" s="408"/>
      <c r="Q202" s="408"/>
      <c r="R202" s="408"/>
      <c r="S202" s="408"/>
      <c r="T202" s="408"/>
      <c r="U202" s="408"/>
      <c r="V202" s="408"/>
      <c r="W202" s="408"/>
      <c r="X202" s="408"/>
      <c r="Y202" s="408"/>
      <c r="Z202" s="408"/>
    </row>
    <row r="203" ht="14.25" customHeight="1">
      <c r="A203" s="408"/>
      <c r="B203" s="408"/>
      <c r="C203" s="408"/>
      <c r="D203" s="408"/>
      <c r="E203" s="408"/>
      <c r="F203" s="408"/>
      <c r="G203" s="408"/>
      <c r="H203" s="408"/>
      <c r="I203" s="408"/>
      <c r="J203" s="408"/>
      <c r="K203" s="408"/>
      <c r="L203" s="408"/>
      <c r="M203" s="408"/>
      <c r="N203" s="408"/>
      <c r="O203" s="408"/>
      <c r="P203" s="408"/>
      <c r="Q203" s="408"/>
      <c r="R203" s="408"/>
      <c r="S203" s="408"/>
      <c r="T203" s="408"/>
      <c r="U203" s="408"/>
      <c r="V203" s="408"/>
      <c r="W203" s="408"/>
      <c r="X203" s="408"/>
      <c r="Y203" s="408"/>
      <c r="Z203" s="408"/>
    </row>
    <row r="204" ht="14.25" customHeight="1">
      <c r="A204" s="408"/>
      <c r="B204" s="408"/>
      <c r="C204" s="408"/>
      <c r="D204" s="408"/>
      <c r="E204" s="408"/>
      <c r="F204" s="408"/>
      <c r="G204" s="408"/>
      <c r="H204" s="408"/>
      <c r="I204" s="408"/>
      <c r="J204" s="408"/>
      <c r="K204" s="408"/>
      <c r="L204" s="408"/>
      <c r="M204" s="408"/>
      <c r="N204" s="408"/>
      <c r="O204" s="408"/>
      <c r="P204" s="408"/>
      <c r="Q204" s="408"/>
      <c r="R204" s="408"/>
      <c r="S204" s="408"/>
      <c r="T204" s="408"/>
      <c r="U204" s="408"/>
      <c r="V204" s="408"/>
      <c r="W204" s="408"/>
      <c r="X204" s="408"/>
      <c r="Y204" s="408"/>
      <c r="Z204" s="408"/>
    </row>
    <row r="205" ht="14.25" customHeight="1">
      <c r="A205" s="408"/>
      <c r="B205" s="408"/>
      <c r="C205" s="408"/>
      <c r="D205" s="408"/>
      <c r="E205" s="408"/>
      <c r="F205" s="408"/>
      <c r="G205" s="408"/>
      <c r="H205" s="408"/>
      <c r="I205" s="408"/>
      <c r="J205" s="408"/>
      <c r="K205" s="408"/>
      <c r="L205" s="408"/>
      <c r="M205" s="408"/>
      <c r="N205" s="408"/>
      <c r="O205" s="408"/>
      <c r="P205" s="408"/>
      <c r="Q205" s="408"/>
      <c r="R205" s="408"/>
      <c r="S205" s="408"/>
      <c r="T205" s="408"/>
      <c r="U205" s="408"/>
      <c r="V205" s="408"/>
      <c r="W205" s="408"/>
      <c r="X205" s="408"/>
      <c r="Y205" s="408"/>
      <c r="Z205" s="408"/>
    </row>
    <row r="206" ht="14.25" customHeight="1">
      <c r="A206" s="408"/>
      <c r="B206" s="408"/>
      <c r="C206" s="408"/>
      <c r="D206" s="408"/>
      <c r="E206" s="408"/>
      <c r="F206" s="408"/>
      <c r="G206" s="408"/>
      <c r="H206" s="408"/>
      <c r="I206" s="408"/>
      <c r="J206" s="408"/>
      <c r="K206" s="408"/>
      <c r="L206" s="408"/>
      <c r="M206" s="408"/>
      <c r="N206" s="408"/>
      <c r="O206" s="408"/>
      <c r="P206" s="408"/>
      <c r="Q206" s="408"/>
      <c r="R206" s="408"/>
      <c r="S206" s="408"/>
      <c r="T206" s="408"/>
      <c r="U206" s="408"/>
      <c r="V206" s="408"/>
      <c r="W206" s="408"/>
      <c r="X206" s="408"/>
      <c r="Y206" s="408"/>
      <c r="Z206" s="408"/>
    </row>
    <row r="207" ht="14.25" customHeight="1">
      <c r="A207" s="408"/>
      <c r="B207" s="408"/>
      <c r="C207" s="408"/>
      <c r="D207" s="408"/>
      <c r="E207" s="408"/>
      <c r="F207" s="408"/>
      <c r="G207" s="408"/>
      <c r="H207" s="408"/>
      <c r="I207" s="408"/>
      <c r="J207" s="408"/>
      <c r="K207" s="408"/>
      <c r="L207" s="408"/>
      <c r="M207" s="408"/>
      <c r="N207" s="408"/>
      <c r="O207" s="408"/>
      <c r="P207" s="408"/>
      <c r="Q207" s="408"/>
      <c r="R207" s="408"/>
      <c r="S207" s="408"/>
      <c r="T207" s="408"/>
      <c r="U207" s="408"/>
      <c r="V207" s="408"/>
      <c r="W207" s="408"/>
      <c r="X207" s="408"/>
      <c r="Y207" s="408"/>
      <c r="Z207" s="408"/>
    </row>
    <row r="208" ht="14.25" customHeight="1">
      <c r="A208" s="408"/>
      <c r="B208" s="408"/>
      <c r="C208" s="408"/>
      <c r="D208" s="408"/>
      <c r="E208" s="408"/>
      <c r="F208" s="408"/>
      <c r="G208" s="408"/>
      <c r="H208" s="408"/>
      <c r="I208" s="408"/>
      <c r="J208" s="408"/>
      <c r="K208" s="408"/>
      <c r="L208" s="408"/>
      <c r="M208" s="408"/>
      <c r="N208" s="408"/>
      <c r="O208" s="408"/>
      <c r="P208" s="408"/>
      <c r="Q208" s="408"/>
      <c r="R208" s="408"/>
      <c r="S208" s="408"/>
      <c r="T208" s="408"/>
      <c r="U208" s="408"/>
      <c r="V208" s="408"/>
      <c r="W208" s="408"/>
      <c r="X208" s="408"/>
      <c r="Y208" s="408"/>
      <c r="Z208" s="408"/>
    </row>
    <row r="209" ht="14.25" customHeight="1">
      <c r="A209" s="408"/>
      <c r="B209" s="408"/>
      <c r="C209" s="408"/>
      <c r="D209" s="408"/>
      <c r="E209" s="408"/>
      <c r="F209" s="408"/>
      <c r="G209" s="408"/>
      <c r="H209" s="408"/>
      <c r="I209" s="408"/>
      <c r="J209" s="408"/>
      <c r="K209" s="408"/>
      <c r="L209" s="408"/>
      <c r="M209" s="408"/>
      <c r="N209" s="408"/>
      <c r="O209" s="408"/>
      <c r="P209" s="408"/>
      <c r="Q209" s="408"/>
      <c r="R209" s="408"/>
      <c r="S209" s="408"/>
      <c r="T209" s="408"/>
      <c r="U209" s="408"/>
      <c r="V209" s="408"/>
      <c r="W209" s="408"/>
      <c r="X209" s="408"/>
      <c r="Y209" s="408"/>
      <c r="Z209" s="408"/>
    </row>
    <row r="210" ht="14.25" customHeight="1">
      <c r="A210" s="408"/>
      <c r="B210" s="408"/>
      <c r="C210" s="408"/>
      <c r="D210" s="408"/>
      <c r="E210" s="408"/>
      <c r="F210" s="408"/>
      <c r="G210" s="408"/>
      <c r="H210" s="408"/>
      <c r="I210" s="408"/>
      <c r="J210" s="408"/>
      <c r="K210" s="408"/>
      <c r="L210" s="408"/>
      <c r="M210" s="408"/>
      <c r="N210" s="408"/>
      <c r="O210" s="408"/>
      <c r="P210" s="408"/>
      <c r="Q210" s="408"/>
      <c r="R210" s="408"/>
      <c r="S210" s="408"/>
      <c r="T210" s="408"/>
      <c r="U210" s="408"/>
      <c r="V210" s="408"/>
      <c r="W210" s="408"/>
      <c r="X210" s="408"/>
      <c r="Y210" s="408"/>
      <c r="Z210" s="408"/>
    </row>
    <row r="211" ht="14.25" customHeight="1">
      <c r="A211" s="408"/>
      <c r="B211" s="408"/>
      <c r="C211" s="408"/>
      <c r="D211" s="408"/>
      <c r="E211" s="408"/>
      <c r="F211" s="408"/>
      <c r="G211" s="408"/>
      <c r="H211" s="408"/>
      <c r="I211" s="408"/>
      <c r="J211" s="408"/>
      <c r="K211" s="408"/>
      <c r="L211" s="408"/>
      <c r="M211" s="408"/>
      <c r="N211" s="408"/>
      <c r="O211" s="408"/>
      <c r="P211" s="408"/>
      <c r="Q211" s="408"/>
      <c r="R211" s="408"/>
      <c r="S211" s="408"/>
      <c r="T211" s="408"/>
      <c r="U211" s="408"/>
      <c r="V211" s="408"/>
      <c r="W211" s="408"/>
      <c r="X211" s="408"/>
      <c r="Y211" s="408"/>
      <c r="Z211" s="408"/>
    </row>
    <row r="212" ht="14.25" customHeight="1">
      <c r="A212" s="408"/>
      <c r="B212" s="408"/>
      <c r="C212" s="408"/>
      <c r="D212" s="408"/>
      <c r="E212" s="408"/>
      <c r="F212" s="408"/>
      <c r="G212" s="408"/>
      <c r="H212" s="408"/>
      <c r="I212" s="408"/>
      <c r="J212" s="408"/>
      <c r="K212" s="408"/>
      <c r="L212" s="408"/>
      <c r="M212" s="408"/>
      <c r="N212" s="408"/>
      <c r="O212" s="408"/>
      <c r="P212" s="408"/>
      <c r="Q212" s="408"/>
      <c r="R212" s="408"/>
      <c r="S212" s="408"/>
      <c r="T212" s="408"/>
      <c r="U212" s="408"/>
      <c r="V212" s="408"/>
      <c r="W212" s="408"/>
      <c r="X212" s="408"/>
      <c r="Y212" s="408"/>
      <c r="Z212" s="408"/>
    </row>
    <row r="213" ht="14.25" customHeight="1">
      <c r="A213" s="408"/>
      <c r="B213" s="408"/>
      <c r="C213" s="408"/>
      <c r="D213" s="408"/>
      <c r="E213" s="408"/>
      <c r="F213" s="408"/>
      <c r="G213" s="408"/>
      <c r="H213" s="408"/>
      <c r="I213" s="408"/>
      <c r="J213" s="408"/>
      <c r="K213" s="408"/>
      <c r="L213" s="408"/>
      <c r="M213" s="408"/>
      <c r="N213" s="408"/>
      <c r="O213" s="408"/>
      <c r="P213" s="408"/>
      <c r="Q213" s="408"/>
      <c r="R213" s="408"/>
      <c r="S213" s="408"/>
      <c r="T213" s="408"/>
      <c r="U213" s="408"/>
      <c r="V213" s="408"/>
      <c r="W213" s="408"/>
      <c r="X213" s="408"/>
      <c r="Y213" s="408"/>
      <c r="Z213" s="408"/>
    </row>
    <row r="214" ht="14.25" customHeight="1">
      <c r="A214" s="408"/>
      <c r="B214" s="408"/>
      <c r="C214" s="408"/>
      <c r="D214" s="408"/>
      <c r="E214" s="408"/>
      <c r="F214" s="408"/>
      <c r="G214" s="408"/>
      <c r="H214" s="408"/>
      <c r="I214" s="408"/>
      <c r="J214" s="408"/>
      <c r="K214" s="408"/>
      <c r="L214" s="408"/>
      <c r="M214" s="408"/>
      <c r="N214" s="408"/>
      <c r="O214" s="408"/>
      <c r="P214" s="408"/>
      <c r="Q214" s="408"/>
      <c r="R214" s="408"/>
      <c r="S214" s="408"/>
      <c r="T214" s="408"/>
      <c r="U214" s="408"/>
      <c r="V214" s="408"/>
      <c r="W214" s="408"/>
      <c r="X214" s="408"/>
      <c r="Y214" s="408"/>
      <c r="Z214" s="408"/>
    </row>
    <row r="215" ht="14.25" customHeight="1">
      <c r="A215" s="408"/>
      <c r="B215" s="408"/>
      <c r="C215" s="408"/>
      <c r="D215" s="408"/>
      <c r="E215" s="408"/>
      <c r="F215" s="408"/>
      <c r="G215" s="408"/>
      <c r="H215" s="408"/>
      <c r="I215" s="408"/>
      <c r="J215" s="408"/>
      <c r="K215" s="408"/>
      <c r="L215" s="408"/>
      <c r="M215" s="408"/>
      <c r="N215" s="408"/>
      <c r="O215" s="408"/>
      <c r="P215" s="408"/>
      <c r="Q215" s="408"/>
      <c r="R215" s="408"/>
      <c r="S215" s="408"/>
      <c r="T215" s="408"/>
      <c r="U215" s="408"/>
      <c r="V215" s="408"/>
      <c r="W215" s="408"/>
      <c r="X215" s="408"/>
      <c r="Y215" s="408"/>
      <c r="Z215" s="408"/>
    </row>
    <row r="216" ht="14.25" customHeight="1">
      <c r="A216" s="408"/>
      <c r="B216" s="408"/>
      <c r="C216" s="408"/>
      <c r="D216" s="408"/>
      <c r="E216" s="408"/>
      <c r="F216" s="408"/>
      <c r="G216" s="408"/>
      <c r="H216" s="408"/>
      <c r="I216" s="408"/>
      <c r="J216" s="408"/>
      <c r="K216" s="408"/>
      <c r="L216" s="408"/>
      <c r="M216" s="408"/>
      <c r="N216" s="408"/>
      <c r="O216" s="408"/>
      <c r="P216" s="408"/>
      <c r="Q216" s="408"/>
      <c r="R216" s="408"/>
      <c r="S216" s="408"/>
      <c r="T216" s="408"/>
      <c r="U216" s="408"/>
      <c r="V216" s="408"/>
      <c r="W216" s="408"/>
      <c r="X216" s="408"/>
      <c r="Y216" s="408"/>
      <c r="Z216" s="408"/>
    </row>
    <row r="217" ht="14.25" customHeight="1">
      <c r="A217" s="408"/>
      <c r="B217" s="408"/>
      <c r="C217" s="408"/>
      <c r="D217" s="408"/>
      <c r="E217" s="408"/>
      <c r="F217" s="408"/>
      <c r="G217" s="408"/>
      <c r="H217" s="408"/>
      <c r="I217" s="408"/>
      <c r="J217" s="408"/>
      <c r="K217" s="408"/>
      <c r="L217" s="408"/>
      <c r="M217" s="408"/>
      <c r="N217" s="408"/>
      <c r="O217" s="408"/>
      <c r="P217" s="408"/>
      <c r="Q217" s="408"/>
      <c r="R217" s="408"/>
      <c r="S217" s="408"/>
      <c r="T217" s="408"/>
      <c r="U217" s="408"/>
      <c r="V217" s="408"/>
      <c r="W217" s="408"/>
      <c r="X217" s="408"/>
      <c r="Y217" s="408"/>
      <c r="Z217" s="408"/>
    </row>
    <row r="218" ht="14.25" customHeight="1">
      <c r="A218" s="408"/>
      <c r="B218" s="408"/>
      <c r="C218" s="408"/>
      <c r="D218" s="408"/>
      <c r="E218" s="408"/>
      <c r="F218" s="408"/>
      <c r="G218" s="408"/>
      <c r="H218" s="408"/>
      <c r="I218" s="408"/>
      <c r="J218" s="408"/>
      <c r="K218" s="408"/>
      <c r="L218" s="408"/>
      <c r="M218" s="408"/>
      <c r="N218" s="408"/>
      <c r="O218" s="408"/>
      <c r="P218" s="408"/>
      <c r="Q218" s="408"/>
      <c r="R218" s="408"/>
      <c r="S218" s="408"/>
      <c r="T218" s="408"/>
      <c r="U218" s="408"/>
      <c r="V218" s="408"/>
      <c r="W218" s="408"/>
      <c r="X218" s="408"/>
      <c r="Y218" s="408"/>
      <c r="Z218" s="408"/>
    </row>
    <row r="219" ht="14.25" customHeight="1">
      <c r="A219" s="408"/>
      <c r="B219" s="408"/>
      <c r="C219" s="408"/>
      <c r="D219" s="408"/>
      <c r="E219" s="408"/>
      <c r="F219" s="408"/>
      <c r="G219" s="408"/>
      <c r="H219" s="408"/>
      <c r="I219" s="408"/>
      <c r="J219" s="408"/>
      <c r="K219" s="408"/>
      <c r="L219" s="408"/>
      <c r="M219" s="408"/>
      <c r="N219" s="408"/>
      <c r="O219" s="408"/>
      <c r="P219" s="408"/>
      <c r="Q219" s="408"/>
      <c r="R219" s="408"/>
      <c r="S219" s="408"/>
      <c r="T219" s="408"/>
      <c r="U219" s="408"/>
      <c r="V219" s="408"/>
      <c r="W219" s="408"/>
      <c r="X219" s="408"/>
      <c r="Y219" s="408"/>
      <c r="Z219" s="408"/>
    </row>
    <row r="220" ht="14.25" customHeight="1">
      <c r="A220" s="408"/>
      <c r="B220" s="408"/>
      <c r="C220" s="408"/>
      <c r="D220" s="408"/>
      <c r="E220" s="408"/>
      <c r="F220" s="408"/>
      <c r="G220" s="408"/>
      <c r="H220" s="408"/>
      <c r="I220" s="408"/>
      <c r="J220" s="408"/>
      <c r="K220" s="408"/>
      <c r="L220" s="408"/>
      <c r="M220" s="408"/>
      <c r="N220" s="408"/>
      <c r="O220" s="408"/>
      <c r="P220" s="408"/>
      <c r="Q220" s="408"/>
      <c r="R220" s="408"/>
      <c r="S220" s="408"/>
      <c r="T220" s="408"/>
      <c r="U220" s="408"/>
      <c r="V220" s="408"/>
      <c r="W220" s="408"/>
      <c r="X220" s="408"/>
      <c r="Y220" s="408"/>
      <c r="Z220" s="408"/>
    </row>
    <row r="221" ht="14.25" customHeight="1">
      <c r="A221" s="408"/>
      <c r="B221" s="408"/>
      <c r="C221" s="408"/>
      <c r="D221" s="408"/>
      <c r="E221" s="408"/>
      <c r="F221" s="408"/>
      <c r="G221" s="408"/>
      <c r="H221" s="408"/>
      <c r="I221" s="408"/>
      <c r="J221" s="408"/>
      <c r="K221" s="408"/>
      <c r="L221" s="408"/>
      <c r="M221" s="408"/>
      <c r="N221" s="408"/>
      <c r="O221" s="408"/>
      <c r="P221" s="408"/>
      <c r="Q221" s="408"/>
      <c r="R221" s="408"/>
      <c r="S221" s="408"/>
      <c r="T221" s="408"/>
      <c r="U221" s="408"/>
      <c r="V221" s="408"/>
      <c r="W221" s="408"/>
      <c r="X221" s="408"/>
      <c r="Y221" s="408"/>
      <c r="Z221" s="408"/>
    </row>
    <row r="222" ht="14.25" customHeight="1">
      <c r="A222" s="408"/>
      <c r="B222" s="408"/>
      <c r="C222" s="408"/>
      <c r="D222" s="408"/>
      <c r="E222" s="408"/>
      <c r="F222" s="408"/>
      <c r="G222" s="408"/>
      <c r="H222" s="408"/>
      <c r="I222" s="408"/>
      <c r="J222" s="408"/>
      <c r="K222" s="408"/>
      <c r="L222" s="408"/>
      <c r="M222" s="408"/>
      <c r="N222" s="408"/>
      <c r="O222" s="408"/>
      <c r="P222" s="408"/>
      <c r="Q222" s="408"/>
      <c r="R222" s="408"/>
      <c r="S222" s="408"/>
      <c r="T222" s="408"/>
      <c r="U222" s="408"/>
      <c r="V222" s="408"/>
      <c r="W222" s="408"/>
      <c r="X222" s="408"/>
      <c r="Y222" s="408"/>
      <c r="Z222" s="408"/>
    </row>
    <row r="223" ht="14.25" customHeight="1">
      <c r="A223" s="408"/>
      <c r="B223" s="408"/>
      <c r="C223" s="408"/>
      <c r="D223" s="408"/>
      <c r="E223" s="408"/>
      <c r="F223" s="408"/>
      <c r="G223" s="408"/>
      <c r="H223" s="408"/>
      <c r="I223" s="408"/>
      <c r="J223" s="408"/>
      <c r="K223" s="408"/>
      <c r="L223" s="408"/>
      <c r="M223" s="408"/>
      <c r="N223" s="408"/>
      <c r="O223" s="408"/>
      <c r="P223" s="408"/>
      <c r="Q223" s="408"/>
      <c r="R223" s="408"/>
      <c r="S223" s="408"/>
      <c r="T223" s="408"/>
      <c r="U223" s="408"/>
      <c r="V223" s="408"/>
      <c r="W223" s="408"/>
      <c r="X223" s="408"/>
      <c r="Y223" s="408"/>
      <c r="Z223" s="408"/>
    </row>
    <row r="224" ht="14.25" customHeight="1">
      <c r="A224" s="408"/>
      <c r="B224" s="408"/>
      <c r="C224" s="408"/>
      <c r="D224" s="408"/>
      <c r="E224" s="408"/>
      <c r="F224" s="408"/>
      <c r="G224" s="408"/>
      <c r="H224" s="408"/>
      <c r="I224" s="408"/>
      <c r="J224" s="408"/>
      <c r="K224" s="408"/>
      <c r="L224" s="408"/>
      <c r="M224" s="408"/>
      <c r="N224" s="408"/>
      <c r="O224" s="408"/>
      <c r="P224" s="408"/>
      <c r="Q224" s="408"/>
      <c r="R224" s="408"/>
      <c r="S224" s="408"/>
      <c r="T224" s="408"/>
      <c r="U224" s="408"/>
      <c r="V224" s="408"/>
      <c r="W224" s="408"/>
      <c r="X224" s="408"/>
      <c r="Y224" s="408"/>
      <c r="Z224" s="408"/>
    </row>
    <row r="225" ht="14.25" customHeight="1">
      <c r="A225" s="408"/>
      <c r="B225" s="408"/>
      <c r="C225" s="408"/>
      <c r="D225" s="408"/>
      <c r="E225" s="408"/>
      <c r="F225" s="408"/>
      <c r="G225" s="408"/>
      <c r="H225" s="408"/>
      <c r="I225" s="408"/>
      <c r="J225" s="408"/>
      <c r="K225" s="408"/>
      <c r="L225" s="408"/>
      <c r="M225" s="408"/>
      <c r="N225" s="408"/>
      <c r="O225" s="408"/>
      <c r="P225" s="408"/>
      <c r="Q225" s="408"/>
      <c r="R225" s="408"/>
      <c r="S225" s="408"/>
      <c r="T225" s="408"/>
      <c r="U225" s="408"/>
      <c r="V225" s="408"/>
      <c r="W225" s="408"/>
      <c r="X225" s="408"/>
      <c r="Y225" s="408"/>
      <c r="Z225" s="408"/>
    </row>
    <row r="226" ht="14.25" customHeight="1">
      <c r="A226" s="408"/>
      <c r="B226" s="408"/>
      <c r="C226" s="408"/>
      <c r="D226" s="408"/>
      <c r="E226" s="408"/>
      <c r="F226" s="408"/>
      <c r="G226" s="408"/>
      <c r="H226" s="408"/>
      <c r="I226" s="408"/>
      <c r="J226" s="408"/>
      <c r="K226" s="408"/>
      <c r="L226" s="408"/>
      <c r="M226" s="408"/>
      <c r="N226" s="408"/>
      <c r="O226" s="408"/>
      <c r="P226" s="408"/>
      <c r="Q226" s="408"/>
      <c r="R226" s="408"/>
      <c r="S226" s="408"/>
      <c r="T226" s="408"/>
      <c r="U226" s="408"/>
      <c r="V226" s="408"/>
      <c r="W226" s="408"/>
      <c r="X226" s="408"/>
      <c r="Y226" s="408"/>
      <c r="Z226" s="408"/>
    </row>
    <row r="227" ht="14.25" customHeight="1">
      <c r="A227" s="408"/>
      <c r="B227" s="408"/>
      <c r="C227" s="408"/>
      <c r="D227" s="408"/>
      <c r="E227" s="408"/>
      <c r="F227" s="408"/>
      <c r="G227" s="408"/>
      <c r="H227" s="408"/>
      <c r="I227" s="408"/>
      <c r="J227" s="408"/>
      <c r="K227" s="408"/>
      <c r="L227" s="408"/>
      <c r="M227" s="408"/>
      <c r="N227" s="408"/>
      <c r="O227" s="408"/>
      <c r="P227" s="408"/>
      <c r="Q227" s="408"/>
      <c r="R227" s="408"/>
      <c r="S227" s="408"/>
      <c r="T227" s="408"/>
      <c r="U227" s="408"/>
      <c r="V227" s="408"/>
      <c r="W227" s="408"/>
      <c r="X227" s="408"/>
      <c r="Y227" s="408"/>
      <c r="Z227" s="408"/>
    </row>
    <row r="228" ht="14.25" customHeight="1">
      <c r="A228" s="408"/>
      <c r="B228" s="408"/>
      <c r="C228" s="408"/>
      <c r="D228" s="408"/>
      <c r="E228" s="408"/>
      <c r="F228" s="408"/>
      <c r="G228" s="408"/>
      <c r="H228" s="408"/>
      <c r="I228" s="408"/>
      <c r="J228" s="408"/>
      <c r="K228" s="408"/>
      <c r="L228" s="408"/>
      <c r="M228" s="408"/>
      <c r="N228" s="408"/>
      <c r="O228" s="408"/>
      <c r="P228" s="408"/>
      <c r="Q228" s="408"/>
      <c r="R228" s="408"/>
      <c r="S228" s="408"/>
      <c r="T228" s="408"/>
      <c r="U228" s="408"/>
      <c r="V228" s="408"/>
      <c r="W228" s="408"/>
      <c r="X228" s="408"/>
      <c r="Y228" s="408"/>
      <c r="Z228" s="408"/>
    </row>
    <row r="229" ht="14.25" customHeight="1">
      <c r="A229" s="408"/>
      <c r="B229" s="408"/>
      <c r="C229" s="408"/>
      <c r="D229" s="408"/>
      <c r="E229" s="408"/>
      <c r="F229" s="408"/>
      <c r="G229" s="408"/>
      <c r="H229" s="408"/>
      <c r="I229" s="408"/>
      <c r="J229" s="408"/>
      <c r="K229" s="408"/>
      <c r="L229" s="408"/>
      <c r="M229" s="408"/>
      <c r="N229" s="408"/>
      <c r="O229" s="408"/>
      <c r="P229" s="408"/>
      <c r="Q229" s="408"/>
      <c r="R229" s="408"/>
      <c r="S229" s="408"/>
      <c r="T229" s="408"/>
      <c r="U229" s="408"/>
      <c r="V229" s="408"/>
      <c r="W229" s="408"/>
      <c r="X229" s="408"/>
      <c r="Y229" s="408"/>
      <c r="Z229" s="408"/>
    </row>
    <row r="230" ht="14.25" customHeight="1">
      <c r="A230" s="408"/>
      <c r="B230" s="408"/>
      <c r="C230" s="408"/>
      <c r="D230" s="408"/>
      <c r="E230" s="408"/>
      <c r="F230" s="408"/>
      <c r="G230" s="408"/>
      <c r="H230" s="408"/>
      <c r="I230" s="408"/>
      <c r="J230" s="408"/>
      <c r="K230" s="408"/>
      <c r="L230" s="408"/>
      <c r="M230" s="408"/>
      <c r="N230" s="408"/>
      <c r="O230" s="408"/>
      <c r="P230" s="408"/>
      <c r="Q230" s="408"/>
      <c r="R230" s="408"/>
      <c r="S230" s="408"/>
      <c r="T230" s="408"/>
      <c r="U230" s="408"/>
      <c r="V230" s="408"/>
      <c r="W230" s="408"/>
      <c r="X230" s="408"/>
      <c r="Y230" s="408"/>
      <c r="Z230" s="408"/>
    </row>
    <row r="231" ht="14.25" customHeight="1">
      <c r="A231" s="408"/>
      <c r="B231" s="408"/>
      <c r="C231" s="408"/>
      <c r="D231" s="408"/>
      <c r="E231" s="408"/>
      <c r="F231" s="408"/>
      <c r="G231" s="408"/>
      <c r="H231" s="408"/>
      <c r="I231" s="408"/>
      <c r="J231" s="408"/>
      <c r="K231" s="408"/>
      <c r="L231" s="408"/>
      <c r="M231" s="408"/>
      <c r="N231" s="408"/>
      <c r="O231" s="408"/>
      <c r="P231" s="408"/>
      <c r="Q231" s="408"/>
      <c r="R231" s="408"/>
      <c r="S231" s="408"/>
      <c r="T231" s="408"/>
      <c r="U231" s="408"/>
      <c r="V231" s="408"/>
      <c r="W231" s="408"/>
      <c r="X231" s="408"/>
      <c r="Y231" s="408"/>
      <c r="Z231" s="408"/>
    </row>
    <row r="232" ht="14.25" customHeight="1">
      <c r="A232" s="408"/>
      <c r="B232" s="408"/>
      <c r="C232" s="408"/>
      <c r="D232" s="408"/>
      <c r="E232" s="408"/>
      <c r="F232" s="408"/>
      <c r="G232" s="408"/>
      <c r="H232" s="408"/>
      <c r="I232" s="408"/>
      <c r="J232" s="408"/>
      <c r="K232" s="408"/>
      <c r="L232" s="408"/>
      <c r="M232" s="408"/>
      <c r="N232" s="408"/>
      <c r="O232" s="408"/>
      <c r="P232" s="408"/>
      <c r="Q232" s="408"/>
      <c r="R232" s="408"/>
      <c r="S232" s="408"/>
      <c r="T232" s="408"/>
      <c r="U232" s="408"/>
      <c r="V232" s="408"/>
      <c r="W232" s="408"/>
      <c r="X232" s="408"/>
      <c r="Y232" s="408"/>
      <c r="Z232" s="408"/>
    </row>
    <row r="233" ht="14.25" customHeight="1">
      <c r="A233" s="408"/>
      <c r="B233" s="408"/>
      <c r="C233" s="408"/>
      <c r="D233" s="408"/>
      <c r="E233" s="408"/>
      <c r="F233" s="408"/>
      <c r="G233" s="408"/>
      <c r="H233" s="408"/>
      <c r="I233" s="408"/>
      <c r="J233" s="408"/>
      <c r="K233" s="408"/>
      <c r="L233" s="408"/>
      <c r="M233" s="408"/>
      <c r="N233" s="408"/>
      <c r="O233" s="408"/>
      <c r="P233" s="408"/>
      <c r="Q233" s="408"/>
      <c r="R233" s="408"/>
      <c r="S233" s="408"/>
      <c r="T233" s="408"/>
      <c r="U233" s="408"/>
      <c r="V233" s="408"/>
      <c r="W233" s="408"/>
      <c r="X233" s="408"/>
      <c r="Y233" s="408"/>
      <c r="Z233" s="408"/>
    </row>
    <row r="234" ht="14.25" customHeight="1">
      <c r="A234" s="408"/>
      <c r="B234" s="408"/>
      <c r="C234" s="408"/>
      <c r="D234" s="408"/>
      <c r="E234" s="408"/>
      <c r="F234" s="408"/>
      <c r="G234" s="408"/>
      <c r="H234" s="408"/>
      <c r="I234" s="408"/>
      <c r="J234" s="408"/>
      <c r="K234" s="408"/>
      <c r="L234" s="408"/>
      <c r="M234" s="408"/>
      <c r="N234" s="408"/>
      <c r="O234" s="408"/>
      <c r="P234" s="408"/>
      <c r="Q234" s="408"/>
      <c r="R234" s="408"/>
      <c r="S234" s="408"/>
      <c r="T234" s="408"/>
      <c r="U234" s="408"/>
      <c r="V234" s="408"/>
      <c r="W234" s="408"/>
      <c r="X234" s="408"/>
      <c r="Y234" s="408"/>
      <c r="Z234" s="408"/>
    </row>
    <row r="235" ht="14.25" customHeight="1">
      <c r="A235" s="408"/>
      <c r="B235" s="408"/>
      <c r="C235" s="408"/>
      <c r="D235" s="408"/>
      <c r="E235" s="408"/>
      <c r="F235" s="408"/>
      <c r="G235" s="408"/>
      <c r="H235" s="408"/>
      <c r="I235" s="408"/>
      <c r="J235" s="408"/>
      <c r="K235" s="408"/>
      <c r="L235" s="408"/>
      <c r="M235" s="408"/>
      <c r="N235" s="408"/>
      <c r="O235" s="408"/>
      <c r="P235" s="408"/>
      <c r="Q235" s="408"/>
      <c r="R235" s="408"/>
      <c r="S235" s="408"/>
      <c r="T235" s="408"/>
      <c r="U235" s="408"/>
      <c r="V235" s="408"/>
      <c r="W235" s="408"/>
      <c r="X235" s="408"/>
      <c r="Y235" s="408"/>
      <c r="Z235" s="408"/>
    </row>
    <row r="236" ht="14.25" customHeight="1">
      <c r="A236" s="408"/>
      <c r="B236" s="408"/>
      <c r="C236" s="408"/>
      <c r="D236" s="408"/>
      <c r="E236" s="408"/>
      <c r="F236" s="408"/>
      <c r="G236" s="408"/>
      <c r="H236" s="408"/>
      <c r="I236" s="408"/>
      <c r="J236" s="408"/>
      <c r="K236" s="408"/>
      <c r="L236" s="408"/>
      <c r="M236" s="408"/>
      <c r="N236" s="408"/>
      <c r="O236" s="408"/>
      <c r="P236" s="408"/>
      <c r="Q236" s="408"/>
      <c r="R236" s="408"/>
      <c r="S236" s="408"/>
      <c r="T236" s="408"/>
      <c r="U236" s="408"/>
      <c r="V236" s="408"/>
      <c r="W236" s="408"/>
      <c r="X236" s="408"/>
      <c r="Y236" s="408"/>
      <c r="Z236" s="408"/>
    </row>
    <row r="237" ht="14.25" customHeight="1">
      <c r="A237" s="408"/>
      <c r="B237" s="408"/>
      <c r="C237" s="408"/>
      <c r="D237" s="408"/>
      <c r="E237" s="408"/>
      <c r="F237" s="408"/>
      <c r="G237" s="408"/>
      <c r="H237" s="408"/>
      <c r="I237" s="408"/>
      <c r="J237" s="408"/>
      <c r="K237" s="408"/>
      <c r="L237" s="408"/>
      <c r="M237" s="408"/>
      <c r="N237" s="408"/>
      <c r="O237" s="408"/>
      <c r="P237" s="408"/>
      <c r="Q237" s="408"/>
      <c r="R237" s="408"/>
      <c r="S237" s="408"/>
      <c r="T237" s="408"/>
      <c r="U237" s="408"/>
      <c r="V237" s="408"/>
      <c r="W237" s="408"/>
      <c r="X237" s="408"/>
      <c r="Y237" s="408"/>
      <c r="Z237" s="408"/>
    </row>
    <row r="238" ht="14.25" customHeight="1">
      <c r="A238" s="408"/>
      <c r="B238" s="408"/>
      <c r="C238" s="408"/>
      <c r="D238" s="408"/>
      <c r="E238" s="408"/>
      <c r="F238" s="408"/>
      <c r="G238" s="408"/>
      <c r="H238" s="408"/>
      <c r="I238" s="408"/>
      <c r="J238" s="408"/>
      <c r="K238" s="408"/>
      <c r="L238" s="408"/>
      <c r="M238" s="408"/>
      <c r="N238" s="408"/>
      <c r="O238" s="408"/>
      <c r="P238" s="408"/>
      <c r="Q238" s="408"/>
      <c r="R238" s="408"/>
      <c r="S238" s="408"/>
      <c r="T238" s="408"/>
      <c r="U238" s="408"/>
      <c r="V238" s="408"/>
      <c r="W238" s="408"/>
      <c r="X238" s="408"/>
      <c r="Y238" s="408"/>
      <c r="Z238" s="408"/>
    </row>
    <row r="239" ht="14.25" customHeight="1">
      <c r="A239" s="408"/>
      <c r="B239" s="408"/>
      <c r="C239" s="408"/>
      <c r="D239" s="408"/>
      <c r="E239" s="408"/>
      <c r="F239" s="408"/>
      <c r="G239" s="408"/>
      <c r="H239" s="408"/>
      <c r="I239" s="408"/>
      <c r="J239" s="408"/>
      <c r="K239" s="408"/>
      <c r="L239" s="408"/>
      <c r="M239" s="408"/>
      <c r="N239" s="408"/>
      <c r="O239" s="408"/>
      <c r="P239" s="408"/>
      <c r="Q239" s="408"/>
      <c r="R239" s="408"/>
      <c r="S239" s="408"/>
      <c r="T239" s="408"/>
      <c r="U239" s="408"/>
      <c r="V239" s="408"/>
      <c r="W239" s="408"/>
      <c r="X239" s="408"/>
      <c r="Y239" s="408"/>
      <c r="Z239" s="408"/>
    </row>
    <row r="240" ht="14.25" customHeight="1">
      <c r="A240" s="408"/>
      <c r="B240" s="408"/>
      <c r="C240" s="408"/>
      <c r="D240" s="408"/>
      <c r="E240" s="408"/>
      <c r="F240" s="408"/>
      <c r="G240" s="408"/>
      <c r="H240" s="408"/>
      <c r="I240" s="408"/>
      <c r="J240" s="408"/>
      <c r="K240" s="408"/>
      <c r="L240" s="408"/>
      <c r="M240" s="408"/>
      <c r="N240" s="408"/>
      <c r="O240" s="408"/>
      <c r="P240" s="408"/>
      <c r="Q240" s="408"/>
      <c r="R240" s="408"/>
      <c r="S240" s="408"/>
      <c r="T240" s="408"/>
      <c r="U240" s="408"/>
      <c r="V240" s="408"/>
      <c r="W240" s="408"/>
      <c r="X240" s="408"/>
      <c r="Y240" s="408"/>
      <c r="Z240" s="408"/>
    </row>
    <row r="241" ht="14.25" customHeight="1">
      <c r="A241" s="408"/>
      <c r="B241" s="408"/>
      <c r="C241" s="408"/>
      <c r="D241" s="408"/>
      <c r="E241" s="408"/>
      <c r="F241" s="408"/>
      <c r="G241" s="408"/>
      <c r="H241" s="408"/>
      <c r="I241" s="408"/>
      <c r="J241" s="408"/>
      <c r="K241" s="408"/>
      <c r="L241" s="408"/>
      <c r="M241" s="408"/>
      <c r="N241" s="408"/>
      <c r="O241" s="408"/>
      <c r="P241" s="408"/>
      <c r="Q241" s="408"/>
      <c r="R241" s="408"/>
      <c r="S241" s="408"/>
      <c r="T241" s="408"/>
      <c r="U241" s="408"/>
      <c r="V241" s="408"/>
      <c r="W241" s="408"/>
      <c r="X241" s="408"/>
      <c r="Y241" s="408"/>
      <c r="Z241" s="408"/>
    </row>
    <row r="242" ht="14.25" customHeight="1">
      <c r="A242" s="408"/>
      <c r="B242" s="408"/>
      <c r="C242" s="408"/>
      <c r="D242" s="408"/>
      <c r="E242" s="408"/>
      <c r="F242" s="408"/>
      <c r="G242" s="408"/>
      <c r="H242" s="408"/>
      <c r="I242" s="408"/>
      <c r="J242" s="408"/>
      <c r="K242" s="408"/>
      <c r="L242" s="408"/>
      <c r="M242" s="408"/>
      <c r="N242" s="408"/>
      <c r="O242" s="408"/>
      <c r="P242" s="408"/>
      <c r="Q242" s="408"/>
      <c r="R242" s="408"/>
      <c r="S242" s="408"/>
      <c r="T242" s="408"/>
      <c r="U242" s="408"/>
      <c r="V242" s="408"/>
      <c r="W242" s="408"/>
      <c r="X242" s="408"/>
      <c r="Y242" s="408"/>
      <c r="Z242" s="408"/>
    </row>
    <row r="243" ht="14.25" customHeight="1">
      <c r="A243" s="408"/>
      <c r="B243" s="408"/>
      <c r="C243" s="408"/>
      <c r="D243" s="408"/>
      <c r="E243" s="408"/>
      <c r="F243" s="408"/>
      <c r="G243" s="408"/>
      <c r="H243" s="408"/>
      <c r="I243" s="408"/>
      <c r="J243" s="408"/>
      <c r="K243" s="408"/>
      <c r="L243" s="408"/>
      <c r="M243" s="408"/>
      <c r="N243" s="408"/>
      <c r="O243" s="408"/>
      <c r="P243" s="408"/>
      <c r="Q243" s="408"/>
      <c r="R243" s="408"/>
      <c r="S243" s="408"/>
      <c r="T243" s="408"/>
      <c r="U243" s="408"/>
      <c r="V243" s="408"/>
      <c r="W243" s="408"/>
      <c r="X243" s="408"/>
      <c r="Y243" s="408"/>
      <c r="Z243" s="408"/>
    </row>
    <row r="244" ht="14.25" customHeight="1">
      <c r="A244" s="408"/>
      <c r="B244" s="408"/>
      <c r="C244" s="408"/>
      <c r="D244" s="408"/>
      <c r="E244" s="408"/>
      <c r="F244" s="408"/>
      <c r="G244" s="408"/>
      <c r="H244" s="408"/>
      <c r="I244" s="408"/>
      <c r="J244" s="408"/>
      <c r="K244" s="408"/>
      <c r="L244" s="408"/>
      <c r="M244" s="408"/>
      <c r="N244" s="408"/>
      <c r="O244" s="408"/>
      <c r="P244" s="408"/>
      <c r="Q244" s="408"/>
      <c r="R244" s="408"/>
      <c r="S244" s="408"/>
      <c r="T244" s="408"/>
      <c r="U244" s="408"/>
      <c r="V244" s="408"/>
      <c r="W244" s="408"/>
      <c r="X244" s="408"/>
      <c r="Y244" s="408"/>
      <c r="Z244" s="408"/>
    </row>
    <row r="245" ht="14.25" customHeight="1">
      <c r="A245" s="408"/>
      <c r="B245" s="408"/>
      <c r="C245" s="408"/>
      <c r="D245" s="408"/>
      <c r="E245" s="408"/>
      <c r="F245" s="408"/>
      <c r="G245" s="408"/>
      <c r="H245" s="408"/>
      <c r="I245" s="408"/>
      <c r="J245" s="408"/>
      <c r="K245" s="408"/>
      <c r="L245" s="408"/>
      <c r="M245" s="408"/>
      <c r="N245" s="408"/>
      <c r="O245" s="408"/>
      <c r="P245" s="408"/>
      <c r="Q245" s="408"/>
      <c r="R245" s="408"/>
      <c r="S245" s="408"/>
      <c r="T245" s="408"/>
      <c r="U245" s="408"/>
      <c r="V245" s="408"/>
      <c r="W245" s="408"/>
      <c r="X245" s="408"/>
      <c r="Y245" s="408"/>
      <c r="Z245" s="408"/>
    </row>
    <row r="246" ht="14.25" customHeight="1">
      <c r="A246" s="408"/>
      <c r="B246" s="408"/>
      <c r="C246" s="408"/>
      <c r="D246" s="408"/>
      <c r="E246" s="408"/>
      <c r="F246" s="408"/>
      <c r="G246" s="408"/>
      <c r="H246" s="408"/>
      <c r="I246" s="408"/>
      <c r="J246" s="408"/>
      <c r="K246" s="408"/>
      <c r="L246" s="408"/>
      <c r="M246" s="408"/>
      <c r="N246" s="408"/>
      <c r="O246" s="408"/>
      <c r="P246" s="408"/>
      <c r="Q246" s="408"/>
      <c r="R246" s="408"/>
      <c r="S246" s="408"/>
      <c r="T246" s="408"/>
      <c r="U246" s="408"/>
      <c r="V246" s="408"/>
      <c r="W246" s="408"/>
      <c r="X246" s="408"/>
      <c r="Y246" s="408"/>
      <c r="Z246" s="408"/>
    </row>
    <row r="247" ht="14.25" customHeight="1">
      <c r="A247" s="408"/>
      <c r="B247" s="408"/>
      <c r="C247" s="408"/>
      <c r="D247" s="408"/>
      <c r="E247" s="408"/>
      <c r="F247" s="408"/>
      <c r="G247" s="408"/>
      <c r="H247" s="408"/>
      <c r="I247" s="408"/>
      <c r="J247" s="408"/>
      <c r="K247" s="408"/>
      <c r="L247" s="408"/>
      <c r="M247" s="408"/>
      <c r="N247" s="408"/>
      <c r="O247" s="408"/>
      <c r="P247" s="408"/>
      <c r="Q247" s="408"/>
      <c r="R247" s="408"/>
      <c r="S247" s="408"/>
      <c r="T247" s="408"/>
      <c r="U247" s="408"/>
      <c r="V247" s="408"/>
      <c r="W247" s="408"/>
      <c r="X247" s="408"/>
      <c r="Y247" s="408"/>
      <c r="Z247" s="408"/>
    </row>
    <row r="248" ht="14.25" customHeight="1">
      <c r="A248" s="408"/>
      <c r="B248" s="408"/>
      <c r="C248" s="408"/>
      <c r="D248" s="408"/>
      <c r="E248" s="408"/>
      <c r="F248" s="408"/>
      <c r="G248" s="408"/>
      <c r="H248" s="408"/>
      <c r="I248" s="408"/>
      <c r="J248" s="408"/>
      <c r="K248" s="408"/>
      <c r="L248" s="408"/>
      <c r="M248" s="408"/>
      <c r="N248" s="408"/>
      <c r="O248" s="408"/>
      <c r="P248" s="408"/>
      <c r="Q248" s="408"/>
      <c r="R248" s="408"/>
      <c r="S248" s="408"/>
      <c r="T248" s="408"/>
      <c r="U248" s="408"/>
      <c r="V248" s="408"/>
      <c r="W248" s="408"/>
      <c r="X248" s="408"/>
      <c r="Y248" s="408"/>
      <c r="Z248" s="408"/>
    </row>
    <row r="249" ht="14.25" customHeight="1">
      <c r="A249" s="408"/>
      <c r="B249" s="408"/>
      <c r="C249" s="408"/>
      <c r="D249" s="408"/>
      <c r="E249" s="408"/>
      <c r="F249" s="408"/>
      <c r="G249" s="408"/>
      <c r="H249" s="408"/>
      <c r="I249" s="408"/>
      <c r="J249" s="408"/>
      <c r="K249" s="408"/>
      <c r="L249" s="408"/>
      <c r="M249" s="408"/>
      <c r="N249" s="408"/>
      <c r="O249" s="408"/>
      <c r="P249" s="408"/>
      <c r="Q249" s="408"/>
      <c r="R249" s="408"/>
      <c r="S249" s="408"/>
      <c r="T249" s="408"/>
      <c r="U249" s="408"/>
      <c r="V249" s="408"/>
      <c r="W249" s="408"/>
      <c r="X249" s="408"/>
      <c r="Y249" s="408"/>
      <c r="Z249" s="408"/>
    </row>
    <row r="250" ht="14.25" customHeight="1">
      <c r="A250" s="408"/>
      <c r="B250" s="408"/>
      <c r="C250" s="408"/>
      <c r="D250" s="408"/>
      <c r="E250" s="408"/>
      <c r="F250" s="408"/>
      <c r="G250" s="408"/>
      <c r="H250" s="408"/>
      <c r="I250" s="408"/>
      <c r="J250" s="408"/>
      <c r="K250" s="408"/>
      <c r="L250" s="408"/>
      <c r="M250" s="408"/>
      <c r="N250" s="408"/>
      <c r="O250" s="408"/>
      <c r="P250" s="408"/>
      <c r="Q250" s="408"/>
      <c r="R250" s="408"/>
      <c r="S250" s="408"/>
      <c r="T250" s="408"/>
      <c r="U250" s="408"/>
      <c r="V250" s="408"/>
      <c r="W250" s="408"/>
      <c r="X250" s="408"/>
      <c r="Y250" s="408"/>
      <c r="Z250" s="408"/>
    </row>
    <row r="251" ht="14.25" customHeight="1">
      <c r="A251" s="408"/>
      <c r="B251" s="408"/>
      <c r="C251" s="408"/>
      <c r="D251" s="408"/>
      <c r="E251" s="408"/>
      <c r="F251" s="408"/>
      <c r="G251" s="408"/>
      <c r="H251" s="408"/>
      <c r="I251" s="408"/>
      <c r="J251" s="408"/>
      <c r="K251" s="408"/>
      <c r="L251" s="408"/>
      <c r="M251" s="408"/>
      <c r="N251" s="408"/>
      <c r="O251" s="408"/>
      <c r="P251" s="408"/>
      <c r="Q251" s="408"/>
      <c r="R251" s="408"/>
      <c r="S251" s="408"/>
      <c r="T251" s="408"/>
      <c r="U251" s="408"/>
      <c r="V251" s="408"/>
      <c r="W251" s="408"/>
      <c r="X251" s="408"/>
      <c r="Y251" s="408"/>
      <c r="Z251" s="408"/>
    </row>
    <row r="252" ht="14.25" customHeight="1">
      <c r="A252" s="408"/>
      <c r="B252" s="408"/>
      <c r="C252" s="408"/>
      <c r="D252" s="408"/>
      <c r="E252" s="408"/>
      <c r="F252" s="408"/>
      <c r="G252" s="408"/>
      <c r="H252" s="408"/>
      <c r="I252" s="408"/>
      <c r="J252" s="408"/>
      <c r="K252" s="408"/>
      <c r="L252" s="408"/>
      <c r="M252" s="408"/>
      <c r="N252" s="408"/>
      <c r="O252" s="408"/>
      <c r="P252" s="408"/>
      <c r="Q252" s="408"/>
      <c r="R252" s="408"/>
      <c r="S252" s="408"/>
      <c r="T252" s="408"/>
      <c r="U252" s="408"/>
      <c r="V252" s="408"/>
      <c r="W252" s="408"/>
      <c r="X252" s="408"/>
      <c r="Y252" s="408"/>
      <c r="Z252" s="408"/>
    </row>
    <row r="253" ht="14.25" customHeight="1">
      <c r="A253" s="408"/>
      <c r="B253" s="408"/>
      <c r="C253" s="408"/>
      <c r="D253" s="408"/>
      <c r="E253" s="408"/>
      <c r="F253" s="408"/>
      <c r="G253" s="408"/>
      <c r="H253" s="408"/>
      <c r="I253" s="408"/>
      <c r="J253" s="408"/>
      <c r="K253" s="408"/>
      <c r="L253" s="408"/>
      <c r="M253" s="408"/>
      <c r="N253" s="408"/>
      <c r="O253" s="408"/>
      <c r="P253" s="408"/>
      <c r="Q253" s="408"/>
      <c r="R253" s="408"/>
      <c r="S253" s="408"/>
      <c r="T253" s="408"/>
      <c r="U253" s="408"/>
      <c r="V253" s="408"/>
      <c r="W253" s="408"/>
      <c r="X253" s="408"/>
      <c r="Y253" s="408"/>
      <c r="Z253" s="408"/>
    </row>
    <row r="254" ht="14.25" customHeight="1">
      <c r="A254" s="408"/>
      <c r="B254" s="408"/>
      <c r="C254" s="408"/>
      <c r="D254" s="408"/>
      <c r="E254" s="408"/>
      <c r="F254" s="408"/>
      <c r="G254" s="408"/>
      <c r="H254" s="408"/>
      <c r="I254" s="408"/>
      <c r="J254" s="408"/>
      <c r="K254" s="408"/>
      <c r="L254" s="408"/>
      <c r="M254" s="408"/>
      <c r="N254" s="408"/>
      <c r="O254" s="408"/>
      <c r="P254" s="408"/>
      <c r="Q254" s="408"/>
      <c r="R254" s="408"/>
      <c r="S254" s="408"/>
      <c r="T254" s="408"/>
      <c r="U254" s="408"/>
      <c r="V254" s="408"/>
      <c r="W254" s="408"/>
      <c r="X254" s="408"/>
      <c r="Y254" s="408"/>
      <c r="Z254" s="408"/>
    </row>
    <row r="255" ht="14.25" customHeight="1">
      <c r="A255" s="408"/>
      <c r="B255" s="408"/>
      <c r="C255" s="408"/>
      <c r="D255" s="408"/>
      <c r="E255" s="408"/>
      <c r="F255" s="408"/>
      <c r="G255" s="408"/>
      <c r="H255" s="408"/>
      <c r="I255" s="408"/>
      <c r="J255" s="408"/>
      <c r="K255" s="408"/>
      <c r="L255" s="408"/>
      <c r="M255" s="408"/>
      <c r="N255" s="408"/>
      <c r="O255" s="408"/>
      <c r="P255" s="408"/>
      <c r="Q255" s="408"/>
      <c r="R255" s="408"/>
      <c r="S255" s="408"/>
      <c r="T255" s="408"/>
      <c r="U255" s="408"/>
      <c r="V255" s="408"/>
      <c r="W255" s="408"/>
      <c r="X255" s="408"/>
      <c r="Y255" s="408"/>
      <c r="Z255" s="408"/>
    </row>
    <row r="256" ht="14.25" customHeight="1">
      <c r="A256" s="408"/>
      <c r="B256" s="408"/>
      <c r="C256" s="408"/>
      <c r="D256" s="408"/>
      <c r="E256" s="408"/>
      <c r="F256" s="408"/>
      <c r="G256" s="408"/>
      <c r="H256" s="408"/>
      <c r="I256" s="408"/>
      <c r="J256" s="408"/>
      <c r="K256" s="408"/>
      <c r="L256" s="408"/>
      <c r="M256" s="408"/>
      <c r="N256" s="408"/>
      <c r="O256" s="408"/>
      <c r="P256" s="408"/>
      <c r="Q256" s="408"/>
      <c r="R256" s="408"/>
      <c r="S256" s="408"/>
      <c r="T256" s="408"/>
      <c r="U256" s="408"/>
      <c r="V256" s="408"/>
      <c r="W256" s="408"/>
      <c r="X256" s="408"/>
      <c r="Y256" s="408"/>
      <c r="Z256" s="408"/>
    </row>
    <row r="257" ht="14.25" customHeight="1">
      <c r="A257" s="408"/>
      <c r="B257" s="408"/>
      <c r="C257" s="408"/>
      <c r="D257" s="408"/>
      <c r="E257" s="408"/>
      <c r="F257" s="408"/>
      <c r="G257" s="408"/>
      <c r="H257" s="408"/>
      <c r="I257" s="408"/>
      <c r="J257" s="408"/>
      <c r="K257" s="408"/>
      <c r="L257" s="408"/>
      <c r="M257" s="408"/>
      <c r="N257" s="408"/>
      <c r="O257" s="408"/>
      <c r="P257" s="408"/>
      <c r="Q257" s="408"/>
      <c r="R257" s="408"/>
      <c r="S257" s="408"/>
      <c r="T257" s="408"/>
      <c r="U257" s="408"/>
      <c r="V257" s="408"/>
      <c r="W257" s="408"/>
      <c r="X257" s="408"/>
      <c r="Y257" s="408"/>
      <c r="Z257" s="408"/>
    </row>
    <row r="258" ht="14.25" customHeight="1">
      <c r="A258" s="408"/>
      <c r="B258" s="408"/>
      <c r="C258" s="408"/>
      <c r="D258" s="408"/>
      <c r="E258" s="408"/>
      <c r="F258" s="408"/>
      <c r="G258" s="408"/>
      <c r="H258" s="408"/>
      <c r="I258" s="408"/>
      <c r="J258" s="408"/>
      <c r="K258" s="408"/>
      <c r="L258" s="408"/>
      <c r="M258" s="408"/>
      <c r="N258" s="408"/>
      <c r="O258" s="408"/>
      <c r="P258" s="408"/>
      <c r="Q258" s="408"/>
      <c r="R258" s="408"/>
      <c r="S258" s="408"/>
      <c r="T258" s="408"/>
      <c r="U258" s="408"/>
      <c r="V258" s="408"/>
      <c r="W258" s="408"/>
      <c r="X258" s="408"/>
      <c r="Y258" s="408"/>
      <c r="Z258" s="408"/>
    </row>
    <row r="259" ht="14.25" customHeight="1">
      <c r="A259" s="408"/>
      <c r="B259" s="408"/>
      <c r="C259" s="408"/>
      <c r="D259" s="408"/>
      <c r="E259" s="408"/>
      <c r="F259" s="408"/>
      <c r="G259" s="408"/>
      <c r="H259" s="408"/>
      <c r="I259" s="408"/>
      <c r="J259" s="408"/>
      <c r="K259" s="408"/>
      <c r="L259" s="408"/>
      <c r="M259" s="408"/>
      <c r="N259" s="408"/>
      <c r="O259" s="408"/>
      <c r="P259" s="408"/>
      <c r="Q259" s="408"/>
      <c r="R259" s="408"/>
      <c r="S259" s="408"/>
      <c r="T259" s="408"/>
      <c r="U259" s="408"/>
      <c r="V259" s="408"/>
      <c r="W259" s="408"/>
      <c r="X259" s="408"/>
      <c r="Y259" s="408"/>
      <c r="Z259" s="408"/>
    </row>
    <row r="260" ht="14.25" customHeight="1">
      <c r="A260" s="408"/>
      <c r="B260" s="408"/>
      <c r="C260" s="408"/>
      <c r="D260" s="408"/>
      <c r="E260" s="408"/>
      <c r="F260" s="408"/>
      <c r="G260" s="408"/>
      <c r="H260" s="408"/>
      <c r="I260" s="408"/>
      <c r="J260" s="408"/>
      <c r="K260" s="408"/>
      <c r="L260" s="408"/>
      <c r="M260" s="408"/>
      <c r="N260" s="408"/>
      <c r="O260" s="408"/>
      <c r="P260" s="408"/>
      <c r="Q260" s="408"/>
      <c r="R260" s="408"/>
      <c r="S260" s="408"/>
      <c r="T260" s="408"/>
      <c r="U260" s="408"/>
      <c r="V260" s="408"/>
      <c r="W260" s="408"/>
      <c r="X260" s="408"/>
      <c r="Y260" s="408"/>
      <c r="Z260" s="408"/>
    </row>
    <row r="261" ht="14.25" customHeight="1">
      <c r="A261" s="408"/>
      <c r="B261" s="408"/>
      <c r="C261" s="408"/>
      <c r="D261" s="408"/>
      <c r="E261" s="408"/>
      <c r="F261" s="408"/>
      <c r="G261" s="408"/>
      <c r="H261" s="408"/>
      <c r="I261" s="408"/>
      <c r="J261" s="408"/>
      <c r="K261" s="408"/>
      <c r="L261" s="408"/>
      <c r="M261" s="408"/>
      <c r="N261" s="408"/>
      <c r="O261" s="408"/>
      <c r="P261" s="408"/>
      <c r="Q261" s="408"/>
      <c r="R261" s="408"/>
      <c r="S261" s="408"/>
      <c r="T261" s="408"/>
      <c r="U261" s="408"/>
      <c r="V261" s="408"/>
      <c r="W261" s="408"/>
      <c r="X261" s="408"/>
      <c r="Y261" s="408"/>
      <c r="Z261" s="408"/>
    </row>
    <row r="262" ht="14.25" customHeight="1">
      <c r="A262" s="408"/>
      <c r="B262" s="408"/>
      <c r="C262" s="408"/>
      <c r="D262" s="408"/>
      <c r="E262" s="408"/>
      <c r="F262" s="408"/>
      <c r="G262" s="408"/>
      <c r="H262" s="408"/>
      <c r="I262" s="408"/>
      <c r="J262" s="408"/>
      <c r="K262" s="408"/>
      <c r="L262" s="408"/>
      <c r="M262" s="408"/>
      <c r="N262" s="408"/>
      <c r="O262" s="408"/>
      <c r="P262" s="408"/>
      <c r="Q262" s="408"/>
      <c r="R262" s="408"/>
      <c r="S262" s="408"/>
      <c r="T262" s="408"/>
      <c r="U262" s="408"/>
      <c r="V262" s="408"/>
      <c r="W262" s="408"/>
      <c r="X262" s="408"/>
      <c r="Y262" s="408"/>
      <c r="Z262" s="408"/>
    </row>
    <row r="263" ht="14.25" customHeight="1">
      <c r="A263" s="408"/>
      <c r="B263" s="408"/>
      <c r="C263" s="408"/>
      <c r="D263" s="408"/>
      <c r="E263" s="408"/>
      <c r="F263" s="408"/>
      <c r="G263" s="408"/>
      <c r="H263" s="408"/>
      <c r="I263" s="408"/>
      <c r="J263" s="408"/>
      <c r="K263" s="408"/>
      <c r="L263" s="408"/>
      <c r="M263" s="408"/>
      <c r="N263" s="408"/>
      <c r="O263" s="408"/>
      <c r="P263" s="408"/>
      <c r="Q263" s="408"/>
      <c r="R263" s="408"/>
      <c r="S263" s="408"/>
      <c r="T263" s="408"/>
      <c r="U263" s="408"/>
      <c r="V263" s="408"/>
      <c r="W263" s="408"/>
      <c r="X263" s="408"/>
      <c r="Y263" s="408"/>
      <c r="Z263" s="408"/>
    </row>
    <row r="264" ht="14.25" customHeight="1">
      <c r="A264" s="408"/>
      <c r="B264" s="408"/>
      <c r="C264" s="408"/>
      <c r="D264" s="408"/>
      <c r="E264" s="408"/>
      <c r="F264" s="408"/>
      <c r="G264" s="408"/>
      <c r="H264" s="408"/>
      <c r="I264" s="408"/>
      <c r="J264" s="408"/>
      <c r="K264" s="408"/>
      <c r="L264" s="408"/>
      <c r="M264" s="408"/>
      <c r="N264" s="408"/>
      <c r="O264" s="408"/>
      <c r="P264" s="408"/>
      <c r="Q264" s="408"/>
      <c r="R264" s="408"/>
      <c r="S264" s="408"/>
      <c r="T264" s="408"/>
      <c r="U264" s="408"/>
      <c r="V264" s="408"/>
      <c r="W264" s="408"/>
      <c r="X264" s="408"/>
      <c r="Y264" s="408"/>
      <c r="Z264" s="408"/>
    </row>
    <row r="265" ht="14.25" customHeight="1">
      <c r="A265" s="408"/>
      <c r="B265" s="408"/>
      <c r="C265" s="408"/>
      <c r="D265" s="408"/>
      <c r="E265" s="408"/>
      <c r="F265" s="408"/>
      <c r="G265" s="408"/>
      <c r="H265" s="408"/>
      <c r="I265" s="408"/>
      <c r="J265" s="408"/>
      <c r="K265" s="408"/>
      <c r="L265" s="408"/>
      <c r="M265" s="408"/>
      <c r="N265" s="408"/>
      <c r="O265" s="408"/>
      <c r="P265" s="408"/>
      <c r="Q265" s="408"/>
      <c r="R265" s="408"/>
      <c r="S265" s="408"/>
      <c r="T265" s="408"/>
      <c r="U265" s="408"/>
      <c r="V265" s="408"/>
      <c r="W265" s="408"/>
      <c r="X265" s="408"/>
      <c r="Y265" s="408"/>
      <c r="Z265" s="408"/>
    </row>
    <row r="266" ht="14.25" customHeight="1">
      <c r="A266" s="408"/>
      <c r="B266" s="408"/>
      <c r="C266" s="408"/>
      <c r="D266" s="408"/>
      <c r="E266" s="408"/>
      <c r="F266" s="408"/>
      <c r="G266" s="408"/>
      <c r="H266" s="408"/>
      <c r="I266" s="408"/>
      <c r="J266" s="408"/>
      <c r="K266" s="408"/>
      <c r="L266" s="408"/>
      <c r="M266" s="408"/>
      <c r="N266" s="408"/>
      <c r="O266" s="408"/>
      <c r="P266" s="408"/>
      <c r="Q266" s="408"/>
      <c r="R266" s="408"/>
      <c r="S266" s="408"/>
      <c r="T266" s="408"/>
      <c r="U266" s="408"/>
      <c r="V266" s="408"/>
      <c r="W266" s="408"/>
      <c r="X266" s="408"/>
      <c r="Y266" s="408"/>
      <c r="Z266" s="408"/>
    </row>
    <row r="267" ht="14.25" customHeight="1">
      <c r="A267" s="408"/>
      <c r="B267" s="408"/>
      <c r="C267" s="408"/>
      <c r="D267" s="408"/>
      <c r="E267" s="408"/>
      <c r="F267" s="408"/>
      <c r="G267" s="408"/>
      <c r="H267" s="408"/>
      <c r="I267" s="408"/>
      <c r="J267" s="408"/>
      <c r="K267" s="408"/>
      <c r="L267" s="408"/>
      <c r="M267" s="408"/>
      <c r="N267" s="408"/>
      <c r="O267" s="408"/>
      <c r="P267" s="408"/>
      <c r="Q267" s="408"/>
      <c r="R267" s="408"/>
      <c r="S267" s="408"/>
      <c r="T267" s="408"/>
      <c r="U267" s="408"/>
      <c r="V267" s="408"/>
      <c r="W267" s="408"/>
      <c r="X267" s="408"/>
      <c r="Y267" s="408"/>
      <c r="Z267" s="408"/>
    </row>
    <row r="268" ht="14.25" customHeight="1">
      <c r="A268" s="408"/>
      <c r="B268" s="408"/>
      <c r="C268" s="408"/>
      <c r="D268" s="408"/>
      <c r="E268" s="408"/>
      <c r="F268" s="408"/>
      <c r="G268" s="408"/>
      <c r="H268" s="408"/>
      <c r="I268" s="408"/>
      <c r="J268" s="408"/>
      <c r="K268" s="408"/>
      <c r="L268" s="408"/>
      <c r="M268" s="408"/>
      <c r="N268" s="408"/>
      <c r="O268" s="408"/>
      <c r="P268" s="408"/>
      <c r="Q268" s="408"/>
      <c r="R268" s="408"/>
      <c r="S268" s="408"/>
      <c r="T268" s="408"/>
      <c r="U268" s="408"/>
      <c r="V268" s="408"/>
      <c r="W268" s="408"/>
      <c r="X268" s="408"/>
      <c r="Y268" s="408"/>
      <c r="Z268" s="408"/>
    </row>
    <row r="269" ht="14.25" customHeight="1">
      <c r="A269" s="408"/>
      <c r="B269" s="408"/>
      <c r="C269" s="408"/>
      <c r="D269" s="408"/>
      <c r="E269" s="408"/>
      <c r="F269" s="408"/>
      <c r="G269" s="408"/>
      <c r="H269" s="408"/>
      <c r="I269" s="408"/>
      <c r="J269" s="408"/>
      <c r="K269" s="408"/>
      <c r="L269" s="408"/>
      <c r="M269" s="408"/>
      <c r="N269" s="408"/>
      <c r="O269" s="408"/>
      <c r="P269" s="408"/>
      <c r="Q269" s="408"/>
      <c r="R269" s="408"/>
      <c r="S269" s="408"/>
      <c r="T269" s="408"/>
      <c r="U269" s="408"/>
      <c r="V269" s="408"/>
      <c r="W269" s="408"/>
      <c r="X269" s="408"/>
      <c r="Y269" s="408"/>
      <c r="Z269" s="408"/>
    </row>
    <row r="270" ht="14.25" customHeight="1">
      <c r="A270" s="408"/>
      <c r="B270" s="408"/>
      <c r="C270" s="408"/>
      <c r="D270" s="408"/>
      <c r="E270" s="408"/>
      <c r="F270" s="408"/>
      <c r="G270" s="408"/>
      <c r="H270" s="408"/>
      <c r="I270" s="408"/>
      <c r="J270" s="408"/>
      <c r="K270" s="408"/>
      <c r="L270" s="408"/>
      <c r="M270" s="408"/>
      <c r="N270" s="408"/>
      <c r="O270" s="408"/>
      <c r="P270" s="408"/>
      <c r="Q270" s="408"/>
      <c r="R270" s="408"/>
      <c r="S270" s="408"/>
      <c r="T270" s="408"/>
      <c r="U270" s="408"/>
      <c r="V270" s="408"/>
      <c r="W270" s="408"/>
      <c r="X270" s="408"/>
      <c r="Y270" s="408"/>
      <c r="Z270" s="408"/>
    </row>
    <row r="271" ht="14.25" customHeight="1">
      <c r="A271" s="408"/>
      <c r="B271" s="408"/>
      <c r="C271" s="408"/>
      <c r="D271" s="408"/>
      <c r="E271" s="408"/>
      <c r="F271" s="408"/>
      <c r="G271" s="408"/>
      <c r="H271" s="408"/>
      <c r="I271" s="408"/>
      <c r="J271" s="408"/>
      <c r="K271" s="408"/>
      <c r="L271" s="408"/>
      <c r="M271" s="408"/>
      <c r="N271" s="408"/>
      <c r="O271" s="408"/>
      <c r="P271" s="408"/>
      <c r="Q271" s="408"/>
      <c r="R271" s="408"/>
      <c r="S271" s="408"/>
      <c r="T271" s="408"/>
      <c r="U271" s="408"/>
      <c r="V271" s="408"/>
      <c r="W271" s="408"/>
      <c r="X271" s="408"/>
      <c r="Y271" s="408"/>
      <c r="Z271" s="408"/>
    </row>
    <row r="272" ht="14.25" customHeight="1">
      <c r="A272" s="408"/>
      <c r="B272" s="408"/>
      <c r="C272" s="408"/>
      <c r="D272" s="408"/>
      <c r="E272" s="408"/>
      <c r="F272" s="408"/>
      <c r="G272" s="408"/>
      <c r="H272" s="408"/>
      <c r="I272" s="408"/>
      <c r="J272" s="408"/>
      <c r="K272" s="408"/>
      <c r="L272" s="408"/>
      <c r="M272" s="408"/>
      <c r="N272" s="408"/>
      <c r="O272" s="408"/>
      <c r="P272" s="408"/>
      <c r="Q272" s="408"/>
      <c r="R272" s="408"/>
      <c r="S272" s="408"/>
      <c r="T272" s="408"/>
      <c r="U272" s="408"/>
      <c r="V272" s="408"/>
      <c r="W272" s="408"/>
      <c r="X272" s="408"/>
      <c r="Y272" s="408"/>
      <c r="Z272" s="408"/>
    </row>
    <row r="273" ht="14.25" customHeight="1">
      <c r="A273" s="408"/>
      <c r="B273" s="408"/>
      <c r="C273" s="408"/>
      <c r="D273" s="408"/>
      <c r="E273" s="408"/>
      <c r="F273" s="408"/>
      <c r="G273" s="408"/>
      <c r="H273" s="408"/>
      <c r="I273" s="408"/>
      <c r="J273" s="408"/>
      <c r="K273" s="408"/>
      <c r="L273" s="408"/>
      <c r="M273" s="408"/>
      <c r="N273" s="408"/>
      <c r="O273" s="408"/>
      <c r="P273" s="408"/>
      <c r="Q273" s="408"/>
      <c r="R273" s="408"/>
      <c r="S273" s="408"/>
      <c r="T273" s="408"/>
      <c r="U273" s="408"/>
      <c r="V273" s="408"/>
      <c r="W273" s="408"/>
      <c r="X273" s="408"/>
      <c r="Y273" s="408"/>
      <c r="Z273" s="408"/>
    </row>
    <row r="274" ht="14.25" customHeight="1">
      <c r="A274" s="408"/>
      <c r="B274" s="408"/>
      <c r="C274" s="408"/>
      <c r="D274" s="408"/>
      <c r="E274" s="408"/>
      <c r="F274" s="408"/>
      <c r="G274" s="408"/>
      <c r="H274" s="408"/>
      <c r="I274" s="408"/>
      <c r="J274" s="408"/>
      <c r="K274" s="408"/>
      <c r="L274" s="408"/>
      <c r="M274" s="408"/>
      <c r="N274" s="408"/>
      <c r="O274" s="408"/>
      <c r="P274" s="408"/>
      <c r="Q274" s="408"/>
      <c r="R274" s="408"/>
      <c r="S274" s="408"/>
      <c r="T274" s="408"/>
      <c r="U274" s="408"/>
      <c r="V274" s="408"/>
      <c r="W274" s="408"/>
      <c r="X274" s="408"/>
      <c r="Y274" s="408"/>
      <c r="Z274" s="408"/>
    </row>
    <row r="275" ht="14.25" customHeight="1">
      <c r="A275" s="408"/>
      <c r="B275" s="408"/>
      <c r="C275" s="408"/>
      <c r="D275" s="408"/>
      <c r="E275" s="408"/>
      <c r="F275" s="408"/>
      <c r="G275" s="408"/>
      <c r="H275" s="408"/>
      <c r="I275" s="408"/>
      <c r="J275" s="408"/>
      <c r="K275" s="408"/>
      <c r="L275" s="408"/>
      <c r="M275" s="408"/>
      <c r="N275" s="408"/>
      <c r="O275" s="408"/>
      <c r="P275" s="408"/>
      <c r="Q275" s="408"/>
      <c r="R275" s="408"/>
      <c r="S275" s="408"/>
      <c r="T275" s="408"/>
      <c r="U275" s="408"/>
      <c r="V275" s="408"/>
      <c r="W275" s="408"/>
      <c r="X275" s="408"/>
      <c r="Y275" s="408"/>
      <c r="Z275" s="408"/>
    </row>
    <row r="276" ht="14.25" customHeight="1">
      <c r="A276" s="408"/>
      <c r="B276" s="408"/>
      <c r="C276" s="408"/>
      <c r="D276" s="408"/>
      <c r="E276" s="408"/>
      <c r="F276" s="408"/>
      <c r="G276" s="408"/>
      <c r="H276" s="408"/>
      <c r="I276" s="408"/>
      <c r="J276" s="408"/>
      <c r="K276" s="408"/>
      <c r="L276" s="408"/>
      <c r="M276" s="408"/>
      <c r="N276" s="408"/>
      <c r="O276" s="408"/>
      <c r="P276" s="408"/>
      <c r="Q276" s="408"/>
      <c r="R276" s="408"/>
      <c r="S276" s="408"/>
      <c r="T276" s="408"/>
      <c r="U276" s="408"/>
      <c r="V276" s="408"/>
      <c r="W276" s="408"/>
      <c r="X276" s="408"/>
      <c r="Y276" s="408"/>
      <c r="Z276" s="408"/>
    </row>
    <row r="277" ht="14.25" customHeight="1">
      <c r="A277" s="408"/>
      <c r="B277" s="408"/>
      <c r="C277" s="408"/>
      <c r="D277" s="408"/>
      <c r="E277" s="408"/>
      <c r="F277" s="408"/>
      <c r="G277" s="408"/>
      <c r="H277" s="408"/>
      <c r="I277" s="408"/>
      <c r="J277" s="408"/>
      <c r="K277" s="408"/>
      <c r="L277" s="408"/>
      <c r="M277" s="408"/>
      <c r="N277" s="408"/>
      <c r="O277" s="408"/>
      <c r="P277" s="408"/>
      <c r="Q277" s="408"/>
      <c r="R277" s="408"/>
      <c r="S277" s="408"/>
      <c r="T277" s="408"/>
      <c r="U277" s="408"/>
      <c r="V277" s="408"/>
      <c r="W277" s="408"/>
      <c r="X277" s="408"/>
      <c r="Y277" s="408"/>
      <c r="Z277" s="408"/>
    </row>
    <row r="278" ht="14.25" customHeight="1">
      <c r="A278" s="408"/>
      <c r="B278" s="408"/>
      <c r="C278" s="408"/>
      <c r="D278" s="408"/>
      <c r="E278" s="408"/>
      <c r="F278" s="408"/>
      <c r="G278" s="408"/>
      <c r="H278" s="408"/>
      <c r="I278" s="408"/>
      <c r="J278" s="408"/>
      <c r="K278" s="408"/>
      <c r="L278" s="408"/>
      <c r="M278" s="408"/>
      <c r="N278" s="408"/>
      <c r="O278" s="408"/>
      <c r="P278" s="408"/>
      <c r="Q278" s="408"/>
      <c r="R278" s="408"/>
      <c r="S278" s="408"/>
      <c r="T278" s="408"/>
      <c r="U278" s="408"/>
      <c r="V278" s="408"/>
      <c r="W278" s="408"/>
      <c r="X278" s="408"/>
      <c r="Y278" s="408"/>
      <c r="Z278" s="408"/>
    </row>
    <row r="279" ht="14.25" customHeight="1">
      <c r="A279" s="408"/>
      <c r="B279" s="408"/>
      <c r="C279" s="408"/>
      <c r="D279" s="408"/>
      <c r="E279" s="408"/>
      <c r="F279" s="408"/>
      <c r="G279" s="408"/>
      <c r="H279" s="408"/>
      <c r="I279" s="408"/>
      <c r="J279" s="408"/>
      <c r="K279" s="408"/>
      <c r="L279" s="408"/>
      <c r="M279" s="408"/>
      <c r="N279" s="408"/>
      <c r="O279" s="408"/>
      <c r="P279" s="408"/>
      <c r="Q279" s="408"/>
      <c r="R279" s="408"/>
      <c r="S279" s="408"/>
      <c r="T279" s="408"/>
      <c r="U279" s="408"/>
      <c r="V279" s="408"/>
      <c r="W279" s="408"/>
      <c r="X279" s="408"/>
      <c r="Y279" s="408"/>
      <c r="Z279" s="408"/>
    </row>
    <row r="280" ht="14.25" customHeight="1">
      <c r="A280" s="408"/>
      <c r="B280" s="408"/>
      <c r="C280" s="408"/>
      <c r="D280" s="408"/>
      <c r="E280" s="408"/>
      <c r="F280" s="408"/>
      <c r="G280" s="408"/>
      <c r="H280" s="408"/>
      <c r="I280" s="408"/>
      <c r="J280" s="408"/>
      <c r="K280" s="408"/>
      <c r="L280" s="408"/>
      <c r="M280" s="408"/>
      <c r="N280" s="408"/>
      <c r="O280" s="408"/>
      <c r="P280" s="408"/>
      <c r="Q280" s="408"/>
      <c r="R280" s="408"/>
      <c r="S280" s="408"/>
      <c r="T280" s="408"/>
      <c r="U280" s="408"/>
      <c r="V280" s="408"/>
      <c r="W280" s="408"/>
      <c r="X280" s="408"/>
      <c r="Y280" s="408"/>
      <c r="Z280" s="408"/>
    </row>
    <row r="281" ht="14.25" customHeight="1">
      <c r="A281" s="408"/>
      <c r="B281" s="408"/>
      <c r="C281" s="408"/>
      <c r="D281" s="408"/>
      <c r="E281" s="408"/>
      <c r="F281" s="408"/>
      <c r="G281" s="408"/>
      <c r="H281" s="408"/>
      <c r="I281" s="408"/>
      <c r="J281" s="408"/>
      <c r="K281" s="408"/>
      <c r="L281" s="408"/>
      <c r="M281" s="408"/>
      <c r="N281" s="408"/>
      <c r="O281" s="408"/>
      <c r="P281" s="408"/>
      <c r="Q281" s="408"/>
      <c r="R281" s="408"/>
      <c r="S281" s="408"/>
      <c r="T281" s="408"/>
      <c r="U281" s="408"/>
      <c r="V281" s="408"/>
      <c r="W281" s="408"/>
      <c r="X281" s="408"/>
      <c r="Y281" s="408"/>
      <c r="Z281" s="408"/>
    </row>
    <row r="282" ht="14.25" customHeight="1">
      <c r="A282" s="408"/>
      <c r="B282" s="408"/>
      <c r="C282" s="408"/>
      <c r="D282" s="408"/>
      <c r="E282" s="408"/>
      <c r="F282" s="408"/>
      <c r="G282" s="408"/>
      <c r="H282" s="408"/>
      <c r="I282" s="408"/>
      <c r="J282" s="408"/>
      <c r="K282" s="408"/>
      <c r="L282" s="408"/>
      <c r="M282" s="408"/>
      <c r="N282" s="408"/>
      <c r="O282" s="408"/>
      <c r="P282" s="408"/>
      <c r="Q282" s="408"/>
      <c r="R282" s="408"/>
      <c r="S282" s="408"/>
      <c r="T282" s="408"/>
      <c r="U282" s="408"/>
      <c r="V282" s="408"/>
      <c r="W282" s="408"/>
      <c r="X282" s="408"/>
      <c r="Y282" s="408"/>
      <c r="Z282" s="408"/>
    </row>
    <row r="283" ht="14.25" customHeight="1">
      <c r="A283" s="408"/>
      <c r="B283" s="408"/>
      <c r="C283" s="408"/>
      <c r="D283" s="408"/>
      <c r="E283" s="408"/>
      <c r="F283" s="408"/>
      <c r="G283" s="408"/>
      <c r="H283" s="408"/>
      <c r="I283" s="408"/>
      <c r="J283" s="408"/>
      <c r="K283" s="408"/>
      <c r="L283" s="408"/>
      <c r="M283" s="408"/>
      <c r="N283" s="408"/>
      <c r="O283" s="408"/>
      <c r="P283" s="408"/>
      <c r="Q283" s="408"/>
      <c r="R283" s="408"/>
      <c r="S283" s="408"/>
      <c r="T283" s="408"/>
      <c r="U283" s="408"/>
      <c r="V283" s="408"/>
      <c r="W283" s="408"/>
      <c r="X283" s="408"/>
      <c r="Y283" s="408"/>
      <c r="Z283" s="408"/>
    </row>
    <row r="284" ht="14.25" customHeight="1">
      <c r="A284" s="408"/>
      <c r="B284" s="408"/>
      <c r="C284" s="408"/>
      <c r="D284" s="408"/>
      <c r="E284" s="408"/>
      <c r="F284" s="408"/>
      <c r="G284" s="408"/>
      <c r="H284" s="408"/>
      <c r="I284" s="408"/>
      <c r="J284" s="408"/>
      <c r="K284" s="408"/>
      <c r="L284" s="408"/>
      <c r="M284" s="408"/>
      <c r="N284" s="408"/>
      <c r="O284" s="408"/>
      <c r="P284" s="408"/>
      <c r="Q284" s="408"/>
      <c r="R284" s="408"/>
      <c r="S284" s="408"/>
      <c r="T284" s="408"/>
      <c r="U284" s="408"/>
      <c r="V284" s="408"/>
      <c r="W284" s="408"/>
      <c r="X284" s="408"/>
      <c r="Y284" s="408"/>
      <c r="Z284" s="408"/>
    </row>
    <row r="285" ht="14.25" customHeight="1">
      <c r="A285" s="408"/>
      <c r="B285" s="408"/>
      <c r="C285" s="408"/>
      <c r="D285" s="408"/>
      <c r="E285" s="408"/>
      <c r="F285" s="408"/>
      <c r="G285" s="408"/>
      <c r="H285" s="408"/>
      <c r="I285" s="408"/>
      <c r="J285" s="408"/>
      <c r="K285" s="408"/>
      <c r="L285" s="408"/>
      <c r="M285" s="408"/>
      <c r="N285" s="408"/>
      <c r="O285" s="408"/>
      <c r="P285" s="408"/>
      <c r="Q285" s="408"/>
      <c r="R285" s="408"/>
      <c r="S285" s="408"/>
      <c r="T285" s="408"/>
      <c r="U285" s="408"/>
      <c r="V285" s="408"/>
      <c r="W285" s="408"/>
      <c r="X285" s="408"/>
      <c r="Y285" s="408"/>
      <c r="Z285" s="408"/>
    </row>
    <row r="286" ht="14.25" customHeight="1">
      <c r="A286" s="408"/>
      <c r="B286" s="408"/>
      <c r="C286" s="408"/>
      <c r="D286" s="408"/>
      <c r="E286" s="408"/>
      <c r="F286" s="408"/>
      <c r="G286" s="408"/>
      <c r="H286" s="408"/>
      <c r="I286" s="408"/>
      <c r="J286" s="408"/>
      <c r="K286" s="408"/>
      <c r="L286" s="408"/>
      <c r="M286" s="408"/>
      <c r="N286" s="408"/>
      <c r="O286" s="408"/>
      <c r="P286" s="408"/>
      <c r="Q286" s="408"/>
      <c r="R286" s="408"/>
      <c r="S286" s="408"/>
      <c r="T286" s="408"/>
      <c r="U286" s="408"/>
      <c r="V286" s="408"/>
      <c r="W286" s="408"/>
      <c r="X286" s="408"/>
      <c r="Y286" s="408"/>
      <c r="Z286" s="408"/>
    </row>
    <row r="287" ht="14.25" customHeight="1">
      <c r="A287" s="408"/>
      <c r="B287" s="408"/>
      <c r="C287" s="408"/>
      <c r="D287" s="408"/>
      <c r="E287" s="408"/>
      <c r="F287" s="408"/>
      <c r="G287" s="408"/>
      <c r="H287" s="408"/>
      <c r="I287" s="408"/>
      <c r="J287" s="408"/>
      <c r="K287" s="408"/>
      <c r="L287" s="408"/>
      <c r="M287" s="408"/>
      <c r="N287" s="408"/>
      <c r="O287" s="408"/>
      <c r="P287" s="408"/>
      <c r="Q287" s="408"/>
      <c r="R287" s="408"/>
      <c r="S287" s="408"/>
      <c r="T287" s="408"/>
      <c r="U287" s="408"/>
      <c r="V287" s="408"/>
      <c r="W287" s="408"/>
      <c r="X287" s="408"/>
      <c r="Y287" s="408"/>
      <c r="Z287" s="408"/>
    </row>
    <row r="288" ht="14.25" customHeight="1">
      <c r="A288" s="408"/>
      <c r="B288" s="408"/>
      <c r="C288" s="408"/>
      <c r="D288" s="408"/>
      <c r="E288" s="408"/>
      <c r="F288" s="408"/>
      <c r="G288" s="408"/>
      <c r="H288" s="408"/>
      <c r="I288" s="408"/>
      <c r="J288" s="408"/>
      <c r="K288" s="408"/>
      <c r="L288" s="408"/>
      <c r="M288" s="408"/>
      <c r="N288" s="408"/>
      <c r="O288" s="408"/>
      <c r="P288" s="408"/>
      <c r="Q288" s="408"/>
      <c r="R288" s="408"/>
      <c r="S288" s="408"/>
      <c r="T288" s="408"/>
      <c r="U288" s="408"/>
      <c r="V288" s="408"/>
      <c r="W288" s="408"/>
      <c r="X288" s="408"/>
      <c r="Y288" s="408"/>
      <c r="Z288" s="408"/>
    </row>
    <row r="289" ht="14.25" customHeight="1">
      <c r="A289" s="408"/>
      <c r="B289" s="408"/>
      <c r="C289" s="408"/>
      <c r="D289" s="408"/>
      <c r="E289" s="408"/>
      <c r="F289" s="408"/>
      <c r="G289" s="408"/>
      <c r="H289" s="408"/>
      <c r="I289" s="408"/>
      <c r="J289" s="408"/>
      <c r="K289" s="408"/>
      <c r="L289" s="408"/>
      <c r="M289" s="408"/>
      <c r="N289" s="408"/>
      <c r="O289" s="408"/>
      <c r="P289" s="408"/>
      <c r="Q289" s="408"/>
      <c r="R289" s="408"/>
      <c r="S289" s="408"/>
      <c r="T289" s="408"/>
      <c r="U289" s="408"/>
      <c r="V289" s="408"/>
      <c r="W289" s="408"/>
      <c r="X289" s="408"/>
      <c r="Y289" s="408"/>
      <c r="Z289" s="408"/>
    </row>
    <row r="290" ht="14.25" customHeight="1">
      <c r="A290" s="408"/>
      <c r="B290" s="408"/>
      <c r="C290" s="408"/>
      <c r="D290" s="408"/>
      <c r="E290" s="408"/>
      <c r="F290" s="408"/>
      <c r="G290" s="408"/>
      <c r="H290" s="408"/>
      <c r="I290" s="408"/>
      <c r="J290" s="408"/>
      <c r="K290" s="408"/>
      <c r="L290" s="408"/>
      <c r="M290" s="408"/>
      <c r="N290" s="408"/>
      <c r="O290" s="408"/>
      <c r="P290" s="408"/>
      <c r="Q290" s="408"/>
      <c r="R290" s="408"/>
      <c r="S290" s="408"/>
      <c r="T290" s="408"/>
      <c r="U290" s="408"/>
      <c r="V290" s="408"/>
      <c r="W290" s="408"/>
      <c r="X290" s="408"/>
      <c r="Y290" s="408"/>
      <c r="Z290" s="408"/>
    </row>
    <row r="291" ht="14.25" customHeight="1">
      <c r="A291" s="408"/>
      <c r="B291" s="408"/>
      <c r="C291" s="408"/>
      <c r="D291" s="408"/>
      <c r="E291" s="408"/>
      <c r="F291" s="408"/>
      <c r="G291" s="408"/>
      <c r="H291" s="408"/>
      <c r="I291" s="408"/>
      <c r="J291" s="408"/>
      <c r="K291" s="408"/>
      <c r="L291" s="408"/>
      <c r="M291" s="408"/>
      <c r="N291" s="408"/>
      <c r="O291" s="408"/>
      <c r="P291" s="408"/>
      <c r="Q291" s="408"/>
      <c r="R291" s="408"/>
      <c r="S291" s="408"/>
      <c r="T291" s="408"/>
      <c r="U291" s="408"/>
      <c r="V291" s="408"/>
      <c r="W291" s="408"/>
      <c r="X291" s="408"/>
      <c r="Y291" s="408"/>
      <c r="Z291" s="408"/>
    </row>
    <row r="292" ht="14.25" customHeight="1">
      <c r="A292" s="408"/>
      <c r="B292" s="408"/>
      <c r="C292" s="408"/>
      <c r="D292" s="408"/>
      <c r="E292" s="408"/>
      <c r="F292" s="408"/>
      <c r="G292" s="408"/>
      <c r="H292" s="408"/>
      <c r="I292" s="408"/>
      <c r="J292" s="408"/>
      <c r="K292" s="408"/>
      <c r="L292" s="408"/>
      <c r="M292" s="408"/>
      <c r="N292" s="408"/>
      <c r="O292" s="408"/>
      <c r="P292" s="408"/>
      <c r="Q292" s="408"/>
      <c r="R292" s="408"/>
      <c r="S292" s="408"/>
      <c r="T292" s="408"/>
      <c r="U292" s="408"/>
      <c r="V292" s="408"/>
      <c r="W292" s="408"/>
      <c r="X292" s="408"/>
      <c r="Y292" s="408"/>
      <c r="Z292" s="408"/>
    </row>
    <row r="293" ht="14.25" customHeight="1">
      <c r="A293" s="408"/>
      <c r="B293" s="408"/>
      <c r="C293" s="408"/>
      <c r="D293" s="408"/>
      <c r="E293" s="408"/>
      <c r="F293" s="408"/>
      <c r="G293" s="408"/>
      <c r="H293" s="408"/>
      <c r="I293" s="408"/>
      <c r="J293" s="408"/>
      <c r="K293" s="408"/>
      <c r="L293" s="408"/>
      <c r="M293" s="408"/>
      <c r="N293" s="408"/>
      <c r="O293" s="408"/>
      <c r="P293" s="408"/>
      <c r="Q293" s="408"/>
      <c r="R293" s="408"/>
      <c r="S293" s="408"/>
      <c r="T293" s="408"/>
      <c r="U293" s="408"/>
      <c r="V293" s="408"/>
      <c r="W293" s="408"/>
      <c r="X293" s="408"/>
      <c r="Y293" s="408"/>
      <c r="Z293" s="408"/>
    </row>
    <row r="294" ht="14.25" customHeight="1">
      <c r="A294" s="408"/>
      <c r="B294" s="408"/>
      <c r="C294" s="408"/>
      <c r="D294" s="408"/>
      <c r="E294" s="408"/>
      <c r="F294" s="408"/>
      <c r="G294" s="408"/>
      <c r="H294" s="408"/>
      <c r="I294" s="408"/>
      <c r="J294" s="408"/>
      <c r="K294" s="408"/>
      <c r="L294" s="408"/>
      <c r="M294" s="408"/>
      <c r="N294" s="408"/>
      <c r="O294" s="408"/>
      <c r="P294" s="408"/>
      <c r="Q294" s="408"/>
      <c r="R294" s="408"/>
      <c r="S294" s="408"/>
      <c r="T294" s="408"/>
      <c r="U294" s="408"/>
      <c r="V294" s="408"/>
      <c r="W294" s="408"/>
      <c r="X294" s="408"/>
      <c r="Y294" s="408"/>
      <c r="Z294" s="408"/>
    </row>
    <row r="295" ht="14.25" customHeight="1">
      <c r="A295" s="408"/>
      <c r="B295" s="408"/>
      <c r="C295" s="408"/>
      <c r="D295" s="408"/>
      <c r="E295" s="408"/>
      <c r="F295" s="408"/>
      <c r="G295" s="408"/>
      <c r="H295" s="408"/>
      <c r="I295" s="408"/>
      <c r="J295" s="408"/>
      <c r="K295" s="408"/>
      <c r="L295" s="408"/>
      <c r="M295" s="408"/>
      <c r="N295" s="408"/>
      <c r="O295" s="408"/>
      <c r="P295" s="408"/>
      <c r="Q295" s="408"/>
      <c r="R295" s="408"/>
      <c r="S295" s="408"/>
      <c r="T295" s="408"/>
      <c r="U295" s="408"/>
      <c r="V295" s="408"/>
      <c r="W295" s="408"/>
      <c r="X295" s="408"/>
      <c r="Y295" s="408"/>
      <c r="Z295" s="408"/>
    </row>
    <row r="296" ht="14.25" customHeight="1">
      <c r="A296" s="408"/>
      <c r="B296" s="408"/>
      <c r="C296" s="408"/>
      <c r="D296" s="408"/>
      <c r="E296" s="408"/>
      <c r="F296" s="408"/>
      <c r="G296" s="408"/>
      <c r="H296" s="408"/>
      <c r="I296" s="408"/>
      <c r="J296" s="408"/>
      <c r="K296" s="408"/>
      <c r="L296" s="408"/>
      <c r="M296" s="408"/>
      <c r="N296" s="408"/>
      <c r="O296" s="408"/>
      <c r="P296" s="408"/>
      <c r="Q296" s="408"/>
      <c r="R296" s="408"/>
      <c r="S296" s="408"/>
      <c r="T296" s="408"/>
      <c r="U296" s="408"/>
      <c r="V296" s="408"/>
      <c r="W296" s="408"/>
      <c r="X296" s="408"/>
      <c r="Y296" s="408"/>
      <c r="Z296" s="408"/>
    </row>
    <row r="297" ht="14.25" customHeight="1">
      <c r="A297" s="408"/>
      <c r="B297" s="408"/>
      <c r="C297" s="408"/>
      <c r="D297" s="408"/>
      <c r="E297" s="408"/>
      <c r="F297" s="408"/>
      <c r="G297" s="408"/>
      <c r="H297" s="408"/>
      <c r="I297" s="408"/>
      <c r="J297" s="408"/>
      <c r="K297" s="408"/>
      <c r="L297" s="408"/>
      <c r="M297" s="408"/>
      <c r="N297" s="408"/>
      <c r="O297" s="408"/>
      <c r="P297" s="408"/>
      <c r="Q297" s="408"/>
      <c r="R297" s="408"/>
      <c r="S297" s="408"/>
      <c r="T297" s="408"/>
      <c r="U297" s="408"/>
      <c r="V297" s="408"/>
      <c r="W297" s="408"/>
      <c r="X297" s="408"/>
      <c r="Y297" s="408"/>
      <c r="Z297" s="408"/>
    </row>
    <row r="298" ht="14.25" customHeight="1">
      <c r="A298" s="408"/>
      <c r="B298" s="408"/>
      <c r="C298" s="408"/>
      <c r="D298" s="408"/>
      <c r="E298" s="408"/>
      <c r="F298" s="408"/>
      <c r="G298" s="408"/>
      <c r="H298" s="408"/>
      <c r="I298" s="408"/>
      <c r="J298" s="408"/>
      <c r="K298" s="408"/>
      <c r="L298" s="408"/>
      <c r="M298" s="408"/>
      <c r="N298" s="408"/>
      <c r="O298" s="408"/>
      <c r="P298" s="408"/>
      <c r="Q298" s="408"/>
      <c r="R298" s="408"/>
      <c r="S298" s="408"/>
      <c r="T298" s="408"/>
      <c r="U298" s="408"/>
      <c r="V298" s="408"/>
      <c r="W298" s="408"/>
      <c r="X298" s="408"/>
      <c r="Y298" s="408"/>
      <c r="Z298" s="408"/>
    </row>
    <row r="299" ht="14.25" customHeight="1">
      <c r="A299" s="408"/>
      <c r="B299" s="408"/>
      <c r="C299" s="408"/>
      <c r="D299" s="408"/>
      <c r="E299" s="408"/>
      <c r="F299" s="408"/>
      <c r="G299" s="408"/>
      <c r="H299" s="408"/>
      <c r="I299" s="408"/>
      <c r="J299" s="408"/>
      <c r="K299" s="408"/>
      <c r="L299" s="408"/>
      <c r="M299" s="408"/>
      <c r="N299" s="408"/>
      <c r="O299" s="408"/>
      <c r="P299" s="408"/>
      <c r="Q299" s="408"/>
      <c r="R299" s="408"/>
      <c r="S299" s="408"/>
      <c r="T299" s="408"/>
      <c r="U299" s="408"/>
      <c r="V299" s="408"/>
      <c r="W299" s="408"/>
      <c r="X299" s="408"/>
      <c r="Y299" s="408"/>
      <c r="Z299" s="408"/>
    </row>
    <row r="300" ht="14.25" customHeight="1">
      <c r="A300" s="408"/>
      <c r="B300" s="408"/>
      <c r="C300" s="408"/>
      <c r="D300" s="408"/>
      <c r="E300" s="408"/>
      <c r="F300" s="408"/>
      <c r="G300" s="408"/>
      <c r="H300" s="408"/>
      <c r="I300" s="408"/>
      <c r="J300" s="408"/>
      <c r="K300" s="408"/>
      <c r="L300" s="408"/>
      <c r="M300" s="408"/>
      <c r="N300" s="408"/>
      <c r="O300" s="408"/>
      <c r="P300" s="408"/>
      <c r="Q300" s="408"/>
      <c r="R300" s="408"/>
      <c r="S300" s="408"/>
      <c r="T300" s="408"/>
      <c r="U300" s="408"/>
      <c r="V300" s="408"/>
      <c r="W300" s="408"/>
      <c r="X300" s="408"/>
      <c r="Y300" s="408"/>
      <c r="Z300" s="408"/>
    </row>
    <row r="301" ht="14.25" customHeight="1">
      <c r="A301" s="408"/>
      <c r="B301" s="408"/>
      <c r="C301" s="408"/>
      <c r="D301" s="408"/>
      <c r="E301" s="408"/>
      <c r="F301" s="408"/>
      <c r="G301" s="408"/>
      <c r="H301" s="408"/>
      <c r="I301" s="408"/>
      <c r="J301" s="408"/>
      <c r="K301" s="408"/>
      <c r="L301" s="408"/>
      <c r="M301" s="408"/>
      <c r="N301" s="408"/>
      <c r="O301" s="408"/>
      <c r="P301" s="408"/>
      <c r="Q301" s="408"/>
      <c r="R301" s="408"/>
      <c r="S301" s="408"/>
      <c r="T301" s="408"/>
      <c r="U301" s="408"/>
      <c r="V301" s="408"/>
      <c r="W301" s="408"/>
      <c r="X301" s="408"/>
      <c r="Y301" s="408"/>
      <c r="Z301" s="408"/>
    </row>
    <row r="302" ht="14.25" customHeight="1">
      <c r="A302" s="408"/>
      <c r="B302" s="408"/>
      <c r="C302" s="408"/>
      <c r="D302" s="408"/>
      <c r="E302" s="408"/>
      <c r="F302" s="408"/>
      <c r="G302" s="408"/>
      <c r="H302" s="408"/>
      <c r="I302" s="408"/>
      <c r="J302" s="408"/>
      <c r="K302" s="408"/>
      <c r="L302" s="408"/>
      <c r="M302" s="408"/>
      <c r="N302" s="408"/>
      <c r="O302" s="408"/>
      <c r="P302" s="408"/>
      <c r="Q302" s="408"/>
      <c r="R302" s="408"/>
      <c r="S302" s="408"/>
      <c r="T302" s="408"/>
      <c r="U302" s="408"/>
      <c r="V302" s="408"/>
      <c r="W302" s="408"/>
      <c r="X302" s="408"/>
      <c r="Y302" s="408"/>
      <c r="Z302" s="408"/>
    </row>
    <row r="303" ht="14.25" customHeight="1">
      <c r="A303" s="408"/>
      <c r="B303" s="408"/>
      <c r="C303" s="408"/>
      <c r="D303" s="408"/>
      <c r="E303" s="408"/>
      <c r="F303" s="408"/>
      <c r="G303" s="408"/>
      <c r="H303" s="408"/>
      <c r="I303" s="408"/>
      <c r="J303" s="408"/>
      <c r="K303" s="408"/>
      <c r="L303" s="408"/>
      <c r="M303" s="408"/>
      <c r="N303" s="408"/>
      <c r="O303" s="408"/>
      <c r="P303" s="408"/>
      <c r="Q303" s="408"/>
      <c r="R303" s="408"/>
      <c r="S303" s="408"/>
      <c r="T303" s="408"/>
      <c r="U303" s="408"/>
      <c r="V303" s="408"/>
      <c r="W303" s="408"/>
      <c r="X303" s="408"/>
      <c r="Y303" s="408"/>
      <c r="Z303" s="408"/>
    </row>
    <row r="304" ht="14.25" customHeight="1">
      <c r="A304" s="408"/>
      <c r="B304" s="408"/>
      <c r="C304" s="408"/>
      <c r="D304" s="408"/>
      <c r="E304" s="408"/>
      <c r="F304" s="408"/>
      <c r="G304" s="408"/>
      <c r="H304" s="408"/>
      <c r="I304" s="408"/>
      <c r="J304" s="408"/>
      <c r="K304" s="408"/>
      <c r="L304" s="408"/>
      <c r="M304" s="408"/>
      <c r="N304" s="408"/>
      <c r="O304" s="408"/>
      <c r="P304" s="408"/>
      <c r="Q304" s="408"/>
      <c r="R304" s="408"/>
      <c r="S304" s="408"/>
      <c r="T304" s="408"/>
      <c r="U304" s="408"/>
      <c r="V304" s="408"/>
      <c r="W304" s="408"/>
      <c r="X304" s="408"/>
      <c r="Y304" s="408"/>
      <c r="Z304" s="408"/>
    </row>
    <row r="305" ht="14.25" customHeight="1">
      <c r="A305" s="408"/>
      <c r="B305" s="408"/>
      <c r="C305" s="408"/>
      <c r="D305" s="408"/>
      <c r="E305" s="408"/>
      <c r="F305" s="408"/>
      <c r="G305" s="408"/>
      <c r="H305" s="408"/>
      <c r="I305" s="408"/>
      <c r="J305" s="408"/>
      <c r="K305" s="408"/>
      <c r="L305" s="408"/>
      <c r="M305" s="408"/>
      <c r="N305" s="408"/>
      <c r="O305" s="408"/>
      <c r="P305" s="408"/>
      <c r="Q305" s="408"/>
      <c r="R305" s="408"/>
      <c r="S305" s="408"/>
      <c r="T305" s="408"/>
      <c r="U305" s="408"/>
      <c r="V305" s="408"/>
      <c r="W305" s="408"/>
      <c r="X305" s="408"/>
      <c r="Y305" s="408"/>
      <c r="Z305" s="408"/>
    </row>
    <row r="306" ht="14.25" customHeight="1">
      <c r="A306" s="408"/>
      <c r="B306" s="408"/>
      <c r="C306" s="408"/>
      <c r="D306" s="408"/>
      <c r="E306" s="408"/>
      <c r="F306" s="408"/>
      <c r="G306" s="408"/>
      <c r="H306" s="408"/>
      <c r="I306" s="408"/>
      <c r="J306" s="408"/>
      <c r="K306" s="408"/>
      <c r="L306" s="408"/>
      <c r="M306" s="408"/>
      <c r="N306" s="408"/>
      <c r="O306" s="408"/>
      <c r="P306" s="408"/>
      <c r="Q306" s="408"/>
      <c r="R306" s="408"/>
      <c r="S306" s="408"/>
      <c r="T306" s="408"/>
      <c r="U306" s="408"/>
      <c r="V306" s="408"/>
      <c r="W306" s="408"/>
      <c r="X306" s="408"/>
      <c r="Y306" s="408"/>
      <c r="Z306" s="408"/>
    </row>
    <row r="307" ht="14.25" customHeight="1">
      <c r="A307" s="408"/>
      <c r="B307" s="408"/>
      <c r="C307" s="408"/>
      <c r="D307" s="408"/>
      <c r="E307" s="408"/>
      <c r="F307" s="408"/>
      <c r="G307" s="408"/>
      <c r="H307" s="408"/>
      <c r="I307" s="408"/>
      <c r="J307" s="408"/>
      <c r="K307" s="408"/>
      <c r="L307" s="408"/>
      <c r="M307" s="408"/>
      <c r="N307" s="408"/>
      <c r="O307" s="408"/>
      <c r="P307" s="408"/>
      <c r="Q307" s="408"/>
      <c r="R307" s="408"/>
      <c r="S307" s="408"/>
      <c r="T307" s="408"/>
      <c r="U307" s="408"/>
      <c r="V307" s="408"/>
      <c r="W307" s="408"/>
      <c r="X307" s="408"/>
      <c r="Y307" s="408"/>
      <c r="Z307" s="408"/>
    </row>
    <row r="308" ht="14.25" customHeight="1">
      <c r="A308" s="408"/>
      <c r="B308" s="408"/>
      <c r="C308" s="408"/>
      <c r="D308" s="408"/>
      <c r="E308" s="408"/>
      <c r="F308" s="408"/>
      <c r="G308" s="408"/>
      <c r="H308" s="408"/>
      <c r="I308" s="408"/>
      <c r="J308" s="408"/>
      <c r="K308" s="408"/>
      <c r="L308" s="408"/>
      <c r="M308" s="408"/>
      <c r="N308" s="408"/>
      <c r="O308" s="408"/>
      <c r="P308" s="408"/>
      <c r="Q308" s="408"/>
      <c r="R308" s="408"/>
      <c r="S308" s="408"/>
      <c r="T308" s="408"/>
      <c r="U308" s="408"/>
      <c r="V308" s="408"/>
      <c r="W308" s="408"/>
      <c r="X308" s="408"/>
      <c r="Y308" s="408"/>
      <c r="Z308" s="408"/>
    </row>
    <row r="309" ht="14.25" customHeight="1">
      <c r="A309" s="408"/>
      <c r="B309" s="408"/>
      <c r="C309" s="408"/>
      <c r="D309" s="408"/>
      <c r="E309" s="408"/>
      <c r="F309" s="408"/>
      <c r="G309" s="408"/>
      <c r="H309" s="408"/>
      <c r="I309" s="408"/>
      <c r="J309" s="408"/>
      <c r="K309" s="408"/>
      <c r="L309" s="408"/>
      <c r="M309" s="408"/>
      <c r="N309" s="408"/>
      <c r="O309" s="408"/>
      <c r="P309" s="408"/>
      <c r="Q309" s="408"/>
      <c r="R309" s="408"/>
      <c r="S309" s="408"/>
      <c r="T309" s="408"/>
      <c r="U309" s="408"/>
      <c r="V309" s="408"/>
      <c r="W309" s="408"/>
      <c r="X309" s="408"/>
      <c r="Y309" s="408"/>
      <c r="Z309" s="408"/>
    </row>
    <row r="310" ht="14.25" customHeight="1">
      <c r="A310" s="408"/>
      <c r="B310" s="408"/>
      <c r="C310" s="408"/>
      <c r="D310" s="408"/>
      <c r="E310" s="408"/>
      <c r="F310" s="408"/>
      <c r="G310" s="408"/>
      <c r="H310" s="408"/>
      <c r="I310" s="408"/>
      <c r="J310" s="408"/>
      <c r="K310" s="408"/>
      <c r="L310" s="408"/>
      <c r="M310" s="408"/>
      <c r="N310" s="408"/>
      <c r="O310" s="408"/>
      <c r="P310" s="408"/>
      <c r="Q310" s="408"/>
      <c r="R310" s="408"/>
      <c r="S310" s="408"/>
      <c r="T310" s="408"/>
      <c r="U310" s="408"/>
      <c r="V310" s="408"/>
      <c r="W310" s="408"/>
      <c r="X310" s="408"/>
      <c r="Y310" s="408"/>
      <c r="Z310" s="408"/>
    </row>
    <row r="311" ht="14.25" customHeight="1">
      <c r="A311" s="408"/>
      <c r="B311" s="408"/>
      <c r="C311" s="408"/>
      <c r="D311" s="408"/>
      <c r="E311" s="408"/>
      <c r="F311" s="408"/>
      <c r="G311" s="408"/>
      <c r="H311" s="408"/>
      <c r="I311" s="408"/>
      <c r="J311" s="408"/>
      <c r="K311" s="408"/>
      <c r="L311" s="408"/>
      <c r="M311" s="408"/>
      <c r="N311" s="408"/>
      <c r="O311" s="408"/>
      <c r="P311" s="408"/>
      <c r="Q311" s="408"/>
      <c r="R311" s="408"/>
      <c r="S311" s="408"/>
      <c r="T311" s="408"/>
      <c r="U311" s="408"/>
      <c r="V311" s="408"/>
      <c r="W311" s="408"/>
      <c r="X311" s="408"/>
      <c r="Y311" s="408"/>
      <c r="Z311" s="408"/>
    </row>
    <row r="312" ht="14.25" customHeight="1">
      <c r="A312" s="408"/>
      <c r="B312" s="408"/>
      <c r="C312" s="408"/>
      <c r="D312" s="408"/>
      <c r="E312" s="408"/>
      <c r="F312" s="408"/>
      <c r="G312" s="408"/>
      <c r="H312" s="408"/>
      <c r="I312" s="408"/>
      <c r="J312" s="408"/>
      <c r="K312" s="408"/>
      <c r="L312" s="408"/>
      <c r="M312" s="408"/>
      <c r="N312" s="408"/>
      <c r="O312" s="408"/>
      <c r="P312" s="408"/>
      <c r="Q312" s="408"/>
      <c r="R312" s="408"/>
      <c r="S312" s="408"/>
      <c r="T312" s="408"/>
      <c r="U312" s="408"/>
      <c r="V312" s="408"/>
      <c r="W312" s="408"/>
      <c r="X312" s="408"/>
      <c r="Y312" s="408"/>
      <c r="Z312" s="408"/>
    </row>
    <row r="313" ht="14.25" customHeight="1">
      <c r="A313" s="408"/>
      <c r="B313" s="408"/>
      <c r="C313" s="408"/>
      <c r="D313" s="408"/>
      <c r="E313" s="408"/>
      <c r="F313" s="408"/>
      <c r="G313" s="408"/>
      <c r="H313" s="408"/>
      <c r="I313" s="408"/>
      <c r="J313" s="408"/>
      <c r="K313" s="408"/>
      <c r="L313" s="408"/>
      <c r="M313" s="408"/>
      <c r="N313" s="408"/>
      <c r="O313" s="408"/>
      <c r="P313" s="408"/>
      <c r="Q313" s="408"/>
      <c r="R313" s="408"/>
      <c r="S313" s="408"/>
      <c r="T313" s="408"/>
      <c r="U313" s="408"/>
      <c r="V313" s="408"/>
      <c r="W313" s="408"/>
      <c r="X313" s="408"/>
      <c r="Y313" s="408"/>
      <c r="Z313" s="408"/>
    </row>
    <row r="314" ht="14.25" customHeight="1">
      <c r="A314" s="408"/>
      <c r="B314" s="408"/>
      <c r="C314" s="408"/>
      <c r="D314" s="408"/>
      <c r="E314" s="408"/>
      <c r="F314" s="408"/>
      <c r="G314" s="408"/>
      <c r="H314" s="408"/>
      <c r="I314" s="408"/>
      <c r="J314" s="408"/>
      <c r="K314" s="408"/>
      <c r="L314" s="408"/>
      <c r="M314" s="408"/>
      <c r="N314" s="408"/>
      <c r="O314" s="408"/>
      <c r="P314" s="408"/>
      <c r="Q314" s="408"/>
      <c r="R314" s="408"/>
      <c r="S314" s="408"/>
      <c r="T314" s="408"/>
      <c r="U314" s="408"/>
      <c r="V314" s="408"/>
      <c r="W314" s="408"/>
      <c r="X314" s="408"/>
      <c r="Y314" s="408"/>
      <c r="Z314" s="408"/>
    </row>
    <row r="315" ht="14.25" customHeight="1">
      <c r="A315" s="408"/>
      <c r="B315" s="408"/>
      <c r="C315" s="408"/>
      <c r="D315" s="408"/>
      <c r="E315" s="408"/>
      <c r="F315" s="408"/>
      <c r="G315" s="408"/>
      <c r="H315" s="408"/>
      <c r="I315" s="408"/>
      <c r="J315" s="408"/>
      <c r="K315" s="408"/>
      <c r="L315" s="408"/>
      <c r="M315" s="408"/>
      <c r="N315" s="408"/>
      <c r="O315" s="408"/>
      <c r="P315" s="408"/>
      <c r="Q315" s="408"/>
      <c r="R315" s="408"/>
      <c r="S315" s="408"/>
      <c r="T315" s="408"/>
      <c r="U315" s="408"/>
      <c r="V315" s="408"/>
      <c r="W315" s="408"/>
      <c r="X315" s="408"/>
      <c r="Y315" s="408"/>
      <c r="Z315" s="408"/>
    </row>
    <row r="316" ht="14.25" customHeight="1">
      <c r="A316" s="408"/>
      <c r="B316" s="408"/>
      <c r="C316" s="408"/>
      <c r="D316" s="408"/>
      <c r="E316" s="408"/>
      <c r="F316" s="408"/>
      <c r="G316" s="408"/>
      <c r="H316" s="408"/>
      <c r="I316" s="408"/>
      <c r="J316" s="408"/>
      <c r="K316" s="408"/>
      <c r="L316" s="408"/>
      <c r="M316" s="408"/>
      <c r="N316" s="408"/>
      <c r="O316" s="408"/>
      <c r="P316" s="408"/>
      <c r="Q316" s="408"/>
      <c r="R316" s="408"/>
      <c r="S316" s="408"/>
      <c r="T316" s="408"/>
      <c r="U316" s="408"/>
      <c r="V316" s="408"/>
      <c r="W316" s="408"/>
      <c r="X316" s="408"/>
      <c r="Y316" s="408"/>
      <c r="Z316" s="408"/>
    </row>
    <row r="317" ht="14.25" customHeight="1">
      <c r="A317" s="408"/>
      <c r="B317" s="408"/>
      <c r="C317" s="408"/>
      <c r="D317" s="408"/>
      <c r="E317" s="408"/>
      <c r="F317" s="408"/>
      <c r="G317" s="408"/>
      <c r="H317" s="408"/>
      <c r="I317" s="408"/>
      <c r="J317" s="408"/>
      <c r="K317" s="408"/>
      <c r="L317" s="408"/>
      <c r="M317" s="408"/>
      <c r="N317" s="408"/>
      <c r="O317" s="408"/>
      <c r="P317" s="408"/>
      <c r="Q317" s="408"/>
      <c r="R317" s="408"/>
      <c r="S317" s="408"/>
      <c r="T317" s="408"/>
      <c r="U317" s="408"/>
      <c r="V317" s="408"/>
      <c r="W317" s="408"/>
      <c r="X317" s="408"/>
      <c r="Y317" s="408"/>
      <c r="Z317" s="408"/>
    </row>
    <row r="318" ht="14.25" customHeight="1">
      <c r="A318" s="408"/>
      <c r="B318" s="408"/>
      <c r="C318" s="408"/>
      <c r="D318" s="408"/>
      <c r="E318" s="408"/>
      <c r="F318" s="408"/>
      <c r="G318" s="408"/>
      <c r="H318" s="408"/>
      <c r="I318" s="408"/>
      <c r="J318" s="408"/>
      <c r="K318" s="408"/>
      <c r="L318" s="408"/>
      <c r="M318" s="408"/>
      <c r="N318" s="408"/>
      <c r="O318" s="408"/>
      <c r="P318" s="408"/>
      <c r="Q318" s="408"/>
      <c r="R318" s="408"/>
      <c r="S318" s="408"/>
      <c r="T318" s="408"/>
      <c r="U318" s="408"/>
      <c r="V318" s="408"/>
      <c r="W318" s="408"/>
      <c r="X318" s="408"/>
      <c r="Y318" s="408"/>
      <c r="Z318" s="408"/>
    </row>
    <row r="319" ht="14.25" customHeight="1">
      <c r="A319" s="408"/>
      <c r="B319" s="408"/>
      <c r="C319" s="408"/>
      <c r="D319" s="408"/>
      <c r="E319" s="408"/>
      <c r="F319" s="408"/>
      <c r="G319" s="408"/>
      <c r="H319" s="408"/>
      <c r="I319" s="408"/>
      <c r="J319" s="408"/>
      <c r="K319" s="408"/>
      <c r="L319" s="408"/>
      <c r="M319" s="408"/>
      <c r="N319" s="408"/>
      <c r="O319" s="408"/>
      <c r="P319" s="408"/>
      <c r="Q319" s="408"/>
      <c r="R319" s="408"/>
      <c r="S319" s="408"/>
      <c r="T319" s="408"/>
      <c r="U319" s="408"/>
      <c r="V319" s="408"/>
      <c r="W319" s="408"/>
      <c r="X319" s="408"/>
      <c r="Y319" s="408"/>
      <c r="Z319" s="408"/>
    </row>
    <row r="320" ht="14.25" customHeight="1">
      <c r="A320" s="408"/>
      <c r="B320" s="408"/>
      <c r="C320" s="408"/>
      <c r="D320" s="408"/>
      <c r="E320" s="408"/>
      <c r="F320" s="408"/>
      <c r="G320" s="408"/>
      <c r="H320" s="408"/>
      <c r="I320" s="408"/>
      <c r="J320" s="408"/>
      <c r="K320" s="408"/>
      <c r="L320" s="408"/>
      <c r="M320" s="408"/>
      <c r="N320" s="408"/>
      <c r="O320" s="408"/>
      <c r="P320" s="408"/>
      <c r="Q320" s="408"/>
      <c r="R320" s="408"/>
      <c r="S320" s="408"/>
      <c r="T320" s="408"/>
      <c r="U320" s="408"/>
      <c r="V320" s="408"/>
      <c r="W320" s="408"/>
      <c r="X320" s="408"/>
      <c r="Y320" s="408"/>
      <c r="Z320" s="408"/>
    </row>
    <row r="321" ht="14.25" customHeight="1">
      <c r="A321" s="408"/>
      <c r="B321" s="408"/>
      <c r="C321" s="408"/>
      <c r="D321" s="408"/>
      <c r="E321" s="408"/>
      <c r="F321" s="408"/>
      <c r="G321" s="408"/>
      <c r="H321" s="408"/>
      <c r="I321" s="408"/>
      <c r="J321" s="408"/>
      <c r="K321" s="408"/>
      <c r="L321" s="408"/>
      <c r="M321" s="408"/>
      <c r="N321" s="408"/>
      <c r="O321" s="408"/>
      <c r="P321" s="408"/>
      <c r="Q321" s="408"/>
      <c r="R321" s="408"/>
      <c r="S321" s="408"/>
      <c r="T321" s="408"/>
      <c r="U321" s="408"/>
      <c r="V321" s="408"/>
      <c r="W321" s="408"/>
      <c r="X321" s="408"/>
      <c r="Y321" s="408"/>
      <c r="Z321" s="408"/>
    </row>
    <row r="322" ht="14.25" customHeight="1">
      <c r="A322" s="408"/>
      <c r="B322" s="408"/>
      <c r="C322" s="408"/>
      <c r="D322" s="408"/>
      <c r="E322" s="408"/>
      <c r="F322" s="408"/>
      <c r="G322" s="408"/>
      <c r="H322" s="408"/>
      <c r="I322" s="408"/>
      <c r="J322" s="408"/>
      <c r="K322" s="408"/>
      <c r="L322" s="408"/>
      <c r="M322" s="408"/>
      <c r="N322" s="408"/>
      <c r="O322" s="408"/>
      <c r="P322" s="408"/>
      <c r="Q322" s="408"/>
      <c r="R322" s="408"/>
      <c r="S322" s="408"/>
      <c r="T322" s="408"/>
      <c r="U322" s="408"/>
      <c r="V322" s="408"/>
      <c r="W322" s="408"/>
      <c r="X322" s="408"/>
      <c r="Y322" s="408"/>
      <c r="Z322" s="408"/>
    </row>
    <row r="323" ht="14.25" customHeight="1">
      <c r="A323" s="408"/>
      <c r="B323" s="408"/>
      <c r="C323" s="408"/>
      <c r="D323" s="408"/>
      <c r="E323" s="408"/>
      <c r="F323" s="408"/>
      <c r="G323" s="408"/>
      <c r="H323" s="408"/>
      <c r="I323" s="408"/>
      <c r="J323" s="408"/>
      <c r="K323" s="408"/>
      <c r="L323" s="408"/>
      <c r="M323" s="408"/>
      <c r="N323" s="408"/>
      <c r="O323" s="408"/>
      <c r="P323" s="408"/>
      <c r="Q323" s="408"/>
      <c r="R323" s="408"/>
      <c r="S323" s="408"/>
      <c r="T323" s="408"/>
      <c r="U323" s="408"/>
      <c r="V323" s="408"/>
      <c r="W323" s="408"/>
      <c r="X323" s="408"/>
      <c r="Y323" s="408"/>
      <c r="Z323" s="408"/>
    </row>
    <row r="324" ht="14.25" customHeight="1">
      <c r="A324" s="408"/>
      <c r="B324" s="408"/>
      <c r="C324" s="408"/>
      <c r="D324" s="408"/>
      <c r="E324" s="408"/>
      <c r="F324" s="408"/>
      <c r="G324" s="408"/>
      <c r="H324" s="408"/>
      <c r="I324" s="408"/>
      <c r="J324" s="408"/>
      <c r="K324" s="408"/>
      <c r="L324" s="408"/>
      <c r="M324" s="408"/>
      <c r="N324" s="408"/>
      <c r="O324" s="408"/>
      <c r="P324" s="408"/>
      <c r="Q324" s="408"/>
      <c r="R324" s="408"/>
      <c r="S324" s="408"/>
      <c r="T324" s="408"/>
      <c r="U324" s="408"/>
      <c r="V324" s="408"/>
      <c r="W324" s="408"/>
      <c r="X324" s="408"/>
      <c r="Y324" s="408"/>
      <c r="Z324" s="408"/>
    </row>
    <row r="325" ht="14.25" customHeight="1">
      <c r="A325" s="408"/>
      <c r="B325" s="408"/>
      <c r="C325" s="408"/>
      <c r="D325" s="408"/>
      <c r="E325" s="408"/>
      <c r="F325" s="408"/>
      <c r="G325" s="408"/>
      <c r="H325" s="408"/>
      <c r="I325" s="408"/>
      <c r="J325" s="408"/>
      <c r="K325" s="408"/>
      <c r="L325" s="408"/>
      <c r="M325" s="408"/>
      <c r="N325" s="408"/>
      <c r="O325" s="408"/>
      <c r="P325" s="408"/>
      <c r="Q325" s="408"/>
      <c r="R325" s="408"/>
      <c r="S325" s="408"/>
      <c r="T325" s="408"/>
      <c r="U325" s="408"/>
      <c r="V325" s="408"/>
      <c r="W325" s="408"/>
      <c r="X325" s="408"/>
      <c r="Y325" s="408"/>
      <c r="Z325" s="408"/>
    </row>
    <row r="326" ht="14.25" customHeight="1">
      <c r="A326" s="408"/>
      <c r="B326" s="408"/>
      <c r="C326" s="408"/>
      <c r="D326" s="408"/>
      <c r="E326" s="408"/>
      <c r="F326" s="408"/>
      <c r="G326" s="408"/>
      <c r="H326" s="408"/>
      <c r="I326" s="408"/>
      <c r="J326" s="408"/>
      <c r="K326" s="408"/>
      <c r="L326" s="408"/>
      <c r="M326" s="408"/>
      <c r="N326" s="408"/>
      <c r="O326" s="408"/>
      <c r="P326" s="408"/>
      <c r="Q326" s="408"/>
      <c r="R326" s="408"/>
      <c r="S326" s="408"/>
      <c r="T326" s="408"/>
      <c r="U326" s="408"/>
      <c r="V326" s="408"/>
      <c r="W326" s="408"/>
      <c r="X326" s="408"/>
      <c r="Y326" s="408"/>
      <c r="Z326" s="408"/>
    </row>
    <row r="327" ht="14.25" customHeight="1">
      <c r="A327" s="408"/>
      <c r="B327" s="408"/>
      <c r="C327" s="408"/>
      <c r="D327" s="408"/>
      <c r="E327" s="408"/>
      <c r="F327" s="408"/>
      <c r="G327" s="408"/>
      <c r="H327" s="408"/>
      <c r="I327" s="408"/>
      <c r="J327" s="408"/>
      <c r="K327" s="408"/>
      <c r="L327" s="408"/>
      <c r="M327" s="408"/>
      <c r="N327" s="408"/>
      <c r="O327" s="408"/>
      <c r="P327" s="408"/>
      <c r="Q327" s="408"/>
      <c r="R327" s="408"/>
      <c r="S327" s="408"/>
      <c r="T327" s="408"/>
      <c r="U327" s="408"/>
      <c r="V327" s="408"/>
      <c r="W327" s="408"/>
      <c r="X327" s="408"/>
      <c r="Y327" s="408"/>
      <c r="Z327" s="408"/>
    </row>
    <row r="328" ht="14.25" customHeight="1">
      <c r="A328" s="408"/>
      <c r="B328" s="408"/>
      <c r="C328" s="408"/>
      <c r="D328" s="408"/>
      <c r="E328" s="408"/>
      <c r="F328" s="408"/>
      <c r="G328" s="408"/>
      <c r="H328" s="408"/>
      <c r="I328" s="408"/>
      <c r="J328" s="408"/>
      <c r="K328" s="408"/>
      <c r="L328" s="408"/>
      <c r="M328" s="408"/>
      <c r="N328" s="408"/>
      <c r="O328" s="408"/>
      <c r="P328" s="408"/>
      <c r="Q328" s="408"/>
      <c r="R328" s="408"/>
      <c r="S328" s="408"/>
      <c r="T328" s="408"/>
      <c r="U328" s="408"/>
      <c r="V328" s="408"/>
      <c r="W328" s="408"/>
      <c r="X328" s="408"/>
      <c r="Y328" s="408"/>
      <c r="Z328" s="408"/>
    </row>
    <row r="329" ht="14.25" customHeight="1">
      <c r="A329" s="408"/>
      <c r="B329" s="408"/>
      <c r="C329" s="408"/>
      <c r="D329" s="408"/>
      <c r="E329" s="408"/>
      <c r="F329" s="408"/>
      <c r="G329" s="408"/>
      <c r="H329" s="408"/>
      <c r="I329" s="408"/>
      <c r="J329" s="408"/>
      <c r="K329" s="408"/>
      <c r="L329" s="408"/>
      <c r="M329" s="408"/>
      <c r="N329" s="408"/>
      <c r="O329" s="408"/>
      <c r="P329" s="408"/>
      <c r="Q329" s="408"/>
      <c r="R329" s="408"/>
      <c r="S329" s="408"/>
      <c r="T329" s="408"/>
      <c r="U329" s="408"/>
      <c r="V329" s="408"/>
      <c r="W329" s="408"/>
      <c r="X329" s="408"/>
      <c r="Y329" s="408"/>
      <c r="Z329" s="408"/>
    </row>
    <row r="330" ht="14.25" customHeight="1">
      <c r="A330" s="408"/>
      <c r="B330" s="408"/>
      <c r="C330" s="408"/>
      <c r="D330" s="408"/>
      <c r="E330" s="408"/>
      <c r="F330" s="408"/>
      <c r="G330" s="408"/>
      <c r="H330" s="408"/>
      <c r="I330" s="408"/>
      <c r="J330" s="408"/>
      <c r="K330" s="408"/>
      <c r="L330" s="408"/>
      <c r="M330" s="408"/>
      <c r="N330" s="408"/>
      <c r="O330" s="408"/>
      <c r="P330" s="408"/>
      <c r="Q330" s="408"/>
      <c r="R330" s="408"/>
      <c r="S330" s="408"/>
      <c r="T330" s="408"/>
      <c r="U330" s="408"/>
      <c r="V330" s="408"/>
      <c r="W330" s="408"/>
      <c r="X330" s="408"/>
      <c r="Y330" s="408"/>
      <c r="Z330" s="408"/>
    </row>
    <row r="331" ht="14.25" customHeight="1">
      <c r="A331" s="408"/>
      <c r="B331" s="408"/>
      <c r="C331" s="408"/>
      <c r="D331" s="408"/>
      <c r="E331" s="408"/>
      <c r="F331" s="408"/>
      <c r="G331" s="408"/>
      <c r="H331" s="408"/>
      <c r="I331" s="408"/>
      <c r="J331" s="408"/>
      <c r="K331" s="408"/>
      <c r="L331" s="408"/>
      <c r="M331" s="408"/>
      <c r="N331" s="408"/>
      <c r="O331" s="408"/>
      <c r="P331" s="408"/>
      <c r="Q331" s="408"/>
      <c r="R331" s="408"/>
      <c r="S331" s="408"/>
      <c r="T331" s="408"/>
      <c r="U331" s="408"/>
      <c r="V331" s="408"/>
      <c r="W331" s="408"/>
      <c r="X331" s="408"/>
      <c r="Y331" s="408"/>
      <c r="Z331" s="408"/>
    </row>
    <row r="332" ht="14.25" customHeight="1">
      <c r="A332" s="408"/>
      <c r="B332" s="408"/>
      <c r="C332" s="408"/>
      <c r="D332" s="408"/>
      <c r="E332" s="408"/>
      <c r="F332" s="408"/>
      <c r="G332" s="408"/>
      <c r="H332" s="408"/>
      <c r="I332" s="408"/>
      <c r="J332" s="408"/>
      <c r="K332" s="408"/>
      <c r="L332" s="408"/>
      <c r="M332" s="408"/>
      <c r="N332" s="408"/>
      <c r="O332" s="408"/>
      <c r="P332" s="408"/>
      <c r="Q332" s="408"/>
      <c r="R332" s="408"/>
      <c r="S332" s="408"/>
      <c r="T332" s="408"/>
      <c r="U332" s="408"/>
      <c r="V332" s="408"/>
      <c r="W332" s="408"/>
      <c r="X332" s="408"/>
      <c r="Y332" s="408"/>
      <c r="Z332" s="408"/>
    </row>
    <row r="333" ht="14.25" customHeight="1">
      <c r="A333" s="408"/>
      <c r="B333" s="408"/>
      <c r="C333" s="408"/>
      <c r="D333" s="408"/>
      <c r="E333" s="408"/>
      <c r="F333" s="408"/>
      <c r="G333" s="408"/>
      <c r="H333" s="408"/>
      <c r="I333" s="408"/>
      <c r="J333" s="408"/>
      <c r="K333" s="408"/>
      <c r="L333" s="408"/>
      <c r="M333" s="408"/>
      <c r="N333" s="408"/>
      <c r="O333" s="408"/>
      <c r="P333" s="408"/>
      <c r="Q333" s="408"/>
      <c r="R333" s="408"/>
      <c r="S333" s="408"/>
      <c r="T333" s="408"/>
      <c r="U333" s="408"/>
      <c r="V333" s="408"/>
      <c r="W333" s="408"/>
      <c r="X333" s="408"/>
      <c r="Y333" s="408"/>
      <c r="Z333" s="408"/>
    </row>
    <row r="334" ht="14.25" customHeight="1">
      <c r="A334" s="408"/>
      <c r="B334" s="408"/>
      <c r="C334" s="408"/>
      <c r="D334" s="408"/>
      <c r="E334" s="408"/>
      <c r="F334" s="408"/>
      <c r="G334" s="408"/>
      <c r="H334" s="408"/>
      <c r="I334" s="408"/>
      <c r="J334" s="408"/>
      <c r="K334" s="408"/>
      <c r="L334" s="408"/>
      <c r="M334" s="408"/>
      <c r="N334" s="408"/>
      <c r="O334" s="408"/>
      <c r="P334" s="408"/>
      <c r="Q334" s="408"/>
      <c r="R334" s="408"/>
      <c r="S334" s="408"/>
      <c r="T334" s="408"/>
      <c r="U334" s="408"/>
      <c r="V334" s="408"/>
      <c r="W334" s="408"/>
      <c r="X334" s="408"/>
      <c r="Y334" s="408"/>
      <c r="Z334" s="408"/>
    </row>
    <row r="335" ht="14.25" customHeight="1">
      <c r="A335" s="408"/>
      <c r="B335" s="408"/>
      <c r="C335" s="408"/>
      <c r="D335" s="408"/>
      <c r="E335" s="408"/>
      <c r="F335" s="408"/>
      <c r="G335" s="408"/>
      <c r="H335" s="408"/>
      <c r="I335" s="408"/>
      <c r="J335" s="408"/>
      <c r="K335" s="408"/>
      <c r="L335" s="408"/>
      <c r="M335" s="408"/>
      <c r="N335" s="408"/>
      <c r="O335" s="408"/>
      <c r="P335" s="408"/>
      <c r="Q335" s="408"/>
      <c r="R335" s="408"/>
      <c r="S335" s="408"/>
      <c r="T335" s="408"/>
      <c r="U335" s="408"/>
      <c r="V335" s="408"/>
      <c r="W335" s="408"/>
      <c r="X335" s="408"/>
      <c r="Y335" s="408"/>
      <c r="Z335" s="408"/>
    </row>
    <row r="336" ht="14.25" customHeight="1">
      <c r="A336" s="408"/>
      <c r="B336" s="408"/>
      <c r="C336" s="408"/>
      <c r="D336" s="408"/>
      <c r="E336" s="408"/>
      <c r="F336" s="408"/>
      <c r="G336" s="408"/>
      <c r="H336" s="408"/>
      <c r="I336" s="408"/>
      <c r="J336" s="408"/>
      <c r="K336" s="408"/>
      <c r="L336" s="408"/>
      <c r="M336" s="408"/>
      <c r="N336" s="408"/>
      <c r="O336" s="408"/>
      <c r="P336" s="408"/>
      <c r="Q336" s="408"/>
      <c r="R336" s="408"/>
      <c r="S336" s="408"/>
      <c r="T336" s="408"/>
      <c r="U336" s="408"/>
      <c r="V336" s="408"/>
      <c r="W336" s="408"/>
      <c r="X336" s="408"/>
      <c r="Y336" s="408"/>
      <c r="Z336" s="408"/>
    </row>
    <row r="337" ht="14.25" customHeight="1">
      <c r="A337" s="408"/>
      <c r="B337" s="408"/>
      <c r="C337" s="408"/>
      <c r="D337" s="408"/>
      <c r="E337" s="408"/>
      <c r="F337" s="408"/>
      <c r="G337" s="408"/>
      <c r="H337" s="408"/>
      <c r="I337" s="408"/>
      <c r="J337" s="408"/>
      <c r="K337" s="408"/>
      <c r="L337" s="408"/>
      <c r="M337" s="408"/>
      <c r="N337" s="408"/>
      <c r="O337" s="408"/>
      <c r="P337" s="408"/>
      <c r="Q337" s="408"/>
      <c r="R337" s="408"/>
      <c r="S337" s="408"/>
      <c r="T337" s="408"/>
      <c r="U337" s="408"/>
      <c r="V337" s="408"/>
      <c r="W337" s="408"/>
      <c r="X337" s="408"/>
      <c r="Y337" s="408"/>
      <c r="Z337" s="408"/>
    </row>
    <row r="338" ht="14.25" customHeight="1">
      <c r="A338" s="408"/>
      <c r="B338" s="408"/>
      <c r="C338" s="408"/>
      <c r="D338" s="408"/>
      <c r="E338" s="408"/>
      <c r="F338" s="408"/>
      <c r="G338" s="408"/>
      <c r="H338" s="408"/>
      <c r="I338" s="408"/>
      <c r="J338" s="408"/>
      <c r="K338" s="408"/>
      <c r="L338" s="408"/>
      <c r="M338" s="408"/>
      <c r="N338" s="408"/>
      <c r="O338" s="408"/>
      <c r="P338" s="408"/>
      <c r="Q338" s="408"/>
      <c r="R338" s="408"/>
      <c r="S338" s="408"/>
      <c r="T338" s="408"/>
      <c r="U338" s="408"/>
      <c r="V338" s="408"/>
      <c r="W338" s="408"/>
      <c r="X338" s="408"/>
      <c r="Y338" s="408"/>
      <c r="Z338" s="408"/>
    </row>
    <row r="339" ht="14.25" customHeight="1">
      <c r="A339" s="408"/>
      <c r="B339" s="408"/>
      <c r="C339" s="408"/>
      <c r="D339" s="408"/>
      <c r="E339" s="408"/>
      <c r="F339" s="408"/>
      <c r="G339" s="408"/>
      <c r="H339" s="408"/>
      <c r="I339" s="408"/>
      <c r="J339" s="408"/>
      <c r="K339" s="408"/>
      <c r="L339" s="408"/>
      <c r="M339" s="408"/>
      <c r="N339" s="408"/>
      <c r="O339" s="408"/>
      <c r="P339" s="408"/>
      <c r="Q339" s="408"/>
      <c r="R339" s="408"/>
      <c r="S339" s="408"/>
      <c r="T339" s="408"/>
      <c r="U339" s="408"/>
      <c r="V339" s="408"/>
      <c r="W339" s="408"/>
      <c r="X339" s="408"/>
      <c r="Y339" s="408"/>
      <c r="Z339" s="408"/>
    </row>
    <row r="340" ht="14.25" customHeight="1">
      <c r="A340" s="408"/>
      <c r="B340" s="408"/>
      <c r="C340" s="408"/>
      <c r="D340" s="408"/>
      <c r="E340" s="408"/>
      <c r="F340" s="408"/>
      <c r="G340" s="408"/>
      <c r="H340" s="408"/>
      <c r="I340" s="408"/>
      <c r="J340" s="408"/>
      <c r="K340" s="408"/>
      <c r="L340" s="408"/>
      <c r="M340" s="408"/>
      <c r="N340" s="408"/>
      <c r="O340" s="408"/>
      <c r="P340" s="408"/>
      <c r="Q340" s="408"/>
      <c r="R340" s="408"/>
      <c r="S340" s="408"/>
      <c r="T340" s="408"/>
      <c r="U340" s="408"/>
      <c r="V340" s="408"/>
      <c r="W340" s="408"/>
      <c r="X340" s="408"/>
      <c r="Y340" s="408"/>
      <c r="Z340" s="408"/>
    </row>
    <row r="341" ht="14.25" customHeight="1">
      <c r="A341" s="408"/>
      <c r="B341" s="408"/>
      <c r="C341" s="408"/>
      <c r="D341" s="408"/>
      <c r="E341" s="408"/>
      <c r="F341" s="408"/>
      <c r="G341" s="408"/>
      <c r="H341" s="408"/>
      <c r="I341" s="408"/>
      <c r="J341" s="408"/>
      <c r="K341" s="408"/>
      <c r="L341" s="408"/>
      <c r="M341" s="408"/>
      <c r="N341" s="408"/>
      <c r="O341" s="408"/>
      <c r="P341" s="408"/>
      <c r="Q341" s="408"/>
      <c r="R341" s="408"/>
      <c r="S341" s="408"/>
      <c r="T341" s="408"/>
      <c r="U341" s="408"/>
      <c r="V341" s="408"/>
      <c r="W341" s="408"/>
      <c r="X341" s="408"/>
      <c r="Y341" s="408"/>
      <c r="Z341" s="408"/>
    </row>
    <row r="342" ht="14.25" customHeight="1">
      <c r="A342" s="408"/>
      <c r="B342" s="408"/>
      <c r="C342" s="408"/>
      <c r="D342" s="408"/>
      <c r="E342" s="408"/>
      <c r="F342" s="408"/>
      <c r="G342" s="408"/>
      <c r="H342" s="408"/>
      <c r="I342" s="408"/>
      <c r="J342" s="408"/>
      <c r="K342" s="408"/>
      <c r="L342" s="408"/>
      <c r="M342" s="408"/>
      <c r="N342" s="408"/>
      <c r="O342" s="408"/>
      <c r="P342" s="408"/>
      <c r="Q342" s="408"/>
      <c r="R342" s="408"/>
      <c r="S342" s="408"/>
      <c r="T342" s="408"/>
      <c r="U342" s="408"/>
      <c r="V342" s="408"/>
      <c r="W342" s="408"/>
      <c r="X342" s="408"/>
      <c r="Y342" s="408"/>
      <c r="Z342" s="408"/>
    </row>
    <row r="343" ht="14.25" customHeight="1">
      <c r="A343" s="408"/>
      <c r="B343" s="408"/>
      <c r="C343" s="408"/>
      <c r="D343" s="408"/>
      <c r="E343" s="408"/>
      <c r="F343" s="408"/>
      <c r="G343" s="408"/>
      <c r="H343" s="408"/>
      <c r="I343" s="408"/>
      <c r="J343" s="408"/>
      <c r="K343" s="408"/>
      <c r="L343" s="408"/>
      <c r="M343" s="408"/>
      <c r="N343" s="408"/>
      <c r="O343" s="408"/>
      <c r="P343" s="408"/>
      <c r="Q343" s="408"/>
      <c r="R343" s="408"/>
      <c r="S343" s="408"/>
      <c r="T343" s="408"/>
      <c r="U343" s="408"/>
      <c r="V343" s="408"/>
      <c r="W343" s="408"/>
      <c r="X343" s="408"/>
      <c r="Y343" s="408"/>
      <c r="Z343" s="408"/>
    </row>
    <row r="344" ht="14.25" customHeight="1">
      <c r="A344" s="408"/>
      <c r="B344" s="408"/>
      <c r="C344" s="408"/>
      <c r="D344" s="408"/>
      <c r="E344" s="408"/>
      <c r="F344" s="408"/>
      <c r="G344" s="408"/>
      <c r="H344" s="408"/>
      <c r="I344" s="408"/>
      <c r="J344" s="408"/>
      <c r="K344" s="408"/>
      <c r="L344" s="408"/>
      <c r="M344" s="408"/>
      <c r="N344" s="408"/>
      <c r="O344" s="408"/>
      <c r="P344" s="408"/>
      <c r="Q344" s="408"/>
      <c r="R344" s="408"/>
      <c r="S344" s="408"/>
      <c r="T344" s="408"/>
      <c r="U344" s="408"/>
      <c r="V344" s="408"/>
      <c r="W344" s="408"/>
      <c r="X344" s="408"/>
      <c r="Y344" s="408"/>
      <c r="Z344" s="408"/>
    </row>
    <row r="345" ht="14.25" customHeight="1">
      <c r="A345" s="408"/>
      <c r="B345" s="408"/>
      <c r="C345" s="408"/>
      <c r="D345" s="408"/>
      <c r="E345" s="408"/>
      <c r="F345" s="408"/>
      <c r="G345" s="408"/>
      <c r="H345" s="408"/>
      <c r="I345" s="408"/>
      <c r="J345" s="408"/>
      <c r="K345" s="408"/>
      <c r="L345" s="408"/>
      <c r="M345" s="408"/>
      <c r="N345" s="408"/>
      <c r="O345" s="408"/>
      <c r="P345" s="408"/>
      <c r="Q345" s="408"/>
      <c r="R345" s="408"/>
      <c r="S345" s="408"/>
      <c r="T345" s="408"/>
      <c r="U345" s="408"/>
      <c r="V345" s="408"/>
      <c r="W345" s="408"/>
      <c r="X345" s="408"/>
      <c r="Y345" s="408"/>
      <c r="Z345" s="408"/>
    </row>
    <row r="346" ht="14.25" customHeight="1">
      <c r="A346" s="408"/>
      <c r="B346" s="408"/>
      <c r="C346" s="408"/>
      <c r="D346" s="408"/>
      <c r="E346" s="408"/>
      <c r="F346" s="408"/>
      <c r="G346" s="408"/>
      <c r="H346" s="408"/>
      <c r="I346" s="408"/>
      <c r="J346" s="408"/>
      <c r="K346" s="408"/>
      <c r="L346" s="408"/>
      <c r="M346" s="408"/>
      <c r="N346" s="408"/>
      <c r="O346" s="408"/>
      <c r="P346" s="408"/>
      <c r="Q346" s="408"/>
      <c r="R346" s="408"/>
      <c r="S346" s="408"/>
      <c r="T346" s="408"/>
      <c r="U346" s="408"/>
      <c r="V346" s="408"/>
      <c r="W346" s="408"/>
      <c r="X346" s="408"/>
      <c r="Y346" s="408"/>
      <c r="Z346" s="408"/>
    </row>
    <row r="347" ht="14.25" customHeight="1">
      <c r="A347" s="408"/>
      <c r="B347" s="408"/>
      <c r="C347" s="408"/>
      <c r="D347" s="408"/>
      <c r="E347" s="408"/>
      <c r="F347" s="408"/>
      <c r="G347" s="408"/>
      <c r="H347" s="408"/>
      <c r="I347" s="408"/>
      <c r="J347" s="408"/>
      <c r="K347" s="408"/>
      <c r="L347" s="408"/>
      <c r="M347" s="408"/>
      <c r="N347" s="408"/>
      <c r="O347" s="408"/>
      <c r="P347" s="408"/>
      <c r="Q347" s="408"/>
      <c r="R347" s="408"/>
      <c r="S347" s="408"/>
      <c r="T347" s="408"/>
      <c r="U347" s="408"/>
      <c r="V347" s="408"/>
      <c r="W347" s="408"/>
      <c r="X347" s="408"/>
      <c r="Y347" s="408"/>
      <c r="Z347" s="408"/>
    </row>
    <row r="348" ht="14.25" customHeight="1">
      <c r="A348" s="408"/>
      <c r="B348" s="408"/>
      <c r="C348" s="408"/>
      <c r="D348" s="408"/>
      <c r="E348" s="408"/>
      <c r="F348" s="408"/>
      <c r="G348" s="408"/>
      <c r="H348" s="408"/>
      <c r="I348" s="408"/>
      <c r="J348" s="408"/>
      <c r="K348" s="408"/>
      <c r="L348" s="408"/>
      <c r="M348" s="408"/>
      <c r="N348" s="408"/>
      <c r="O348" s="408"/>
      <c r="P348" s="408"/>
      <c r="Q348" s="408"/>
      <c r="R348" s="408"/>
      <c r="S348" s="408"/>
      <c r="T348" s="408"/>
      <c r="U348" s="408"/>
      <c r="V348" s="408"/>
      <c r="W348" s="408"/>
      <c r="X348" s="408"/>
      <c r="Y348" s="408"/>
      <c r="Z348" s="408"/>
    </row>
    <row r="349" ht="14.25" customHeight="1">
      <c r="A349" s="408"/>
      <c r="B349" s="408"/>
      <c r="C349" s="408"/>
      <c r="D349" s="408"/>
      <c r="E349" s="408"/>
      <c r="F349" s="408"/>
      <c r="G349" s="408"/>
      <c r="H349" s="408"/>
      <c r="I349" s="408"/>
      <c r="J349" s="408"/>
      <c r="K349" s="408"/>
      <c r="L349" s="408"/>
      <c r="M349" s="408"/>
      <c r="N349" s="408"/>
      <c r="O349" s="408"/>
      <c r="P349" s="408"/>
      <c r="Q349" s="408"/>
      <c r="R349" s="408"/>
      <c r="S349" s="408"/>
      <c r="T349" s="408"/>
      <c r="U349" s="408"/>
      <c r="V349" s="408"/>
      <c r="W349" s="408"/>
      <c r="X349" s="408"/>
      <c r="Y349" s="408"/>
      <c r="Z349" s="408"/>
    </row>
    <row r="350" ht="14.25" customHeight="1">
      <c r="A350" s="408"/>
      <c r="B350" s="408"/>
      <c r="C350" s="408"/>
      <c r="D350" s="408"/>
      <c r="E350" s="408"/>
      <c r="F350" s="408"/>
      <c r="G350" s="408"/>
      <c r="H350" s="408"/>
      <c r="I350" s="408"/>
      <c r="J350" s="408"/>
      <c r="K350" s="408"/>
      <c r="L350" s="408"/>
      <c r="M350" s="408"/>
      <c r="N350" s="408"/>
      <c r="O350" s="408"/>
      <c r="P350" s="408"/>
      <c r="Q350" s="408"/>
      <c r="R350" s="408"/>
      <c r="S350" s="408"/>
      <c r="T350" s="408"/>
      <c r="U350" s="408"/>
      <c r="V350" s="408"/>
      <c r="W350" s="408"/>
      <c r="X350" s="408"/>
      <c r="Y350" s="408"/>
      <c r="Z350" s="408"/>
    </row>
    <row r="351" ht="14.25" customHeight="1">
      <c r="A351" s="408"/>
      <c r="B351" s="408"/>
      <c r="C351" s="408"/>
      <c r="D351" s="408"/>
      <c r="E351" s="408"/>
      <c r="F351" s="408"/>
      <c r="G351" s="408"/>
      <c r="H351" s="408"/>
      <c r="I351" s="408"/>
      <c r="J351" s="408"/>
      <c r="K351" s="408"/>
      <c r="L351" s="408"/>
      <c r="M351" s="408"/>
      <c r="N351" s="408"/>
      <c r="O351" s="408"/>
      <c r="P351" s="408"/>
      <c r="Q351" s="408"/>
      <c r="R351" s="408"/>
      <c r="S351" s="408"/>
      <c r="T351" s="408"/>
      <c r="U351" s="408"/>
      <c r="V351" s="408"/>
      <c r="W351" s="408"/>
      <c r="X351" s="408"/>
      <c r="Y351" s="408"/>
      <c r="Z351" s="408"/>
    </row>
    <row r="352" ht="14.25" customHeight="1">
      <c r="A352" s="408"/>
      <c r="B352" s="408"/>
      <c r="C352" s="408"/>
      <c r="D352" s="408"/>
      <c r="E352" s="408"/>
      <c r="F352" s="408"/>
      <c r="G352" s="408"/>
      <c r="H352" s="408"/>
      <c r="I352" s="408"/>
      <c r="J352" s="408"/>
      <c r="K352" s="408"/>
      <c r="L352" s="408"/>
      <c r="M352" s="408"/>
      <c r="N352" s="408"/>
      <c r="O352" s="408"/>
      <c r="P352" s="408"/>
      <c r="Q352" s="408"/>
      <c r="R352" s="408"/>
      <c r="S352" s="408"/>
      <c r="T352" s="408"/>
      <c r="U352" s="408"/>
      <c r="V352" s="408"/>
      <c r="W352" s="408"/>
      <c r="X352" s="408"/>
      <c r="Y352" s="408"/>
      <c r="Z352" s="408"/>
    </row>
    <row r="353" ht="14.25" customHeight="1">
      <c r="A353" s="408"/>
      <c r="B353" s="408"/>
      <c r="C353" s="408"/>
      <c r="D353" s="408"/>
      <c r="E353" s="408"/>
      <c r="F353" s="408"/>
      <c r="G353" s="408"/>
      <c r="H353" s="408"/>
      <c r="I353" s="408"/>
      <c r="J353" s="408"/>
      <c r="K353" s="408"/>
      <c r="L353" s="408"/>
      <c r="M353" s="408"/>
      <c r="N353" s="408"/>
      <c r="O353" s="408"/>
      <c r="P353" s="408"/>
      <c r="Q353" s="408"/>
      <c r="R353" s="408"/>
      <c r="S353" s="408"/>
      <c r="T353" s="408"/>
      <c r="U353" s="408"/>
      <c r="V353" s="408"/>
      <c r="W353" s="408"/>
      <c r="X353" s="408"/>
      <c r="Y353" s="408"/>
      <c r="Z353" s="408"/>
    </row>
    <row r="354" ht="14.25" customHeight="1">
      <c r="A354" s="408"/>
      <c r="B354" s="408"/>
      <c r="C354" s="408"/>
      <c r="D354" s="408"/>
      <c r="E354" s="408"/>
      <c r="F354" s="408"/>
      <c r="G354" s="408"/>
      <c r="H354" s="408"/>
      <c r="I354" s="408"/>
      <c r="J354" s="408"/>
      <c r="K354" s="408"/>
      <c r="L354" s="408"/>
      <c r="M354" s="408"/>
      <c r="N354" s="408"/>
      <c r="O354" s="408"/>
      <c r="P354" s="408"/>
      <c r="Q354" s="408"/>
      <c r="R354" s="408"/>
      <c r="S354" s="408"/>
      <c r="T354" s="408"/>
      <c r="U354" s="408"/>
      <c r="V354" s="408"/>
      <c r="W354" s="408"/>
      <c r="X354" s="408"/>
      <c r="Y354" s="408"/>
      <c r="Z354" s="408"/>
    </row>
    <row r="355" ht="14.25" customHeight="1">
      <c r="A355" s="408"/>
      <c r="B355" s="408"/>
      <c r="C355" s="408"/>
      <c r="D355" s="408"/>
      <c r="E355" s="408"/>
      <c r="F355" s="408"/>
      <c r="G355" s="408"/>
      <c r="H355" s="408"/>
      <c r="I355" s="408"/>
      <c r="J355" s="408"/>
      <c r="K355" s="408"/>
      <c r="L355" s="408"/>
      <c r="M355" s="408"/>
      <c r="N355" s="408"/>
      <c r="O355" s="408"/>
      <c r="P355" s="408"/>
      <c r="Q355" s="408"/>
      <c r="R355" s="408"/>
      <c r="S355" s="408"/>
      <c r="T355" s="408"/>
      <c r="U355" s="408"/>
      <c r="V355" s="408"/>
      <c r="W355" s="408"/>
      <c r="X355" s="408"/>
      <c r="Y355" s="408"/>
      <c r="Z355" s="408"/>
    </row>
    <row r="356" ht="14.25" customHeight="1">
      <c r="A356" s="408"/>
      <c r="B356" s="408"/>
      <c r="C356" s="408"/>
      <c r="D356" s="408"/>
      <c r="E356" s="408"/>
      <c r="F356" s="408"/>
      <c r="G356" s="408"/>
      <c r="H356" s="408"/>
      <c r="I356" s="408"/>
      <c r="J356" s="408"/>
      <c r="K356" s="408"/>
      <c r="L356" s="408"/>
      <c r="M356" s="408"/>
      <c r="N356" s="408"/>
      <c r="O356" s="408"/>
      <c r="P356" s="408"/>
      <c r="Q356" s="408"/>
      <c r="R356" s="408"/>
      <c r="S356" s="408"/>
      <c r="T356" s="408"/>
      <c r="U356" s="408"/>
      <c r="V356" s="408"/>
      <c r="W356" s="408"/>
      <c r="X356" s="408"/>
      <c r="Y356" s="408"/>
      <c r="Z356" s="408"/>
    </row>
    <row r="357" ht="14.25" customHeight="1">
      <c r="A357" s="408"/>
      <c r="B357" s="408"/>
      <c r="C357" s="408"/>
      <c r="D357" s="408"/>
      <c r="E357" s="408"/>
      <c r="F357" s="408"/>
      <c r="G357" s="408"/>
      <c r="H357" s="408"/>
      <c r="I357" s="408"/>
      <c r="J357" s="408"/>
      <c r="K357" s="408"/>
      <c r="L357" s="408"/>
      <c r="M357" s="408"/>
      <c r="N357" s="408"/>
      <c r="O357" s="408"/>
      <c r="P357" s="408"/>
      <c r="Q357" s="408"/>
      <c r="R357" s="408"/>
      <c r="S357" s="408"/>
      <c r="T357" s="408"/>
      <c r="U357" s="408"/>
      <c r="V357" s="408"/>
      <c r="W357" s="408"/>
      <c r="X357" s="408"/>
      <c r="Y357" s="408"/>
      <c r="Z357" s="408"/>
    </row>
    <row r="358" ht="14.25" customHeight="1">
      <c r="A358" s="408"/>
      <c r="B358" s="408"/>
      <c r="C358" s="408"/>
      <c r="D358" s="408"/>
      <c r="E358" s="408"/>
      <c r="F358" s="408"/>
      <c r="G358" s="408"/>
      <c r="H358" s="408"/>
      <c r="I358" s="408"/>
      <c r="J358" s="408"/>
      <c r="K358" s="408"/>
      <c r="L358" s="408"/>
      <c r="M358" s="408"/>
      <c r="N358" s="408"/>
      <c r="O358" s="408"/>
      <c r="P358" s="408"/>
      <c r="Q358" s="408"/>
      <c r="R358" s="408"/>
      <c r="S358" s="408"/>
      <c r="T358" s="408"/>
      <c r="U358" s="408"/>
      <c r="V358" s="408"/>
      <c r="W358" s="408"/>
      <c r="X358" s="408"/>
      <c r="Y358" s="408"/>
      <c r="Z358" s="408"/>
    </row>
    <row r="359" ht="14.25" customHeight="1">
      <c r="A359" s="408"/>
      <c r="B359" s="408"/>
      <c r="C359" s="408"/>
      <c r="D359" s="408"/>
      <c r="E359" s="408"/>
      <c r="F359" s="408"/>
      <c r="G359" s="408"/>
      <c r="H359" s="408"/>
      <c r="I359" s="408"/>
      <c r="J359" s="408"/>
      <c r="K359" s="408"/>
      <c r="L359" s="408"/>
      <c r="M359" s="408"/>
      <c r="N359" s="408"/>
      <c r="O359" s="408"/>
      <c r="P359" s="408"/>
      <c r="Q359" s="408"/>
      <c r="R359" s="408"/>
      <c r="S359" s="408"/>
      <c r="T359" s="408"/>
      <c r="U359" s="408"/>
      <c r="V359" s="408"/>
      <c r="W359" s="408"/>
      <c r="X359" s="408"/>
      <c r="Y359" s="408"/>
      <c r="Z359" s="408"/>
    </row>
    <row r="360" ht="14.25" customHeight="1">
      <c r="A360" s="408"/>
      <c r="B360" s="408"/>
      <c r="C360" s="408"/>
      <c r="D360" s="408"/>
      <c r="E360" s="408"/>
      <c r="F360" s="408"/>
      <c r="G360" s="408"/>
      <c r="H360" s="408"/>
      <c r="I360" s="408"/>
      <c r="J360" s="408"/>
      <c r="K360" s="408"/>
      <c r="L360" s="408"/>
      <c r="M360" s="408"/>
      <c r="N360" s="408"/>
      <c r="O360" s="408"/>
      <c r="P360" s="408"/>
      <c r="Q360" s="408"/>
      <c r="R360" s="408"/>
      <c r="S360" s="408"/>
      <c r="T360" s="408"/>
      <c r="U360" s="408"/>
      <c r="V360" s="408"/>
      <c r="W360" s="408"/>
      <c r="X360" s="408"/>
      <c r="Y360" s="408"/>
      <c r="Z360" s="408"/>
    </row>
    <row r="361" ht="14.25" customHeight="1">
      <c r="A361" s="408"/>
      <c r="B361" s="408"/>
      <c r="C361" s="408"/>
      <c r="D361" s="408"/>
      <c r="E361" s="408"/>
      <c r="F361" s="408"/>
      <c r="G361" s="408"/>
      <c r="H361" s="408"/>
      <c r="I361" s="408"/>
      <c r="J361" s="408"/>
      <c r="K361" s="408"/>
      <c r="L361" s="408"/>
      <c r="M361" s="408"/>
      <c r="N361" s="408"/>
      <c r="O361" s="408"/>
      <c r="P361" s="408"/>
      <c r="Q361" s="408"/>
      <c r="R361" s="408"/>
      <c r="S361" s="408"/>
      <c r="T361" s="408"/>
      <c r="U361" s="408"/>
      <c r="V361" s="408"/>
      <c r="W361" s="408"/>
      <c r="X361" s="408"/>
      <c r="Y361" s="408"/>
      <c r="Z361" s="408"/>
    </row>
    <row r="362" ht="14.25" customHeight="1">
      <c r="A362" s="408"/>
      <c r="B362" s="408"/>
      <c r="C362" s="408"/>
      <c r="D362" s="408"/>
      <c r="E362" s="408"/>
      <c r="F362" s="408"/>
      <c r="G362" s="408"/>
      <c r="H362" s="408"/>
      <c r="I362" s="408"/>
      <c r="J362" s="408"/>
      <c r="K362" s="408"/>
      <c r="L362" s="408"/>
      <c r="M362" s="408"/>
      <c r="N362" s="408"/>
      <c r="O362" s="408"/>
      <c r="P362" s="408"/>
      <c r="Q362" s="408"/>
      <c r="R362" s="408"/>
      <c r="S362" s="408"/>
      <c r="T362" s="408"/>
      <c r="U362" s="408"/>
      <c r="V362" s="408"/>
      <c r="W362" s="408"/>
      <c r="X362" s="408"/>
      <c r="Y362" s="408"/>
      <c r="Z362" s="408"/>
    </row>
    <row r="363" ht="14.25" customHeight="1">
      <c r="A363" s="408"/>
      <c r="B363" s="408"/>
      <c r="C363" s="408"/>
      <c r="D363" s="408"/>
      <c r="E363" s="408"/>
      <c r="F363" s="408"/>
      <c r="G363" s="408"/>
      <c r="H363" s="408"/>
      <c r="I363" s="408"/>
      <c r="J363" s="408"/>
      <c r="K363" s="408"/>
      <c r="L363" s="408"/>
      <c r="M363" s="408"/>
      <c r="N363" s="408"/>
      <c r="O363" s="408"/>
      <c r="P363" s="408"/>
      <c r="Q363" s="408"/>
      <c r="R363" s="408"/>
      <c r="S363" s="408"/>
      <c r="T363" s="408"/>
      <c r="U363" s="408"/>
      <c r="V363" s="408"/>
      <c r="W363" s="408"/>
      <c r="X363" s="408"/>
      <c r="Y363" s="408"/>
      <c r="Z363" s="408"/>
    </row>
    <row r="364" ht="14.25" customHeight="1">
      <c r="A364" s="408"/>
      <c r="B364" s="408"/>
      <c r="C364" s="408"/>
      <c r="D364" s="408"/>
      <c r="E364" s="408"/>
      <c r="F364" s="408"/>
      <c r="G364" s="408"/>
      <c r="H364" s="408"/>
      <c r="I364" s="408"/>
      <c r="J364" s="408"/>
      <c r="K364" s="408"/>
      <c r="L364" s="408"/>
      <c r="M364" s="408"/>
      <c r="N364" s="408"/>
      <c r="O364" s="408"/>
      <c r="P364" s="408"/>
      <c r="Q364" s="408"/>
      <c r="R364" s="408"/>
      <c r="S364" s="408"/>
      <c r="T364" s="408"/>
      <c r="U364" s="408"/>
      <c r="V364" s="408"/>
      <c r="W364" s="408"/>
      <c r="X364" s="408"/>
      <c r="Y364" s="408"/>
      <c r="Z364" s="408"/>
    </row>
    <row r="365" ht="14.25" customHeight="1">
      <c r="A365" s="408"/>
      <c r="B365" s="408"/>
      <c r="C365" s="408"/>
      <c r="D365" s="408"/>
      <c r="E365" s="408"/>
      <c r="F365" s="408"/>
      <c r="G365" s="408"/>
      <c r="H365" s="408"/>
      <c r="I365" s="408"/>
      <c r="J365" s="408"/>
      <c r="K365" s="408"/>
      <c r="L365" s="408"/>
      <c r="M365" s="408"/>
      <c r="N365" s="408"/>
      <c r="O365" s="408"/>
      <c r="P365" s="408"/>
      <c r="Q365" s="408"/>
      <c r="R365" s="408"/>
      <c r="S365" s="408"/>
      <c r="T365" s="408"/>
      <c r="U365" s="408"/>
      <c r="V365" s="408"/>
      <c r="W365" s="408"/>
      <c r="X365" s="408"/>
      <c r="Y365" s="408"/>
      <c r="Z365" s="408"/>
    </row>
    <row r="366" ht="14.25" customHeight="1">
      <c r="A366" s="408"/>
      <c r="B366" s="408"/>
      <c r="C366" s="408"/>
      <c r="D366" s="408"/>
      <c r="E366" s="408"/>
      <c r="F366" s="408"/>
      <c r="G366" s="408"/>
      <c r="H366" s="408"/>
      <c r="I366" s="408"/>
      <c r="J366" s="408"/>
      <c r="K366" s="408"/>
      <c r="L366" s="408"/>
      <c r="M366" s="408"/>
      <c r="N366" s="408"/>
      <c r="O366" s="408"/>
      <c r="P366" s="408"/>
      <c r="Q366" s="408"/>
      <c r="R366" s="408"/>
      <c r="S366" s="408"/>
      <c r="T366" s="408"/>
      <c r="U366" s="408"/>
      <c r="V366" s="408"/>
      <c r="W366" s="408"/>
      <c r="X366" s="408"/>
      <c r="Y366" s="408"/>
      <c r="Z366" s="408"/>
    </row>
    <row r="367" ht="14.25" customHeight="1">
      <c r="A367" s="408"/>
      <c r="B367" s="408"/>
      <c r="C367" s="408"/>
      <c r="D367" s="408"/>
      <c r="E367" s="408"/>
      <c r="F367" s="408"/>
      <c r="G367" s="408"/>
      <c r="H367" s="408"/>
      <c r="I367" s="408"/>
      <c r="J367" s="408"/>
      <c r="K367" s="408"/>
      <c r="L367" s="408"/>
      <c r="M367" s="408"/>
      <c r="N367" s="408"/>
      <c r="O367" s="408"/>
      <c r="P367" s="408"/>
      <c r="Q367" s="408"/>
      <c r="R367" s="408"/>
      <c r="S367" s="408"/>
      <c r="T367" s="408"/>
      <c r="U367" s="408"/>
      <c r="V367" s="408"/>
      <c r="W367" s="408"/>
      <c r="X367" s="408"/>
      <c r="Y367" s="408"/>
      <c r="Z367" s="408"/>
    </row>
    <row r="368" ht="14.25" customHeight="1">
      <c r="A368" s="408"/>
      <c r="B368" s="408"/>
      <c r="C368" s="408"/>
      <c r="D368" s="408"/>
      <c r="E368" s="408"/>
      <c r="F368" s="408"/>
      <c r="G368" s="408"/>
      <c r="H368" s="408"/>
      <c r="I368" s="408"/>
      <c r="J368" s="408"/>
      <c r="K368" s="408"/>
      <c r="L368" s="408"/>
      <c r="M368" s="408"/>
      <c r="N368" s="408"/>
      <c r="O368" s="408"/>
      <c r="P368" s="408"/>
      <c r="Q368" s="408"/>
      <c r="R368" s="408"/>
      <c r="S368" s="408"/>
      <c r="T368" s="408"/>
      <c r="U368" s="408"/>
      <c r="V368" s="408"/>
      <c r="W368" s="408"/>
      <c r="X368" s="408"/>
      <c r="Y368" s="408"/>
      <c r="Z368" s="408"/>
    </row>
    <row r="369" ht="14.25" customHeight="1">
      <c r="A369" s="408"/>
      <c r="B369" s="408"/>
      <c r="C369" s="408"/>
      <c r="D369" s="408"/>
      <c r="E369" s="408"/>
      <c r="F369" s="408"/>
      <c r="G369" s="408"/>
      <c r="H369" s="408"/>
      <c r="I369" s="408"/>
      <c r="J369" s="408"/>
      <c r="K369" s="408"/>
      <c r="L369" s="408"/>
      <c r="M369" s="408"/>
      <c r="N369" s="408"/>
      <c r="O369" s="408"/>
      <c r="P369" s="408"/>
      <c r="Q369" s="408"/>
      <c r="R369" s="408"/>
      <c r="S369" s="408"/>
      <c r="T369" s="408"/>
      <c r="U369" s="408"/>
      <c r="V369" s="408"/>
      <c r="W369" s="408"/>
      <c r="X369" s="408"/>
      <c r="Y369" s="408"/>
      <c r="Z369" s="408"/>
    </row>
    <row r="370" ht="14.25" customHeight="1">
      <c r="A370" s="408"/>
      <c r="B370" s="408"/>
      <c r="C370" s="408"/>
      <c r="D370" s="408"/>
      <c r="E370" s="408"/>
      <c r="F370" s="408"/>
      <c r="G370" s="408"/>
      <c r="H370" s="408"/>
      <c r="I370" s="408"/>
      <c r="J370" s="408"/>
      <c r="K370" s="408"/>
      <c r="L370" s="408"/>
      <c r="M370" s="408"/>
      <c r="N370" s="408"/>
      <c r="O370" s="408"/>
      <c r="P370" s="408"/>
      <c r="Q370" s="408"/>
      <c r="R370" s="408"/>
      <c r="S370" s="408"/>
      <c r="T370" s="408"/>
      <c r="U370" s="408"/>
      <c r="V370" s="408"/>
      <c r="W370" s="408"/>
      <c r="X370" s="408"/>
      <c r="Y370" s="408"/>
      <c r="Z370" s="408"/>
    </row>
    <row r="371" ht="14.25" customHeight="1">
      <c r="A371" s="408"/>
      <c r="B371" s="408"/>
      <c r="C371" s="408"/>
      <c r="D371" s="408"/>
      <c r="E371" s="408"/>
      <c r="F371" s="408"/>
      <c r="G371" s="408"/>
      <c r="H371" s="408"/>
      <c r="I371" s="408"/>
      <c r="J371" s="408"/>
      <c r="K371" s="408"/>
      <c r="L371" s="408"/>
      <c r="M371" s="408"/>
      <c r="N371" s="408"/>
      <c r="O371" s="408"/>
      <c r="P371" s="408"/>
      <c r="Q371" s="408"/>
      <c r="R371" s="408"/>
      <c r="S371" s="408"/>
      <c r="T371" s="408"/>
      <c r="U371" s="408"/>
      <c r="V371" s="408"/>
      <c r="W371" s="408"/>
      <c r="X371" s="408"/>
      <c r="Y371" s="408"/>
      <c r="Z371" s="408"/>
    </row>
    <row r="372" ht="14.25" customHeight="1">
      <c r="A372" s="408"/>
      <c r="B372" s="408"/>
      <c r="C372" s="408"/>
      <c r="D372" s="408"/>
      <c r="E372" s="408"/>
      <c r="F372" s="408"/>
      <c r="G372" s="408"/>
      <c r="H372" s="408"/>
      <c r="I372" s="408"/>
      <c r="J372" s="408"/>
      <c r="K372" s="408"/>
      <c r="L372" s="408"/>
      <c r="M372" s="408"/>
      <c r="N372" s="408"/>
      <c r="O372" s="408"/>
      <c r="P372" s="408"/>
      <c r="Q372" s="408"/>
      <c r="R372" s="408"/>
      <c r="S372" s="408"/>
      <c r="T372" s="408"/>
      <c r="U372" s="408"/>
      <c r="V372" s="408"/>
      <c r="W372" s="408"/>
      <c r="X372" s="408"/>
      <c r="Y372" s="408"/>
      <c r="Z372" s="408"/>
    </row>
    <row r="373" ht="14.25" customHeight="1">
      <c r="A373" s="408"/>
      <c r="B373" s="408"/>
      <c r="C373" s="408"/>
      <c r="D373" s="408"/>
      <c r="E373" s="408"/>
      <c r="F373" s="408"/>
      <c r="G373" s="408"/>
      <c r="H373" s="408"/>
      <c r="I373" s="408"/>
      <c r="J373" s="408"/>
      <c r="K373" s="408"/>
      <c r="L373" s="408"/>
      <c r="M373" s="408"/>
      <c r="N373" s="408"/>
      <c r="O373" s="408"/>
      <c r="P373" s="408"/>
      <c r="Q373" s="408"/>
      <c r="R373" s="408"/>
      <c r="S373" s="408"/>
      <c r="T373" s="408"/>
      <c r="U373" s="408"/>
      <c r="V373" s="408"/>
      <c r="W373" s="408"/>
      <c r="X373" s="408"/>
      <c r="Y373" s="408"/>
      <c r="Z373" s="408"/>
    </row>
    <row r="374" ht="14.25" customHeight="1">
      <c r="A374" s="408"/>
      <c r="B374" s="408"/>
      <c r="C374" s="408"/>
      <c r="D374" s="408"/>
      <c r="E374" s="408"/>
      <c r="F374" s="408"/>
      <c r="G374" s="408"/>
      <c r="H374" s="408"/>
      <c r="I374" s="408"/>
      <c r="J374" s="408"/>
      <c r="K374" s="408"/>
      <c r="L374" s="408"/>
      <c r="M374" s="408"/>
      <c r="N374" s="408"/>
      <c r="O374" s="408"/>
      <c r="P374" s="408"/>
      <c r="Q374" s="408"/>
      <c r="R374" s="408"/>
      <c r="S374" s="408"/>
      <c r="T374" s="408"/>
      <c r="U374" s="408"/>
      <c r="V374" s="408"/>
      <c r="W374" s="408"/>
      <c r="X374" s="408"/>
      <c r="Y374" s="408"/>
      <c r="Z374" s="408"/>
    </row>
    <row r="375" ht="14.25" customHeight="1">
      <c r="A375" s="408"/>
      <c r="B375" s="408"/>
      <c r="C375" s="408"/>
      <c r="D375" s="408"/>
      <c r="E375" s="408"/>
      <c r="F375" s="408"/>
      <c r="G375" s="408"/>
      <c r="H375" s="408"/>
      <c r="I375" s="408"/>
      <c r="J375" s="408"/>
      <c r="K375" s="408"/>
      <c r="L375" s="408"/>
      <c r="M375" s="408"/>
      <c r="N375" s="408"/>
      <c r="O375" s="408"/>
      <c r="P375" s="408"/>
      <c r="Q375" s="408"/>
      <c r="R375" s="408"/>
      <c r="S375" s="408"/>
      <c r="T375" s="408"/>
      <c r="U375" s="408"/>
      <c r="V375" s="408"/>
      <c r="W375" s="408"/>
      <c r="X375" s="408"/>
      <c r="Y375" s="408"/>
      <c r="Z375" s="408"/>
    </row>
    <row r="376" ht="14.25" customHeight="1">
      <c r="A376" s="408"/>
      <c r="B376" s="408"/>
      <c r="C376" s="408"/>
      <c r="D376" s="408"/>
      <c r="E376" s="408"/>
      <c r="F376" s="408"/>
      <c r="G376" s="408"/>
      <c r="H376" s="408"/>
      <c r="I376" s="408"/>
      <c r="J376" s="408"/>
      <c r="K376" s="408"/>
      <c r="L376" s="408"/>
      <c r="M376" s="408"/>
      <c r="N376" s="408"/>
      <c r="O376" s="408"/>
      <c r="P376" s="408"/>
      <c r="Q376" s="408"/>
      <c r="R376" s="408"/>
      <c r="S376" s="408"/>
      <c r="T376" s="408"/>
      <c r="U376" s="408"/>
      <c r="V376" s="408"/>
      <c r="W376" s="408"/>
      <c r="X376" s="408"/>
      <c r="Y376" s="408"/>
      <c r="Z376" s="408"/>
    </row>
    <row r="377" ht="14.25" customHeight="1">
      <c r="A377" s="408"/>
      <c r="B377" s="408"/>
      <c r="C377" s="408"/>
      <c r="D377" s="408"/>
      <c r="E377" s="408"/>
      <c r="F377" s="408"/>
      <c r="G377" s="408"/>
      <c r="H377" s="408"/>
      <c r="I377" s="408"/>
      <c r="J377" s="408"/>
      <c r="K377" s="408"/>
      <c r="L377" s="408"/>
      <c r="M377" s="408"/>
      <c r="N377" s="408"/>
      <c r="O377" s="408"/>
      <c r="P377" s="408"/>
      <c r="Q377" s="408"/>
      <c r="R377" s="408"/>
      <c r="S377" s="408"/>
      <c r="T377" s="408"/>
      <c r="U377" s="408"/>
      <c r="V377" s="408"/>
      <c r="W377" s="408"/>
      <c r="X377" s="408"/>
      <c r="Y377" s="408"/>
      <c r="Z377" s="408"/>
    </row>
    <row r="378" ht="14.25" customHeight="1">
      <c r="A378" s="408"/>
      <c r="B378" s="408"/>
      <c r="C378" s="408"/>
      <c r="D378" s="408"/>
      <c r="E378" s="408"/>
      <c r="F378" s="408"/>
      <c r="G378" s="408"/>
      <c r="H378" s="408"/>
      <c r="I378" s="408"/>
      <c r="J378" s="408"/>
      <c r="K378" s="408"/>
      <c r="L378" s="408"/>
      <c r="M378" s="408"/>
      <c r="N378" s="408"/>
      <c r="O378" s="408"/>
      <c r="P378" s="408"/>
      <c r="Q378" s="408"/>
      <c r="R378" s="408"/>
      <c r="S378" s="408"/>
      <c r="T378" s="408"/>
      <c r="U378" s="408"/>
      <c r="V378" s="408"/>
      <c r="W378" s="408"/>
      <c r="X378" s="408"/>
      <c r="Y378" s="408"/>
      <c r="Z378" s="408"/>
    </row>
    <row r="379" ht="14.25" customHeight="1">
      <c r="A379" s="408"/>
      <c r="B379" s="408"/>
      <c r="C379" s="408"/>
      <c r="D379" s="408"/>
      <c r="E379" s="408"/>
      <c r="F379" s="408"/>
      <c r="G379" s="408"/>
      <c r="H379" s="408"/>
      <c r="I379" s="408"/>
      <c r="J379" s="408"/>
      <c r="K379" s="408"/>
      <c r="L379" s="408"/>
      <c r="M379" s="408"/>
      <c r="N379" s="408"/>
      <c r="O379" s="408"/>
      <c r="P379" s="408"/>
      <c r="Q379" s="408"/>
      <c r="R379" s="408"/>
      <c r="S379" s="408"/>
      <c r="T379" s="408"/>
      <c r="U379" s="408"/>
      <c r="V379" s="408"/>
      <c r="W379" s="408"/>
      <c r="X379" s="408"/>
      <c r="Y379" s="408"/>
      <c r="Z379" s="408"/>
    </row>
    <row r="380" ht="14.25" customHeight="1">
      <c r="A380" s="408"/>
      <c r="B380" s="408"/>
      <c r="C380" s="408"/>
      <c r="D380" s="408"/>
      <c r="E380" s="408"/>
      <c r="F380" s="408"/>
      <c r="G380" s="408"/>
      <c r="H380" s="408"/>
      <c r="I380" s="408"/>
      <c r="J380" s="408"/>
      <c r="K380" s="408"/>
      <c r="L380" s="408"/>
      <c r="M380" s="408"/>
      <c r="N380" s="408"/>
      <c r="O380" s="408"/>
      <c r="P380" s="408"/>
      <c r="Q380" s="408"/>
      <c r="R380" s="408"/>
      <c r="S380" s="408"/>
      <c r="T380" s="408"/>
      <c r="U380" s="408"/>
      <c r="V380" s="408"/>
      <c r="W380" s="408"/>
      <c r="X380" s="408"/>
      <c r="Y380" s="408"/>
      <c r="Z380" s="408"/>
    </row>
    <row r="381" ht="14.25" customHeight="1">
      <c r="A381" s="408"/>
      <c r="B381" s="408"/>
      <c r="C381" s="408"/>
      <c r="D381" s="408"/>
      <c r="E381" s="408"/>
      <c r="F381" s="408"/>
      <c r="G381" s="408"/>
      <c r="H381" s="408"/>
      <c r="I381" s="408"/>
      <c r="J381" s="408"/>
      <c r="K381" s="408"/>
      <c r="L381" s="408"/>
      <c r="M381" s="408"/>
      <c r="N381" s="408"/>
      <c r="O381" s="408"/>
      <c r="P381" s="408"/>
      <c r="Q381" s="408"/>
      <c r="R381" s="408"/>
      <c r="S381" s="408"/>
      <c r="T381" s="408"/>
      <c r="U381" s="408"/>
      <c r="V381" s="408"/>
      <c r="W381" s="408"/>
      <c r="X381" s="408"/>
      <c r="Y381" s="408"/>
      <c r="Z381" s="408"/>
    </row>
    <row r="382" ht="14.25" customHeight="1">
      <c r="A382" s="408"/>
      <c r="B382" s="408"/>
      <c r="C382" s="408"/>
      <c r="D382" s="408"/>
      <c r="E382" s="408"/>
      <c r="F382" s="408"/>
      <c r="G382" s="408"/>
      <c r="H382" s="408"/>
      <c r="I382" s="408"/>
      <c r="J382" s="408"/>
      <c r="K382" s="408"/>
      <c r="L382" s="408"/>
      <c r="M382" s="408"/>
      <c r="N382" s="408"/>
      <c r="O382" s="408"/>
      <c r="P382" s="408"/>
      <c r="Q382" s="408"/>
      <c r="R382" s="408"/>
      <c r="S382" s="408"/>
      <c r="T382" s="408"/>
      <c r="U382" s="408"/>
      <c r="V382" s="408"/>
      <c r="W382" s="408"/>
      <c r="X382" s="408"/>
      <c r="Y382" s="408"/>
      <c r="Z382" s="408"/>
    </row>
    <row r="383" ht="14.25" customHeight="1">
      <c r="A383" s="408"/>
      <c r="B383" s="408"/>
      <c r="C383" s="408"/>
      <c r="D383" s="408"/>
      <c r="E383" s="408"/>
      <c r="F383" s="408"/>
      <c r="G383" s="408"/>
      <c r="H383" s="408"/>
      <c r="I383" s="408"/>
      <c r="J383" s="408"/>
      <c r="K383" s="408"/>
      <c r="L383" s="408"/>
      <c r="M383" s="408"/>
      <c r="N383" s="408"/>
      <c r="O383" s="408"/>
      <c r="P383" s="408"/>
      <c r="Q383" s="408"/>
      <c r="R383" s="408"/>
      <c r="S383" s="408"/>
      <c r="T383" s="408"/>
      <c r="U383" s="408"/>
      <c r="V383" s="408"/>
      <c r="W383" s="408"/>
      <c r="X383" s="408"/>
      <c r="Y383" s="408"/>
      <c r="Z383" s="408"/>
    </row>
    <row r="384" ht="14.25" customHeight="1">
      <c r="A384" s="408"/>
      <c r="B384" s="408"/>
      <c r="C384" s="408"/>
      <c r="D384" s="408"/>
      <c r="E384" s="408"/>
      <c r="F384" s="408"/>
      <c r="G384" s="408"/>
      <c r="H384" s="408"/>
      <c r="I384" s="408"/>
      <c r="J384" s="408"/>
      <c r="K384" s="408"/>
      <c r="L384" s="408"/>
      <c r="M384" s="408"/>
      <c r="N384" s="408"/>
      <c r="O384" s="408"/>
      <c r="P384" s="408"/>
      <c r="Q384" s="408"/>
      <c r="R384" s="408"/>
      <c r="S384" s="408"/>
      <c r="T384" s="408"/>
      <c r="U384" s="408"/>
      <c r="V384" s="408"/>
      <c r="W384" s="408"/>
      <c r="X384" s="408"/>
      <c r="Y384" s="408"/>
      <c r="Z384" s="408"/>
    </row>
    <row r="385" ht="14.25" customHeight="1">
      <c r="A385" s="408"/>
      <c r="B385" s="408"/>
      <c r="C385" s="408"/>
      <c r="D385" s="408"/>
      <c r="E385" s="408"/>
      <c r="F385" s="408"/>
      <c r="G385" s="408"/>
      <c r="H385" s="408"/>
      <c r="I385" s="408"/>
      <c r="J385" s="408"/>
      <c r="K385" s="408"/>
      <c r="L385" s="408"/>
      <c r="M385" s="408"/>
      <c r="N385" s="408"/>
      <c r="O385" s="408"/>
      <c r="P385" s="408"/>
      <c r="Q385" s="408"/>
      <c r="R385" s="408"/>
      <c r="S385" s="408"/>
      <c r="T385" s="408"/>
      <c r="U385" s="408"/>
      <c r="V385" s="408"/>
      <c r="W385" s="408"/>
      <c r="X385" s="408"/>
      <c r="Y385" s="408"/>
      <c r="Z385" s="408"/>
    </row>
    <row r="386" ht="14.25" customHeight="1">
      <c r="A386" s="408"/>
      <c r="B386" s="408"/>
      <c r="C386" s="408"/>
      <c r="D386" s="408"/>
      <c r="E386" s="408"/>
      <c r="F386" s="408"/>
      <c r="G386" s="408"/>
      <c r="H386" s="408"/>
      <c r="I386" s="408"/>
      <c r="J386" s="408"/>
      <c r="K386" s="408"/>
      <c r="L386" s="408"/>
      <c r="M386" s="408"/>
      <c r="N386" s="408"/>
      <c r="O386" s="408"/>
      <c r="P386" s="408"/>
      <c r="Q386" s="408"/>
      <c r="R386" s="408"/>
      <c r="S386" s="408"/>
      <c r="T386" s="408"/>
      <c r="U386" s="408"/>
      <c r="V386" s="408"/>
      <c r="W386" s="408"/>
      <c r="X386" s="408"/>
      <c r="Y386" s="408"/>
      <c r="Z386" s="408"/>
    </row>
    <row r="387" ht="14.25" customHeight="1">
      <c r="A387" s="408"/>
      <c r="B387" s="408"/>
      <c r="C387" s="408"/>
      <c r="D387" s="408"/>
      <c r="E387" s="408"/>
      <c r="F387" s="408"/>
      <c r="G387" s="408"/>
      <c r="H387" s="408"/>
      <c r="I387" s="408"/>
      <c r="J387" s="408"/>
      <c r="K387" s="408"/>
      <c r="L387" s="408"/>
      <c r="M387" s="408"/>
      <c r="N387" s="408"/>
      <c r="O387" s="408"/>
      <c r="P387" s="408"/>
      <c r="Q387" s="408"/>
      <c r="R387" s="408"/>
      <c r="S387" s="408"/>
      <c r="T387" s="408"/>
      <c r="U387" s="408"/>
      <c r="V387" s="408"/>
      <c r="W387" s="408"/>
      <c r="X387" s="408"/>
      <c r="Y387" s="408"/>
      <c r="Z387" s="408"/>
    </row>
    <row r="388" ht="14.25" customHeight="1">
      <c r="A388" s="408"/>
      <c r="B388" s="408"/>
      <c r="C388" s="408"/>
      <c r="D388" s="408"/>
      <c r="E388" s="408"/>
      <c r="F388" s="408"/>
      <c r="G388" s="408"/>
      <c r="H388" s="408"/>
      <c r="I388" s="408"/>
      <c r="J388" s="408"/>
      <c r="K388" s="408"/>
      <c r="L388" s="408"/>
      <c r="M388" s="408"/>
      <c r="N388" s="408"/>
      <c r="O388" s="408"/>
      <c r="P388" s="408"/>
      <c r="Q388" s="408"/>
      <c r="R388" s="408"/>
      <c r="S388" s="408"/>
      <c r="T388" s="408"/>
      <c r="U388" s="408"/>
      <c r="V388" s="408"/>
      <c r="W388" s="408"/>
      <c r="X388" s="408"/>
      <c r="Y388" s="408"/>
      <c r="Z388" s="408"/>
    </row>
    <row r="389" ht="14.25" customHeight="1">
      <c r="A389" s="408"/>
      <c r="B389" s="408"/>
      <c r="C389" s="408"/>
      <c r="D389" s="408"/>
      <c r="E389" s="408"/>
      <c r="F389" s="408"/>
      <c r="G389" s="408"/>
      <c r="H389" s="408"/>
      <c r="I389" s="408"/>
      <c r="J389" s="408"/>
      <c r="K389" s="408"/>
      <c r="L389" s="408"/>
      <c r="M389" s="408"/>
      <c r="N389" s="408"/>
      <c r="O389" s="408"/>
      <c r="P389" s="408"/>
      <c r="Q389" s="408"/>
      <c r="R389" s="408"/>
      <c r="S389" s="408"/>
      <c r="T389" s="408"/>
      <c r="U389" s="408"/>
      <c r="V389" s="408"/>
      <c r="W389" s="408"/>
      <c r="X389" s="408"/>
      <c r="Y389" s="408"/>
      <c r="Z389" s="408"/>
    </row>
    <row r="390" ht="14.25" customHeight="1">
      <c r="A390" s="408"/>
      <c r="B390" s="408"/>
      <c r="C390" s="408"/>
      <c r="D390" s="408"/>
      <c r="E390" s="408"/>
      <c r="F390" s="408"/>
      <c r="G390" s="408"/>
      <c r="H390" s="408"/>
      <c r="I390" s="408"/>
      <c r="J390" s="408"/>
      <c r="K390" s="408"/>
      <c r="L390" s="408"/>
      <c r="M390" s="408"/>
      <c r="N390" s="408"/>
      <c r="O390" s="408"/>
      <c r="P390" s="408"/>
      <c r="Q390" s="408"/>
      <c r="R390" s="408"/>
      <c r="S390" s="408"/>
      <c r="T390" s="408"/>
      <c r="U390" s="408"/>
      <c r="V390" s="408"/>
      <c r="W390" s="408"/>
      <c r="X390" s="408"/>
      <c r="Y390" s="408"/>
      <c r="Z390" s="408"/>
    </row>
    <row r="391" ht="14.25" customHeight="1">
      <c r="A391" s="408"/>
      <c r="B391" s="408"/>
      <c r="C391" s="408"/>
      <c r="D391" s="408"/>
      <c r="E391" s="408"/>
      <c r="F391" s="408"/>
      <c r="G391" s="408"/>
      <c r="H391" s="408"/>
      <c r="I391" s="408"/>
      <c r="J391" s="408"/>
      <c r="K391" s="408"/>
      <c r="L391" s="408"/>
      <c r="M391" s="408"/>
      <c r="N391" s="408"/>
      <c r="O391" s="408"/>
      <c r="P391" s="408"/>
      <c r="Q391" s="408"/>
      <c r="R391" s="408"/>
      <c r="S391" s="408"/>
      <c r="T391" s="408"/>
      <c r="U391" s="408"/>
      <c r="V391" s="408"/>
      <c r="W391" s="408"/>
      <c r="X391" s="408"/>
      <c r="Y391" s="408"/>
      <c r="Z391" s="408"/>
    </row>
    <row r="392" ht="14.25" customHeight="1">
      <c r="A392" s="408"/>
      <c r="B392" s="408"/>
      <c r="C392" s="408"/>
      <c r="D392" s="408"/>
      <c r="E392" s="408"/>
      <c r="F392" s="408"/>
      <c r="G392" s="408"/>
      <c r="H392" s="408"/>
      <c r="I392" s="408"/>
      <c r="J392" s="408"/>
      <c r="K392" s="408"/>
      <c r="L392" s="408"/>
      <c r="M392" s="408"/>
      <c r="N392" s="408"/>
      <c r="O392" s="408"/>
      <c r="P392" s="408"/>
      <c r="Q392" s="408"/>
      <c r="R392" s="408"/>
      <c r="S392" s="408"/>
      <c r="T392" s="408"/>
      <c r="U392" s="408"/>
      <c r="V392" s="408"/>
      <c r="W392" s="408"/>
      <c r="X392" s="408"/>
      <c r="Y392" s="408"/>
      <c r="Z392" s="408"/>
    </row>
    <row r="393" ht="14.25" customHeight="1">
      <c r="A393" s="408"/>
      <c r="B393" s="408"/>
      <c r="C393" s="408"/>
      <c r="D393" s="408"/>
      <c r="E393" s="408"/>
      <c r="F393" s="408"/>
      <c r="G393" s="408"/>
      <c r="H393" s="408"/>
      <c r="I393" s="408"/>
      <c r="J393" s="408"/>
      <c r="K393" s="408"/>
      <c r="L393" s="408"/>
      <c r="M393" s="408"/>
      <c r="N393" s="408"/>
      <c r="O393" s="408"/>
      <c r="P393" s="408"/>
      <c r="Q393" s="408"/>
      <c r="R393" s="408"/>
      <c r="S393" s="408"/>
      <c r="T393" s="408"/>
      <c r="U393" s="408"/>
      <c r="V393" s="408"/>
      <c r="W393" s="408"/>
      <c r="X393" s="408"/>
      <c r="Y393" s="408"/>
      <c r="Z393" s="408"/>
    </row>
    <row r="394" ht="14.25" customHeight="1">
      <c r="A394" s="408"/>
      <c r="B394" s="408"/>
      <c r="C394" s="408"/>
      <c r="D394" s="408"/>
      <c r="E394" s="408"/>
      <c r="F394" s="408"/>
      <c r="G394" s="408"/>
      <c r="H394" s="408"/>
      <c r="I394" s="408"/>
      <c r="J394" s="408"/>
      <c r="K394" s="408"/>
      <c r="L394" s="408"/>
      <c r="M394" s="408"/>
      <c r="N394" s="408"/>
      <c r="O394" s="408"/>
      <c r="P394" s="408"/>
      <c r="Q394" s="408"/>
      <c r="R394" s="408"/>
      <c r="S394" s="408"/>
      <c r="T394" s="408"/>
      <c r="U394" s="408"/>
      <c r="V394" s="408"/>
      <c r="W394" s="408"/>
      <c r="X394" s="408"/>
      <c r="Y394" s="408"/>
      <c r="Z394" s="408"/>
    </row>
    <row r="395" ht="14.25" customHeight="1">
      <c r="A395" s="408"/>
      <c r="B395" s="408"/>
      <c r="C395" s="408"/>
      <c r="D395" s="408"/>
      <c r="E395" s="408"/>
      <c r="F395" s="408"/>
      <c r="G395" s="408"/>
      <c r="H395" s="408"/>
      <c r="I395" s="408"/>
      <c r="J395" s="408"/>
      <c r="K395" s="408"/>
      <c r="L395" s="408"/>
      <c r="M395" s="408"/>
      <c r="N395" s="408"/>
      <c r="O395" s="408"/>
      <c r="P395" s="408"/>
      <c r="Q395" s="408"/>
      <c r="R395" s="408"/>
      <c r="S395" s="408"/>
      <c r="T395" s="408"/>
      <c r="U395" s="408"/>
      <c r="V395" s="408"/>
      <c r="W395" s="408"/>
      <c r="X395" s="408"/>
      <c r="Y395" s="408"/>
      <c r="Z395" s="408"/>
    </row>
    <row r="396" ht="14.25" customHeight="1">
      <c r="A396" s="408"/>
      <c r="B396" s="408"/>
      <c r="C396" s="408"/>
      <c r="D396" s="408"/>
      <c r="E396" s="408"/>
      <c r="F396" s="408"/>
      <c r="G396" s="408"/>
      <c r="H396" s="408"/>
      <c r="I396" s="408"/>
      <c r="J396" s="408"/>
      <c r="K396" s="408"/>
      <c r="L396" s="408"/>
      <c r="M396" s="408"/>
      <c r="N396" s="408"/>
      <c r="O396" s="408"/>
      <c r="P396" s="408"/>
      <c r="Q396" s="408"/>
      <c r="R396" s="408"/>
      <c r="S396" s="408"/>
      <c r="T396" s="408"/>
      <c r="U396" s="408"/>
      <c r="V396" s="408"/>
      <c r="W396" s="408"/>
      <c r="X396" s="408"/>
      <c r="Y396" s="408"/>
      <c r="Z396" s="408"/>
    </row>
    <row r="397" ht="14.25" customHeight="1">
      <c r="A397" s="408"/>
      <c r="B397" s="408"/>
      <c r="C397" s="408"/>
      <c r="D397" s="408"/>
      <c r="E397" s="408"/>
      <c r="F397" s="408"/>
      <c r="G397" s="408"/>
      <c r="H397" s="408"/>
      <c r="I397" s="408"/>
      <c r="J397" s="408"/>
      <c r="K397" s="408"/>
      <c r="L397" s="408"/>
      <c r="M397" s="408"/>
      <c r="N397" s="408"/>
      <c r="O397" s="408"/>
      <c r="P397" s="408"/>
      <c r="Q397" s="408"/>
      <c r="R397" s="408"/>
      <c r="S397" s="408"/>
      <c r="T397" s="408"/>
      <c r="U397" s="408"/>
      <c r="V397" s="408"/>
      <c r="W397" s="408"/>
      <c r="X397" s="408"/>
      <c r="Y397" s="408"/>
      <c r="Z397" s="408"/>
    </row>
    <row r="398" ht="14.25" customHeight="1">
      <c r="A398" s="408"/>
      <c r="B398" s="408"/>
      <c r="C398" s="408"/>
      <c r="D398" s="408"/>
      <c r="E398" s="408"/>
      <c r="F398" s="408"/>
      <c r="G398" s="408"/>
      <c r="H398" s="408"/>
      <c r="I398" s="408"/>
      <c r="J398" s="408"/>
      <c r="K398" s="408"/>
      <c r="L398" s="408"/>
      <c r="M398" s="408"/>
      <c r="N398" s="408"/>
      <c r="O398" s="408"/>
      <c r="P398" s="408"/>
      <c r="Q398" s="408"/>
      <c r="R398" s="408"/>
      <c r="S398" s="408"/>
      <c r="T398" s="408"/>
      <c r="U398" s="408"/>
      <c r="V398" s="408"/>
      <c r="W398" s="408"/>
      <c r="X398" s="408"/>
      <c r="Y398" s="408"/>
      <c r="Z398" s="408"/>
    </row>
    <row r="399" ht="14.25" customHeight="1">
      <c r="A399" s="408"/>
      <c r="B399" s="408"/>
      <c r="C399" s="408"/>
      <c r="D399" s="408"/>
      <c r="E399" s="408"/>
      <c r="F399" s="408"/>
      <c r="G399" s="408"/>
      <c r="H399" s="408"/>
      <c r="I399" s="408"/>
      <c r="J399" s="408"/>
      <c r="K399" s="408"/>
      <c r="L399" s="408"/>
      <c r="M399" s="408"/>
      <c r="N399" s="408"/>
      <c r="O399" s="408"/>
      <c r="P399" s="408"/>
      <c r="Q399" s="408"/>
      <c r="R399" s="408"/>
      <c r="S399" s="408"/>
      <c r="T399" s="408"/>
      <c r="U399" s="408"/>
      <c r="V399" s="408"/>
      <c r="W399" s="408"/>
      <c r="X399" s="408"/>
      <c r="Y399" s="408"/>
      <c r="Z399" s="408"/>
    </row>
    <row r="400" ht="14.25" customHeight="1">
      <c r="A400" s="408"/>
      <c r="B400" s="408"/>
      <c r="C400" s="408"/>
      <c r="D400" s="408"/>
      <c r="E400" s="408"/>
      <c r="F400" s="408"/>
      <c r="G400" s="408"/>
      <c r="H400" s="408"/>
      <c r="I400" s="408"/>
      <c r="J400" s="408"/>
      <c r="K400" s="408"/>
      <c r="L400" s="408"/>
      <c r="M400" s="408"/>
      <c r="N400" s="408"/>
      <c r="O400" s="408"/>
      <c r="P400" s="408"/>
      <c r="Q400" s="408"/>
      <c r="R400" s="408"/>
      <c r="S400" s="408"/>
      <c r="T400" s="408"/>
      <c r="U400" s="408"/>
      <c r="V400" s="408"/>
      <c r="W400" s="408"/>
      <c r="X400" s="408"/>
      <c r="Y400" s="408"/>
      <c r="Z400" s="408"/>
    </row>
    <row r="401" ht="14.25" customHeight="1">
      <c r="A401" s="408"/>
      <c r="B401" s="408"/>
      <c r="C401" s="408"/>
      <c r="D401" s="408"/>
      <c r="E401" s="408"/>
      <c r="F401" s="408"/>
      <c r="G401" s="408"/>
      <c r="H401" s="408"/>
      <c r="I401" s="408"/>
      <c r="J401" s="408"/>
      <c r="K401" s="408"/>
      <c r="L401" s="408"/>
      <c r="M401" s="408"/>
      <c r="N401" s="408"/>
      <c r="O401" s="408"/>
      <c r="P401" s="408"/>
      <c r="Q401" s="408"/>
      <c r="R401" s="408"/>
      <c r="S401" s="408"/>
      <c r="T401" s="408"/>
      <c r="U401" s="408"/>
      <c r="V401" s="408"/>
      <c r="W401" s="408"/>
      <c r="X401" s="408"/>
      <c r="Y401" s="408"/>
      <c r="Z401" s="408"/>
    </row>
    <row r="402" ht="14.25" customHeight="1">
      <c r="A402" s="408"/>
      <c r="B402" s="408"/>
      <c r="C402" s="408"/>
      <c r="D402" s="408"/>
      <c r="E402" s="408"/>
      <c r="F402" s="408"/>
      <c r="G402" s="408"/>
      <c r="H402" s="408"/>
      <c r="I402" s="408"/>
      <c r="J402" s="408"/>
      <c r="K402" s="408"/>
      <c r="L402" s="408"/>
      <c r="M402" s="408"/>
      <c r="N402" s="408"/>
      <c r="O402" s="408"/>
      <c r="P402" s="408"/>
      <c r="Q402" s="408"/>
      <c r="R402" s="408"/>
      <c r="S402" s="408"/>
      <c r="T402" s="408"/>
      <c r="U402" s="408"/>
      <c r="V402" s="408"/>
      <c r="W402" s="408"/>
      <c r="X402" s="408"/>
      <c r="Y402" s="408"/>
      <c r="Z402" s="408"/>
    </row>
    <row r="403" ht="14.25" customHeight="1">
      <c r="A403" s="408"/>
      <c r="B403" s="408"/>
      <c r="C403" s="408"/>
      <c r="D403" s="408"/>
      <c r="E403" s="408"/>
      <c r="F403" s="408"/>
      <c r="G403" s="408"/>
      <c r="H403" s="408"/>
      <c r="I403" s="408"/>
      <c r="J403" s="408"/>
      <c r="K403" s="408"/>
      <c r="L403" s="408"/>
      <c r="M403" s="408"/>
      <c r="N403" s="408"/>
      <c r="O403" s="408"/>
      <c r="P403" s="408"/>
      <c r="Q403" s="408"/>
      <c r="R403" s="408"/>
      <c r="S403" s="408"/>
      <c r="T403" s="408"/>
      <c r="U403" s="408"/>
      <c r="V403" s="408"/>
      <c r="W403" s="408"/>
      <c r="X403" s="408"/>
      <c r="Y403" s="408"/>
      <c r="Z403" s="408"/>
    </row>
    <row r="404" ht="14.25" customHeight="1">
      <c r="A404" s="408"/>
      <c r="B404" s="408"/>
      <c r="C404" s="408"/>
      <c r="D404" s="408"/>
      <c r="E404" s="408"/>
      <c r="F404" s="408"/>
      <c r="G404" s="408"/>
      <c r="H404" s="408"/>
      <c r="I404" s="408"/>
      <c r="J404" s="408"/>
      <c r="K404" s="408"/>
      <c r="L404" s="408"/>
      <c r="M404" s="408"/>
      <c r="N404" s="408"/>
      <c r="O404" s="408"/>
      <c r="P404" s="408"/>
      <c r="Q404" s="408"/>
      <c r="R404" s="408"/>
      <c r="S404" s="408"/>
      <c r="T404" s="408"/>
      <c r="U404" s="408"/>
      <c r="V404" s="408"/>
      <c r="W404" s="408"/>
      <c r="X404" s="408"/>
      <c r="Y404" s="408"/>
      <c r="Z404" s="408"/>
    </row>
    <row r="405" ht="14.25" customHeight="1">
      <c r="A405" s="408"/>
      <c r="B405" s="408"/>
      <c r="C405" s="408"/>
      <c r="D405" s="408"/>
      <c r="E405" s="408"/>
      <c r="F405" s="408"/>
      <c r="G405" s="408"/>
      <c r="H405" s="408"/>
      <c r="I405" s="408"/>
      <c r="J405" s="408"/>
      <c r="K405" s="408"/>
      <c r="L405" s="408"/>
      <c r="M405" s="408"/>
      <c r="N405" s="408"/>
      <c r="O405" s="408"/>
      <c r="P405" s="408"/>
      <c r="Q405" s="408"/>
      <c r="R405" s="408"/>
      <c r="S405" s="408"/>
      <c r="T405" s="408"/>
      <c r="U405" s="408"/>
      <c r="V405" s="408"/>
      <c r="W405" s="408"/>
      <c r="X405" s="408"/>
      <c r="Y405" s="408"/>
      <c r="Z405" s="408"/>
    </row>
    <row r="406" ht="14.25" customHeight="1">
      <c r="A406" s="408"/>
      <c r="B406" s="408"/>
      <c r="C406" s="408"/>
      <c r="D406" s="408"/>
      <c r="E406" s="408"/>
      <c r="F406" s="408"/>
      <c r="G406" s="408"/>
      <c r="H406" s="408"/>
      <c r="I406" s="408"/>
      <c r="J406" s="408"/>
      <c r="K406" s="408"/>
      <c r="L406" s="408"/>
      <c r="M406" s="408"/>
      <c r="N406" s="408"/>
      <c r="O406" s="408"/>
      <c r="P406" s="408"/>
      <c r="Q406" s="408"/>
      <c r="R406" s="408"/>
      <c r="S406" s="408"/>
      <c r="T406" s="408"/>
      <c r="U406" s="408"/>
      <c r="V406" s="408"/>
      <c r="W406" s="408"/>
      <c r="X406" s="408"/>
      <c r="Y406" s="408"/>
      <c r="Z406" s="408"/>
    </row>
    <row r="407" ht="14.25" customHeight="1">
      <c r="A407" s="408"/>
      <c r="B407" s="408"/>
      <c r="C407" s="408"/>
      <c r="D407" s="408"/>
      <c r="E407" s="408"/>
      <c r="F407" s="408"/>
      <c r="G407" s="408"/>
      <c r="H407" s="408"/>
      <c r="I407" s="408"/>
      <c r="J407" s="408"/>
      <c r="K407" s="408"/>
      <c r="L407" s="408"/>
      <c r="M407" s="408"/>
      <c r="N407" s="408"/>
      <c r="O407" s="408"/>
      <c r="P407" s="408"/>
      <c r="Q407" s="408"/>
      <c r="R407" s="408"/>
      <c r="S407" s="408"/>
      <c r="T407" s="408"/>
      <c r="U407" s="408"/>
      <c r="V407" s="408"/>
      <c r="W407" s="408"/>
      <c r="X407" s="408"/>
      <c r="Y407" s="408"/>
      <c r="Z407" s="408"/>
    </row>
    <row r="408" ht="14.25" customHeight="1">
      <c r="A408" s="408"/>
      <c r="B408" s="408"/>
      <c r="C408" s="408"/>
      <c r="D408" s="408"/>
      <c r="E408" s="408"/>
      <c r="F408" s="408"/>
      <c r="G408" s="408"/>
      <c r="H408" s="408"/>
      <c r="I408" s="408"/>
      <c r="J408" s="408"/>
      <c r="K408" s="408"/>
      <c r="L408" s="408"/>
      <c r="M408" s="408"/>
      <c r="N408" s="408"/>
      <c r="O408" s="408"/>
      <c r="P408" s="408"/>
      <c r="Q408" s="408"/>
      <c r="R408" s="408"/>
      <c r="S408" s="408"/>
      <c r="T408" s="408"/>
      <c r="U408" s="408"/>
      <c r="V408" s="408"/>
      <c r="W408" s="408"/>
      <c r="X408" s="408"/>
      <c r="Y408" s="408"/>
      <c r="Z408" s="408"/>
    </row>
    <row r="409" ht="14.25" customHeight="1">
      <c r="A409" s="408"/>
      <c r="B409" s="408"/>
      <c r="C409" s="408"/>
      <c r="D409" s="408"/>
      <c r="E409" s="408"/>
      <c r="F409" s="408"/>
      <c r="G409" s="408"/>
      <c r="H409" s="408"/>
      <c r="I409" s="408"/>
      <c r="J409" s="408"/>
      <c r="K409" s="408"/>
      <c r="L409" s="408"/>
      <c r="M409" s="408"/>
      <c r="N409" s="408"/>
      <c r="O409" s="408"/>
      <c r="P409" s="408"/>
      <c r="Q409" s="408"/>
      <c r="R409" s="408"/>
      <c r="S409" s="408"/>
      <c r="T409" s="408"/>
      <c r="U409" s="408"/>
      <c r="V409" s="408"/>
      <c r="W409" s="408"/>
      <c r="X409" s="408"/>
      <c r="Y409" s="408"/>
      <c r="Z409" s="408"/>
    </row>
    <row r="410" ht="14.25" customHeight="1">
      <c r="A410" s="408"/>
      <c r="B410" s="408"/>
      <c r="C410" s="408"/>
      <c r="D410" s="408"/>
      <c r="E410" s="408"/>
      <c r="F410" s="408"/>
      <c r="G410" s="408"/>
      <c r="H410" s="408"/>
      <c r="I410" s="408"/>
      <c r="J410" s="408"/>
      <c r="K410" s="408"/>
      <c r="L410" s="408"/>
      <c r="M410" s="408"/>
      <c r="N410" s="408"/>
      <c r="O410" s="408"/>
      <c r="P410" s="408"/>
      <c r="Q410" s="408"/>
      <c r="R410" s="408"/>
      <c r="S410" s="408"/>
      <c r="T410" s="408"/>
      <c r="U410" s="408"/>
      <c r="V410" s="408"/>
      <c r="W410" s="408"/>
      <c r="X410" s="408"/>
      <c r="Y410" s="408"/>
      <c r="Z410" s="408"/>
    </row>
    <row r="411" ht="14.25" customHeight="1">
      <c r="A411" s="408"/>
      <c r="B411" s="408"/>
      <c r="C411" s="408"/>
      <c r="D411" s="408"/>
      <c r="E411" s="408"/>
      <c r="F411" s="408"/>
      <c r="G411" s="408"/>
      <c r="H411" s="408"/>
      <c r="I411" s="408"/>
      <c r="J411" s="408"/>
      <c r="K411" s="408"/>
      <c r="L411" s="408"/>
      <c r="M411" s="408"/>
      <c r="N411" s="408"/>
      <c r="O411" s="408"/>
      <c r="P411" s="408"/>
      <c r="Q411" s="408"/>
      <c r="R411" s="408"/>
      <c r="S411" s="408"/>
      <c r="T411" s="408"/>
      <c r="U411" s="408"/>
      <c r="V411" s="408"/>
      <c r="W411" s="408"/>
      <c r="X411" s="408"/>
      <c r="Y411" s="408"/>
      <c r="Z411" s="408"/>
    </row>
    <row r="412" ht="14.25" customHeight="1">
      <c r="A412" s="408"/>
      <c r="B412" s="408"/>
      <c r="C412" s="408"/>
      <c r="D412" s="408"/>
      <c r="E412" s="408"/>
      <c r="F412" s="408"/>
      <c r="G412" s="408"/>
      <c r="H412" s="408"/>
      <c r="I412" s="408"/>
      <c r="J412" s="408"/>
      <c r="K412" s="408"/>
      <c r="L412" s="408"/>
      <c r="M412" s="408"/>
      <c r="N412" s="408"/>
      <c r="O412" s="408"/>
      <c r="P412" s="408"/>
      <c r="Q412" s="408"/>
      <c r="R412" s="408"/>
      <c r="S412" s="408"/>
      <c r="T412" s="408"/>
      <c r="U412" s="408"/>
      <c r="V412" s="408"/>
      <c r="W412" s="408"/>
      <c r="X412" s="408"/>
      <c r="Y412" s="408"/>
      <c r="Z412" s="408"/>
    </row>
    <row r="413" ht="14.25" customHeight="1">
      <c r="A413" s="408"/>
      <c r="B413" s="408"/>
      <c r="C413" s="408"/>
      <c r="D413" s="408"/>
      <c r="E413" s="408"/>
      <c r="F413" s="408"/>
      <c r="G413" s="408"/>
      <c r="H413" s="408"/>
      <c r="I413" s="408"/>
      <c r="J413" s="408"/>
      <c r="K413" s="408"/>
      <c r="L413" s="408"/>
      <c r="M413" s="408"/>
      <c r="N413" s="408"/>
      <c r="O413" s="408"/>
      <c r="P413" s="408"/>
      <c r="Q413" s="408"/>
      <c r="R413" s="408"/>
      <c r="S413" s="408"/>
      <c r="T413" s="408"/>
      <c r="U413" s="408"/>
      <c r="V413" s="408"/>
      <c r="W413" s="408"/>
      <c r="X413" s="408"/>
      <c r="Y413" s="408"/>
      <c r="Z413" s="408"/>
    </row>
    <row r="414" ht="14.25" customHeight="1">
      <c r="A414" s="408"/>
      <c r="B414" s="408"/>
      <c r="C414" s="408"/>
      <c r="D414" s="408"/>
      <c r="E414" s="408"/>
      <c r="F414" s="408"/>
      <c r="G414" s="408"/>
      <c r="H414" s="408"/>
      <c r="I414" s="408"/>
      <c r="J414" s="408"/>
      <c r="K414" s="408"/>
      <c r="L414" s="408"/>
      <c r="M414" s="408"/>
      <c r="N414" s="408"/>
      <c r="O414" s="408"/>
      <c r="P414" s="408"/>
      <c r="Q414" s="408"/>
      <c r="R414" s="408"/>
      <c r="S414" s="408"/>
      <c r="T414" s="408"/>
      <c r="U414" s="408"/>
      <c r="V414" s="408"/>
      <c r="W414" s="408"/>
      <c r="X414" s="408"/>
      <c r="Y414" s="408"/>
      <c r="Z414" s="408"/>
    </row>
    <row r="415" ht="14.25" customHeight="1">
      <c r="A415" s="408"/>
      <c r="B415" s="408"/>
      <c r="C415" s="408"/>
      <c r="D415" s="408"/>
      <c r="E415" s="408"/>
      <c r="F415" s="408"/>
      <c r="G415" s="408"/>
      <c r="H415" s="408"/>
      <c r="I415" s="408"/>
      <c r="J415" s="408"/>
      <c r="K415" s="408"/>
      <c r="L415" s="408"/>
      <c r="M415" s="408"/>
      <c r="N415" s="408"/>
      <c r="O415" s="408"/>
      <c r="P415" s="408"/>
      <c r="Q415" s="408"/>
      <c r="R415" s="408"/>
      <c r="S415" s="408"/>
      <c r="T415" s="408"/>
      <c r="U415" s="408"/>
      <c r="V415" s="408"/>
      <c r="W415" s="408"/>
      <c r="X415" s="408"/>
      <c r="Y415" s="408"/>
      <c r="Z415" s="408"/>
    </row>
    <row r="416" ht="14.25" customHeight="1">
      <c r="A416" s="408"/>
      <c r="B416" s="408"/>
      <c r="C416" s="408"/>
      <c r="D416" s="408"/>
      <c r="E416" s="408"/>
      <c r="F416" s="408"/>
      <c r="G416" s="408"/>
      <c r="H416" s="408"/>
      <c r="I416" s="408"/>
      <c r="J416" s="408"/>
      <c r="K416" s="408"/>
      <c r="L416" s="408"/>
      <c r="M416" s="408"/>
      <c r="N416" s="408"/>
      <c r="O416" s="408"/>
      <c r="P416" s="408"/>
      <c r="Q416" s="408"/>
      <c r="R416" s="408"/>
      <c r="S416" s="408"/>
      <c r="T416" s="408"/>
      <c r="U416" s="408"/>
      <c r="V416" s="408"/>
      <c r="W416" s="408"/>
      <c r="X416" s="408"/>
      <c r="Y416" s="408"/>
      <c r="Z416" s="408"/>
    </row>
    <row r="417" ht="14.25" customHeight="1">
      <c r="A417" s="408"/>
      <c r="B417" s="408"/>
      <c r="C417" s="408"/>
      <c r="D417" s="408"/>
      <c r="E417" s="408"/>
      <c r="F417" s="408"/>
      <c r="G417" s="408"/>
      <c r="H417" s="408"/>
      <c r="I417" s="408"/>
      <c r="J417" s="408"/>
      <c r="K417" s="408"/>
      <c r="L417" s="408"/>
      <c r="M417" s="408"/>
      <c r="N417" s="408"/>
      <c r="O417" s="408"/>
      <c r="P417" s="408"/>
      <c r="Q417" s="408"/>
      <c r="R417" s="408"/>
      <c r="S417" s="408"/>
      <c r="T417" s="408"/>
      <c r="U417" s="408"/>
      <c r="V417" s="408"/>
      <c r="W417" s="408"/>
      <c r="X417" s="408"/>
      <c r="Y417" s="408"/>
      <c r="Z417" s="408"/>
    </row>
    <row r="418" ht="14.25" customHeight="1">
      <c r="A418" s="408"/>
      <c r="B418" s="408"/>
      <c r="C418" s="408"/>
      <c r="D418" s="408"/>
      <c r="E418" s="408"/>
      <c r="F418" s="408"/>
      <c r="G418" s="408"/>
      <c r="H418" s="408"/>
      <c r="I418" s="408"/>
      <c r="J418" s="408"/>
      <c r="K418" s="408"/>
      <c r="L418" s="408"/>
      <c r="M418" s="408"/>
      <c r="N418" s="408"/>
      <c r="O418" s="408"/>
      <c r="P418" s="408"/>
      <c r="Q418" s="408"/>
      <c r="R418" s="408"/>
      <c r="S418" s="408"/>
      <c r="T418" s="408"/>
      <c r="U418" s="408"/>
      <c r="V418" s="408"/>
      <c r="W418" s="408"/>
      <c r="X418" s="408"/>
      <c r="Y418" s="408"/>
      <c r="Z418" s="408"/>
    </row>
    <row r="419" ht="14.25" customHeight="1">
      <c r="A419" s="408"/>
      <c r="B419" s="408"/>
      <c r="C419" s="408"/>
      <c r="D419" s="408"/>
      <c r="E419" s="408"/>
      <c r="F419" s="408"/>
      <c r="G419" s="408"/>
      <c r="H419" s="408"/>
      <c r="I419" s="408"/>
      <c r="J419" s="408"/>
      <c r="K419" s="408"/>
      <c r="L419" s="408"/>
      <c r="M419" s="408"/>
      <c r="N419" s="408"/>
      <c r="O419" s="408"/>
      <c r="P419" s="408"/>
      <c r="Q419" s="408"/>
      <c r="R419" s="408"/>
      <c r="S419" s="408"/>
      <c r="T419" s="408"/>
      <c r="U419" s="408"/>
      <c r="V419" s="408"/>
      <c r="W419" s="408"/>
      <c r="X419" s="408"/>
      <c r="Y419" s="408"/>
      <c r="Z419" s="408"/>
    </row>
    <row r="420" ht="14.25" customHeight="1">
      <c r="A420" s="408"/>
      <c r="B420" s="408"/>
      <c r="C420" s="408"/>
      <c r="D420" s="408"/>
      <c r="E420" s="408"/>
      <c r="F420" s="408"/>
      <c r="G420" s="408"/>
      <c r="H420" s="408"/>
      <c r="I420" s="408"/>
      <c r="J420" s="408"/>
      <c r="K420" s="408"/>
      <c r="L420" s="408"/>
      <c r="M420" s="408"/>
      <c r="N420" s="408"/>
      <c r="O420" s="408"/>
      <c r="P420" s="408"/>
      <c r="Q420" s="408"/>
      <c r="R420" s="408"/>
      <c r="S420" s="408"/>
      <c r="T420" s="408"/>
      <c r="U420" s="408"/>
      <c r="V420" s="408"/>
      <c r="W420" s="408"/>
      <c r="X420" s="408"/>
      <c r="Y420" s="408"/>
      <c r="Z420" s="408"/>
    </row>
    <row r="421" ht="14.25" customHeight="1">
      <c r="A421" s="408"/>
      <c r="B421" s="408"/>
      <c r="C421" s="408"/>
      <c r="D421" s="408"/>
      <c r="E421" s="408"/>
      <c r="F421" s="408"/>
      <c r="G421" s="408"/>
      <c r="H421" s="408"/>
      <c r="I421" s="408"/>
      <c r="J421" s="408"/>
      <c r="K421" s="408"/>
      <c r="L421" s="408"/>
      <c r="M421" s="408"/>
      <c r="N421" s="408"/>
      <c r="O421" s="408"/>
      <c r="P421" s="408"/>
      <c r="Q421" s="408"/>
      <c r="R421" s="408"/>
      <c r="S421" s="408"/>
      <c r="T421" s="408"/>
      <c r="U421" s="408"/>
      <c r="V421" s="408"/>
      <c r="W421" s="408"/>
      <c r="X421" s="408"/>
      <c r="Y421" s="408"/>
      <c r="Z421" s="408"/>
    </row>
    <row r="422" ht="14.25" customHeight="1">
      <c r="A422" s="408"/>
      <c r="B422" s="408"/>
      <c r="C422" s="408"/>
      <c r="D422" s="408"/>
      <c r="E422" s="408"/>
      <c r="F422" s="408"/>
      <c r="G422" s="408"/>
      <c r="H422" s="408"/>
      <c r="I422" s="408"/>
      <c r="J422" s="408"/>
      <c r="K422" s="408"/>
      <c r="L422" s="408"/>
      <c r="M422" s="408"/>
      <c r="N422" s="408"/>
      <c r="O422" s="408"/>
      <c r="P422" s="408"/>
      <c r="Q422" s="408"/>
      <c r="R422" s="408"/>
      <c r="S422" s="408"/>
      <c r="T422" s="408"/>
      <c r="U422" s="408"/>
      <c r="V422" s="408"/>
      <c r="W422" s="408"/>
      <c r="X422" s="408"/>
      <c r="Y422" s="408"/>
      <c r="Z422" s="408"/>
    </row>
    <row r="423" ht="14.25" customHeight="1">
      <c r="A423" s="408"/>
      <c r="B423" s="408"/>
      <c r="C423" s="408"/>
      <c r="D423" s="408"/>
      <c r="E423" s="408"/>
      <c r="F423" s="408"/>
      <c r="G423" s="408"/>
      <c r="H423" s="408"/>
      <c r="I423" s="408"/>
      <c r="J423" s="408"/>
      <c r="K423" s="408"/>
      <c r="L423" s="408"/>
      <c r="M423" s="408"/>
      <c r="N423" s="408"/>
      <c r="O423" s="408"/>
      <c r="P423" s="408"/>
      <c r="Q423" s="408"/>
      <c r="R423" s="408"/>
      <c r="S423" s="408"/>
      <c r="T423" s="408"/>
      <c r="U423" s="408"/>
      <c r="V423" s="408"/>
      <c r="W423" s="408"/>
      <c r="X423" s="408"/>
      <c r="Y423" s="408"/>
      <c r="Z423" s="408"/>
    </row>
    <row r="424" ht="14.25" customHeight="1">
      <c r="A424" s="408"/>
      <c r="B424" s="408"/>
      <c r="C424" s="408"/>
      <c r="D424" s="408"/>
      <c r="E424" s="408"/>
      <c r="F424" s="408"/>
      <c r="G424" s="408"/>
      <c r="H424" s="408"/>
      <c r="I424" s="408"/>
      <c r="J424" s="408"/>
      <c r="K424" s="408"/>
      <c r="L424" s="408"/>
      <c r="M424" s="408"/>
      <c r="N424" s="408"/>
      <c r="O424" s="408"/>
      <c r="P424" s="408"/>
      <c r="Q424" s="408"/>
      <c r="R424" s="408"/>
      <c r="S424" s="408"/>
      <c r="T424" s="408"/>
      <c r="U424" s="408"/>
      <c r="V424" s="408"/>
      <c r="W424" s="408"/>
      <c r="X424" s="408"/>
      <c r="Y424" s="408"/>
      <c r="Z424" s="408"/>
    </row>
    <row r="425" ht="14.25" customHeight="1">
      <c r="A425" s="408"/>
      <c r="B425" s="408"/>
      <c r="C425" s="408"/>
      <c r="D425" s="408"/>
      <c r="E425" s="408"/>
      <c r="F425" s="408"/>
      <c r="G425" s="408"/>
      <c r="H425" s="408"/>
      <c r="I425" s="408"/>
      <c r="J425" s="408"/>
      <c r="K425" s="408"/>
      <c r="L425" s="408"/>
      <c r="M425" s="408"/>
      <c r="N425" s="408"/>
      <c r="O425" s="408"/>
      <c r="P425" s="408"/>
      <c r="Q425" s="408"/>
      <c r="R425" s="408"/>
      <c r="S425" s="408"/>
      <c r="T425" s="408"/>
      <c r="U425" s="408"/>
      <c r="V425" s="408"/>
      <c r="W425" s="408"/>
      <c r="X425" s="408"/>
      <c r="Y425" s="408"/>
      <c r="Z425" s="408"/>
    </row>
    <row r="426" ht="14.25" customHeight="1">
      <c r="A426" s="408"/>
      <c r="B426" s="408"/>
      <c r="C426" s="408"/>
      <c r="D426" s="408"/>
      <c r="E426" s="408"/>
      <c r="F426" s="408"/>
      <c r="G426" s="408"/>
      <c r="H426" s="408"/>
      <c r="I426" s="408"/>
      <c r="J426" s="408"/>
      <c r="K426" s="408"/>
      <c r="L426" s="408"/>
      <c r="M426" s="408"/>
      <c r="N426" s="408"/>
      <c r="O426" s="408"/>
      <c r="P426" s="408"/>
      <c r="Q426" s="408"/>
      <c r="R426" s="408"/>
      <c r="S426" s="408"/>
      <c r="T426" s="408"/>
      <c r="U426" s="408"/>
      <c r="V426" s="408"/>
      <c r="W426" s="408"/>
      <c r="X426" s="408"/>
      <c r="Y426" s="408"/>
      <c r="Z426" s="408"/>
    </row>
    <row r="427" ht="14.25" customHeight="1">
      <c r="A427" s="408"/>
      <c r="B427" s="408"/>
      <c r="C427" s="408"/>
      <c r="D427" s="408"/>
      <c r="E427" s="408"/>
      <c r="F427" s="408"/>
      <c r="G427" s="408"/>
      <c r="H427" s="408"/>
      <c r="I427" s="408"/>
      <c r="J427" s="408"/>
      <c r="K427" s="408"/>
      <c r="L427" s="408"/>
      <c r="M427" s="408"/>
      <c r="N427" s="408"/>
      <c r="O427" s="408"/>
      <c r="P427" s="408"/>
      <c r="Q427" s="408"/>
      <c r="R427" s="408"/>
      <c r="S427" s="408"/>
      <c r="T427" s="408"/>
      <c r="U427" s="408"/>
      <c r="V427" s="408"/>
      <c r="W427" s="408"/>
      <c r="X427" s="408"/>
      <c r="Y427" s="408"/>
      <c r="Z427" s="408"/>
    </row>
    <row r="428" ht="14.25" customHeight="1">
      <c r="A428" s="408"/>
      <c r="B428" s="408"/>
      <c r="C428" s="408"/>
      <c r="D428" s="408"/>
      <c r="E428" s="408"/>
      <c r="F428" s="408"/>
      <c r="G428" s="408"/>
      <c r="H428" s="408"/>
      <c r="I428" s="408"/>
      <c r="J428" s="408"/>
      <c r="K428" s="408"/>
      <c r="L428" s="408"/>
      <c r="M428" s="408"/>
      <c r="N428" s="408"/>
      <c r="O428" s="408"/>
      <c r="P428" s="408"/>
      <c r="Q428" s="408"/>
      <c r="R428" s="408"/>
      <c r="S428" s="408"/>
      <c r="T428" s="408"/>
      <c r="U428" s="408"/>
      <c r="V428" s="408"/>
      <c r="W428" s="408"/>
      <c r="X428" s="408"/>
      <c r="Y428" s="408"/>
      <c r="Z428" s="408"/>
    </row>
    <row r="429" ht="14.25" customHeight="1">
      <c r="A429" s="408"/>
      <c r="B429" s="408"/>
      <c r="C429" s="408"/>
      <c r="D429" s="408"/>
      <c r="E429" s="408"/>
      <c r="F429" s="408"/>
      <c r="G429" s="408"/>
      <c r="H429" s="408"/>
      <c r="I429" s="408"/>
      <c r="J429" s="408"/>
      <c r="K429" s="408"/>
      <c r="L429" s="408"/>
      <c r="M429" s="408"/>
      <c r="N429" s="408"/>
      <c r="O429" s="408"/>
      <c r="P429" s="408"/>
      <c r="Q429" s="408"/>
      <c r="R429" s="408"/>
      <c r="S429" s="408"/>
      <c r="T429" s="408"/>
      <c r="U429" s="408"/>
      <c r="V429" s="408"/>
      <c r="W429" s="408"/>
      <c r="X429" s="408"/>
      <c r="Y429" s="408"/>
      <c r="Z429" s="408"/>
    </row>
    <row r="430" ht="14.25" customHeight="1">
      <c r="A430" s="408"/>
      <c r="B430" s="408"/>
      <c r="C430" s="408"/>
      <c r="D430" s="408"/>
      <c r="E430" s="408"/>
      <c r="F430" s="408"/>
      <c r="G430" s="408"/>
      <c r="H430" s="408"/>
      <c r="I430" s="408"/>
      <c r="J430" s="408"/>
      <c r="K430" s="408"/>
      <c r="L430" s="408"/>
      <c r="M430" s="408"/>
      <c r="N430" s="408"/>
      <c r="O430" s="408"/>
      <c r="P430" s="408"/>
      <c r="Q430" s="408"/>
      <c r="R430" s="408"/>
      <c r="S430" s="408"/>
      <c r="T430" s="408"/>
      <c r="U430" s="408"/>
      <c r="V430" s="408"/>
      <c r="W430" s="408"/>
      <c r="X430" s="408"/>
      <c r="Y430" s="408"/>
      <c r="Z430" s="408"/>
    </row>
    <row r="431" ht="14.25" customHeight="1">
      <c r="A431" s="408"/>
      <c r="B431" s="408"/>
      <c r="C431" s="408"/>
      <c r="D431" s="408"/>
      <c r="E431" s="408"/>
      <c r="F431" s="408"/>
      <c r="G431" s="408"/>
      <c r="H431" s="408"/>
      <c r="I431" s="408"/>
      <c r="J431" s="408"/>
      <c r="K431" s="408"/>
      <c r="L431" s="408"/>
      <c r="M431" s="408"/>
      <c r="N431" s="408"/>
      <c r="O431" s="408"/>
      <c r="P431" s="408"/>
      <c r="Q431" s="408"/>
      <c r="R431" s="408"/>
      <c r="S431" s="408"/>
      <c r="T431" s="408"/>
      <c r="U431" s="408"/>
      <c r="V431" s="408"/>
      <c r="W431" s="408"/>
      <c r="X431" s="408"/>
      <c r="Y431" s="408"/>
      <c r="Z431" s="408"/>
    </row>
    <row r="432" ht="14.25" customHeight="1">
      <c r="A432" s="408"/>
      <c r="B432" s="408"/>
      <c r="C432" s="408"/>
      <c r="D432" s="408"/>
      <c r="E432" s="408"/>
      <c r="F432" s="408"/>
      <c r="G432" s="408"/>
      <c r="H432" s="408"/>
      <c r="I432" s="408"/>
      <c r="J432" s="408"/>
      <c r="K432" s="408"/>
      <c r="L432" s="408"/>
      <c r="M432" s="408"/>
      <c r="N432" s="408"/>
      <c r="O432" s="408"/>
      <c r="P432" s="408"/>
      <c r="Q432" s="408"/>
      <c r="R432" s="408"/>
      <c r="S432" s="408"/>
      <c r="T432" s="408"/>
      <c r="U432" s="408"/>
      <c r="V432" s="408"/>
      <c r="W432" s="408"/>
      <c r="X432" s="408"/>
      <c r="Y432" s="408"/>
      <c r="Z432" s="408"/>
    </row>
    <row r="433" ht="14.25" customHeight="1">
      <c r="A433" s="408"/>
      <c r="B433" s="408"/>
      <c r="C433" s="408"/>
      <c r="D433" s="408"/>
      <c r="E433" s="408"/>
      <c r="F433" s="408"/>
      <c r="G433" s="408"/>
      <c r="H433" s="408"/>
      <c r="I433" s="408"/>
      <c r="J433" s="408"/>
      <c r="K433" s="408"/>
      <c r="L433" s="408"/>
      <c r="M433" s="408"/>
      <c r="N433" s="408"/>
      <c r="O433" s="408"/>
      <c r="P433" s="408"/>
      <c r="Q433" s="408"/>
      <c r="R433" s="408"/>
      <c r="S433" s="408"/>
      <c r="T433" s="408"/>
      <c r="U433" s="408"/>
      <c r="V433" s="408"/>
      <c r="W433" s="408"/>
      <c r="X433" s="408"/>
      <c r="Y433" s="408"/>
      <c r="Z433" s="408"/>
    </row>
    <row r="434" ht="14.25" customHeight="1">
      <c r="A434" s="408"/>
      <c r="B434" s="408"/>
      <c r="C434" s="408"/>
      <c r="D434" s="408"/>
      <c r="E434" s="408"/>
      <c r="F434" s="408"/>
      <c r="G434" s="408"/>
      <c r="H434" s="408"/>
      <c r="I434" s="408"/>
      <c r="J434" s="408"/>
      <c r="K434" s="408"/>
      <c r="L434" s="408"/>
      <c r="M434" s="408"/>
      <c r="N434" s="408"/>
      <c r="O434" s="408"/>
      <c r="P434" s="408"/>
      <c r="Q434" s="408"/>
      <c r="R434" s="408"/>
      <c r="S434" s="408"/>
      <c r="T434" s="408"/>
      <c r="U434" s="408"/>
      <c r="V434" s="408"/>
      <c r="W434" s="408"/>
      <c r="X434" s="408"/>
      <c r="Y434" s="408"/>
      <c r="Z434" s="408"/>
    </row>
    <row r="435" ht="14.25" customHeight="1">
      <c r="A435" s="408"/>
      <c r="B435" s="408"/>
      <c r="C435" s="408"/>
      <c r="D435" s="408"/>
      <c r="E435" s="408"/>
      <c r="F435" s="408"/>
      <c r="G435" s="408"/>
      <c r="H435" s="408"/>
      <c r="I435" s="408"/>
      <c r="J435" s="408"/>
      <c r="K435" s="408"/>
      <c r="L435" s="408"/>
      <c r="M435" s="408"/>
      <c r="N435" s="408"/>
      <c r="O435" s="408"/>
      <c r="P435" s="408"/>
      <c r="Q435" s="408"/>
      <c r="R435" s="408"/>
      <c r="S435" s="408"/>
      <c r="T435" s="408"/>
      <c r="U435" s="408"/>
      <c r="V435" s="408"/>
      <c r="W435" s="408"/>
      <c r="X435" s="408"/>
      <c r="Y435" s="408"/>
      <c r="Z435" s="408"/>
    </row>
    <row r="436" ht="14.25" customHeight="1">
      <c r="A436" s="408"/>
      <c r="B436" s="408"/>
      <c r="C436" s="408"/>
      <c r="D436" s="408"/>
      <c r="E436" s="408"/>
      <c r="F436" s="408"/>
      <c r="G436" s="408"/>
      <c r="H436" s="408"/>
      <c r="I436" s="408"/>
      <c r="J436" s="408"/>
      <c r="K436" s="408"/>
      <c r="L436" s="408"/>
      <c r="M436" s="408"/>
      <c r="N436" s="408"/>
      <c r="O436" s="408"/>
      <c r="P436" s="408"/>
      <c r="Q436" s="408"/>
      <c r="R436" s="408"/>
      <c r="S436" s="408"/>
      <c r="T436" s="408"/>
      <c r="U436" s="408"/>
      <c r="V436" s="408"/>
      <c r="W436" s="408"/>
      <c r="X436" s="408"/>
      <c r="Y436" s="408"/>
      <c r="Z436" s="408"/>
    </row>
    <row r="437" ht="14.25" customHeight="1">
      <c r="A437" s="408"/>
      <c r="B437" s="408"/>
      <c r="C437" s="408"/>
      <c r="D437" s="408"/>
      <c r="E437" s="408"/>
      <c r="F437" s="408"/>
      <c r="G437" s="408"/>
      <c r="H437" s="408"/>
      <c r="I437" s="408"/>
      <c r="J437" s="408"/>
      <c r="K437" s="408"/>
      <c r="L437" s="408"/>
      <c r="M437" s="408"/>
      <c r="N437" s="408"/>
      <c r="O437" s="408"/>
      <c r="P437" s="408"/>
      <c r="Q437" s="408"/>
      <c r="R437" s="408"/>
      <c r="S437" s="408"/>
      <c r="T437" s="408"/>
      <c r="U437" s="408"/>
      <c r="V437" s="408"/>
      <c r="W437" s="408"/>
      <c r="X437" s="408"/>
      <c r="Y437" s="408"/>
      <c r="Z437" s="408"/>
    </row>
    <row r="438" ht="14.25" customHeight="1">
      <c r="A438" s="408"/>
      <c r="B438" s="408"/>
      <c r="C438" s="408"/>
      <c r="D438" s="408"/>
      <c r="E438" s="408"/>
      <c r="F438" s="408"/>
      <c r="G438" s="408"/>
      <c r="H438" s="408"/>
      <c r="I438" s="408"/>
      <c r="J438" s="408"/>
      <c r="K438" s="408"/>
      <c r="L438" s="408"/>
      <c r="M438" s="408"/>
      <c r="N438" s="408"/>
      <c r="O438" s="408"/>
      <c r="P438" s="408"/>
      <c r="Q438" s="408"/>
      <c r="R438" s="408"/>
      <c r="S438" s="408"/>
      <c r="T438" s="408"/>
      <c r="U438" s="408"/>
      <c r="V438" s="408"/>
      <c r="W438" s="408"/>
      <c r="X438" s="408"/>
      <c r="Y438" s="408"/>
      <c r="Z438" s="408"/>
    </row>
    <row r="439" ht="14.25" customHeight="1">
      <c r="A439" s="408"/>
      <c r="B439" s="408"/>
      <c r="C439" s="408"/>
      <c r="D439" s="408"/>
      <c r="E439" s="408"/>
      <c r="F439" s="408"/>
      <c r="G439" s="408"/>
      <c r="H439" s="408"/>
      <c r="I439" s="408"/>
      <c r="J439" s="408"/>
      <c r="K439" s="408"/>
      <c r="L439" s="408"/>
      <c r="M439" s="408"/>
      <c r="N439" s="408"/>
      <c r="O439" s="408"/>
      <c r="P439" s="408"/>
      <c r="Q439" s="408"/>
      <c r="R439" s="408"/>
      <c r="S439" s="408"/>
      <c r="T439" s="408"/>
      <c r="U439" s="408"/>
      <c r="V439" s="408"/>
      <c r="W439" s="408"/>
      <c r="X439" s="408"/>
      <c r="Y439" s="408"/>
      <c r="Z439" s="408"/>
    </row>
    <row r="440" ht="14.25" customHeight="1">
      <c r="A440" s="408"/>
      <c r="B440" s="408"/>
      <c r="C440" s="408"/>
      <c r="D440" s="408"/>
      <c r="E440" s="408"/>
      <c r="F440" s="408"/>
      <c r="G440" s="408"/>
      <c r="H440" s="408"/>
      <c r="I440" s="408"/>
      <c r="J440" s="408"/>
      <c r="K440" s="408"/>
      <c r="L440" s="408"/>
      <c r="M440" s="408"/>
      <c r="N440" s="408"/>
      <c r="O440" s="408"/>
      <c r="P440" s="408"/>
      <c r="Q440" s="408"/>
      <c r="R440" s="408"/>
      <c r="S440" s="408"/>
      <c r="T440" s="408"/>
      <c r="U440" s="408"/>
      <c r="V440" s="408"/>
      <c r="W440" s="408"/>
      <c r="X440" s="408"/>
      <c r="Y440" s="408"/>
      <c r="Z440" s="408"/>
    </row>
    <row r="441" ht="14.25" customHeight="1">
      <c r="A441" s="408"/>
      <c r="B441" s="408"/>
      <c r="C441" s="408"/>
      <c r="D441" s="408"/>
      <c r="E441" s="408"/>
      <c r="F441" s="408"/>
      <c r="G441" s="408"/>
      <c r="H441" s="408"/>
      <c r="I441" s="408"/>
      <c r="J441" s="408"/>
      <c r="K441" s="408"/>
      <c r="L441" s="408"/>
      <c r="M441" s="408"/>
      <c r="N441" s="408"/>
      <c r="O441" s="408"/>
      <c r="P441" s="408"/>
      <c r="Q441" s="408"/>
      <c r="R441" s="408"/>
      <c r="S441" s="408"/>
      <c r="T441" s="408"/>
      <c r="U441" s="408"/>
      <c r="V441" s="408"/>
      <c r="W441" s="408"/>
      <c r="X441" s="408"/>
      <c r="Y441" s="408"/>
      <c r="Z441" s="408"/>
    </row>
    <row r="442" ht="14.25" customHeight="1">
      <c r="A442" s="408"/>
      <c r="B442" s="408"/>
      <c r="C442" s="408"/>
      <c r="D442" s="408"/>
      <c r="E442" s="408"/>
      <c r="F442" s="408"/>
      <c r="G442" s="408"/>
      <c r="H442" s="408"/>
      <c r="I442" s="408"/>
      <c r="J442" s="408"/>
      <c r="K442" s="408"/>
      <c r="L442" s="408"/>
      <c r="M442" s="408"/>
      <c r="N442" s="408"/>
      <c r="O442" s="408"/>
      <c r="P442" s="408"/>
      <c r="Q442" s="408"/>
      <c r="R442" s="408"/>
      <c r="S442" s="408"/>
      <c r="T442" s="408"/>
      <c r="U442" s="408"/>
      <c r="V442" s="408"/>
      <c r="W442" s="408"/>
      <c r="X442" s="408"/>
      <c r="Y442" s="408"/>
      <c r="Z442" s="408"/>
    </row>
    <row r="443" ht="14.25" customHeight="1">
      <c r="A443" s="408"/>
      <c r="B443" s="408"/>
      <c r="C443" s="408"/>
      <c r="D443" s="408"/>
      <c r="E443" s="408"/>
      <c r="F443" s="408"/>
      <c r="G443" s="408"/>
      <c r="H443" s="408"/>
      <c r="I443" s="408"/>
      <c r="J443" s="408"/>
      <c r="K443" s="408"/>
      <c r="L443" s="408"/>
      <c r="M443" s="408"/>
      <c r="N443" s="408"/>
      <c r="O443" s="408"/>
      <c r="P443" s="408"/>
      <c r="Q443" s="408"/>
      <c r="R443" s="408"/>
      <c r="S443" s="408"/>
      <c r="T443" s="408"/>
      <c r="U443" s="408"/>
      <c r="V443" s="408"/>
      <c r="W443" s="408"/>
      <c r="X443" s="408"/>
      <c r="Y443" s="408"/>
      <c r="Z443" s="408"/>
    </row>
    <row r="444" ht="14.25" customHeight="1">
      <c r="A444" s="408"/>
      <c r="B444" s="408"/>
      <c r="C444" s="408"/>
      <c r="D444" s="408"/>
      <c r="E444" s="408"/>
      <c r="F444" s="408"/>
      <c r="G444" s="408"/>
      <c r="H444" s="408"/>
      <c r="I444" s="408"/>
      <c r="J444" s="408"/>
      <c r="K444" s="408"/>
      <c r="L444" s="408"/>
      <c r="M444" s="408"/>
      <c r="N444" s="408"/>
      <c r="O444" s="408"/>
      <c r="P444" s="408"/>
      <c r="Q444" s="408"/>
      <c r="R444" s="408"/>
      <c r="S444" s="408"/>
      <c r="T444" s="408"/>
      <c r="U444" s="408"/>
      <c r="V444" s="408"/>
      <c r="W444" s="408"/>
      <c r="X444" s="408"/>
      <c r="Y444" s="408"/>
      <c r="Z444" s="408"/>
    </row>
    <row r="445" ht="14.25" customHeight="1">
      <c r="A445" s="408"/>
      <c r="B445" s="408"/>
      <c r="C445" s="408"/>
      <c r="D445" s="408"/>
      <c r="E445" s="408"/>
      <c r="F445" s="408"/>
      <c r="G445" s="408"/>
      <c r="H445" s="408"/>
      <c r="I445" s="408"/>
      <c r="J445" s="408"/>
      <c r="K445" s="408"/>
      <c r="L445" s="408"/>
      <c r="M445" s="408"/>
      <c r="N445" s="408"/>
      <c r="O445" s="408"/>
      <c r="P445" s="408"/>
      <c r="Q445" s="408"/>
      <c r="R445" s="408"/>
      <c r="S445" s="408"/>
      <c r="T445" s="408"/>
      <c r="U445" s="408"/>
      <c r="V445" s="408"/>
      <c r="W445" s="408"/>
      <c r="X445" s="408"/>
      <c r="Y445" s="408"/>
      <c r="Z445" s="408"/>
    </row>
    <row r="446" ht="14.25" customHeight="1">
      <c r="A446" s="408"/>
      <c r="B446" s="408"/>
      <c r="C446" s="408"/>
      <c r="D446" s="408"/>
      <c r="E446" s="408"/>
      <c r="F446" s="408"/>
      <c r="G446" s="408"/>
      <c r="H446" s="408"/>
      <c r="I446" s="408"/>
      <c r="J446" s="408"/>
      <c r="K446" s="408"/>
      <c r="L446" s="408"/>
      <c r="M446" s="408"/>
      <c r="N446" s="408"/>
      <c r="O446" s="408"/>
      <c r="P446" s="408"/>
      <c r="Q446" s="408"/>
      <c r="R446" s="408"/>
      <c r="S446" s="408"/>
      <c r="T446" s="408"/>
      <c r="U446" s="408"/>
      <c r="V446" s="408"/>
      <c r="W446" s="408"/>
      <c r="X446" s="408"/>
      <c r="Y446" s="408"/>
      <c r="Z446" s="408"/>
    </row>
    <row r="447" ht="14.25" customHeight="1">
      <c r="A447" s="408"/>
      <c r="B447" s="408"/>
      <c r="C447" s="408"/>
      <c r="D447" s="408"/>
      <c r="E447" s="408"/>
      <c r="F447" s="408"/>
      <c r="G447" s="408"/>
      <c r="H447" s="408"/>
      <c r="I447" s="408"/>
      <c r="J447" s="408"/>
      <c r="K447" s="408"/>
      <c r="L447" s="408"/>
      <c r="M447" s="408"/>
      <c r="N447" s="408"/>
      <c r="O447" s="408"/>
      <c r="P447" s="408"/>
      <c r="Q447" s="408"/>
      <c r="R447" s="408"/>
      <c r="S447" s="408"/>
      <c r="T447" s="408"/>
      <c r="U447" s="408"/>
      <c r="V447" s="408"/>
      <c r="W447" s="408"/>
      <c r="X447" s="408"/>
      <c r="Y447" s="408"/>
      <c r="Z447" s="408"/>
    </row>
    <row r="448" ht="14.25" customHeight="1">
      <c r="A448" s="408"/>
      <c r="B448" s="408"/>
      <c r="C448" s="408"/>
      <c r="D448" s="408"/>
      <c r="E448" s="408"/>
      <c r="F448" s="408"/>
      <c r="G448" s="408"/>
      <c r="H448" s="408"/>
      <c r="I448" s="408"/>
      <c r="J448" s="408"/>
      <c r="K448" s="408"/>
      <c r="L448" s="408"/>
      <c r="M448" s="408"/>
      <c r="N448" s="408"/>
      <c r="O448" s="408"/>
      <c r="P448" s="408"/>
      <c r="Q448" s="408"/>
      <c r="R448" s="408"/>
      <c r="S448" s="408"/>
      <c r="T448" s="408"/>
      <c r="U448" s="408"/>
      <c r="V448" s="408"/>
      <c r="W448" s="408"/>
      <c r="X448" s="408"/>
      <c r="Y448" s="408"/>
      <c r="Z448" s="408"/>
    </row>
    <row r="449" ht="14.25" customHeight="1">
      <c r="A449" s="408"/>
      <c r="B449" s="408"/>
      <c r="C449" s="408"/>
      <c r="D449" s="408"/>
      <c r="E449" s="408"/>
      <c r="F449" s="408"/>
      <c r="G449" s="408"/>
      <c r="H449" s="408"/>
      <c r="I449" s="408"/>
      <c r="J449" s="408"/>
      <c r="K449" s="408"/>
      <c r="L449" s="408"/>
      <c r="M449" s="408"/>
      <c r="N449" s="408"/>
      <c r="O449" s="408"/>
      <c r="P449" s="408"/>
      <c r="Q449" s="408"/>
      <c r="R449" s="408"/>
      <c r="S449" s="408"/>
      <c r="T449" s="408"/>
      <c r="U449" s="408"/>
      <c r="V449" s="408"/>
      <c r="W449" s="408"/>
      <c r="X449" s="408"/>
      <c r="Y449" s="408"/>
      <c r="Z449" s="408"/>
    </row>
    <row r="450" ht="14.25" customHeight="1">
      <c r="A450" s="408"/>
      <c r="B450" s="408"/>
      <c r="C450" s="408"/>
      <c r="D450" s="408"/>
      <c r="E450" s="408"/>
      <c r="F450" s="408"/>
      <c r="G450" s="408"/>
      <c r="H450" s="408"/>
      <c r="I450" s="408"/>
      <c r="J450" s="408"/>
      <c r="K450" s="408"/>
      <c r="L450" s="408"/>
      <c r="M450" s="408"/>
      <c r="N450" s="408"/>
      <c r="O450" s="408"/>
      <c r="P450" s="408"/>
      <c r="Q450" s="408"/>
      <c r="R450" s="408"/>
      <c r="S450" s="408"/>
      <c r="T450" s="408"/>
      <c r="U450" s="408"/>
      <c r="V450" s="408"/>
      <c r="W450" s="408"/>
      <c r="X450" s="408"/>
      <c r="Y450" s="408"/>
      <c r="Z450" s="408"/>
    </row>
    <row r="451" ht="14.25" customHeight="1">
      <c r="A451" s="408"/>
      <c r="B451" s="408"/>
      <c r="C451" s="408"/>
      <c r="D451" s="408"/>
      <c r="E451" s="408"/>
      <c r="F451" s="408"/>
      <c r="G451" s="408"/>
      <c r="H451" s="408"/>
      <c r="I451" s="408"/>
      <c r="J451" s="408"/>
      <c r="K451" s="408"/>
      <c r="L451" s="408"/>
      <c r="M451" s="408"/>
      <c r="N451" s="408"/>
      <c r="O451" s="408"/>
      <c r="P451" s="408"/>
      <c r="Q451" s="408"/>
      <c r="R451" s="408"/>
      <c r="S451" s="408"/>
      <c r="T451" s="408"/>
      <c r="U451" s="408"/>
      <c r="V451" s="408"/>
      <c r="W451" s="408"/>
      <c r="X451" s="408"/>
      <c r="Y451" s="408"/>
      <c r="Z451" s="408"/>
    </row>
    <row r="452" ht="14.25" customHeight="1">
      <c r="A452" s="408"/>
      <c r="B452" s="408"/>
      <c r="C452" s="408"/>
      <c r="D452" s="408"/>
      <c r="E452" s="408"/>
      <c r="F452" s="408"/>
      <c r="G452" s="408"/>
      <c r="H452" s="408"/>
      <c r="I452" s="408"/>
      <c r="J452" s="408"/>
      <c r="K452" s="408"/>
      <c r="L452" s="408"/>
      <c r="M452" s="408"/>
      <c r="N452" s="408"/>
      <c r="O452" s="408"/>
      <c r="P452" s="408"/>
      <c r="Q452" s="408"/>
      <c r="R452" s="408"/>
      <c r="S452" s="408"/>
      <c r="T452" s="408"/>
      <c r="U452" s="408"/>
      <c r="V452" s="408"/>
      <c r="W452" s="408"/>
      <c r="X452" s="408"/>
      <c r="Y452" s="408"/>
      <c r="Z452" s="408"/>
    </row>
    <row r="453" ht="14.25" customHeight="1">
      <c r="A453" s="408"/>
      <c r="B453" s="408"/>
      <c r="C453" s="408"/>
      <c r="D453" s="408"/>
      <c r="E453" s="408"/>
      <c r="F453" s="408"/>
      <c r="G453" s="408"/>
      <c r="H453" s="408"/>
      <c r="I453" s="408"/>
      <c r="J453" s="408"/>
      <c r="K453" s="408"/>
      <c r="L453" s="408"/>
      <c r="M453" s="408"/>
      <c r="N453" s="408"/>
      <c r="O453" s="408"/>
      <c r="P453" s="408"/>
      <c r="Q453" s="408"/>
      <c r="R453" s="408"/>
      <c r="S453" s="408"/>
      <c r="T453" s="408"/>
      <c r="U453" s="408"/>
      <c r="V453" s="408"/>
      <c r="W453" s="408"/>
      <c r="X453" s="408"/>
      <c r="Y453" s="408"/>
      <c r="Z453" s="408"/>
    </row>
    <row r="454" ht="14.25" customHeight="1">
      <c r="A454" s="408"/>
      <c r="B454" s="408"/>
      <c r="C454" s="408"/>
      <c r="D454" s="408"/>
      <c r="E454" s="408"/>
      <c r="F454" s="408"/>
      <c r="G454" s="408"/>
      <c r="H454" s="408"/>
      <c r="I454" s="408"/>
      <c r="J454" s="408"/>
      <c r="K454" s="408"/>
      <c r="L454" s="408"/>
      <c r="M454" s="408"/>
      <c r="N454" s="408"/>
      <c r="O454" s="408"/>
      <c r="P454" s="408"/>
      <c r="Q454" s="408"/>
      <c r="R454" s="408"/>
      <c r="S454" s="408"/>
      <c r="T454" s="408"/>
      <c r="U454" s="408"/>
      <c r="V454" s="408"/>
      <c r="W454" s="408"/>
      <c r="X454" s="408"/>
      <c r="Y454" s="408"/>
      <c r="Z454" s="408"/>
    </row>
    <row r="455" ht="14.25" customHeight="1">
      <c r="A455" s="408"/>
      <c r="B455" s="408"/>
      <c r="C455" s="408"/>
      <c r="D455" s="408"/>
      <c r="E455" s="408"/>
      <c r="F455" s="408"/>
      <c r="G455" s="408"/>
      <c r="H455" s="408"/>
      <c r="I455" s="408"/>
      <c r="J455" s="408"/>
      <c r="K455" s="408"/>
      <c r="L455" s="408"/>
      <c r="M455" s="408"/>
      <c r="N455" s="408"/>
      <c r="O455" s="408"/>
      <c r="P455" s="408"/>
      <c r="Q455" s="408"/>
      <c r="R455" s="408"/>
      <c r="S455" s="408"/>
      <c r="T455" s="408"/>
      <c r="U455" s="408"/>
      <c r="V455" s="408"/>
      <c r="W455" s="408"/>
      <c r="X455" s="408"/>
      <c r="Y455" s="408"/>
      <c r="Z455" s="408"/>
    </row>
    <row r="456" ht="14.25" customHeight="1">
      <c r="A456" s="408"/>
      <c r="B456" s="408"/>
      <c r="C456" s="408"/>
      <c r="D456" s="408"/>
      <c r="E456" s="408"/>
      <c r="F456" s="408"/>
      <c r="G456" s="408"/>
      <c r="H456" s="408"/>
      <c r="I456" s="408"/>
      <c r="J456" s="408"/>
      <c r="K456" s="408"/>
      <c r="L456" s="408"/>
      <c r="M456" s="408"/>
      <c r="N456" s="408"/>
      <c r="O456" s="408"/>
      <c r="P456" s="408"/>
      <c r="Q456" s="408"/>
      <c r="R456" s="408"/>
      <c r="S456" s="408"/>
      <c r="T456" s="408"/>
      <c r="U456" s="408"/>
      <c r="V456" s="408"/>
      <c r="W456" s="408"/>
      <c r="X456" s="408"/>
      <c r="Y456" s="408"/>
      <c r="Z456" s="408"/>
    </row>
    <row r="457" ht="14.25" customHeight="1">
      <c r="A457" s="408"/>
      <c r="B457" s="408"/>
      <c r="C457" s="408"/>
      <c r="D457" s="408"/>
      <c r="E457" s="408"/>
      <c r="F457" s="408"/>
      <c r="G457" s="408"/>
      <c r="H457" s="408"/>
      <c r="I457" s="408"/>
      <c r="J457" s="408"/>
      <c r="K457" s="408"/>
      <c r="L457" s="408"/>
      <c r="M457" s="408"/>
      <c r="N457" s="408"/>
      <c r="O457" s="408"/>
      <c r="P457" s="408"/>
      <c r="Q457" s="408"/>
      <c r="R457" s="408"/>
      <c r="S457" s="408"/>
      <c r="T457" s="408"/>
      <c r="U457" s="408"/>
      <c r="V457" s="408"/>
      <c r="W457" s="408"/>
      <c r="X457" s="408"/>
      <c r="Y457" s="408"/>
      <c r="Z457" s="408"/>
    </row>
    <row r="458" ht="14.25" customHeight="1">
      <c r="A458" s="408"/>
      <c r="B458" s="408"/>
      <c r="C458" s="408"/>
      <c r="D458" s="408"/>
      <c r="E458" s="408"/>
      <c r="F458" s="408"/>
      <c r="G458" s="408"/>
      <c r="H458" s="408"/>
      <c r="I458" s="408"/>
      <c r="J458" s="408"/>
      <c r="K458" s="408"/>
      <c r="L458" s="408"/>
      <c r="M458" s="408"/>
      <c r="N458" s="408"/>
      <c r="O458" s="408"/>
      <c r="P458" s="408"/>
      <c r="Q458" s="408"/>
      <c r="R458" s="408"/>
      <c r="S458" s="408"/>
      <c r="T458" s="408"/>
      <c r="U458" s="408"/>
      <c r="V458" s="408"/>
      <c r="W458" s="408"/>
      <c r="X458" s="408"/>
      <c r="Y458" s="408"/>
      <c r="Z458" s="408"/>
    </row>
    <row r="459" ht="14.25" customHeight="1">
      <c r="A459" s="408"/>
      <c r="B459" s="408"/>
      <c r="C459" s="408"/>
      <c r="D459" s="408"/>
      <c r="E459" s="408"/>
      <c r="F459" s="408"/>
      <c r="G459" s="408"/>
      <c r="H459" s="408"/>
      <c r="I459" s="408"/>
      <c r="J459" s="408"/>
      <c r="K459" s="408"/>
      <c r="L459" s="408"/>
      <c r="M459" s="408"/>
      <c r="N459" s="408"/>
      <c r="O459" s="408"/>
      <c r="P459" s="408"/>
      <c r="Q459" s="408"/>
      <c r="R459" s="408"/>
      <c r="S459" s="408"/>
      <c r="T459" s="408"/>
      <c r="U459" s="408"/>
      <c r="V459" s="408"/>
      <c r="W459" s="408"/>
      <c r="X459" s="408"/>
      <c r="Y459" s="408"/>
      <c r="Z459" s="408"/>
    </row>
    <row r="460" ht="14.25" customHeight="1">
      <c r="A460" s="408"/>
      <c r="B460" s="408"/>
      <c r="C460" s="408"/>
      <c r="D460" s="408"/>
      <c r="E460" s="408"/>
      <c r="F460" s="408"/>
      <c r="G460" s="408"/>
      <c r="H460" s="408"/>
      <c r="I460" s="408"/>
      <c r="J460" s="408"/>
      <c r="K460" s="408"/>
      <c r="L460" s="408"/>
      <c r="M460" s="408"/>
      <c r="N460" s="408"/>
      <c r="O460" s="408"/>
      <c r="P460" s="408"/>
      <c r="Q460" s="408"/>
      <c r="R460" s="408"/>
      <c r="S460" s="408"/>
      <c r="T460" s="408"/>
      <c r="U460" s="408"/>
      <c r="V460" s="408"/>
      <c r="W460" s="408"/>
      <c r="X460" s="408"/>
      <c r="Y460" s="408"/>
      <c r="Z460" s="408"/>
    </row>
    <row r="461" ht="14.25" customHeight="1">
      <c r="A461" s="408"/>
      <c r="B461" s="408"/>
      <c r="C461" s="408"/>
      <c r="D461" s="408"/>
      <c r="E461" s="408"/>
      <c r="F461" s="408"/>
      <c r="G461" s="408"/>
      <c r="H461" s="408"/>
      <c r="I461" s="408"/>
      <c r="J461" s="408"/>
      <c r="K461" s="408"/>
      <c r="L461" s="408"/>
      <c r="M461" s="408"/>
      <c r="N461" s="408"/>
      <c r="O461" s="408"/>
      <c r="P461" s="408"/>
      <c r="Q461" s="408"/>
      <c r="R461" s="408"/>
      <c r="S461" s="408"/>
      <c r="T461" s="408"/>
      <c r="U461" s="408"/>
      <c r="V461" s="408"/>
      <c r="W461" s="408"/>
      <c r="X461" s="408"/>
      <c r="Y461" s="408"/>
      <c r="Z461" s="408"/>
    </row>
    <row r="462" ht="14.25" customHeight="1">
      <c r="A462" s="408"/>
      <c r="B462" s="408"/>
      <c r="C462" s="408"/>
      <c r="D462" s="408"/>
      <c r="E462" s="408"/>
      <c r="F462" s="408"/>
      <c r="G462" s="408"/>
      <c r="H462" s="408"/>
      <c r="I462" s="408"/>
      <c r="J462" s="408"/>
      <c r="K462" s="408"/>
      <c r="L462" s="408"/>
      <c r="M462" s="408"/>
      <c r="N462" s="408"/>
      <c r="O462" s="408"/>
      <c r="P462" s="408"/>
      <c r="Q462" s="408"/>
      <c r="R462" s="408"/>
      <c r="S462" s="408"/>
      <c r="T462" s="408"/>
      <c r="U462" s="408"/>
      <c r="V462" s="408"/>
      <c r="W462" s="408"/>
      <c r="X462" s="408"/>
      <c r="Y462" s="408"/>
      <c r="Z462" s="408"/>
    </row>
    <row r="463" ht="14.25" customHeight="1">
      <c r="A463" s="408"/>
      <c r="B463" s="408"/>
      <c r="C463" s="408"/>
      <c r="D463" s="408"/>
      <c r="E463" s="408"/>
      <c r="F463" s="408"/>
      <c r="G463" s="408"/>
      <c r="H463" s="408"/>
      <c r="I463" s="408"/>
      <c r="J463" s="408"/>
      <c r="K463" s="408"/>
      <c r="L463" s="408"/>
      <c r="M463" s="408"/>
      <c r="N463" s="408"/>
      <c r="O463" s="408"/>
      <c r="P463" s="408"/>
      <c r="Q463" s="408"/>
      <c r="R463" s="408"/>
      <c r="S463" s="408"/>
      <c r="T463" s="408"/>
      <c r="U463" s="408"/>
      <c r="V463" s="408"/>
      <c r="W463" s="408"/>
      <c r="X463" s="408"/>
      <c r="Y463" s="408"/>
      <c r="Z463" s="408"/>
    </row>
    <row r="464" ht="14.25" customHeight="1">
      <c r="A464" s="408"/>
      <c r="B464" s="408"/>
      <c r="C464" s="408"/>
      <c r="D464" s="408"/>
      <c r="E464" s="408"/>
      <c r="F464" s="408"/>
      <c r="G464" s="408"/>
      <c r="H464" s="408"/>
      <c r="I464" s="408"/>
      <c r="J464" s="408"/>
      <c r="K464" s="408"/>
      <c r="L464" s="408"/>
      <c r="M464" s="408"/>
      <c r="N464" s="408"/>
      <c r="O464" s="408"/>
      <c r="P464" s="408"/>
      <c r="Q464" s="408"/>
      <c r="R464" s="408"/>
      <c r="S464" s="408"/>
      <c r="T464" s="408"/>
      <c r="U464" s="408"/>
      <c r="V464" s="408"/>
      <c r="W464" s="408"/>
      <c r="X464" s="408"/>
      <c r="Y464" s="408"/>
      <c r="Z464" s="408"/>
    </row>
    <row r="465" ht="14.25" customHeight="1">
      <c r="A465" s="408"/>
      <c r="B465" s="408"/>
      <c r="C465" s="408"/>
      <c r="D465" s="408"/>
      <c r="E465" s="408"/>
      <c r="F465" s="408"/>
      <c r="G465" s="408"/>
      <c r="H465" s="408"/>
      <c r="I465" s="408"/>
      <c r="J465" s="408"/>
      <c r="K465" s="408"/>
      <c r="L465" s="408"/>
      <c r="M465" s="408"/>
      <c r="N465" s="408"/>
      <c r="O465" s="408"/>
      <c r="P465" s="408"/>
      <c r="Q465" s="408"/>
      <c r="R465" s="408"/>
      <c r="S465" s="408"/>
      <c r="T465" s="408"/>
      <c r="U465" s="408"/>
      <c r="V465" s="408"/>
      <c r="W465" s="408"/>
      <c r="X465" s="408"/>
      <c r="Y465" s="408"/>
      <c r="Z465" s="408"/>
    </row>
    <row r="466" ht="14.25" customHeight="1">
      <c r="A466" s="408"/>
      <c r="B466" s="408"/>
      <c r="C466" s="408"/>
      <c r="D466" s="408"/>
      <c r="E466" s="408"/>
      <c r="F466" s="408"/>
      <c r="G466" s="408"/>
      <c r="H466" s="408"/>
      <c r="I466" s="408"/>
      <c r="J466" s="408"/>
      <c r="K466" s="408"/>
      <c r="L466" s="408"/>
      <c r="M466" s="408"/>
      <c r="N466" s="408"/>
      <c r="O466" s="408"/>
      <c r="P466" s="408"/>
      <c r="Q466" s="408"/>
      <c r="R466" s="408"/>
      <c r="S466" s="408"/>
      <c r="T466" s="408"/>
      <c r="U466" s="408"/>
      <c r="V466" s="408"/>
      <c r="W466" s="408"/>
      <c r="X466" s="408"/>
      <c r="Y466" s="408"/>
      <c r="Z466" s="408"/>
    </row>
    <row r="467" ht="14.25" customHeight="1">
      <c r="A467" s="408"/>
      <c r="B467" s="408"/>
      <c r="C467" s="408"/>
      <c r="D467" s="408"/>
      <c r="E467" s="408"/>
      <c r="F467" s="408"/>
      <c r="G467" s="408"/>
      <c r="H467" s="408"/>
      <c r="I467" s="408"/>
      <c r="J467" s="408"/>
      <c r="K467" s="408"/>
      <c r="L467" s="408"/>
      <c r="M467" s="408"/>
      <c r="N467" s="408"/>
      <c r="O467" s="408"/>
      <c r="P467" s="408"/>
      <c r="Q467" s="408"/>
      <c r="R467" s="408"/>
      <c r="S467" s="408"/>
      <c r="T467" s="408"/>
      <c r="U467" s="408"/>
      <c r="V467" s="408"/>
      <c r="W467" s="408"/>
      <c r="X467" s="408"/>
      <c r="Y467" s="408"/>
      <c r="Z467" s="408"/>
    </row>
    <row r="468" ht="14.25" customHeight="1">
      <c r="A468" s="408"/>
      <c r="B468" s="408"/>
      <c r="C468" s="408"/>
      <c r="D468" s="408"/>
      <c r="E468" s="408"/>
      <c r="F468" s="408"/>
      <c r="G468" s="408"/>
      <c r="H468" s="408"/>
      <c r="I468" s="408"/>
      <c r="J468" s="408"/>
      <c r="K468" s="408"/>
      <c r="L468" s="408"/>
      <c r="M468" s="408"/>
      <c r="N468" s="408"/>
      <c r="O468" s="408"/>
      <c r="P468" s="408"/>
      <c r="Q468" s="408"/>
      <c r="R468" s="408"/>
      <c r="S468" s="408"/>
      <c r="T468" s="408"/>
      <c r="U468" s="408"/>
      <c r="V468" s="408"/>
      <c r="W468" s="408"/>
      <c r="X468" s="408"/>
      <c r="Y468" s="408"/>
      <c r="Z468" s="408"/>
    </row>
    <row r="469" ht="14.25" customHeight="1">
      <c r="A469" s="408"/>
      <c r="B469" s="408"/>
      <c r="C469" s="408"/>
      <c r="D469" s="408"/>
      <c r="E469" s="408"/>
      <c r="F469" s="408"/>
      <c r="G469" s="408"/>
      <c r="H469" s="408"/>
      <c r="I469" s="408"/>
      <c r="J469" s="408"/>
      <c r="K469" s="408"/>
      <c r="L469" s="408"/>
      <c r="M469" s="408"/>
      <c r="N469" s="408"/>
      <c r="O469" s="408"/>
      <c r="P469" s="408"/>
      <c r="Q469" s="408"/>
      <c r="R469" s="408"/>
      <c r="S469" s="408"/>
      <c r="T469" s="408"/>
      <c r="U469" s="408"/>
      <c r="V469" s="408"/>
      <c r="W469" s="408"/>
      <c r="X469" s="408"/>
      <c r="Y469" s="408"/>
      <c r="Z469" s="408"/>
    </row>
    <row r="470" ht="14.25" customHeight="1">
      <c r="A470" s="408"/>
      <c r="B470" s="408"/>
      <c r="C470" s="408"/>
      <c r="D470" s="408"/>
      <c r="E470" s="408"/>
      <c r="F470" s="408"/>
      <c r="G470" s="408"/>
      <c r="H470" s="408"/>
      <c r="I470" s="408"/>
      <c r="J470" s="408"/>
      <c r="K470" s="408"/>
      <c r="L470" s="408"/>
      <c r="M470" s="408"/>
      <c r="N470" s="408"/>
      <c r="O470" s="408"/>
      <c r="P470" s="408"/>
      <c r="Q470" s="408"/>
      <c r="R470" s="408"/>
      <c r="S470" s="408"/>
      <c r="T470" s="408"/>
      <c r="U470" s="408"/>
      <c r="V470" s="408"/>
      <c r="W470" s="408"/>
      <c r="X470" s="408"/>
      <c r="Y470" s="408"/>
      <c r="Z470" s="408"/>
    </row>
    <row r="471" ht="14.25" customHeight="1">
      <c r="A471" s="408"/>
      <c r="B471" s="408"/>
      <c r="C471" s="408"/>
      <c r="D471" s="408"/>
      <c r="E471" s="408"/>
      <c r="F471" s="408"/>
      <c r="G471" s="408"/>
      <c r="H471" s="408"/>
      <c r="I471" s="408"/>
      <c r="J471" s="408"/>
      <c r="K471" s="408"/>
      <c r="L471" s="408"/>
      <c r="M471" s="408"/>
      <c r="N471" s="408"/>
      <c r="O471" s="408"/>
      <c r="P471" s="408"/>
      <c r="Q471" s="408"/>
      <c r="R471" s="408"/>
      <c r="S471" s="408"/>
      <c r="T471" s="408"/>
      <c r="U471" s="408"/>
      <c r="V471" s="408"/>
      <c r="W471" s="408"/>
      <c r="X471" s="408"/>
      <c r="Y471" s="408"/>
      <c r="Z471" s="408"/>
    </row>
    <row r="472" ht="14.25" customHeight="1">
      <c r="A472" s="408"/>
      <c r="B472" s="408"/>
      <c r="C472" s="408"/>
      <c r="D472" s="408"/>
      <c r="E472" s="408"/>
      <c r="F472" s="408"/>
      <c r="G472" s="408"/>
      <c r="H472" s="408"/>
      <c r="I472" s="408"/>
      <c r="J472" s="408"/>
      <c r="K472" s="408"/>
      <c r="L472" s="408"/>
      <c r="M472" s="408"/>
      <c r="N472" s="408"/>
      <c r="O472" s="408"/>
      <c r="P472" s="408"/>
      <c r="Q472" s="408"/>
      <c r="R472" s="408"/>
      <c r="S472" s="408"/>
      <c r="T472" s="408"/>
      <c r="U472" s="408"/>
      <c r="V472" s="408"/>
      <c r="W472" s="408"/>
      <c r="X472" s="408"/>
      <c r="Y472" s="408"/>
      <c r="Z472" s="408"/>
    </row>
    <row r="473" ht="14.25" customHeight="1">
      <c r="A473" s="408"/>
      <c r="B473" s="408"/>
      <c r="C473" s="408"/>
      <c r="D473" s="408"/>
      <c r="E473" s="408"/>
      <c r="F473" s="408"/>
      <c r="G473" s="408"/>
      <c r="H473" s="408"/>
      <c r="I473" s="408"/>
      <c r="J473" s="408"/>
      <c r="K473" s="408"/>
      <c r="L473" s="408"/>
      <c r="M473" s="408"/>
      <c r="N473" s="408"/>
      <c r="O473" s="408"/>
      <c r="P473" s="408"/>
      <c r="Q473" s="408"/>
      <c r="R473" s="408"/>
      <c r="S473" s="408"/>
      <c r="T473" s="408"/>
      <c r="U473" s="408"/>
      <c r="V473" s="408"/>
      <c r="W473" s="408"/>
      <c r="X473" s="408"/>
      <c r="Y473" s="408"/>
      <c r="Z473" s="408"/>
    </row>
    <row r="474" ht="14.25" customHeight="1">
      <c r="A474" s="408"/>
      <c r="B474" s="408"/>
      <c r="C474" s="408"/>
      <c r="D474" s="408"/>
      <c r="E474" s="408"/>
      <c r="F474" s="408"/>
      <c r="G474" s="408"/>
      <c r="H474" s="408"/>
      <c r="I474" s="408"/>
      <c r="J474" s="408"/>
      <c r="K474" s="408"/>
      <c r="L474" s="408"/>
      <c r="M474" s="408"/>
      <c r="N474" s="408"/>
      <c r="O474" s="408"/>
      <c r="P474" s="408"/>
      <c r="Q474" s="408"/>
      <c r="R474" s="408"/>
      <c r="S474" s="408"/>
      <c r="T474" s="408"/>
      <c r="U474" s="408"/>
      <c r="V474" s="408"/>
      <c r="W474" s="408"/>
      <c r="X474" s="408"/>
      <c r="Y474" s="408"/>
      <c r="Z474" s="408"/>
    </row>
    <row r="475" ht="14.25" customHeight="1">
      <c r="A475" s="408"/>
      <c r="B475" s="408"/>
      <c r="C475" s="408"/>
      <c r="D475" s="408"/>
      <c r="E475" s="408"/>
      <c r="F475" s="408"/>
      <c r="G475" s="408"/>
      <c r="H475" s="408"/>
      <c r="I475" s="408"/>
      <c r="J475" s="408"/>
      <c r="K475" s="408"/>
      <c r="L475" s="408"/>
      <c r="M475" s="408"/>
      <c r="N475" s="408"/>
      <c r="O475" s="408"/>
      <c r="P475" s="408"/>
      <c r="Q475" s="408"/>
      <c r="R475" s="408"/>
      <c r="S475" s="408"/>
      <c r="T475" s="408"/>
      <c r="U475" s="408"/>
      <c r="V475" s="408"/>
      <c r="W475" s="408"/>
      <c r="X475" s="408"/>
      <c r="Y475" s="408"/>
      <c r="Z475" s="408"/>
    </row>
    <row r="476" ht="14.25" customHeight="1">
      <c r="A476" s="408"/>
      <c r="B476" s="408"/>
      <c r="C476" s="408"/>
      <c r="D476" s="408"/>
      <c r="E476" s="408"/>
      <c r="F476" s="408"/>
      <c r="G476" s="408"/>
      <c r="H476" s="408"/>
      <c r="I476" s="408"/>
      <c r="J476" s="408"/>
      <c r="K476" s="408"/>
      <c r="L476" s="408"/>
      <c r="M476" s="408"/>
      <c r="N476" s="408"/>
      <c r="O476" s="408"/>
      <c r="P476" s="408"/>
      <c r="Q476" s="408"/>
      <c r="R476" s="408"/>
      <c r="S476" s="408"/>
      <c r="T476" s="408"/>
      <c r="U476" s="408"/>
      <c r="V476" s="408"/>
      <c r="W476" s="408"/>
      <c r="X476" s="408"/>
      <c r="Y476" s="408"/>
      <c r="Z476" s="408"/>
    </row>
    <row r="477" ht="14.25" customHeight="1">
      <c r="A477" s="408"/>
      <c r="B477" s="408"/>
      <c r="C477" s="408"/>
      <c r="D477" s="408"/>
      <c r="E477" s="408"/>
      <c r="F477" s="408"/>
      <c r="G477" s="408"/>
      <c r="H477" s="408"/>
      <c r="I477" s="408"/>
      <c r="J477" s="408"/>
      <c r="K477" s="408"/>
      <c r="L477" s="408"/>
      <c r="M477" s="408"/>
      <c r="N477" s="408"/>
      <c r="O477" s="408"/>
      <c r="P477" s="408"/>
      <c r="Q477" s="408"/>
      <c r="R477" s="408"/>
      <c r="S477" s="408"/>
      <c r="T477" s="408"/>
      <c r="U477" s="408"/>
      <c r="V477" s="408"/>
      <c r="W477" s="408"/>
      <c r="X477" s="408"/>
      <c r="Y477" s="408"/>
      <c r="Z477" s="408"/>
    </row>
    <row r="478" ht="14.25" customHeight="1">
      <c r="A478" s="408"/>
      <c r="B478" s="408"/>
      <c r="C478" s="408"/>
      <c r="D478" s="408"/>
      <c r="E478" s="408"/>
      <c r="F478" s="408"/>
      <c r="G478" s="408"/>
      <c r="H478" s="408"/>
      <c r="I478" s="408"/>
      <c r="J478" s="408"/>
      <c r="K478" s="408"/>
      <c r="L478" s="408"/>
      <c r="M478" s="408"/>
      <c r="N478" s="408"/>
      <c r="O478" s="408"/>
      <c r="P478" s="408"/>
      <c r="Q478" s="408"/>
      <c r="R478" s="408"/>
      <c r="S478" s="408"/>
      <c r="T478" s="408"/>
      <c r="U478" s="408"/>
      <c r="V478" s="408"/>
      <c r="W478" s="408"/>
      <c r="X478" s="408"/>
      <c r="Y478" s="408"/>
      <c r="Z478" s="408"/>
    </row>
    <row r="479" ht="14.25" customHeight="1">
      <c r="A479" s="408"/>
      <c r="B479" s="408"/>
      <c r="C479" s="408"/>
      <c r="D479" s="408"/>
      <c r="E479" s="408"/>
      <c r="F479" s="408"/>
      <c r="G479" s="408"/>
      <c r="H479" s="408"/>
      <c r="I479" s="408"/>
      <c r="J479" s="408"/>
      <c r="K479" s="408"/>
      <c r="L479" s="408"/>
      <c r="M479" s="408"/>
      <c r="N479" s="408"/>
      <c r="O479" s="408"/>
      <c r="P479" s="408"/>
      <c r="Q479" s="408"/>
      <c r="R479" s="408"/>
      <c r="S479" s="408"/>
      <c r="T479" s="408"/>
      <c r="U479" s="408"/>
      <c r="V479" s="408"/>
      <c r="W479" s="408"/>
      <c r="X479" s="408"/>
      <c r="Y479" s="408"/>
      <c r="Z479" s="408"/>
    </row>
    <row r="480" ht="14.25" customHeight="1">
      <c r="A480" s="408"/>
      <c r="B480" s="408"/>
      <c r="C480" s="408"/>
      <c r="D480" s="408"/>
      <c r="E480" s="408"/>
      <c r="F480" s="408"/>
      <c r="G480" s="408"/>
      <c r="H480" s="408"/>
      <c r="I480" s="408"/>
      <c r="J480" s="408"/>
      <c r="K480" s="408"/>
      <c r="L480" s="408"/>
      <c r="M480" s="408"/>
      <c r="N480" s="408"/>
      <c r="O480" s="408"/>
      <c r="P480" s="408"/>
      <c r="Q480" s="408"/>
      <c r="R480" s="408"/>
      <c r="S480" s="408"/>
      <c r="T480" s="408"/>
      <c r="U480" s="408"/>
      <c r="V480" s="408"/>
      <c r="W480" s="408"/>
      <c r="X480" s="408"/>
      <c r="Y480" s="408"/>
      <c r="Z480" s="408"/>
    </row>
    <row r="481" ht="14.25" customHeight="1">
      <c r="A481" s="408"/>
      <c r="B481" s="408"/>
      <c r="C481" s="408"/>
      <c r="D481" s="408"/>
      <c r="E481" s="408"/>
      <c r="F481" s="408"/>
      <c r="G481" s="408"/>
      <c r="H481" s="408"/>
      <c r="I481" s="408"/>
      <c r="J481" s="408"/>
      <c r="K481" s="408"/>
      <c r="L481" s="408"/>
      <c r="M481" s="408"/>
      <c r="N481" s="408"/>
      <c r="O481" s="408"/>
      <c r="P481" s="408"/>
      <c r="Q481" s="408"/>
      <c r="R481" s="408"/>
      <c r="S481" s="408"/>
      <c r="T481" s="408"/>
      <c r="U481" s="408"/>
      <c r="V481" s="408"/>
      <c r="W481" s="408"/>
      <c r="X481" s="408"/>
      <c r="Y481" s="408"/>
      <c r="Z481" s="408"/>
    </row>
    <row r="482" ht="14.25" customHeight="1">
      <c r="A482" s="408"/>
      <c r="B482" s="408"/>
      <c r="C482" s="408"/>
      <c r="D482" s="408"/>
      <c r="E482" s="408"/>
      <c r="F482" s="408"/>
      <c r="G482" s="408"/>
      <c r="H482" s="408"/>
      <c r="I482" s="408"/>
      <c r="J482" s="408"/>
      <c r="K482" s="408"/>
      <c r="L482" s="408"/>
      <c r="M482" s="408"/>
      <c r="N482" s="408"/>
      <c r="O482" s="408"/>
      <c r="P482" s="408"/>
      <c r="Q482" s="408"/>
      <c r="R482" s="408"/>
      <c r="S482" s="408"/>
      <c r="T482" s="408"/>
      <c r="U482" s="408"/>
      <c r="V482" s="408"/>
      <c r="W482" s="408"/>
      <c r="X482" s="408"/>
      <c r="Y482" s="408"/>
      <c r="Z482" s="408"/>
    </row>
    <row r="483" ht="14.25" customHeight="1">
      <c r="A483" s="408"/>
      <c r="B483" s="408"/>
      <c r="C483" s="408"/>
      <c r="D483" s="408"/>
      <c r="E483" s="408"/>
      <c r="F483" s="408"/>
      <c r="G483" s="408"/>
      <c r="H483" s="408"/>
      <c r="I483" s="408"/>
      <c r="J483" s="408"/>
      <c r="K483" s="408"/>
      <c r="L483" s="408"/>
      <c r="M483" s="408"/>
      <c r="N483" s="408"/>
      <c r="O483" s="408"/>
      <c r="P483" s="408"/>
      <c r="Q483" s="408"/>
      <c r="R483" s="408"/>
      <c r="S483" s="408"/>
      <c r="T483" s="408"/>
      <c r="U483" s="408"/>
      <c r="V483" s="408"/>
      <c r="W483" s="408"/>
      <c r="X483" s="408"/>
      <c r="Y483" s="408"/>
      <c r="Z483" s="408"/>
    </row>
    <row r="484" ht="14.25" customHeight="1">
      <c r="A484" s="408"/>
      <c r="B484" s="408"/>
      <c r="C484" s="408"/>
      <c r="D484" s="408"/>
      <c r="E484" s="408"/>
      <c r="F484" s="408"/>
      <c r="G484" s="408"/>
      <c r="H484" s="408"/>
      <c r="I484" s="408"/>
      <c r="J484" s="408"/>
      <c r="K484" s="408"/>
      <c r="L484" s="408"/>
      <c r="M484" s="408"/>
      <c r="N484" s="408"/>
      <c r="O484" s="408"/>
      <c r="P484" s="408"/>
      <c r="Q484" s="408"/>
      <c r="R484" s="408"/>
      <c r="S484" s="408"/>
      <c r="T484" s="408"/>
      <c r="U484" s="408"/>
      <c r="V484" s="408"/>
      <c r="W484" s="408"/>
      <c r="X484" s="408"/>
      <c r="Y484" s="408"/>
      <c r="Z484" s="408"/>
    </row>
    <row r="485" ht="14.25" customHeight="1">
      <c r="A485" s="408"/>
      <c r="B485" s="408"/>
      <c r="C485" s="408"/>
      <c r="D485" s="408"/>
      <c r="E485" s="408"/>
      <c r="F485" s="408"/>
      <c r="G485" s="408"/>
      <c r="H485" s="408"/>
      <c r="I485" s="408"/>
      <c r="J485" s="408"/>
      <c r="K485" s="408"/>
      <c r="L485" s="408"/>
      <c r="M485" s="408"/>
      <c r="N485" s="408"/>
      <c r="O485" s="408"/>
      <c r="P485" s="408"/>
      <c r="Q485" s="408"/>
      <c r="R485" s="408"/>
      <c r="S485" s="408"/>
      <c r="T485" s="408"/>
      <c r="U485" s="408"/>
      <c r="V485" s="408"/>
      <c r="W485" s="408"/>
      <c r="X485" s="408"/>
      <c r="Y485" s="408"/>
      <c r="Z485" s="408"/>
    </row>
    <row r="486" ht="14.25" customHeight="1">
      <c r="A486" s="408"/>
      <c r="B486" s="408"/>
      <c r="C486" s="408"/>
      <c r="D486" s="408"/>
      <c r="E486" s="408"/>
      <c r="F486" s="408"/>
      <c r="G486" s="408"/>
      <c r="H486" s="408"/>
      <c r="I486" s="408"/>
      <c r="J486" s="408"/>
      <c r="K486" s="408"/>
      <c r="L486" s="408"/>
      <c r="M486" s="408"/>
      <c r="N486" s="408"/>
      <c r="O486" s="408"/>
      <c r="P486" s="408"/>
      <c r="Q486" s="408"/>
      <c r="R486" s="408"/>
      <c r="S486" s="408"/>
      <c r="T486" s="408"/>
      <c r="U486" s="408"/>
      <c r="V486" s="408"/>
      <c r="W486" s="408"/>
      <c r="X486" s="408"/>
      <c r="Y486" s="408"/>
      <c r="Z486" s="408"/>
    </row>
    <row r="487" ht="14.25" customHeight="1">
      <c r="A487" s="408"/>
      <c r="B487" s="408"/>
      <c r="C487" s="408"/>
      <c r="D487" s="408"/>
      <c r="E487" s="408"/>
      <c r="F487" s="408"/>
      <c r="G487" s="408"/>
      <c r="H487" s="408"/>
      <c r="I487" s="408"/>
      <c r="J487" s="408"/>
      <c r="K487" s="408"/>
      <c r="L487" s="408"/>
      <c r="M487" s="408"/>
      <c r="N487" s="408"/>
      <c r="O487" s="408"/>
      <c r="P487" s="408"/>
      <c r="Q487" s="408"/>
      <c r="R487" s="408"/>
      <c r="S487" s="408"/>
      <c r="T487" s="408"/>
      <c r="U487" s="408"/>
      <c r="V487" s="408"/>
      <c r="W487" s="408"/>
      <c r="X487" s="408"/>
      <c r="Y487" s="408"/>
      <c r="Z487" s="408"/>
    </row>
    <row r="488" ht="14.25" customHeight="1">
      <c r="A488" s="408"/>
      <c r="B488" s="408"/>
      <c r="C488" s="408"/>
      <c r="D488" s="408"/>
      <c r="E488" s="408"/>
      <c r="F488" s="408"/>
      <c r="G488" s="408"/>
      <c r="H488" s="408"/>
      <c r="I488" s="408"/>
      <c r="J488" s="408"/>
      <c r="K488" s="408"/>
      <c r="L488" s="408"/>
      <c r="M488" s="408"/>
      <c r="N488" s="408"/>
      <c r="O488" s="408"/>
      <c r="P488" s="408"/>
      <c r="Q488" s="408"/>
      <c r="R488" s="408"/>
      <c r="S488" s="408"/>
      <c r="T488" s="408"/>
      <c r="U488" s="408"/>
      <c r="V488" s="408"/>
      <c r="W488" s="408"/>
      <c r="X488" s="408"/>
      <c r="Y488" s="408"/>
      <c r="Z488" s="408"/>
    </row>
    <row r="489" ht="14.25" customHeight="1">
      <c r="A489" s="408"/>
      <c r="B489" s="408"/>
      <c r="C489" s="408"/>
      <c r="D489" s="408"/>
      <c r="E489" s="408"/>
      <c r="F489" s="408"/>
      <c r="G489" s="408"/>
      <c r="H489" s="408"/>
      <c r="I489" s="408"/>
      <c r="J489" s="408"/>
      <c r="K489" s="408"/>
      <c r="L489" s="408"/>
      <c r="M489" s="408"/>
      <c r="N489" s="408"/>
      <c r="O489" s="408"/>
      <c r="P489" s="408"/>
      <c r="Q489" s="408"/>
      <c r="R489" s="408"/>
      <c r="S489" s="408"/>
      <c r="T489" s="408"/>
      <c r="U489" s="408"/>
      <c r="V489" s="408"/>
      <c r="W489" s="408"/>
      <c r="X489" s="408"/>
      <c r="Y489" s="408"/>
      <c r="Z489" s="408"/>
    </row>
    <row r="490" ht="14.25" customHeight="1">
      <c r="A490" s="408"/>
      <c r="B490" s="408"/>
      <c r="C490" s="408"/>
      <c r="D490" s="408"/>
      <c r="E490" s="408"/>
      <c r="F490" s="408"/>
      <c r="G490" s="408"/>
      <c r="H490" s="408"/>
      <c r="I490" s="408"/>
      <c r="J490" s="408"/>
      <c r="K490" s="408"/>
      <c r="L490" s="408"/>
      <c r="M490" s="408"/>
      <c r="N490" s="408"/>
      <c r="O490" s="408"/>
      <c r="P490" s="408"/>
      <c r="Q490" s="408"/>
      <c r="R490" s="408"/>
      <c r="S490" s="408"/>
      <c r="T490" s="408"/>
      <c r="U490" s="408"/>
      <c r="V490" s="408"/>
      <c r="W490" s="408"/>
      <c r="X490" s="408"/>
      <c r="Y490" s="408"/>
      <c r="Z490" s="408"/>
    </row>
    <row r="491" ht="14.25" customHeight="1">
      <c r="A491" s="408"/>
      <c r="B491" s="408"/>
      <c r="C491" s="408"/>
      <c r="D491" s="408"/>
      <c r="E491" s="408"/>
      <c r="F491" s="408"/>
      <c r="G491" s="408"/>
      <c r="H491" s="408"/>
      <c r="I491" s="408"/>
      <c r="J491" s="408"/>
      <c r="K491" s="408"/>
      <c r="L491" s="408"/>
      <c r="M491" s="408"/>
      <c r="N491" s="408"/>
      <c r="O491" s="408"/>
      <c r="P491" s="408"/>
      <c r="Q491" s="408"/>
      <c r="R491" s="408"/>
      <c r="S491" s="408"/>
      <c r="T491" s="408"/>
      <c r="U491" s="408"/>
      <c r="V491" s="408"/>
      <c r="W491" s="408"/>
      <c r="X491" s="408"/>
      <c r="Y491" s="408"/>
      <c r="Z491" s="408"/>
    </row>
    <row r="492" ht="14.25" customHeight="1">
      <c r="A492" s="408"/>
      <c r="B492" s="408"/>
      <c r="C492" s="408"/>
      <c r="D492" s="408"/>
      <c r="E492" s="408"/>
      <c r="F492" s="408"/>
      <c r="G492" s="408"/>
      <c r="H492" s="408"/>
      <c r="I492" s="408"/>
      <c r="J492" s="408"/>
      <c r="K492" s="408"/>
      <c r="L492" s="408"/>
      <c r="M492" s="408"/>
      <c r="N492" s="408"/>
      <c r="O492" s="408"/>
      <c r="P492" s="408"/>
      <c r="Q492" s="408"/>
      <c r="R492" s="408"/>
      <c r="S492" s="408"/>
      <c r="T492" s="408"/>
      <c r="U492" s="408"/>
      <c r="V492" s="408"/>
      <c r="W492" s="408"/>
      <c r="X492" s="408"/>
      <c r="Y492" s="408"/>
      <c r="Z492" s="408"/>
    </row>
    <row r="493" ht="14.25" customHeight="1">
      <c r="A493" s="408"/>
      <c r="B493" s="408"/>
      <c r="C493" s="408"/>
      <c r="D493" s="408"/>
      <c r="E493" s="408"/>
      <c r="F493" s="408"/>
      <c r="G493" s="408"/>
      <c r="H493" s="408"/>
      <c r="I493" s="408"/>
      <c r="J493" s="408"/>
      <c r="K493" s="408"/>
      <c r="L493" s="408"/>
      <c r="M493" s="408"/>
      <c r="N493" s="408"/>
      <c r="O493" s="408"/>
      <c r="P493" s="408"/>
      <c r="Q493" s="408"/>
      <c r="R493" s="408"/>
      <c r="S493" s="408"/>
      <c r="T493" s="408"/>
      <c r="U493" s="408"/>
      <c r="V493" s="408"/>
      <c r="W493" s="408"/>
      <c r="X493" s="408"/>
      <c r="Y493" s="408"/>
      <c r="Z493" s="408"/>
    </row>
    <row r="494" ht="14.25" customHeight="1">
      <c r="A494" s="408"/>
      <c r="B494" s="408"/>
      <c r="C494" s="408"/>
      <c r="D494" s="408"/>
      <c r="E494" s="408"/>
      <c r="F494" s="408"/>
      <c r="G494" s="408"/>
      <c r="H494" s="408"/>
      <c r="I494" s="408"/>
      <c r="J494" s="408"/>
      <c r="K494" s="408"/>
      <c r="L494" s="408"/>
      <c r="M494" s="408"/>
      <c r="N494" s="408"/>
      <c r="O494" s="408"/>
      <c r="P494" s="408"/>
      <c r="Q494" s="408"/>
      <c r="R494" s="408"/>
      <c r="S494" s="408"/>
      <c r="T494" s="408"/>
      <c r="U494" s="408"/>
      <c r="V494" s="408"/>
      <c r="W494" s="408"/>
      <c r="X494" s="408"/>
      <c r="Y494" s="408"/>
      <c r="Z494" s="408"/>
    </row>
    <row r="495" ht="14.25" customHeight="1">
      <c r="A495" s="408"/>
      <c r="B495" s="408"/>
      <c r="C495" s="408"/>
      <c r="D495" s="408"/>
      <c r="E495" s="408"/>
      <c r="F495" s="408"/>
      <c r="G495" s="408"/>
      <c r="H495" s="408"/>
      <c r="I495" s="408"/>
      <c r="J495" s="408"/>
      <c r="K495" s="408"/>
      <c r="L495" s="408"/>
      <c r="M495" s="408"/>
      <c r="N495" s="408"/>
      <c r="O495" s="408"/>
      <c r="P495" s="408"/>
      <c r="Q495" s="408"/>
      <c r="R495" s="408"/>
      <c r="S495" s="408"/>
      <c r="T495" s="408"/>
      <c r="U495" s="408"/>
      <c r="V495" s="408"/>
      <c r="W495" s="408"/>
      <c r="X495" s="408"/>
      <c r="Y495" s="408"/>
      <c r="Z495" s="408"/>
    </row>
    <row r="496" ht="14.25" customHeight="1">
      <c r="A496" s="408"/>
      <c r="B496" s="408"/>
      <c r="C496" s="408"/>
      <c r="D496" s="408"/>
      <c r="E496" s="408"/>
      <c r="F496" s="408"/>
      <c r="G496" s="408"/>
      <c r="H496" s="408"/>
      <c r="I496" s="408"/>
      <c r="J496" s="408"/>
      <c r="K496" s="408"/>
      <c r="L496" s="408"/>
      <c r="M496" s="408"/>
      <c r="N496" s="408"/>
      <c r="O496" s="408"/>
      <c r="P496" s="408"/>
      <c r="Q496" s="408"/>
      <c r="R496" s="408"/>
      <c r="S496" s="408"/>
      <c r="T496" s="408"/>
      <c r="U496" s="408"/>
      <c r="V496" s="408"/>
      <c r="W496" s="408"/>
      <c r="X496" s="408"/>
      <c r="Y496" s="408"/>
      <c r="Z496" s="408"/>
    </row>
    <row r="497" ht="14.25" customHeight="1">
      <c r="A497" s="408"/>
      <c r="B497" s="408"/>
      <c r="C497" s="408"/>
      <c r="D497" s="408"/>
      <c r="E497" s="408"/>
      <c r="F497" s="408"/>
      <c r="G497" s="408"/>
      <c r="H497" s="408"/>
      <c r="I497" s="408"/>
      <c r="J497" s="408"/>
      <c r="K497" s="408"/>
      <c r="L497" s="408"/>
      <c r="M497" s="408"/>
      <c r="N497" s="408"/>
      <c r="O497" s="408"/>
      <c r="P497" s="408"/>
      <c r="Q497" s="408"/>
      <c r="R497" s="408"/>
      <c r="S497" s="408"/>
      <c r="T497" s="408"/>
      <c r="U497" s="408"/>
      <c r="V497" s="408"/>
      <c r="W497" s="408"/>
      <c r="X497" s="408"/>
      <c r="Y497" s="408"/>
      <c r="Z497" s="408"/>
    </row>
    <row r="498" ht="14.25" customHeight="1">
      <c r="A498" s="408"/>
      <c r="B498" s="408"/>
      <c r="C498" s="408"/>
      <c r="D498" s="408"/>
      <c r="E498" s="408"/>
      <c r="F498" s="408"/>
      <c r="G498" s="408"/>
      <c r="H498" s="408"/>
      <c r="I498" s="408"/>
      <c r="J498" s="408"/>
      <c r="K498" s="408"/>
      <c r="L498" s="408"/>
      <c r="M498" s="408"/>
      <c r="N498" s="408"/>
      <c r="O498" s="408"/>
      <c r="P498" s="408"/>
      <c r="Q498" s="408"/>
      <c r="R498" s="408"/>
      <c r="S498" s="408"/>
      <c r="T498" s="408"/>
      <c r="U498" s="408"/>
      <c r="V498" s="408"/>
      <c r="W498" s="408"/>
      <c r="X498" s="408"/>
      <c r="Y498" s="408"/>
      <c r="Z498" s="408"/>
    </row>
    <row r="499" ht="14.25" customHeight="1">
      <c r="A499" s="408"/>
      <c r="B499" s="408"/>
      <c r="C499" s="408"/>
      <c r="D499" s="408"/>
      <c r="E499" s="408"/>
      <c r="F499" s="408"/>
      <c r="G499" s="408"/>
      <c r="H499" s="408"/>
      <c r="I499" s="408"/>
      <c r="J499" s="408"/>
      <c r="K499" s="408"/>
      <c r="L499" s="408"/>
      <c r="M499" s="408"/>
      <c r="N499" s="408"/>
      <c r="O499" s="408"/>
      <c r="P499" s="408"/>
      <c r="Q499" s="408"/>
      <c r="R499" s="408"/>
      <c r="S499" s="408"/>
      <c r="T499" s="408"/>
      <c r="U499" s="408"/>
      <c r="V499" s="408"/>
      <c r="W499" s="408"/>
      <c r="X499" s="408"/>
      <c r="Y499" s="408"/>
      <c r="Z499" s="408"/>
    </row>
    <row r="500" ht="14.25" customHeight="1">
      <c r="A500" s="408"/>
      <c r="B500" s="408"/>
      <c r="C500" s="408"/>
      <c r="D500" s="408"/>
      <c r="E500" s="408"/>
      <c r="F500" s="408"/>
      <c r="G500" s="408"/>
      <c r="H500" s="408"/>
      <c r="I500" s="408"/>
      <c r="J500" s="408"/>
      <c r="K500" s="408"/>
      <c r="L500" s="408"/>
      <c r="M500" s="408"/>
      <c r="N500" s="408"/>
      <c r="O500" s="408"/>
      <c r="P500" s="408"/>
      <c r="Q500" s="408"/>
      <c r="R500" s="408"/>
      <c r="S500" s="408"/>
      <c r="T500" s="408"/>
      <c r="U500" s="408"/>
      <c r="V500" s="408"/>
      <c r="W500" s="408"/>
      <c r="X500" s="408"/>
      <c r="Y500" s="408"/>
      <c r="Z500" s="408"/>
    </row>
    <row r="501" ht="14.25" customHeight="1">
      <c r="A501" s="408"/>
      <c r="B501" s="408"/>
      <c r="C501" s="408"/>
      <c r="D501" s="408"/>
      <c r="E501" s="408"/>
      <c r="F501" s="408"/>
      <c r="G501" s="408"/>
      <c r="H501" s="408"/>
      <c r="I501" s="408"/>
      <c r="J501" s="408"/>
      <c r="K501" s="408"/>
      <c r="L501" s="408"/>
      <c r="M501" s="408"/>
      <c r="N501" s="408"/>
      <c r="O501" s="408"/>
      <c r="P501" s="408"/>
      <c r="Q501" s="408"/>
      <c r="R501" s="408"/>
      <c r="S501" s="408"/>
      <c r="T501" s="408"/>
      <c r="U501" s="408"/>
      <c r="V501" s="408"/>
      <c r="W501" s="408"/>
      <c r="X501" s="408"/>
      <c r="Y501" s="408"/>
      <c r="Z501" s="408"/>
    </row>
    <row r="502" ht="14.25" customHeight="1">
      <c r="A502" s="408"/>
      <c r="B502" s="408"/>
      <c r="C502" s="408"/>
      <c r="D502" s="408"/>
      <c r="E502" s="408"/>
      <c r="F502" s="408"/>
      <c r="G502" s="408"/>
      <c r="H502" s="408"/>
      <c r="I502" s="408"/>
      <c r="J502" s="408"/>
      <c r="K502" s="408"/>
      <c r="L502" s="408"/>
      <c r="M502" s="408"/>
      <c r="N502" s="408"/>
      <c r="O502" s="408"/>
      <c r="P502" s="408"/>
      <c r="Q502" s="408"/>
      <c r="R502" s="408"/>
      <c r="S502" s="408"/>
      <c r="T502" s="408"/>
      <c r="U502" s="408"/>
      <c r="V502" s="408"/>
      <c r="W502" s="408"/>
      <c r="X502" s="408"/>
      <c r="Y502" s="408"/>
      <c r="Z502" s="408"/>
    </row>
    <row r="503" ht="14.25" customHeight="1">
      <c r="A503" s="408"/>
      <c r="B503" s="408"/>
      <c r="C503" s="408"/>
      <c r="D503" s="408"/>
      <c r="E503" s="408"/>
      <c r="F503" s="408"/>
      <c r="G503" s="408"/>
      <c r="H503" s="408"/>
      <c r="I503" s="408"/>
      <c r="J503" s="408"/>
      <c r="K503" s="408"/>
      <c r="L503" s="408"/>
      <c r="M503" s="408"/>
      <c r="N503" s="408"/>
      <c r="O503" s="408"/>
      <c r="P503" s="408"/>
      <c r="Q503" s="408"/>
      <c r="R503" s="408"/>
      <c r="S503" s="408"/>
      <c r="T503" s="408"/>
      <c r="U503" s="408"/>
      <c r="V503" s="408"/>
      <c r="W503" s="408"/>
      <c r="X503" s="408"/>
      <c r="Y503" s="408"/>
      <c r="Z503" s="408"/>
    </row>
    <row r="504" ht="14.25" customHeight="1">
      <c r="A504" s="408"/>
      <c r="B504" s="408"/>
      <c r="C504" s="408"/>
      <c r="D504" s="408"/>
      <c r="E504" s="408"/>
      <c r="F504" s="408"/>
      <c r="G504" s="408"/>
      <c r="H504" s="408"/>
      <c r="I504" s="408"/>
      <c r="J504" s="408"/>
      <c r="K504" s="408"/>
      <c r="L504" s="408"/>
      <c r="M504" s="408"/>
      <c r="N504" s="408"/>
      <c r="O504" s="408"/>
      <c r="P504" s="408"/>
      <c r="Q504" s="408"/>
      <c r="R504" s="408"/>
      <c r="S504" s="408"/>
      <c r="T504" s="408"/>
      <c r="U504" s="408"/>
      <c r="V504" s="408"/>
      <c r="W504" s="408"/>
      <c r="X504" s="408"/>
      <c r="Y504" s="408"/>
      <c r="Z504" s="408"/>
    </row>
    <row r="505" ht="14.25" customHeight="1">
      <c r="A505" s="408"/>
      <c r="B505" s="408"/>
      <c r="C505" s="408"/>
      <c r="D505" s="408"/>
      <c r="E505" s="408"/>
      <c r="F505" s="408"/>
      <c r="G505" s="408"/>
      <c r="H505" s="408"/>
      <c r="I505" s="408"/>
      <c r="J505" s="408"/>
      <c r="K505" s="408"/>
      <c r="L505" s="408"/>
      <c r="M505" s="408"/>
      <c r="N505" s="408"/>
      <c r="O505" s="408"/>
      <c r="P505" s="408"/>
      <c r="Q505" s="408"/>
      <c r="R505" s="408"/>
      <c r="S505" s="408"/>
      <c r="T505" s="408"/>
      <c r="U505" s="408"/>
      <c r="V505" s="408"/>
      <c r="W505" s="408"/>
      <c r="X505" s="408"/>
      <c r="Y505" s="408"/>
      <c r="Z505" s="408"/>
    </row>
    <row r="506" ht="14.25" customHeight="1">
      <c r="A506" s="408"/>
      <c r="B506" s="408"/>
      <c r="C506" s="408"/>
      <c r="D506" s="408"/>
      <c r="E506" s="408"/>
      <c r="F506" s="408"/>
      <c r="G506" s="408"/>
      <c r="H506" s="408"/>
      <c r="I506" s="408"/>
      <c r="J506" s="408"/>
      <c r="K506" s="408"/>
      <c r="L506" s="408"/>
      <c r="M506" s="408"/>
      <c r="N506" s="408"/>
      <c r="O506" s="408"/>
      <c r="P506" s="408"/>
      <c r="Q506" s="408"/>
      <c r="R506" s="408"/>
      <c r="S506" s="408"/>
      <c r="T506" s="408"/>
      <c r="U506" s="408"/>
      <c r="V506" s="408"/>
      <c r="W506" s="408"/>
      <c r="X506" s="408"/>
      <c r="Y506" s="408"/>
      <c r="Z506" s="408"/>
    </row>
    <row r="507" ht="14.25" customHeight="1">
      <c r="A507" s="408"/>
      <c r="B507" s="408"/>
      <c r="C507" s="408"/>
      <c r="D507" s="408"/>
      <c r="E507" s="408"/>
      <c r="F507" s="408"/>
      <c r="G507" s="408"/>
      <c r="H507" s="408"/>
      <c r="I507" s="408"/>
      <c r="J507" s="408"/>
      <c r="K507" s="408"/>
      <c r="L507" s="408"/>
      <c r="M507" s="408"/>
      <c r="N507" s="408"/>
      <c r="O507" s="408"/>
      <c r="P507" s="408"/>
      <c r="Q507" s="408"/>
      <c r="R507" s="408"/>
      <c r="S507" s="408"/>
      <c r="T507" s="408"/>
      <c r="U507" s="408"/>
      <c r="V507" s="408"/>
      <c r="W507" s="408"/>
      <c r="X507" s="408"/>
      <c r="Y507" s="408"/>
      <c r="Z507" s="408"/>
    </row>
    <row r="508" ht="14.25" customHeight="1">
      <c r="A508" s="408"/>
      <c r="B508" s="408"/>
      <c r="C508" s="408"/>
      <c r="D508" s="408"/>
      <c r="E508" s="408"/>
      <c r="F508" s="408"/>
      <c r="G508" s="408"/>
      <c r="H508" s="408"/>
      <c r="I508" s="408"/>
      <c r="J508" s="408"/>
      <c r="K508" s="408"/>
      <c r="L508" s="408"/>
      <c r="M508" s="408"/>
      <c r="N508" s="408"/>
      <c r="O508" s="408"/>
      <c r="P508" s="408"/>
      <c r="Q508" s="408"/>
      <c r="R508" s="408"/>
      <c r="S508" s="408"/>
      <c r="T508" s="408"/>
      <c r="U508" s="408"/>
      <c r="V508" s="408"/>
      <c r="W508" s="408"/>
      <c r="X508" s="408"/>
      <c r="Y508" s="408"/>
      <c r="Z508" s="408"/>
    </row>
    <row r="509" ht="14.25" customHeight="1">
      <c r="A509" s="408"/>
      <c r="B509" s="408"/>
      <c r="C509" s="408"/>
      <c r="D509" s="408"/>
      <c r="E509" s="408"/>
      <c r="F509" s="408"/>
      <c r="G509" s="408"/>
      <c r="H509" s="408"/>
      <c r="I509" s="408"/>
      <c r="J509" s="408"/>
      <c r="K509" s="408"/>
      <c r="L509" s="408"/>
      <c r="M509" s="408"/>
      <c r="N509" s="408"/>
      <c r="O509" s="408"/>
      <c r="P509" s="408"/>
      <c r="Q509" s="408"/>
      <c r="R509" s="408"/>
      <c r="S509" s="408"/>
      <c r="T509" s="408"/>
      <c r="U509" s="408"/>
      <c r="V509" s="408"/>
      <c r="W509" s="408"/>
      <c r="X509" s="408"/>
      <c r="Y509" s="408"/>
      <c r="Z509" s="408"/>
    </row>
    <row r="510" ht="14.25" customHeight="1">
      <c r="A510" s="408"/>
      <c r="B510" s="408"/>
      <c r="C510" s="408"/>
      <c r="D510" s="408"/>
      <c r="E510" s="408"/>
      <c r="F510" s="408"/>
      <c r="G510" s="408"/>
      <c r="H510" s="408"/>
      <c r="I510" s="408"/>
      <c r="J510" s="408"/>
      <c r="K510" s="408"/>
      <c r="L510" s="408"/>
      <c r="M510" s="408"/>
      <c r="N510" s="408"/>
      <c r="O510" s="408"/>
      <c r="P510" s="408"/>
      <c r="Q510" s="408"/>
      <c r="R510" s="408"/>
      <c r="S510" s="408"/>
      <c r="T510" s="408"/>
      <c r="U510" s="408"/>
      <c r="V510" s="408"/>
      <c r="W510" s="408"/>
      <c r="X510" s="408"/>
      <c r="Y510" s="408"/>
      <c r="Z510" s="408"/>
    </row>
    <row r="511" ht="14.25" customHeight="1">
      <c r="A511" s="408"/>
      <c r="B511" s="408"/>
      <c r="C511" s="408"/>
      <c r="D511" s="408"/>
      <c r="E511" s="408"/>
      <c r="F511" s="408"/>
      <c r="G511" s="408"/>
      <c r="H511" s="408"/>
      <c r="I511" s="408"/>
      <c r="J511" s="408"/>
      <c r="K511" s="408"/>
      <c r="L511" s="408"/>
      <c r="M511" s="408"/>
      <c r="N511" s="408"/>
      <c r="O511" s="408"/>
      <c r="P511" s="408"/>
      <c r="Q511" s="408"/>
      <c r="R511" s="408"/>
      <c r="S511" s="408"/>
      <c r="T511" s="408"/>
      <c r="U511" s="408"/>
      <c r="V511" s="408"/>
      <c r="W511" s="408"/>
      <c r="X511" s="408"/>
      <c r="Y511" s="408"/>
      <c r="Z511" s="408"/>
    </row>
    <row r="512" ht="14.25" customHeight="1">
      <c r="A512" s="408"/>
      <c r="B512" s="408"/>
      <c r="C512" s="408"/>
      <c r="D512" s="408"/>
      <c r="E512" s="408"/>
      <c r="F512" s="408"/>
      <c r="G512" s="408"/>
      <c r="H512" s="408"/>
      <c r="I512" s="408"/>
      <c r="J512" s="408"/>
      <c r="K512" s="408"/>
      <c r="L512" s="408"/>
      <c r="M512" s="408"/>
      <c r="N512" s="408"/>
      <c r="O512" s="408"/>
      <c r="P512" s="408"/>
      <c r="Q512" s="408"/>
      <c r="R512" s="408"/>
      <c r="S512" s="408"/>
      <c r="T512" s="408"/>
      <c r="U512" s="408"/>
      <c r="V512" s="408"/>
      <c r="W512" s="408"/>
      <c r="X512" s="408"/>
      <c r="Y512" s="408"/>
      <c r="Z512" s="408"/>
    </row>
    <row r="513" ht="14.25" customHeight="1">
      <c r="A513" s="408"/>
      <c r="B513" s="408"/>
      <c r="C513" s="408"/>
      <c r="D513" s="408"/>
      <c r="E513" s="408"/>
      <c r="F513" s="408"/>
      <c r="G513" s="408"/>
      <c r="H513" s="408"/>
      <c r="I513" s="408"/>
      <c r="J513" s="408"/>
      <c r="K513" s="408"/>
      <c r="L513" s="408"/>
      <c r="M513" s="408"/>
      <c r="N513" s="408"/>
      <c r="O513" s="408"/>
      <c r="P513" s="408"/>
      <c r="Q513" s="408"/>
      <c r="R513" s="408"/>
      <c r="S513" s="408"/>
      <c r="T513" s="408"/>
      <c r="U513" s="408"/>
      <c r="V513" s="408"/>
      <c r="W513" s="408"/>
      <c r="X513" s="408"/>
      <c r="Y513" s="408"/>
      <c r="Z513" s="408"/>
    </row>
    <row r="514" ht="14.25" customHeight="1">
      <c r="A514" s="408"/>
      <c r="B514" s="408"/>
      <c r="C514" s="408"/>
      <c r="D514" s="408"/>
      <c r="E514" s="408"/>
      <c r="F514" s="408"/>
      <c r="G514" s="408"/>
      <c r="H514" s="408"/>
      <c r="I514" s="408"/>
      <c r="J514" s="408"/>
      <c r="K514" s="408"/>
      <c r="L514" s="408"/>
      <c r="M514" s="408"/>
      <c r="N514" s="408"/>
      <c r="O514" s="408"/>
      <c r="P514" s="408"/>
      <c r="Q514" s="408"/>
      <c r="R514" s="408"/>
      <c r="S514" s="408"/>
      <c r="T514" s="408"/>
      <c r="U514" s="408"/>
      <c r="V514" s="408"/>
      <c r="W514" s="408"/>
      <c r="X514" s="408"/>
      <c r="Y514" s="408"/>
      <c r="Z514" s="408"/>
    </row>
    <row r="515" ht="14.25" customHeight="1">
      <c r="A515" s="408"/>
      <c r="B515" s="408"/>
      <c r="C515" s="408"/>
      <c r="D515" s="408"/>
      <c r="E515" s="408"/>
      <c r="F515" s="408"/>
      <c r="G515" s="408"/>
      <c r="H515" s="408"/>
      <c r="I515" s="408"/>
      <c r="J515" s="408"/>
      <c r="K515" s="408"/>
      <c r="L515" s="408"/>
      <c r="M515" s="408"/>
      <c r="N515" s="408"/>
      <c r="O515" s="408"/>
      <c r="P515" s="408"/>
      <c r="Q515" s="408"/>
      <c r="R515" s="408"/>
      <c r="S515" s="408"/>
      <c r="T515" s="408"/>
      <c r="U515" s="408"/>
      <c r="V515" s="408"/>
      <c r="W515" s="408"/>
      <c r="X515" s="408"/>
      <c r="Y515" s="408"/>
      <c r="Z515" s="408"/>
    </row>
    <row r="516" ht="14.25" customHeight="1">
      <c r="A516" s="408"/>
      <c r="B516" s="408"/>
      <c r="C516" s="408"/>
      <c r="D516" s="408"/>
      <c r="E516" s="408"/>
      <c r="F516" s="408"/>
      <c r="G516" s="408"/>
      <c r="H516" s="408"/>
      <c r="I516" s="408"/>
      <c r="J516" s="408"/>
      <c r="K516" s="408"/>
      <c r="L516" s="408"/>
      <c r="M516" s="408"/>
      <c r="N516" s="408"/>
      <c r="O516" s="408"/>
      <c r="P516" s="408"/>
      <c r="Q516" s="408"/>
      <c r="R516" s="408"/>
      <c r="S516" s="408"/>
      <c r="T516" s="408"/>
      <c r="U516" s="408"/>
      <c r="V516" s="408"/>
      <c r="W516" s="408"/>
      <c r="X516" s="408"/>
      <c r="Y516" s="408"/>
      <c r="Z516" s="408"/>
    </row>
    <row r="517" ht="14.25" customHeight="1">
      <c r="A517" s="408"/>
      <c r="B517" s="408"/>
      <c r="C517" s="408"/>
      <c r="D517" s="408"/>
      <c r="E517" s="408"/>
      <c r="F517" s="408"/>
      <c r="G517" s="408"/>
      <c r="H517" s="408"/>
      <c r="I517" s="408"/>
      <c r="J517" s="408"/>
      <c r="K517" s="408"/>
      <c r="L517" s="408"/>
      <c r="M517" s="408"/>
      <c r="N517" s="408"/>
      <c r="O517" s="408"/>
      <c r="P517" s="408"/>
      <c r="Q517" s="408"/>
      <c r="R517" s="408"/>
      <c r="S517" s="408"/>
      <c r="T517" s="408"/>
      <c r="U517" s="408"/>
      <c r="V517" s="408"/>
      <c r="W517" s="408"/>
      <c r="X517" s="408"/>
      <c r="Y517" s="408"/>
      <c r="Z517" s="408"/>
    </row>
    <row r="518" ht="14.25" customHeight="1">
      <c r="A518" s="408"/>
      <c r="B518" s="408"/>
      <c r="C518" s="408"/>
      <c r="D518" s="408"/>
      <c r="E518" s="408"/>
      <c r="F518" s="408"/>
      <c r="G518" s="408"/>
      <c r="H518" s="408"/>
      <c r="I518" s="408"/>
      <c r="J518" s="408"/>
      <c r="K518" s="408"/>
      <c r="L518" s="408"/>
      <c r="M518" s="408"/>
      <c r="N518" s="408"/>
      <c r="O518" s="408"/>
      <c r="P518" s="408"/>
      <c r="Q518" s="408"/>
      <c r="R518" s="408"/>
      <c r="S518" s="408"/>
      <c r="T518" s="408"/>
      <c r="U518" s="408"/>
      <c r="V518" s="408"/>
      <c r="W518" s="408"/>
      <c r="X518" s="408"/>
      <c r="Y518" s="408"/>
      <c r="Z518" s="408"/>
    </row>
    <row r="519" ht="14.25" customHeight="1">
      <c r="A519" s="408"/>
      <c r="B519" s="408"/>
      <c r="C519" s="408"/>
      <c r="D519" s="408"/>
      <c r="E519" s="408"/>
      <c r="F519" s="408"/>
      <c r="G519" s="408"/>
      <c r="H519" s="408"/>
      <c r="I519" s="408"/>
      <c r="J519" s="408"/>
      <c r="K519" s="408"/>
      <c r="L519" s="408"/>
      <c r="M519" s="408"/>
      <c r="N519" s="408"/>
      <c r="O519" s="408"/>
      <c r="P519" s="408"/>
      <c r="Q519" s="408"/>
      <c r="R519" s="408"/>
      <c r="S519" s="408"/>
      <c r="T519" s="408"/>
      <c r="U519" s="408"/>
      <c r="V519" s="408"/>
      <c r="W519" s="408"/>
      <c r="X519" s="408"/>
      <c r="Y519" s="408"/>
      <c r="Z519" s="408"/>
    </row>
    <row r="520" ht="14.25" customHeight="1">
      <c r="A520" s="408"/>
      <c r="B520" s="408"/>
      <c r="C520" s="408"/>
      <c r="D520" s="408"/>
      <c r="E520" s="408"/>
      <c r="F520" s="408"/>
      <c r="G520" s="408"/>
      <c r="H520" s="408"/>
      <c r="I520" s="408"/>
      <c r="J520" s="408"/>
      <c r="K520" s="408"/>
      <c r="L520" s="408"/>
      <c r="M520" s="408"/>
      <c r="N520" s="408"/>
      <c r="O520" s="408"/>
      <c r="P520" s="408"/>
      <c r="Q520" s="408"/>
      <c r="R520" s="408"/>
      <c r="S520" s="408"/>
      <c r="T520" s="408"/>
      <c r="U520" s="408"/>
      <c r="V520" s="408"/>
      <c r="W520" s="408"/>
      <c r="X520" s="408"/>
      <c r="Y520" s="408"/>
      <c r="Z520" s="408"/>
    </row>
    <row r="521" ht="14.25" customHeight="1">
      <c r="A521" s="408"/>
      <c r="B521" s="408"/>
      <c r="C521" s="408"/>
      <c r="D521" s="408"/>
      <c r="E521" s="408"/>
      <c r="F521" s="408"/>
      <c r="G521" s="408"/>
      <c r="H521" s="408"/>
      <c r="I521" s="408"/>
      <c r="J521" s="408"/>
      <c r="K521" s="408"/>
      <c r="L521" s="408"/>
      <c r="M521" s="408"/>
      <c r="N521" s="408"/>
      <c r="O521" s="408"/>
      <c r="P521" s="408"/>
      <c r="Q521" s="408"/>
      <c r="R521" s="408"/>
      <c r="S521" s="408"/>
      <c r="T521" s="408"/>
      <c r="U521" s="408"/>
      <c r="V521" s="408"/>
      <c r="W521" s="408"/>
      <c r="X521" s="408"/>
      <c r="Y521" s="408"/>
      <c r="Z521" s="408"/>
    </row>
    <row r="522" ht="14.25" customHeight="1">
      <c r="A522" s="408"/>
      <c r="B522" s="408"/>
      <c r="C522" s="408"/>
      <c r="D522" s="408"/>
      <c r="E522" s="408"/>
      <c r="F522" s="408"/>
      <c r="G522" s="408"/>
      <c r="H522" s="408"/>
      <c r="I522" s="408"/>
      <c r="J522" s="408"/>
      <c r="K522" s="408"/>
      <c r="L522" s="408"/>
      <c r="M522" s="408"/>
      <c r="N522" s="408"/>
      <c r="O522" s="408"/>
      <c r="P522" s="408"/>
      <c r="Q522" s="408"/>
      <c r="R522" s="408"/>
      <c r="S522" s="408"/>
      <c r="T522" s="408"/>
      <c r="U522" s="408"/>
      <c r="V522" s="408"/>
      <c r="W522" s="408"/>
      <c r="X522" s="408"/>
      <c r="Y522" s="408"/>
      <c r="Z522" s="408"/>
    </row>
    <row r="523" ht="14.25" customHeight="1">
      <c r="A523" s="408"/>
      <c r="B523" s="408"/>
      <c r="C523" s="408"/>
      <c r="D523" s="408"/>
      <c r="E523" s="408"/>
      <c r="F523" s="408"/>
      <c r="G523" s="408"/>
      <c r="H523" s="408"/>
      <c r="I523" s="408"/>
      <c r="J523" s="408"/>
      <c r="K523" s="408"/>
      <c r="L523" s="408"/>
      <c r="M523" s="408"/>
      <c r="N523" s="408"/>
      <c r="O523" s="408"/>
      <c r="P523" s="408"/>
      <c r="Q523" s="408"/>
      <c r="R523" s="408"/>
      <c r="S523" s="408"/>
      <c r="T523" s="408"/>
      <c r="U523" s="408"/>
      <c r="V523" s="408"/>
      <c r="W523" s="408"/>
      <c r="X523" s="408"/>
      <c r="Y523" s="408"/>
      <c r="Z523" s="408"/>
    </row>
    <row r="524" ht="14.25" customHeight="1">
      <c r="A524" s="408"/>
      <c r="B524" s="408"/>
      <c r="C524" s="408"/>
      <c r="D524" s="408"/>
      <c r="E524" s="408"/>
      <c r="F524" s="408"/>
      <c r="G524" s="408"/>
      <c r="H524" s="408"/>
      <c r="I524" s="408"/>
      <c r="J524" s="408"/>
      <c r="K524" s="408"/>
      <c r="L524" s="408"/>
      <c r="M524" s="408"/>
      <c r="N524" s="408"/>
      <c r="O524" s="408"/>
      <c r="P524" s="408"/>
      <c r="Q524" s="408"/>
      <c r="R524" s="408"/>
      <c r="S524" s="408"/>
      <c r="T524" s="408"/>
      <c r="U524" s="408"/>
      <c r="V524" s="408"/>
      <c r="W524" s="408"/>
      <c r="X524" s="408"/>
      <c r="Y524" s="408"/>
      <c r="Z524" s="408"/>
    </row>
    <row r="525" ht="14.25" customHeight="1">
      <c r="A525" s="408"/>
      <c r="B525" s="408"/>
      <c r="C525" s="408"/>
      <c r="D525" s="408"/>
      <c r="E525" s="408"/>
      <c r="F525" s="408"/>
      <c r="G525" s="408"/>
      <c r="H525" s="408"/>
      <c r="I525" s="408"/>
      <c r="J525" s="408"/>
      <c r="K525" s="408"/>
      <c r="L525" s="408"/>
      <c r="M525" s="408"/>
      <c r="N525" s="408"/>
      <c r="O525" s="408"/>
      <c r="P525" s="408"/>
      <c r="Q525" s="408"/>
      <c r="R525" s="408"/>
      <c r="S525" s="408"/>
      <c r="T525" s="408"/>
      <c r="U525" s="408"/>
      <c r="V525" s="408"/>
      <c r="W525" s="408"/>
      <c r="X525" s="408"/>
      <c r="Y525" s="408"/>
      <c r="Z525" s="408"/>
    </row>
    <row r="526" ht="14.25" customHeight="1">
      <c r="A526" s="408"/>
      <c r="B526" s="408"/>
      <c r="C526" s="408"/>
      <c r="D526" s="408"/>
      <c r="E526" s="408"/>
      <c r="F526" s="408"/>
      <c r="G526" s="408"/>
      <c r="H526" s="408"/>
      <c r="I526" s="408"/>
      <c r="J526" s="408"/>
      <c r="K526" s="408"/>
      <c r="L526" s="408"/>
      <c r="M526" s="408"/>
      <c r="N526" s="408"/>
      <c r="O526" s="408"/>
      <c r="P526" s="408"/>
      <c r="Q526" s="408"/>
      <c r="R526" s="408"/>
      <c r="S526" s="408"/>
      <c r="T526" s="408"/>
      <c r="U526" s="408"/>
      <c r="V526" s="408"/>
      <c r="W526" s="408"/>
      <c r="X526" s="408"/>
      <c r="Y526" s="408"/>
      <c r="Z526" s="408"/>
    </row>
    <row r="527" ht="14.25" customHeight="1">
      <c r="A527" s="408"/>
      <c r="B527" s="408"/>
      <c r="C527" s="408"/>
      <c r="D527" s="408"/>
      <c r="E527" s="408"/>
      <c r="F527" s="408"/>
      <c r="G527" s="408"/>
      <c r="H527" s="408"/>
      <c r="I527" s="408"/>
      <c r="J527" s="408"/>
      <c r="K527" s="408"/>
      <c r="L527" s="408"/>
      <c r="M527" s="408"/>
      <c r="N527" s="408"/>
      <c r="O527" s="408"/>
      <c r="P527" s="408"/>
      <c r="Q527" s="408"/>
      <c r="R527" s="408"/>
      <c r="S527" s="408"/>
      <c r="T527" s="408"/>
      <c r="U527" s="408"/>
      <c r="V527" s="408"/>
      <c r="W527" s="408"/>
      <c r="X527" s="408"/>
      <c r="Y527" s="408"/>
      <c r="Z527" s="408"/>
    </row>
    <row r="528" ht="14.25" customHeight="1">
      <c r="A528" s="408"/>
      <c r="B528" s="408"/>
      <c r="C528" s="408"/>
      <c r="D528" s="408"/>
      <c r="E528" s="408"/>
      <c r="F528" s="408"/>
      <c r="G528" s="408"/>
      <c r="H528" s="408"/>
      <c r="I528" s="408"/>
      <c r="J528" s="408"/>
      <c r="K528" s="408"/>
      <c r="L528" s="408"/>
      <c r="M528" s="408"/>
      <c r="N528" s="408"/>
      <c r="O528" s="408"/>
      <c r="P528" s="408"/>
      <c r="Q528" s="408"/>
      <c r="R528" s="408"/>
      <c r="S528" s="408"/>
      <c r="T528" s="408"/>
      <c r="U528" s="408"/>
      <c r="V528" s="408"/>
      <c r="W528" s="408"/>
      <c r="X528" s="408"/>
      <c r="Y528" s="408"/>
      <c r="Z528" s="408"/>
    </row>
    <row r="529" ht="14.25" customHeight="1">
      <c r="A529" s="408"/>
      <c r="B529" s="408"/>
      <c r="C529" s="408"/>
      <c r="D529" s="408"/>
      <c r="E529" s="408"/>
      <c r="F529" s="408"/>
      <c r="G529" s="408"/>
      <c r="H529" s="408"/>
      <c r="I529" s="408"/>
      <c r="J529" s="408"/>
      <c r="K529" s="408"/>
      <c r="L529" s="408"/>
      <c r="M529" s="408"/>
      <c r="N529" s="408"/>
      <c r="O529" s="408"/>
      <c r="P529" s="408"/>
      <c r="Q529" s="408"/>
      <c r="R529" s="408"/>
      <c r="S529" s="408"/>
      <c r="T529" s="408"/>
      <c r="U529" s="408"/>
      <c r="V529" s="408"/>
      <c r="W529" s="408"/>
      <c r="X529" s="408"/>
      <c r="Y529" s="408"/>
      <c r="Z529" s="408"/>
    </row>
    <row r="530" ht="14.25" customHeight="1">
      <c r="A530" s="408"/>
      <c r="B530" s="408"/>
      <c r="C530" s="408"/>
      <c r="D530" s="408"/>
      <c r="E530" s="408"/>
      <c r="F530" s="408"/>
      <c r="G530" s="408"/>
      <c r="H530" s="408"/>
      <c r="I530" s="408"/>
      <c r="J530" s="408"/>
      <c r="K530" s="408"/>
      <c r="L530" s="408"/>
      <c r="M530" s="408"/>
      <c r="N530" s="408"/>
      <c r="O530" s="408"/>
      <c r="P530" s="408"/>
      <c r="Q530" s="408"/>
      <c r="R530" s="408"/>
      <c r="S530" s="408"/>
      <c r="T530" s="408"/>
      <c r="U530" s="408"/>
      <c r="V530" s="408"/>
      <c r="W530" s="408"/>
      <c r="X530" s="408"/>
      <c r="Y530" s="408"/>
      <c r="Z530" s="408"/>
    </row>
    <row r="531" ht="14.25" customHeight="1">
      <c r="A531" s="408"/>
      <c r="B531" s="408"/>
      <c r="C531" s="408"/>
      <c r="D531" s="408"/>
      <c r="E531" s="408"/>
      <c r="F531" s="408"/>
      <c r="G531" s="408"/>
      <c r="H531" s="408"/>
      <c r="I531" s="408"/>
      <c r="J531" s="408"/>
      <c r="K531" s="408"/>
      <c r="L531" s="408"/>
      <c r="M531" s="408"/>
      <c r="N531" s="408"/>
      <c r="O531" s="408"/>
      <c r="P531" s="408"/>
      <c r="Q531" s="408"/>
      <c r="R531" s="408"/>
      <c r="S531" s="408"/>
      <c r="T531" s="408"/>
      <c r="U531" s="408"/>
      <c r="V531" s="408"/>
      <c r="W531" s="408"/>
      <c r="X531" s="408"/>
      <c r="Y531" s="408"/>
      <c r="Z531" s="408"/>
    </row>
    <row r="532" ht="14.25" customHeight="1">
      <c r="A532" s="408"/>
      <c r="B532" s="408"/>
      <c r="C532" s="408"/>
      <c r="D532" s="408"/>
      <c r="E532" s="408"/>
      <c r="F532" s="408"/>
      <c r="G532" s="408"/>
      <c r="H532" s="408"/>
      <c r="I532" s="408"/>
      <c r="J532" s="408"/>
      <c r="K532" s="408"/>
      <c r="L532" s="408"/>
      <c r="M532" s="408"/>
      <c r="N532" s="408"/>
      <c r="O532" s="408"/>
      <c r="P532" s="408"/>
      <c r="Q532" s="408"/>
      <c r="R532" s="408"/>
      <c r="S532" s="408"/>
      <c r="T532" s="408"/>
      <c r="U532" s="408"/>
      <c r="V532" s="408"/>
      <c r="W532" s="408"/>
      <c r="X532" s="408"/>
      <c r="Y532" s="408"/>
      <c r="Z532" s="408"/>
    </row>
    <row r="533" ht="14.25" customHeight="1">
      <c r="A533" s="408"/>
      <c r="B533" s="408"/>
      <c r="C533" s="408"/>
      <c r="D533" s="408"/>
      <c r="E533" s="408"/>
      <c r="F533" s="408"/>
      <c r="G533" s="408"/>
      <c r="H533" s="408"/>
      <c r="I533" s="408"/>
      <c r="J533" s="408"/>
      <c r="K533" s="408"/>
      <c r="L533" s="408"/>
      <c r="M533" s="408"/>
      <c r="N533" s="408"/>
      <c r="O533" s="408"/>
      <c r="P533" s="408"/>
      <c r="Q533" s="408"/>
      <c r="R533" s="408"/>
      <c r="S533" s="408"/>
      <c r="T533" s="408"/>
      <c r="U533" s="408"/>
      <c r="V533" s="408"/>
      <c r="W533" s="408"/>
      <c r="X533" s="408"/>
      <c r="Y533" s="408"/>
      <c r="Z533" s="408"/>
    </row>
    <row r="534" ht="14.25" customHeight="1">
      <c r="A534" s="408"/>
      <c r="B534" s="408"/>
      <c r="C534" s="408"/>
      <c r="D534" s="408"/>
      <c r="E534" s="408"/>
      <c r="F534" s="408"/>
      <c r="G534" s="408"/>
      <c r="H534" s="408"/>
      <c r="I534" s="408"/>
      <c r="J534" s="408"/>
      <c r="K534" s="408"/>
      <c r="L534" s="408"/>
      <c r="M534" s="408"/>
      <c r="N534" s="408"/>
      <c r="O534" s="408"/>
      <c r="P534" s="408"/>
      <c r="Q534" s="408"/>
      <c r="R534" s="408"/>
      <c r="S534" s="408"/>
      <c r="T534" s="408"/>
      <c r="U534" s="408"/>
      <c r="V534" s="408"/>
      <c r="W534" s="408"/>
      <c r="X534" s="408"/>
      <c r="Y534" s="408"/>
      <c r="Z534" s="408"/>
    </row>
    <row r="535" ht="14.25" customHeight="1">
      <c r="A535" s="408"/>
      <c r="B535" s="408"/>
      <c r="C535" s="408"/>
      <c r="D535" s="408"/>
      <c r="E535" s="408"/>
      <c r="F535" s="408"/>
      <c r="G535" s="408"/>
      <c r="H535" s="408"/>
      <c r="I535" s="408"/>
      <c r="J535" s="408"/>
      <c r="K535" s="408"/>
      <c r="L535" s="408"/>
      <c r="M535" s="408"/>
      <c r="N535" s="408"/>
      <c r="O535" s="408"/>
      <c r="P535" s="408"/>
      <c r="Q535" s="408"/>
      <c r="R535" s="408"/>
      <c r="S535" s="408"/>
      <c r="T535" s="408"/>
      <c r="U535" s="408"/>
      <c r="V535" s="408"/>
      <c r="W535" s="408"/>
      <c r="X535" s="408"/>
      <c r="Y535" s="408"/>
      <c r="Z535" s="408"/>
    </row>
    <row r="536" ht="14.25" customHeight="1">
      <c r="A536" s="408"/>
      <c r="B536" s="408"/>
      <c r="C536" s="408"/>
      <c r="D536" s="408"/>
      <c r="E536" s="408"/>
      <c r="F536" s="408"/>
      <c r="G536" s="408"/>
      <c r="H536" s="408"/>
      <c r="I536" s="408"/>
      <c r="J536" s="408"/>
      <c r="K536" s="408"/>
      <c r="L536" s="408"/>
      <c r="M536" s="408"/>
      <c r="N536" s="408"/>
      <c r="O536" s="408"/>
      <c r="P536" s="408"/>
      <c r="Q536" s="408"/>
      <c r="R536" s="408"/>
      <c r="S536" s="408"/>
      <c r="T536" s="408"/>
      <c r="U536" s="408"/>
      <c r="V536" s="408"/>
      <c r="W536" s="408"/>
      <c r="X536" s="408"/>
      <c r="Y536" s="408"/>
      <c r="Z536" s="408"/>
    </row>
    <row r="537" ht="14.25" customHeight="1">
      <c r="A537" s="408"/>
      <c r="B537" s="408"/>
      <c r="C537" s="408"/>
      <c r="D537" s="408"/>
      <c r="E537" s="408"/>
      <c r="F537" s="408"/>
      <c r="G537" s="408"/>
      <c r="H537" s="408"/>
      <c r="I537" s="408"/>
      <c r="J537" s="408"/>
      <c r="K537" s="408"/>
      <c r="L537" s="408"/>
      <c r="M537" s="408"/>
      <c r="N537" s="408"/>
      <c r="O537" s="408"/>
      <c r="P537" s="408"/>
      <c r="Q537" s="408"/>
      <c r="R537" s="408"/>
      <c r="S537" s="408"/>
      <c r="T537" s="408"/>
      <c r="U537" s="408"/>
      <c r="V537" s="408"/>
      <c r="W537" s="408"/>
      <c r="X537" s="408"/>
      <c r="Y537" s="408"/>
      <c r="Z537" s="408"/>
    </row>
    <row r="538" ht="14.25" customHeight="1">
      <c r="A538" s="408"/>
      <c r="B538" s="408"/>
      <c r="C538" s="408"/>
      <c r="D538" s="408"/>
      <c r="E538" s="408"/>
      <c r="F538" s="408"/>
      <c r="G538" s="408"/>
      <c r="H538" s="408"/>
      <c r="I538" s="408"/>
      <c r="J538" s="408"/>
      <c r="K538" s="408"/>
      <c r="L538" s="408"/>
      <c r="M538" s="408"/>
      <c r="N538" s="408"/>
      <c r="O538" s="408"/>
      <c r="P538" s="408"/>
      <c r="Q538" s="408"/>
      <c r="R538" s="408"/>
      <c r="S538" s="408"/>
      <c r="T538" s="408"/>
      <c r="U538" s="408"/>
      <c r="V538" s="408"/>
      <c r="W538" s="408"/>
      <c r="X538" s="408"/>
      <c r="Y538" s="408"/>
      <c r="Z538" s="408"/>
    </row>
    <row r="539" ht="14.25" customHeight="1">
      <c r="A539" s="408"/>
      <c r="B539" s="408"/>
      <c r="C539" s="408"/>
      <c r="D539" s="408"/>
      <c r="E539" s="408"/>
      <c r="F539" s="408"/>
      <c r="G539" s="408"/>
      <c r="H539" s="408"/>
      <c r="I539" s="408"/>
      <c r="J539" s="408"/>
      <c r="K539" s="408"/>
      <c r="L539" s="408"/>
      <c r="M539" s="408"/>
      <c r="N539" s="408"/>
      <c r="O539" s="408"/>
      <c r="P539" s="408"/>
      <c r="Q539" s="408"/>
      <c r="R539" s="408"/>
      <c r="S539" s="408"/>
      <c r="T539" s="408"/>
      <c r="U539" s="408"/>
      <c r="V539" s="408"/>
      <c r="W539" s="408"/>
      <c r="X539" s="408"/>
      <c r="Y539" s="408"/>
      <c r="Z539" s="408"/>
    </row>
    <row r="540" ht="14.25" customHeight="1">
      <c r="A540" s="408"/>
      <c r="B540" s="408"/>
      <c r="C540" s="408"/>
      <c r="D540" s="408"/>
      <c r="E540" s="408"/>
      <c r="F540" s="408"/>
      <c r="G540" s="408"/>
      <c r="H540" s="408"/>
      <c r="I540" s="408"/>
      <c r="J540" s="408"/>
      <c r="K540" s="408"/>
      <c r="L540" s="408"/>
      <c r="M540" s="408"/>
      <c r="N540" s="408"/>
      <c r="O540" s="408"/>
      <c r="P540" s="408"/>
      <c r="Q540" s="408"/>
      <c r="R540" s="408"/>
      <c r="S540" s="408"/>
      <c r="T540" s="408"/>
      <c r="U540" s="408"/>
      <c r="V540" s="408"/>
      <c r="W540" s="408"/>
      <c r="X540" s="408"/>
      <c r="Y540" s="408"/>
      <c r="Z540" s="408"/>
    </row>
    <row r="541" ht="14.25" customHeight="1">
      <c r="A541" s="408"/>
      <c r="B541" s="408"/>
      <c r="C541" s="408"/>
      <c r="D541" s="408"/>
      <c r="E541" s="408"/>
      <c r="F541" s="408"/>
      <c r="G541" s="408"/>
      <c r="H541" s="408"/>
      <c r="I541" s="408"/>
      <c r="J541" s="408"/>
      <c r="K541" s="408"/>
      <c r="L541" s="408"/>
      <c r="M541" s="408"/>
      <c r="N541" s="408"/>
      <c r="O541" s="408"/>
      <c r="P541" s="408"/>
      <c r="Q541" s="408"/>
      <c r="R541" s="408"/>
      <c r="S541" s="408"/>
      <c r="T541" s="408"/>
      <c r="U541" s="408"/>
      <c r="V541" s="408"/>
      <c r="W541" s="408"/>
      <c r="X541" s="408"/>
      <c r="Y541" s="408"/>
      <c r="Z541" s="408"/>
    </row>
    <row r="542" ht="14.25" customHeight="1">
      <c r="A542" s="408"/>
      <c r="B542" s="408"/>
      <c r="C542" s="408"/>
      <c r="D542" s="408"/>
      <c r="E542" s="408"/>
      <c r="F542" s="408"/>
      <c r="G542" s="408"/>
      <c r="H542" s="408"/>
      <c r="I542" s="408"/>
      <c r="J542" s="408"/>
      <c r="K542" s="408"/>
      <c r="L542" s="408"/>
      <c r="M542" s="408"/>
      <c r="N542" s="408"/>
      <c r="O542" s="408"/>
      <c r="P542" s="408"/>
      <c r="Q542" s="408"/>
      <c r="R542" s="408"/>
      <c r="S542" s="408"/>
      <c r="T542" s="408"/>
      <c r="U542" s="408"/>
      <c r="V542" s="408"/>
      <c r="W542" s="408"/>
      <c r="X542" s="408"/>
      <c r="Y542" s="408"/>
      <c r="Z542" s="408"/>
    </row>
    <row r="543" ht="14.25" customHeight="1">
      <c r="A543" s="408"/>
      <c r="B543" s="408"/>
      <c r="C543" s="408"/>
      <c r="D543" s="408"/>
      <c r="E543" s="408"/>
      <c r="F543" s="408"/>
      <c r="G543" s="408"/>
      <c r="H543" s="408"/>
      <c r="I543" s="408"/>
      <c r="J543" s="408"/>
      <c r="K543" s="408"/>
      <c r="L543" s="408"/>
      <c r="M543" s="408"/>
      <c r="N543" s="408"/>
      <c r="O543" s="408"/>
      <c r="P543" s="408"/>
      <c r="Q543" s="408"/>
      <c r="R543" s="408"/>
      <c r="S543" s="408"/>
      <c r="T543" s="408"/>
      <c r="U543" s="408"/>
      <c r="V543" s="408"/>
      <c r="W543" s="408"/>
      <c r="X543" s="408"/>
      <c r="Y543" s="408"/>
      <c r="Z543" s="408"/>
    </row>
    <row r="544" ht="14.25" customHeight="1">
      <c r="A544" s="408"/>
      <c r="B544" s="408"/>
      <c r="C544" s="408"/>
      <c r="D544" s="408"/>
      <c r="E544" s="408"/>
      <c r="F544" s="408"/>
      <c r="G544" s="408"/>
      <c r="H544" s="408"/>
      <c r="I544" s="408"/>
      <c r="J544" s="408"/>
      <c r="K544" s="408"/>
      <c r="L544" s="408"/>
      <c r="M544" s="408"/>
      <c r="N544" s="408"/>
      <c r="O544" s="408"/>
      <c r="P544" s="408"/>
      <c r="Q544" s="408"/>
      <c r="R544" s="408"/>
      <c r="S544" s="408"/>
      <c r="T544" s="408"/>
      <c r="U544" s="408"/>
      <c r="V544" s="408"/>
      <c r="W544" s="408"/>
      <c r="X544" s="408"/>
      <c r="Y544" s="408"/>
      <c r="Z544" s="408"/>
    </row>
    <row r="545" ht="14.25" customHeight="1">
      <c r="A545" s="408"/>
      <c r="B545" s="408"/>
      <c r="C545" s="408"/>
      <c r="D545" s="408"/>
      <c r="E545" s="408"/>
      <c r="F545" s="408"/>
      <c r="G545" s="408"/>
      <c r="H545" s="408"/>
      <c r="I545" s="408"/>
      <c r="J545" s="408"/>
      <c r="K545" s="408"/>
      <c r="L545" s="408"/>
      <c r="M545" s="408"/>
      <c r="N545" s="408"/>
      <c r="O545" s="408"/>
      <c r="P545" s="408"/>
      <c r="Q545" s="408"/>
      <c r="R545" s="408"/>
      <c r="S545" s="408"/>
      <c r="T545" s="408"/>
      <c r="U545" s="408"/>
      <c r="V545" s="408"/>
      <c r="W545" s="408"/>
      <c r="X545" s="408"/>
      <c r="Y545" s="408"/>
      <c r="Z545" s="408"/>
    </row>
    <row r="546" ht="14.25" customHeight="1">
      <c r="A546" s="408"/>
      <c r="B546" s="408"/>
      <c r="C546" s="408"/>
      <c r="D546" s="408"/>
      <c r="E546" s="408"/>
      <c r="F546" s="408"/>
      <c r="G546" s="408"/>
      <c r="H546" s="408"/>
      <c r="I546" s="408"/>
      <c r="J546" s="408"/>
      <c r="K546" s="408"/>
      <c r="L546" s="408"/>
      <c r="M546" s="408"/>
      <c r="N546" s="408"/>
      <c r="O546" s="408"/>
      <c r="P546" s="408"/>
      <c r="Q546" s="408"/>
      <c r="R546" s="408"/>
      <c r="S546" s="408"/>
      <c r="T546" s="408"/>
      <c r="U546" s="408"/>
      <c r="V546" s="408"/>
      <c r="W546" s="408"/>
      <c r="X546" s="408"/>
      <c r="Y546" s="408"/>
      <c r="Z546" s="408"/>
    </row>
    <row r="547" ht="14.25" customHeight="1">
      <c r="A547" s="408"/>
      <c r="B547" s="408"/>
      <c r="C547" s="408"/>
      <c r="D547" s="408"/>
      <c r="E547" s="408"/>
      <c r="F547" s="408"/>
      <c r="G547" s="408"/>
      <c r="H547" s="408"/>
      <c r="I547" s="408"/>
      <c r="J547" s="408"/>
      <c r="K547" s="408"/>
      <c r="L547" s="408"/>
      <c r="M547" s="408"/>
      <c r="N547" s="408"/>
      <c r="O547" s="408"/>
      <c r="P547" s="408"/>
      <c r="Q547" s="408"/>
      <c r="R547" s="408"/>
      <c r="S547" s="408"/>
      <c r="T547" s="408"/>
      <c r="U547" s="408"/>
      <c r="V547" s="408"/>
      <c r="W547" s="408"/>
      <c r="X547" s="408"/>
      <c r="Y547" s="408"/>
      <c r="Z547" s="408"/>
    </row>
    <row r="548" ht="14.25" customHeight="1">
      <c r="A548" s="408"/>
      <c r="B548" s="408"/>
      <c r="C548" s="408"/>
      <c r="D548" s="408"/>
      <c r="E548" s="408"/>
      <c r="F548" s="408"/>
      <c r="G548" s="408"/>
      <c r="H548" s="408"/>
      <c r="I548" s="408"/>
      <c r="J548" s="408"/>
      <c r="K548" s="408"/>
      <c r="L548" s="408"/>
      <c r="M548" s="408"/>
      <c r="N548" s="408"/>
      <c r="O548" s="408"/>
      <c r="P548" s="408"/>
      <c r="Q548" s="408"/>
      <c r="R548" s="408"/>
      <c r="S548" s="408"/>
      <c r="T548" s="408"/>
      <c r="U548" s="408"/>
      <c r="V548" s="408"/>
      <c r="W548" s="408"/>
      <c r="X548" s="408"/>
      <c r="Y548" s="408"/>
      <c r="Z548" s="408"/>
    </row>
    <row r="549" ht="14.25" customHeight="1">
      <c r="A549" s="408"/>
      <c r="B549" s="408"/>
      <c r="C549" s="408"/>
      <c r="D549" s="408"/>
      <c r="E549" s="408"/>
      <c r="F549" s="408"/>
      <c r="G549" s="408"/>
      <c r="H549" s="408"/>
      <c r="I549" s="408"/>
      <c r="J549" s="408"/>
      <c r="K549" s="408"/>
      <c r="L549" s="408"/>
      <c r="M549" s="408"/>
      <c r="N549" s="408"/>
      <c r="O549" s="408"/>
      <c r="P549" s="408"/>
      <c r="Q549" s="408"/>
      <c r="R549" s="408"/>
      <c r="S549" s="408"/>
      <c r="T549" s="408"/>
      <c r="U549" s="408"/>
      <c r="V549" s="408"/>
      <c r="W549" s="408"/>
      <c r="X549" s="408"/>
      <c r="Y549" s="408"/>
      <c r="Z549" s="408"/>
    </row>
    <row r="550" ht="14.25" customHeight="1">
      <c r="A550" s="408"/>
      <c r="B550" s="408"/>
      <c r="C550" s="408"/>
      <c r="D550" s="408"/>
      <c r="E550" s="408"/>
      <c r="F550" s="408"/>
      <c r="G550" s="408"/>
      <c r="H550" s="408"/>
      <c r="I550" s="408"/>
      <c r="J550" s="408"/>
      <c r="K550" s="408"/>
      <c r="L550" s="408"/>
      <c r="M550" s="408"/>
      <c r="N550" s="408"/>
      <c r="O550" s="408"/>
      <c r="P550" s="408"/>
      <c r="Q550" s="408"/>
      <c r="R550" s="408"/>
      <c r="S550" s="408"/>
      <c r="T550" s="408"/>
      <c r="U550" s="408"/>
      <c r="V550" s="408"/>
      <c r="W550" s="408"/>
      <c r="X550" s="408"/>
      <c r="Y550" s="408"/>
      <c r="Z550" s="408"/>
    </row>
    <row r="551" ht="14.25" customHeight="1">
      <c r="A551" s="408"/>
      <c r="B551" s="408"/>
      <c r="C551" s="408"/>
      <c r="D551" s="408"/>
      <c r="E551" s="408"/>
      <c r="F551" s="408"/>
      <c r="G551" s="408"/>
      <c r="H551" s="408"/>
      <c r="I551" s="408"/>
      <c r="J551" s="408"/>
      <c r="K551" s="408"/>
      <c r="L551" s="408"/>
      <c r="M551" s="408"/>
      <c r="N551" s="408"/>
      <c r="O551" s="408"/>
      <c r="P551" s="408"/>
      <c r="Q551" s="408"/>
      <c r="R551" s="408"/>
      <c r="S551" s="408"/>
      <c r="T551" s="408"/>
      <c r="U551" s="408"/>
      <c r="V551" s="408"/>
      <c r="W551" s="408"/>
      <c r="X551" s="408"/>
      <c r="Y551" s="408"/>
      <c r="Z551" s="408"/>
    </row>
    <row r="552" ht="14.25" customHeight="1">
      <c r="A552" s="408"/>
      <c r="B552" s="408"/>
      <c r="C552" s="408"/>
      <c r="D552" s="408"/>
      <c r="E552" s="408"/>
      <c r="F552" s="408"/>
      <c r="G552" s="408"/>
      <c r="H552" s="408"/>
      <c r="I552" s="408"/>
      <c r="J552" s="408"/>
      <c r="K552" s="408"/>
      <c r="L552" s="408"/>
      <c r="M552" s="408"/>
      <c r="N552" s="408"/>
      <c r="O552" s="408"/>
      <c r="P552" s="408"/>
      <c r="Q552" s="408"/>
      <c r="R552" s="408"/>
      <c r="S552" s="408"/>
      <c r="T552" s="408"/>
      <c r="U552" s="408"/>
      <c r="V552" s="408"/>
      <c r="W552" s="408"/>
      <c r="X552" s="408"/>
      <c r="Y552" s="408"/>
      <c r="Z552" s="408"/>
    </row>
    <row r="553" ht="14.25" customHeight="1">
      <c r="A553" s="408"/>
      <c r="B553" s="408"/>
      <c r="C553" s="408"/>
      <c r="D553" s="408"/>
      <c r="E553" s="408"/>
      <c r="F553" s="408"/>
      <c r="G553" s="408"/>
      <c r="H553" s="408"/>
      <c r="I553" s="408"/>
      <c r="J553" s="408"/>
      <c r="K553" s="408"/>
      <c r="L553" s="408"/>
      <c r="M553" s="408"/>
      <c r="N553" s="408"/>
      <c r="O553" s="408"/>
      <c r="P553" s="408"/>
      <c r="Q553" s="408"/>
      <c r="R553" s="408"/>
      <c r="S553" s="408"/>
      <c r="T553" s="408"/>
      <c r="U553" s="408"/>
      <c r="V553" s="408"/>
      <c r="W553" s="408"/>
      <c r="X553" s="408"/>
      <c r="Y553" s="408"/>
      <c r="Z553" s="408"/>
    </row>
    <row r="554" ht="14.25" customHeight="1">
      <c r="A554" s="408"/>
      <c r="B554" s="408"/>
      <c r="C554" s="408"/>
      <c r="D554" s="408"/>
      <c r="E554" s="408"/>
      <c r="F554" s="408"/>
      <c r="G554" s="408"/>
      <c r="H554" s="408"/>
      <c r="I554" s="408"/>
      <c r="J554" s="408"/>
      <c r="K554" s="408"/>
      <c r="L554" s="408"/>
      <c r="M554" s="408"/>
      <c r="N554" s="408"/>
      <c r="O554" s="408"/>
      <c r="P554" s="408"/>
      <c r="Q554" s="408"/>
      <c r="R554" s="408"/>
      <c r="S554" s="408"/>
      <c r="T554" s="408"/>
      <c r="U554" s="408"/>
      <c r="V554" s="408"/>
      <c r="W554" s="408"/>
      <c r="X554" s="408"/>
      <c r="Y554" s="408"/>
      <c r="Z554" s="408"/>
    </row>
    <row r="555" ht="14.25" customHeight="1">
      <c r="A555" s="408"/>
      <c r="B555" s="408"/>
      <c r="C555" s="408"/>
      <c r="D555" s="408"/>
      <c r="E555" s="408"/>
      <c r="F555" s="408"/>
      <c r="G555" s="408"/>
      <c r="H555" s="408"/>
      <c r="I555" s="408"/>
      <c r="J555" s="408"/>
      <c r="K555" s="408"/>
      <c r="L555" s="408"/>
      <c r="M555" s="408"/>
      <c r="N555" s="408"/>
      <c r="O555" s="408"/>
      <c r="P555" s="408"/>
      <c r="Q555" s="408"/>
      <c r="R555" s="408"/>
      <c r="S555" s="408"/>
      <c r="T555" s="408"/>
      <c r="U555" s="408"/>
      <c r="V555" s="408"/>
      <c r="W555" s="408"/>
      <c r="X555" s="408"/>
      <c r="Y555" s="408"/>
      <c r="Z555" s="408"/>
    </row>
    <row r="556" ht="14.25" customHeight="1">
      <c r="A556" s="408"/>
      <c r="B556" s="408"/>
      <c r="C556" s="408"/>
      <c r="D556" s="408"/>
      <c r="E556" s="408"/>
      <c r="F556" s="408"/>
      <c r="G556" s="408"/>
      <c r="H556" s="408"/>
      <c r="I556" s="408"/>
      <c r="J556" s="408"/>
      <c r="K556" s="408"/>
      <c r="L556" s="408"/>
      <c r="M556" s="408"/>
      <c r="N556" s="408"/>
      <c r="O556" s="408"/>
      <c r="P556" s="408"/>
      <c r="Q556" s="408"/>
      <c r="R556" s="408"/>
      <c r="S556" s="408"/>
      <c r="T556" s="408"/>
      <c r="U556" s="408"/>
      <c r="V556" s="408"/>
      <c r="W556" s="408"/>
      <c r="X556" s="408"/>
      <c r="Y556" s="408"/>
      <c r="Z556" s="408"/>
    </row>
    <row r="557" ht="14.25" customHeight="1">
      <c r="A557" s="408"/>
      <c r="B557" s="408"/>
      <c r="C557" s="408"/>
      <c r="D557" s="408"/>
      <c r="E557" s="408"/>
      <c r="F557" s="408"/>
      <c r="G557" s="408"/>
      <c r="H557" s="408"/>
      <c r="I557" s="408"/>
      <c r="J557" s="408"/>
      <c r="K557" s="408"/>
      <c r="L557" s="408"/>
      <c r="M557" s="408"/>
      <c r="N557" s="408"/>
      <c r="O557" s="408"/>
      <c r="P557" s="408"/>
      <c r="Q557" s="408"/>
      <c r="R557" s="408"/>
      <c r="S557" s="408"/>
      <c r="T557" s="408"/>
      <c r="U557" s="408"/>
      <c r="V557" s="408"/>
      <c r="W557" s="408"/>
      <c r="X557" s="408"/>
      <c r="Y557" s="408"/>
      <c r="Z557" s="408"/>
    </row>
    <row r="558" ht="14.25" customHeight="1">
      <c r="A558" s="408"/>
      <c r="B558" s="408"/>
      <c r="C558" s="408"/>
      <c r="D558" s="408"/>
      <c r="E558" s="408"/>
      <c r="F558" s="408"/>
      <c r="G558" s="408"/>
      <c r="H558" s="408"/>
      <c r="I558" s="408"/>
      <c r="J558" s="408"/>
      <c r="K558" s="408"/>
      <c r="L558" s="408"/>
      <c r="M558" s="408"/>
      <c r="N558" s="408"/>
      <c r="O558" s="408"/>
      <c r="P558" s="408"/>
      <c r="Q558" s="408"/>
      <c r="R558" s="408"/>
      <c r="S558" s="408"/>
      <c r="T558" s="408"/>
      <c r="U558" s="408"/>
      <c r="V558" s="408"/>
      <c r="W558" s="408"/>
      <c r="X558" s="408"/>
      <c r="Y558" s="408"/>
      <c r="Z558" s="408"/>
    </row>
    <row r="559" ht="14.25" customHeight="1">
      <c r="A559" s="408"/>
      <c r="B559" s="408"/>
      <c r="C559" s="408"/>
      <c r="D559" s="408"/>
      <c r="E559" s="408"/>
      <c r="F559" s="408"/>
      <c r="G559" s="408"/>
      <c r="H559" s="408"/>
      <c r="I559" s="408"/>
      <c r="J559" s="408"/>
      <c r="K559" s="408"/>
      <c r="L559" s="408"/>
      <c r="M559" s="408"/>
      <c r="N559" s="408"/>
      <c r="O559" s="408"/>
      <c r="P559" s="408"/>
      <c r="Q559" s="408"/>
      <c r="R559" s="408"/>
      <c r="S559" s="408"/>
      <c r="T559" s="408"/>
      <c r="U559" s="408"/>
      <c r="V559" s="408"/>
      <c r="W559" s="408"/>
      <c r="X559" s="408"/>
      <c r="Y559" s="408"/>
      <c r="Z559" s="408"/>
    </row>
    <row r="560" ht="14.25" customHeight="1">
      <c r="A560" s="408"/>
      <c r="B560" s="408"/>
      <c r="C560" s="408"/>
      <c r="D560" s="408"/>
      <c r="E560" s="408"/>
      <c r="F560" s="408"/>
      <c r="G560" s="408"/>
      <c r="H560" s="408"/>
      <c r="I560" s="408"/>
      <c r="J560" s="408"/>
      <c r="K560" s="408"/>
      <c r="L560" s="408"/>
      <c r="M560" s="408"/>
      <c r="N560" s="408"/>
      <c r="O560" s="408"/>
      <c r="P560" s="408"/>
      <c r="Q560" s="408"/>
      <c r="R560" s="408"/>
      <c r="S560" s="408"/>
      <c r="T560" s="408"/>
      <c r="U560" s="408"/>
      <c r="V560" s="408"/>
      <c r="W560" s="408"/>
      <c r="X560" s="408"/>
      <c r="Y560" s="408"/>
      <c r="Z560" s="408"/>
    </row>
    <row r="561" ht="14.25" customHeight="1">
      <c r="A561" s="408"/>
      <c r="B561" s="408"/>
      <c r="C561" s="408"/>
      <c r="D561" s="408"/>
      <c r="E561" s="408"/>
      <c r="F561" s="408"/>
      <c r="G561" s="408"/>
      <c r="H561" s="408"/>
      <c r="I561" s="408"/>
      <c r="J561" s="408"/>
      <c r="K561" s="408"/>
      <c r="L561" s="408"/>
      <c r="M561" s="408"/>
      <c r="N561" s="408"/>
      <c r="O561" s="408"/>
      <c r="P561" s="408"/>
      <c r="Q561" s="408"/>
      <c r="R561" s="408"/>
      <c r="S561" s="408"/>
      <c r="T561" s="408"/>
      <c r="U561" s="408"/>
      <c r="V561" s="408"/>
      <c r="W561" s="408"/>
      <c r="X561" s="408"/>
      <c r="Y561" s="408"/>
      <c r="Z561" s="408"/>
    </row>
    <row r="562" ht="14.25" customHeight="1">
      <c r="A562" s="408"/>
      <c r="B562" s="408"/>
      <c r="C562" s="408"/>
      <c r="D562" s="408"/>
      <c r="E562" s="408"/>
      <c r="F562" s="408"/>
      <c r="G562" s="408"/>
      <c r="H562" s="408"/>
      <c r="I562" s="408"/>
      <c r="J562" s="408"/>
      <c r="K562" s="408"/>
      <c r="L562" s="408"/>
      <c r="M562" s="408"/>
      <c r="N562" s="408"/>
      <c r="O562" s="408"/>
      <c r="P562" s="408"/>
      <c r="Q562" s="408"/>
      <c r="R562" s="408"/>
      <c r="S562" s="408"/>
      <c r="T562" s="408"/>
      <c r="U562" s="408"/>
      <c r="V562" s="408"/>
      <c r="W562" s="408"/>
      <c r="X562" s="408"/>
      <c r="Y562" s="408"/>
      <c r="Z562" s="408"/>
    </row>
    <row r="563" ht="14.25" customHeight="1">
      <c r="A563" s="408"/>
      <c r="B563" s="408"/>
      <c r="C563" s="408"/>
      <c r="D563" s="408"/>
      <c r="E563" s="408"/>
      <c r="F563" s="408"/>
      <c r="G563" s="408"/>
      <c r="H563" s="408"/>
      <c r="I563" s="408"/>
      <c r="J563" s="408"/>
      <c r="K563" s="408"/>
      <c r="L563" s="408"/>
      <c r="M563" s="408"/>
      <c r="N563" s="408"/>
      <c r="O563" s="408"/>
      <c r="P563" s="408"/>
      <c r="Q563" s="408"/>
      <c r="R563" s="408"/>
      <c r="S563" s="408"/>
      <c r="T563" s="408"/>
      <c r="U563" s="408"/>
      <c r="V563" s="408"/>
      <c r="W563" s="408"/>
      <c r="X563" s="408"/>
      <c r="Y563" s="408"/>
      <c r="Z563" s="408"/>
    </row>
    <row r="564" ht="14.25" customHeight="1">
      <c r="A564" s="408"/>
      <c r="B564" s="408"/>
      <c r="C564" s="408"/>
      <c r="D564" s="408"/>
      <c r="E564" s="408"/>
      <c r="F564" s="408"/>
      <c r="G564" s="408"/>
      <c r="H564" s="408"/>
      <c r="I564" s="408"/>
      <c r="J564" s="408"/>
      <c r="K564" s="408"/>
      <c r="L564" s="408"/>
      <c r="M564" s="408"/>
      <c r="N564" s="408"/>
      <c r="O564" s="408"/>
      <c r="P564" s="408"/>
      <c r="Q564" s="408"/>
      <c r="R564" s="408"/>
      <c r="S564" s="408"/>
      <c r="T564" s="408"/>
      <c r="U564" s="408"/>
      <c r="V564" s="408"/>
      <c r="W564" s="408"/>
      <c r="X564" s="408"/>
      <c r="Y564" s="408"/>
      <c r="Z564" s="408"/>
    </row>
    <row r="565" ht="14.25" customHeight="1">
      <c r="A565" s="408"/>
      <c r="B565" s="408"/>
      <c r="C565" s="408"/>
      <c r="D565" s="408"/>
      <c r="E565" s="408"/>
      <c r="F565" s="408"/>
      <c r="G565" s="408"/>
      <c r="H565" s="408"/>
      <c r="I565" s="408"/>
      <c r="J565" s="408"/>
      <c r="K565" s="408"/>
      <c r="L565" s="408"/>
      <c r="M565" s="408"/>
      <c r="N565" s="408"/>
      <c r="O565" s="408"/>
      <c r="P565" s="408"/>
      <c r="Q565" s="408"/>
      <c r="R565" s="408"/>
      <c r="S565" s="408"/>
      <c r="T565" s="408"/>
      <c r="U565" s="408"/>
      <c r="V565" s="408"/>
      <c r="W565" s="408"/>
      <c r="X565" s="408"/>
      <c r="Y565" s="408"/>
      <c r="Z565" s="408"/>
    </row>
    <row r="566" ht="14.25" customHeight="1">
      <c r="A566" s="408"/>
      <c r="B566" s="408"/>
      <c r="C566" s="408"/>
      <c r="D566" s="408"/>
      <c r="E566" s="408"/>
      <c r="F566" s="408"/>
      <c r="G566" s="408"/>
      <c r="H566" s="408"/>
      <c r="I566" s="408"/>
      <c r="J566" s="408"/>
      <c r="K566" s="408"/>
      <c r="L566" s="408"/>
      <c r="M566" s="408"/>
      <c r="N566" s="408"/>
      <c r="O566" s="408"/>
      <c r="P566" s="408"/>
      <c r="Q566" s="408"/>
      <c r="R566" s="408"/>
      <c r="S566" s="408"/>
      <c r="T566" s="408"/>
      <c r="U566" s="408"/>
      <c r="V566" s="408"/>
      <c r="W566" s="408"/>
      <c r="X566" s="408"/>
      <c r="Y566" s="408"/>
      <c r="Z566" s="408"/>
    </row>
    <row r="567" ht="14.25" customHeight="1">
      <c r="A567" s="408"/>
      <c r="B567" s="408"/>
      <c r="C567" s="408"/>
      <c r="D567" s="408"/>
      <c r="E567" s="408"/>
      <c r="F567" s="408"/>
      <c r="G567" s="408"/>
      <c r="H567" s="408"/>
      <c r="I567" s="408"/>
      <c r="J567" s="408"/>
      <c r="K567" s="408"/>
      <c r="L567" s="408"/>
      <c r="M567" s="408"/>
      <c r="N567" s="408"/>
      <c r="O567" s="408"/>
      <c r="P567" s="408"/>
      <c r="Q567" s="408"/>
      <c r="R567" s="408"/>
      <c r="S567" s="408"/>
      <c r="T567" s="408"/>
      <c r="U567" s="408"/>
      <c r="V567" s="408"/>
      <c r="W567" s="408"/>
      <c r="X567" s="408"/>
      <c r="Y567" s="408"/>
      <c r="Z567" s="408"/>
    </row>
    <row r="568" ht="14.25" customHeight="1">
      <c r="A568" s="408"/>
      <c r="B568" s="408"/>
      <c r="C568" s="408"/>
      <c r="D568" s="408"/>
      <c r="E568" s="408"/>
      <c r="F568" s="408"/>
      <c r="G568" s="408"/>
      <c r="H568" s="408"/>
      <c r="I568" s="408"/>
      <c r="J568" s="408"/>
      <c r="K568" s="408"/>
      <c r="L568" s="408"/>
      <c r="M568" s="408"/>
      <c r="N568" s="408"/>
      <c r="O568" s="408"/>
      <c r="P568" s="408"/>
      <c r="Q568" s="408"/>
      <c r="R568" s="408"/>
      <c r="S568" s="408"/>
      <c r="T568" s="408"/>
      <c r="U568" s="408"/>
      <c r="V568" s="408"/>
      <c r="W568" s="408"/>
      <c r="X568" s="408"/>
      <c r="Y568" s="408"/>
      <c r="Z568" s="408"/>
    </row>
    <row r="569" ht="14.25" customHeight="1">
      <c r="A569" s="408"/>
      <c r="B569" s="408"/>
      <c r="C569" s="408"/>
      <c r="D569" s="408"/>
      <c r="E569" s="408"/>
      <c r="F569" s="408"/>
      <c r="G569" s="408"/>
      <c r="H569" s="408"/>
      <c r="I569" s="408"/>
      <c r="J569" s="408"/>
      <c r="K569" s="408"/>
      <c r="L569" s="408"/>
      <c r="M569" s="408"/>
      <c r="N569" s="408"/>
      <c r="O569" s="408"/>
      <c r="P569" s="408"/>
      <c r="Q569" s="408"/>
      <c r="R569" s="408"/>
      <c r="S569" s="408"/>
      <c r="T569" s="408"/>
      <c r="U569" s="408"/>
      <c r="V569" s="408"/>
      <c r="W569" s="408"/>
      <c r="X569" s="408"/>
      <c r="Y569" s="408"/>
      <c r="Z569" s="408"/>
    </row>
    <row r="570" ht="14.25" customHeight="1">
      <c r="A570" s="408"/>
      <c r="B570" s="408"/>
      <c r="C570" s="408"/>
      <c r="D570" s="408"/>
      <c r="E570" s="408"/>
      <c r="F570" s="408"/>
      <c r="G570" s="408"/>
      <c r="H570" s="408"/>
      <c r="I570" s="408"/>
      <c r="J570" s="408"/>
      <c r="K570" s="408"/>
      <c r="L570" s="408"/>
      <c r="M570" s="408"/>
      <c r="N570" s="408"/>
      <c r="O570" s="408"/>
      <c r="P570" s="408"/>
      <c r="Q570" s="408"/>
      <c r="R570" s="408"/>
      <c r="S570" s="408"/>
      <c r="T570" s="408"/>
      <c r="U570" s="408"/>
      <c r="V570" s="408"/>
      <c r="W570" s="408"/>
      <c r="X570" s="408"/>
      <c r="Y570" s="408"/>
      <c r="Z570" s="408"/>
    </row>
    <row r="571" ht="14.25" customHeight="1">
      <c r="A571" s="408"/>
      <c r="B571" s="408"/>
      <c r="C571" s="408"/>
      <c r="D571" s="408"/>
      <c r="E571" s="408"/>
      <c r="F571" s="408"/>
      <c r="G571" s="408"/>
      <c r="H571" s="408"/>
      <c r="I571" s="408"/>
      <c r="J571" s="408"/>
      <c r="K571" s="408"/>
      <c r="L571" s="408"/>
      <c r="M571" s="408"/>
      <c r="N571" s="408"/>
      <c r="O571" s="408"/>
      <c r="P571" s="408"/>
      <c r="Q571" s="408"/>
      <c r="R571" s="408"/>
      <c r="S571" s="408"/>
      <c r="T571" s="408"/>
      <c r="U571" s="408"/>
      <c r="V571" s="408"/>
      <c r="W571" s="408"/>
      <c r="X571" s="408"/>
      <c r="Y571" s="408"/>
      <c r="Z571" s="408"/>
    </row>
    <row r="572" ht="14.25" customHeight="1">
      <c r="A572" s="408"/>
      <c r="B572" s="408"/>
      <c r="C572" s="408"/>
      <c r="D572" s="408"/>
      <c r="E572" s="408"/>
      <c r="F572" s="408"/>
      <c r="G572" s="408"/>
      <c r="H572" s="408"/>
      <c r="I572" s="408"/>
      <c r="J572" s="408"/>
      <c r="K572" s="408"/>
      <c r="L572" s="408"/>
      <c r="M572" s="408"/>
      <c r="N572" s="408"/>
      <c r="O572" s="408"/>
      <c r="P572" s="408"/>
      <c r="Q572" s="408"/>
      <c r="R572" s="408"/>
      <c r="S572" s="408"/>
      <c r="T572" s="408"/>
      <c r="U572" s="408"/>
      <c r="V572" s="408"/>
      <c r="W572" s="408"/>
      <c r="X572" s="408"/>
      <c r="Y572" s="408"/>
      <c r="Z572" s="408"/>
    </row>
    <row r="573" ht="14.25" customHeight="1">
      <c r="A573" s="408"/>
      <c r="B573" s="408"/>
      <c r="C573" s="408"/>
      <c r="D573" s="408"/>
      <c r="E573" s="408"/>
      <c r="F573" s="408"/>
      <c r="G573" s="408"/>
      <c r="H573" s="408"/>
      <c r="I573" s="408"/>
      <c r="J573" s="408"/>
      <c r="K573" s="408"/>
      <c r="L573" s="408"/>
      <c r="M573" s="408"/>
      <c r="N573" s="408"/>
      <c r="O573" s="408"/>
      <c r="P573" s="408"/>
      <c r="Q573" s="408"/>
      <c r="R573" s="408"/>
      <c r="S573" s="408"/>
      <c r="T573" s="408"/>
      <c r="U573" s="408"/>
      <c r="V573" s="408"/>
      <c r="W573" s="408"/>
      <c r="X573" s="408"/>
      <c r="Y573" s="408"/>
      <c r="Z573" s="408"/>
    </row>
    <row r="574" ht="14.25" customHeight="1">
      <c r="A574" s="408"/>
      <c r="B574" s="408"/>
      <c r="C574" s="408"/>
      <c r="D574" s="408"/>
      <c r="E574" s="408"/>
      <c r="F574" s="408"/>
      <c r="G574" s="408"/>
      <c r="H574" s="408"/>
      <c r="I574" s="408"/>
      <c r="J574" s="408"/>
      <c r="K574" s="408"/>
      <c r="L574" s="408"/>
      <c r="M574" s="408"/>
      <c r="N574" s="408"/>
      <c r="O574" s="408"/>
      <c r="P574" s="408"/>
      <c r="Q574" s="408"/>
      <c r="R574" s="408"/>
      <c r="S574" s="408"/>
      <c r="T574" s="408"/>
      <c r="U574" s="408"/>
      <c r="V574" s="408"/>
      <c r="W574" s="408"/>
      <c r="X574" s="408"/>
      <c r="Y574" s="408"/>
      <c r="Z574" s="408"/>
    </row>
    <row r="575" ht="14.25" customHeight="1">
      <c r="A575" s="408"/>
      <c r="B575" s="408"/>
      <c r="C575" s="408"/>
      <c r="D575" s="408"/>
      <c r="E575" s="408"/>
      <c r="F575" s="408"/>
      <c r="G575" s="408"/>
      <c r="H575" s="408"/>
      <c r="I575" s="408"/>
      <c r="J575" s="408"/>
      <c r="K575" s="408"/>
      <c r="L575" s="408"/>
      <c r="M575" s="408"/>
      <c r="N575" s="408"/>
      <c r="O575" s="408"/>
      <c r="P575" s="408"/>
      <c r="Q575" s="408"/>
      <c r="R575" s="408"/>
      <c r="S575" s="408"/>
      <c r="T575" s="408"/>
      <c r="U575" s="408"/>
      <c r="V575" s="408"/>
      <c r="W575" s="408"/>
      <c r="X575" s="408"/>
      <c r="Y575" s="408"/>
      <c r="Z575" s="408"/>
    </row>
    <row r="576" ht="14.25" customHeight="1">
      <c r="A576" s="408"/>
      <c r="B576" s="408"/>
      <c r="C576" s="408"/>
      <c r="D576" s="408"/>
      <c r="E576" s="408"/>
      <c r="F576" s="408"/>
      <c r="G576" s="408"/>
      <c r="H576" s="408"/>
      <c r="I576" s="408"/>
      <c r="J576" s="408"/>
      <c r="K576" s="408"/>
      <c r="L576" s="408"/>
      <c r="M576" s="408"/>
      <c r="N576" s="408"/>
      <c r="O576" s="408"/>
      <c r="P576" s="408"/>
      <c r="Q576" s="408"/>
      <c r="R576" s="408"/>
      <c r="S576" s="408"/>
      <c r="T576" s="408"/>
      <c r="U576" s="408"/>
      <c r="V576" s="408"/>
      <c r="W576" s="408"/>
      <c r="X576" s="408"/>
      <c r="Y576" s="408"/>
      <c r="Z576" s="408"/>
    </row>
    <row r="577" ht="14.25" customHeight="1">
      <c r="A577" s="408"/>
      <c r="B577" s="408"/>
      <c r="C577" s="408"/>
      <c r="D577" s="408"/>
      <c r="E577" s="408"/>
      <c r="F577" s="408"/>
      <c r="G577" s="408"/>
      <c r="H577" s="408"/>
      <c r="I577" s="408"/>
      <c r="J577" s="408"/>
      <c r="K577" s="408"/>
      <c r="L577" s="408"/>
      <c r="M577" s="408"/>
      <c r="N577" s="408"/>
      <c r="O577" s="408"/>
      <c r="P577" s="408"/>
      <c r="Q577" s="408"/>
      <c r="R577" s="408"/>
      <c r="S577" s="408"/>
      <c r="T577" s="408"/>
      <c r="U577" s="408"/>
      <c r="V577" s="408"/>
      <c r="W577" s="408"/>
      <c r="X577" s="408"/>
      <c r="Y577" s="408"/>
      <c r="Z577" s="408"/>
    </row>
    <row r="578" ht="14.25" customHeight="1">
      <c r="A578" s="408"/>
      <c r="B578" s="408"/>
      <c r="C578" s="408"/>
      <c r="D578" s="408"/>
      <c r="E578" s="408"/>
      <c r="F578" s="408"/>
      <c r="G578" s="408"/>
      <c r="H578" s="408"/>
      <c r="I578" s="408"/>
      <c r="J578" s="408"/>
      <c r="K578" s="408"/>
      <c r="L578" s="408"/>
      <c r="M578" s="408"/>
      <c r="N578" s="408"/>
      <c r="O578" s="408"/>
      <c r="P578" s="408"/>
      <c r="Q578" s="408"/>
      <c r="R578" s="408"/>
      <c r="S578" s="408"/>
      <c r="T578" s="408"/>
      <c r="U578" s="408"/>
      <c r="V578" s="408"/>
      <c r="W578" s="408"/>
      <c r="X578" s="408"/>
      <c r="Y578" s="408"/>
      <c r="Z578" s="408"/>
    </row>
    <row r="579" ht="14.25" customHeight="1">
      <c r="A579" s="408"/>
      <c r="B579" s="408"/>
      <c r="C579" s="408"/>
      <c r="D579" s="408"/>
      <c r="E579" s="408"/>
      <c r="F579" s="408"/>
      <c r="G579" s="408"/>
      <c r="H579" s="408"/>
      <c r="I579" s="408"/>
      <c r="J579" s="408"/>
      <c r="K579" s="408"/>
      <c r="L579" s="408"/>
      <c r="M579" s="408"/>
      <c r="N579" s="408"/>
      <c r="O579" s="408"/>
      <c r="P579" s="408"/>
      <c r="Q579" s="408"/>
      <c r="R579" s="408"/>
      <c r="S579" s="408"/>
      <c r="T579" s="408"/>
      <c r="U579" s="408"/>
      <c r="V579" s="408"/>
      <c r="W579" s="408"/>
      <c r="X579" s="408"/>
      <c r="Y579" s="408"/>
      <c r="Z579" s="408"/>
    </row>
    <row r="580" ht="14.25" customHeight="1">
      <c r="A580" s="408"/>
      <c r="B580" s="408"/>
      <c r="C580" s="408"/>
      <c r="D580" s="408"/>
      <c r="E580" s="408"/>
      <c r="F580" s="408"/>
      <c r="G580" s="408"/>
      <c r="H580" s="408"/>
      <c r="I580" s="408"/>
      <c r="J580" s="408"/>
      <c r="K580" s="408"/>
      <c r="L580" s="408"/>
      <c r="M580" s="408"/>
      <c r="N580" s="408"/>
      <c r="O580" s="408"/>
      <c r="P580" s="408"/>
      <c r="Q580" s="408"/>
      <c r="R580" s="408"/>
      <c r="S580" s="408"/>
      <c r="T580" s="408"/>
      <c r="U580" s="408"/>
      <c r="V580" s="408"/>
      <c r="W580" s="408"/>
      <c r="X580" s="408"/>
      <c r="Y580" s="408"/>
      <c r="Z580" s="408"/>
    </row>
    <row r="581" ht="14.25" customHeight="1">
      <c r="A581" s="408"/>
      <c r="B581" s="408"/>
      <c r="C581" s="408"/>
      <c r="D581" s="408"/>
      <c r="E581" s="408"/>
      <c r="F581" s="408"/>
      <c r="G581" s="408"/>
      <c r="H581" s="408"/>
      <c r="I581" s="408"/>
      <c r="J581" s="408"/>
      <c r="K581" s="408"/>
      <c r="L581" s="408"/>
      <c r="M581" s="408"/>
      <c r="N581" s="408"/>
      <c r="O581" s="408"/>
      <c r="P581" s="408"/>
      <c r="Q581" s="408"/>
      <c r="R581" s="408"/>
      <c r="S581" s="408"/>
      <c r="T581" s="408"/>
      <c r="U581" s="408"/>
      <c r="V581" s="408"/>
      <c r="W581" s="408"/>
      <c r="X581" s="408"/>
      <c r="Y581" s="408"/>
      <c r="Z581" s="408"/>
    </row>
    <row r="582" ht="14.25" customHeight="1">
      <c r="A582" s="408"/>
      <c r="B582" s="408"/>
      <c r="C582" s="408"/>
      <c r="D582" s="408"/>
      <c r="E582" s="408"/>
      <c r="F582" s="408"/>
      <c r="G582" s="408"/>
      <c r="H582" s="408"/>
      <c r="I582" s="408"/>
      <c r="J582" s="408"/>
      <c r="K582" s="408"/>
      <c r="L582" s="408"/>
      <c r="M582" s="408"/>
      <c r="N582" s="408"/>
      <c r="O582" s="408"/>
      <c r="P582" s="408"/>
      <c r="Q582" s="408"/>
      <c r="R582" s="408"/>
      <c r="S582" s="408"/>
      <c r="T582" s="408"/>
      <c r="U582" s="408"/>
      <c r="V582" s="408"/>
      <c r="W582" s="408"/>
      <c r="X582" s="408"/>
      <c r="Y582" s="408"/>
      <c r="Z582" s="408"/>
    </row>
    <row r="583" ht="14.25" customHeight="1">
      <c r="A583" s="408"/>
      <c r="B583" s="408"/>
      <c r="C583" s="408"/>
      <c r="D583" s="408"/>
      <c r="E583" s="408"/>
      <c r="F583" s="408"/>
      <c r="G583" s="408"/>
      <c r="H583" s="408"/>
      <c r="I583" s="408"/>
      <c r="J583" s="408"/>
      <c r="K583" s="408"/>
      <c r="L583" s="408"/>
      <c r="M583" s="408"/>
      <c r="N583" s="408"/>
      <c r="O583" s="408"/>
      <c r="P583" s="408"/>
      <c r="Q583" s="408"/>
      <c r="R583" s="408"/>
      <c r="S583" s="408"/>
      <c r="T583" s="408"/>
      <c r="U583" s="408"/>
      <c r="V583" s="408"/>
      <c r="W583" s="408"/>
      <c r="X583" s="408"/>
      <c r="Y583" s="408"/>
      <c r="Z583" s="408"/>
    </row>
    <row r="584" ht="14.25" customHeight="1">
      <c r="A584" s="408"/>
      <c r="B584" s="408"/>
      <c r="C584" s="408"/>
      <c r="D584" s="408"/>
      <c r="E584" s="408"/>
      <c r="F584" s="408"/>
      <c r="G584" s="408"/>
      <c r="H584" s="408"/>
      <c r="I584" s="408"/>
      <c r="J584" s="408"/>
      <c r="K584" s="408"/>
      <c r="L584" s="408"/>
      <c r="M584" s="408"/>
      <c r="N584" s="408"/>
      <c r="O584" s="408"/>
      <c r="P584" s="408"/>
      <c r="Q584" s="408"/>
      <c r="R584" s="408"/>
      <c r="S584" s="408"/>
      <c r="T584" s="408"/>
      <c r="U584" s="408"/>
      <c r="V584" s="408"/>
      <c r="W584" s="408"/>
      <c r="X584" s="408"/>
      <c r="Y584" s="408"/>
      <c r="Z584" s="408"/>
    </row>
    <row r="585" ht="14.25" customHeight="1">
      <c r="A585" s="408"/>
      <c r="B585" s="408"/>
      <c r="C585" s="408"/>
      <c r="D585" s="408"/>
      <c r="E585" s="408"/>
      <c r="F585" s="408"/>
      <c r="G585" s="408"/>
      <c r="H585" s="408"/>
      <c r="I585" s="408"/>
      <c r="J585" s="408"/>
      <c r="K585" s="408"/>
      <c r="L585" s="408"/>
      <c r="M585" s="408"/>
      <c r="N585" s="408"/>
      <c r="O585" s="408"/>
      <c r="P585" s="408"/>
      <c r="Q585" s="408"/>
      <c r="R585" s="408"/>
      <c r="S585" s="408"/>
      <c r="T585" s="408"/>
      <c r="U585" s="408"/>
      <c r="V585" s="408"/>
      <c r="W585" s="408"/>
      <c r="X585" s="408"/>
      <c r="Y585" s="408"/>
      <c r="Z585" s="408"/>
    </row>
    <row r="586" ht="14.25" customHeight="1">
      <c r="A586" s="408"/>
      <c r="B586" s="408"/>
      <c r="C586" s="408"/>
      <c r="D586" s="408"/>
      <c r="E586" s="408"/>
      <c r="F586" s="408"/>
      <c r="G586" s="408"/>
      <c r="H586" s="408"/>
      <c r="I586" s="408"/>
      <c r="J586" s="408"/>
      <c r="K586" s="408"/>
      <c r="L586" s="408"/>
      <c r="M586" s="408"/>
      <c r="N586" s="408"/>
      <c r="O586" s="408"/>
      <c r="P586" s="408"/>
      <c r="Q586" s="408"/>
      <c r="R586" s="408"/>
      <c r="S586" s="408"/>
      <c r="T586" s="408"/>
      <c r="U586" s="408"/>
      <c r="V586" s="408"/>
      <c r="W586" s="408"/>
      <c r="X586" s="408"/>
      <c r="Y586" s="408"/>
      <c r="Z586" s="408"/>
    </row>
    <row r="587" ht="14.25" customHeight="1">
      <c r="A587" s="408"/>
      <c r="B587" s="408"/>
      <c r="C587" s="408"/>
      <c r="D587" s="408"/>
      <c r="E587" s="408"/>
      <c r="F587" s="408"/>
      <c r="G587" s="408"/>
      <c r="H587" s="408"/>
      <c r="I587" s="408"/>
      <c r="J587" s="408"/>
      <c r="K587" s="408"/>
      <c r="L587" s="408"/>
      <c r="M587" s="408"/>
      <c r="N587" s="408"/>
      <c r="O587" s="408"/>
      <c r="P587" s="408"/>
      <c r="Q587" s="408"/>
      <c r="R587" s="408"/>
      <c r="S587" s="408"/>
      <c r="T587" s="408"/>
      <c r="U587" s="408"/>
      <c r="V587" s="408"/>
      <c r="W587" s="408"/>
      <c r="X587" s="408"/>
      <c r="Y587" s="408"/>
      <c r="Z587" s="408"/>
    </row>
    <row r="588" ht="14.25" customHeight="1">
      <c r="A588" s="408"/>
      <c r="B588" s="408"/>
      <c r="C588" s="408"/>
      <c r="D588" s="408"/>
      <c r="E588" s="408"/>
      <c r="F588" s="408"/>
      <c r="G588" s="408"/>
      <c r="H588" s="408"/>
      <c r="I588" s="408"/>
      <c r="J588" s="408"/>
      <c r="K588" s="408"/>
      <c r="L588" s="408"/>
      <c r="M588" s="408"/>
      <c r="N588" s="408"/>
      <c r="O588" s="408"/>
      <c r="P588" s="408"/>
      <c r="Q588" s="408"/>
      <c r="R588" s="408"/>
      <c r="S588" s="408"/>
      <c r="T588" s="408"/>
      <c r="U588" s="408"/>
      <c r="V588" s="408"/>
      <c r="W588" s="408"/>
      <c r="X588" s="408"/>
      <c r="Y588" s="408"/>
      <c r="Z588" s="408"/>
    </row>
    <row r="589" ht="14.25" customHeight="1">
      <c r="A589" s="408"/>
      <c r="B589" s="408"/>
      <c r="C589" s="408"/>
      <c r="D589" s="408"/>
      <c r="E589" s="408"/>
      <c r="F589" s="408"/>
      <c r="G589" s="408"/>
      <c r="H589" s="408"/>
      <c r="I589" s="408"/>
      <c r="J589" s="408"/>
      <c r="K589" s="408"/>
      <c r="L589" s="408"/>
      <c r="M589" s="408"/>
      <c r="N589" s="408"/>
      <c r="O589" s="408"/>
      <c r="P589" s="408"/>
      <c r="Q589" s="408"/>
      <c r="R589" s="408"/>
      <c r="S589" s="408"/>
      <c r="T589" s="408"/>
      <c r="U589" s="408"/>
      <c r="V589" s="408"/>
      <c r="W589" s="408"/>
      <c r="X589" s="408"/>
      <c r="Y589" s="408"/>
      <c r="Z589" s="408"/>
    </row>
    <row r="590" ht="14.25" customHeight="1">
      <c r="A590" s="408"/>
      <c r="B590" s="408"/>
      <c r="C590" s="408"/>
      <c r="D590" s="408"/>
      <c r="E590" s="408"/>
      <c r="F590" s="408"/>
      <c r="G590" s="408"/>
      <c r="H590" s="408"/>
      <c r="I590" s="408"/>
      <c r="J590" s="408"/>
      <c r="K590" s="408"/>
      <c r="L590" s="408"/>
      <c r="M590" s="408"/>
      <c r="N590" s="408"/>
      <c r="O590" s="408"/>
      <c r="P590" s="408"/>
      <c r="Q590" s="408"/>
      <c r="R590" s="408"/>
      <c r="S590" s="408"/>
      <c r="T590" s="408"/>
      <c r="U590" s="408"/>
      <c r="V590" s="408"/>
      <c r="W590" s="408"/>
      <c r="X590" s="408"/>
      <c r="Y590" s="408"/>
      <c r="Z590" s="408"/>
    </row>
    <row r="591" ht="14.25" customHeight="1">
      <c r="A591" s="408"/>
      <c r="B591" s="408"/>
      <c r="C591" s="408"/>
      <c r="D591" s="408"/>
      <c r="E591" s="408"/>
      <c r="F591" s="408"/>
      <c r="G591" s="408"/>
      <c r="H591" s="408"/>
      <c r="I591" s="408"/>
      <c r="J591" s="408"/>
      <c r="K591" s="408"/>
      <c r="L591" s="408"/>
      <c r="M591" s="408"/>
      <c r="N591" s="408"/>
      <c r="O591" s="408"/>
      <c r="P591" s="408"/>
      <c r="Q591" s="408"/>
      <c r="R591" s="408"/>
      <c r="S591" s="408"/>
      <c r="T591" s="408"/>
      <c r="U591" s="408"/>
      <c r="V591" s="408"/>
      <c r="W591" s="408"/>
      <c r="X591" s="408"/>
      <c r="Y591" s="408"/>
      <c r="Z591" s="408"/>
    </row>
    <row r="592" ht="14.25" customHeight="1">
      <c r="A592" s="408"/>
      <c r="B592" s="408"/>
      <c r="C592" s="408"/>
      <c r="D592" s="408"/>
      <c r="E592" s="408"/>
      <c r="F592" s="408"/>
      <c r="G592" s="408"/>
      <c r="H592" s="408"/>
      <c r="I592" s="408"/>
      <c r="J592" s="408"/>
      <c r="K592" s="408"/>
      <c r="L592" s="408"/>
      <c r="M592" s="408"/>
      <c r="N592" s="408"/>
      <c r="O592" s="408"/>
      <c r="P592" s="408"/>
      <c r="Q592" s="408"/>
      <c r="R592" s="408"/>
      <c r="S592" s="408"/>
      <c r="T592" s="408"/>
      <c r="U592" s="408"/>
      <c r="V592" s="408"/>
      <c r="W592" s="408"/>
      <c r="X592" s="408"/>
      <c r="Y592" s="408"/>
      <c r="Z592" s="408"/>
    </row>
    <row r="593" ht="14.25" customHeight="1">
      <c r="A593" s="408"/>
      <c r="B593" s="408"/>
      <c r="C593" s="408"/>
      <c r="D593" s="408"/>
      <c r="E593" s="408"/>
      <c r="F593" s="408"/>
      <c r="G593" s="408"/>
      <c r="H593" s="408"/>
      <c r="I593" s="408"/>
      <c r="J593" s="408"/>
      <c r="K593" s="408"/>
      <c r="L593" s="408"/>
      <c r="M593" s="408"/>
      <c r="N593" s="408"/>
      <c r="O593" s="408"/>
      <c r="P593" s="408"/>
      <c r="Q593" s="408"/>
      <c r="R593" s="408"/>
      <c r="S593" s="408"/>
      <c r="T593" s="408"/>
      <c r="U593" s="408"/>
      <c r="V593" s="408"/>
      <c r="W593" s="408"/>
      <c r="X593" s="408"/>
      <c r="Y593" s="408"/>
      <c r="Z593" s="408"/>
    </row>
    <row r="594" ht="14.25" customHeight="1">
      <c r="A594" s="408"/>
      <c r="B594" s="408"/>
      <c r="C594" s="408"/>
      <c r="D594" s="408"/>
      <c r="E594" s="408"/>
      <c r="F594" s="408"/>
      <c r="G594" s="408"/>
      <c r="H594" s="408"/>
      <c r="I594" s="408"/>
      <c r="J594" s="408"/>
      <c r="K594" s="408"/>
      <c r="L594" s="408"/>
      <c r="M594" s="408"/>
      <c r="N594" s="408"/>
      <c r="O594" s="408"/>
      <c r="P594" s="408"/>
      <c r="Q594" s="408"/>
      <c r="R594" s="408"/>
      <c r="S594" s="408"/>
      <c r="T594" s="408"/>
      <c r="U594" s="408"/>
      <c r="V594" s="408"/>
      <c r="W594" s="408"/>
      <c r="X594" s="408"/>
      <c r="Y594" s="408"/>
      <c r="Z594" s="408"/>
    </row>
    <row r="595" ht="14.25" customHeight="1">
      <c r="A595" s="408"/>
      <c r="B595" s="408"/>
      <c r="C595" s="408"/>
      <c r="D595" s="408"/>
      <c r="E595" s="408"/>
      <c r="F595" s="408"/>
      <c r="G595" s="408"/>
      <c r="H595" s="408"/>
      <c r="I595" s="408"/>
      <c r="J595" s="408"/>
      <c r="K595" s="408"/>
      <c r="L595" s="408"/>
      <c r="M595" s="408"/>
      <c r="N595" s="408"/>
      <c r="O595" s="408"/>
      <c r="P595" s="408"/>
      <c r="Q595" s="408"/>
      <c r="R595" s="408"/>
      <c r="S595" s="408"/>
      <c r="T595" s="408"/>
      <c r="U595" s="408"/>
      <c r="V595" s="408"/>
      <c r="W595" s="408"/>
      <c r="X595" s="408"/>
      <c r="Y595" s="408"/>
      <c r="Z595" s="408"/>
    </row>
    <row r="596" ht="14.25" customHeight="1">
      <c r="A596" s="408"/>
      <c r="B596" s="408"/>
      <c r="C596" s="408"/>
      <c r="D596" s="408"/>
      <c r="E596" s="408"/>
      <c r="F596" s="408"/>
      <c r="G596" s="408"/>
      <c r="H596" s="408"/>
      <c r="I596" s="408"/>
      <c r="J596" s="408"/>
      <c r="K596" s="408"/>
      <c r="L596" s="408"/>
      <c r="M596" s="408"/>
      <c r="N596" s="408"/>
      <c r="O596" s="408"/>
      <c r="P596" s="408"/>
      <c r="Q596" s="408"/>
      <c r="R596" s="408"/>
      <c r="S596" s="408"/>
      <c r="T596" s="408"/>
      <c r="U596" s="408"/>
      <c r="V596" s="408"/>
      <c r="W596" s="408"/>
      <c r="X596" s="408"/>
      <c r="Y596" s="408"/>
      <c r="Z596" s="408"/>
    </row>
    <row r="597" ht="14.25" customHeight="1">
      <c r="A597" s="408"/>
      <c r="B597" s="408"/>
      <c r="C597" s="408"/>
      <c r="D597" s="408"/>
      <c r="E597" s="408"/>
      <c r="F597" s="408"/>
      <c r="G597" s="408"/>
      <c r="H597" s="408"/>
      <c r="I597" s="408"/>
      <c r="J597" s="408"/>
      <c r="K597" s="408"/>
      <c r="L597" s="408"/>
      <c r="M597" s="408"/>
      <c r="N597" s="408"/>
      <c r="O597" s="408"/>
      <c r="P597" s="408"/>
      <c r="Q597" s="408"/>
      <c r="R597" s="408"/>
      <c r="S597" s="408"/>
      <c r="T597" s="408"/>
      <c r="U597" s="408"/>
      <c r="V597" s="408"/>
      <c r="W597" s="408"/>
      <c r="X597" s="408"/>
      <c r="Y597" s="408"/>
      <c r="Z597" s="408"/>
    </row>
    <row r="598" ht="14.25" customHeight="1">
      <c r="A598" s="408"/>
      <c r="B598" s="408"/>
      <c r="C598" s="408"/>
      <c r="D598" s="408"/>
      <c r="E598" s="408"/>
      <c r="F598" s="408"/>
      <c r="G598" s="408"/>
      <c r="H598" s="408"/>
      <c r="I598" s="408"/>
      <c r="J598" s="408"/>
      <c r="K598" s="408"/>
      <c r="L598" s="408"/>
      <c r="M598" s="408"/>
      <c r="N598" s="408"/>
      <c r="O598" s="408"/>
      <c r="P598" s="408"/>
      <c r="Q598" s="408"/>
      <c r="R598" s="408"/>
      <c r="S598" s="408"/>
      <c r="T598" s="408"/>
      <c r="U598" s="408"/>
      <c r="V598" s="408"/>
      <c r="W598" s="408"/>
      <c r="X598" s="408"/>
      <c r="Y598" s="408"/>
      <c r="Z598" s="408"/>
    </row>
    <row r="599" ht="14.25" customHeight="1">
      <c r="A599" s="408"/>
      <c r="B599" s="408"/>
      <c r="C599" s="408"/>
      <c r="D599" s="408"/>
      <c r="E599" s="408"/>
      <c r="F599" s="408"/>
      <c r="G599" s="408"/>
      <c r="H599" s="408"/>
      <c r="I599" s="408"/>
      <c r="J599" s="408"/>
      <c r="K599" s="408"/>
      <c r="L599" s="408"/>
      <c r="M599" s="408"/>
      <c r="N599" s="408"/>
      <c r="O599" s="408"/>
      <c r="P599" s="408"/>
      <c r="Q599" s="408"/>
      <c r="R599" s="408"/>
      <c r="S599" s="408"/>
      <c r="T599" s="408"/>
      <c r="U599" s="408"/>
      <c r="V599" s="408"/>
      <c r="W599" s="408"/>
      <c r="X599" s="408"/>
      <c r="Y599" s="408"/>
      <c r="Z599" s="408"/>
    </row>
    <row r="600" ht="14.25" customHeight="1">
      <c r="A600" s="408"/>
      <c r="B600" s="408"/>
      <c r="C600" s="408"/>
      <c r="D600" s="408"/>
      <c r="E600" s="408"/>
      <c r="F600" s="408"/>
      <c r="G600" s="408"/>
      <c r="H600" s="408"/>
      <c r="I600" s="408"/>
      <c r="J600" s="408"/>
      <c r="K600" s="408"/>
      <c r="L600" s="408"/>
      <c r="M600" s="408"/>
      <c r="N600" s="408"/>
      <c r="O600" s="408"/>
      <c r="P600" s="408"/>
      <c r="Q600" s="408"/>
      <c r="R600" s="408"/>
      <c r="S600" s="408"/>
      <c r="T600" s="408"/>
      <c r="U600" s="408"/>
      <c r="V600" s="408"/>
      <c r="W600" s="408"/>
      <c r="X600" s="408"/>
      <c r="Y600" s="408"/>
      <c r="Z600" s="408"/>
    </row>
    <row r="601" ht="14.25" customHeight="1">
      <c r="A601" s="408"/>
      <c r="B601" s="408"/>
      <c r="C601" s="408"/>
      <c r="D601" s="408"/>
      <c r="E601" s="408"/>
      <c r="F601" s="408"/>
      <c r="G601" s="408"/>
      <c r="H601" s="408"/>
      <c r="I601" s="408"/>
      <c r="J601" s="408"/>
      <c r="K601" s="408"/>
      <c r="L601" s="408"/>
      <c r="M601" s="408"/>
      <c r="N601" s="408"/>
      <c r="O601" s="408"/>
      <c r="P601" s="408"/>
      <c r="Q601" s="408"/>
      <c r="R601" s="408"/>
      <c r="S601" s="408"/>
      <c r="T601" s="408"/>
      <c r="U601" s="408"/>
      <c r="V601" s="408"/>
      <c r="W601" s="408"/>
      <c r="X601" s="408"/>
      <c r="Y601" s="408"/>
      <c r="Z601" s="408"/>
    </row>
    <row r="602" ht="14.25" customHeight="1">
      <c r="A602" s="408"/>
      <c r="B602" s="408"/>
      <c r="C602" s="408"/>
      <c r="D602" s="408"/>
      <c r="E602" s="408"/>
      <c r="F602" s="408"/>
      <c r="G602" s="408"/>
      <c r="H602" s="408"/>
      <c r="I602" s="408"/>
      <c r="J602" s="408"/>
      <c r="K602" s="408"/>
      <c r="L602" s="408"/>
      <c r="M602" s="408"/>
      <c r="N602" s="408"/>
      <c r="O602" s="408"/>
      <c r="P602" s="408"/>
      <c r="Q602" s="408"/>
      <c r="R602" s="408"/>
      <c r="S602" s="408"/>
      <c r="T602" s="408"/>
      <c r="U602" s="408"/>
      <c r="V602" s="408"/>
      <c r="W602" s="408"/>
      <c r="X602" s="408"/>
      <c r="Y602" s="408"/>
      <c r="Z602" s="408"/>
    </row>
    <row r="603" ht="14.25" customHeight="1">
      <c r="A603" s="408"/>
      <c r="B603" s="408"/>
      <c r="C603" s="408"/>
      <c r="D603" s="408"/>
      <c r="E603" s="408"/>
      <c r="F603" s="408"/>
      <c r="G603" s="408"/>
      <c r="H603" s="408"/>
      <c r="I603" s="408"/>
      <c r="J603" s="408"/>
      <c r="K603" s="408"/>
      <c r="L603" s="408"/>
      <c r="M603" s="408"/>
      <c r="N603" s="408"/>
      <c r="O603" s="408"/>
      <c r="P603" s="408"/>
      <c r="Q603" s="408"/>
      <c r="R603" s="408"/>
      <c r="S603" s="408"/>
      <c r="T603" s="408"/>
      <c r="U603" s="408"/>
      <c r="V603" s="408"/>
      <c r="W603" s="408"/>
      <c r="X603" s="408"/>
      <c r="Y603" s="408"/>
      <c r="Z603" s="408"/>
    </row>
    <row r="604" ht="14.25" customHeight="1">
      <c r="A604" s="408"/>
      <c r="B604" s="408"/>
      <c r="C604" s="408"/>
      <c r="D604" s="408"/>
      <c r="E604" s="408"/>
      <c r="F604" s="408"/>
      <c r="G604" s="408"/>
      <c r="H604" s="408"/>
      <c r="I604" s="408"/>
      <c r="J604" s="408"/>
      <c r="K604" s="408"/>
      <c r="L604" s="408"/>
      <c r="M604" s="408"/>
      <c r="N604" s="408"/>
      <c r="O604" s="408"/>
      <c r="P604" s="408"/>
      <c r="Q604" s="408"/>
      <c r="R604" s="408"/>
      <c r="S604" s="408"/>
      <c r="T604" s="408"/>
      <c r="U604" s="408"/>
      <c r="V604" s="408"/>
      <c r="W604" s="408"/>
      <c r="X604" s="408"/>
      <c r="Y604" s="408"/>
      <c r="Z604" s="408"/>
    </row>
    <row r="605" ht="14.25" customHeight="1">
      <c r="A605" s="408"/>
      <c r="B605" s="408"/>
      <c r="C605" s="408"/>
      <c r="D605" s="408"/>
      <c r="E605" s="408"/>
      <c r="F605" s="408"/>
      <c r="G605" s="408"/>
      <c r="H605" s="408"/>
      <c r="I605" s="408"/>
      <c r="J605" s="408"/>
      <c r="K605" s="408"/>
      <c r="L605" s="408"/>
      <c r="M605" s="408"/>
      <c r="N605" s="408"/>
      <c r="O605" s="408"/>
      <c r="P605" s="408"/>
      <c r="Q605" s="408"/>
      <c r="R605" s="408"/>
      <c r="S605" s="408"/>
      <c r="T605" s="408"/>
      <c r="U605" s="408"/>
      <c r="V605" s="408"/>
      <c r="W605" s="408"/>
      <c r="X605" s="408"/>
      <c r="Y605" s="408"/>
      <c r="Z605" s="408"/>
    </row>
    <row r="606" ht="14.25" customHeight="1">
      <c r="A606" s="408"/>
      <c r="B606" s="408"/>
      <c r="C606" s="408"/>
      <c r="D606" s="408"/>
      <c r="E606" s="408"/>
      <c r="F606" s="408"/>
      <c r="G606" s="408"/>
      <c r="H606" s="408"/>
      <c r="I606" s="408"/>
      <c r="J606" s="408"/>
      <c r="K606" s="408"/>
      <c r="L606" s="408"/>
      <c r="M606" s="408"/>
      <c r="N606" s="408"/>
      <c r="O606" s="408"/>
      <c r="P606" s="408"/>
      <c r="Q606" s="408"/>
      <c r="R606" s="408"/>
      <c r="S606" s="408"/>
      <c r="T606" s="408"/>
      <c r="U606" s="408"/>
      <c r="V606" s="408"/>
      <c r="W606" s="408"/>
      <c r="X606" s="408"/>
      <c r="Y606" s="408"/>
      <c r="Z606" s="408"/>
    </row>
    <row r="607" ht="14.25" customHeight="1">
      <c r="A607" s="408"/>
      <c r="B607" s="408"/>
      <c r="C607" s="408"/>
      <c r="D607" s="408"/>
      <c r="E607" s="408"/>
      <c r="F607" s="408"/>
      <c r="G607" s="408"/>
      <c r="H607" s="408"/>
      <c r="I607" s="408"/>
      <c r="J607" s="408"/>
      <c r="K607" s="408"/>
      <c r="L607" s="408"/>
      <c r="M607" s="408"/>
      <c r="N607" s="408"/>
      <c r="O607" s="408"/>
      <c r="P607" s="408"/>
      <c r="Q607" s="408"/>
      <c r="R607" s="408"/>
      <c r="S607" s="408"/>
      <c r="T607" s="408"/>
      <c r="U607" s="408"/>
      <c r="V607" s="408"/>
      <c r="W607" s="408"/>
      <c r="X607" s="408"/>
      <c r="Y607" s="408"/>
      <c r="Z607" s="408"/>
    </row>
    <row r="608" ht="14.25" customHeight="1">
      <c r="A608" s="408"/>
      <c r="B608" s="408"/>
      <c r="C608" s="408"/>
      <c r="D608" s="408"/>
      <c r="E608" s="408"/>
      <c r="F608" s="408"/>
      <c r="G608" s="408"/>
      <c r="H608" s="408"/>
      <c r="I608" s="408"/>
      <c r="J608" s="408"/>
      <c r="K608" s="408"/>
      <c r="L608" s="408"/>
      <c r="M608" s="408"/>
      <c r="N608" s="408"/>
      <c r="O608" s="408"/>
      <c r="P608" s="408"/>
      <c r="Q608" s="408"/>
      <c r="R608" s="408"/>
      <c r="S608" s="408"/>
      <c r="T608" s="408"/>
      <c r="U608" s="408"/>
      <c r="V608" s="408"/>
      <c r="W608" s="408"/>
      <c r="X608" s="408"/>
      <c r="Y608" s="408"/>
      <c r="Z608" s="408"/>
    </row>
    <row r="609" ht="14.25" customHeight="1">
      <c r="A609" s="408"/>
      <c r="B609" s="408"/>
      <c r="C609" s="408"/>
      <c r="D609" s="408"/>
      <c r="E609" s="408"/>
      <c r="F609" s="408"/>
      <c r="G609" s="408"/>
      <c r="H609" s="408"/>
      <c r="I609" s="408"/>
      <c r="J609" s="408"/>
      <c r="K609" s="408"/>
      <c r="L609" s="408"/>
      <c r="M609" s="408"/>
      <c r="N609" s="408"/>
      <c r="O609" s="408"/>
      <c r="P609" s="408"/>
      <c r="Q609" s="408"/>
      <c r="R609" s="408"/>
      <c r="S609" s="408"/>
      <c r="T609" s="408"/>
      <c r="U609" s="408"/>
      <c r="V609" s="408"/>
      <c r="W609" s="408"/>
      <c r="X609" s="408"/>
      <c r="Y609" s="408"/>
      <c r="Z609" s="408"/>
    </row>
    <row r="610" ht="14.25" customHeight="1">
      <c r="A610" s="408"/>
      <c r="B610" s="408"/>
      <c r="C610" s="408"/>
      <c r="D610" s="408"/>
      <c r="E610" s="408"/>
      <c r="F610" s="408"/>
      <c r="G610" s="408"/>
      <c r="H610" s="408"/>
      <c r="I610" s="408"/>
      <c r="J610" s="408"/>
      <c r="K610" s="408"/>
      <c r="L610" s="408"/>
      <c r="M610" s="408"/>
      <c r="N610" s="408"/>
      <c r="O610" s="408"/>
      <c r="P610" s="408"/>
      <c r="Q610" s="408"/>
      <c r="R610" s="408"/>
      <c r="S610" s="408"/>
      <c r="T610" s="408"/>
      <c r="U610" s="408"/>
      <c r="V610" s="408"/>
      <c r="W610" s="408"/>
      <c r="X610" s="408"/>
      <c r="Y610" s="408"/>
      <c r="Z610" s="408"/>
    </row>
    <row r="611" ht="14.25" customHeight="1">
      <c r="A611" s="408"/>
      <c r="B611" s="408"/>
      <c r="C611" s="408"/>
      <c r="D611" s="408"/>
      <c r="E611" s="408"/>
      <c r="F611" s="408"/>
      <c r="G611" s="408"/>
      <c r="H611" s="408"/>
      <c r="I611" s="408"/>
      <c r="J611" s="408"/>
      <c r="K611" s="408"/>
      <c r="L611" s="408"/>
      <c r="M611" s="408"/>
      <c r="N611" s="408"/>
      <c r="O611" s="408"/>
      <c r="P611" s="408"/>
      <c r="Q611" s="408"/>
      <c r="R611" s="408"/>
      <c r="S611" s="408"/>
      <c r="T611" s="408"/>
      <c r="U611" s="408"/>
      <c r="V611" s="408"/>
      <c r="W611" s="408"/>
      <c r="X611" s="408"/>
      <c r="Y611" s="408"/>
      <c r="Z611" s="408"/>
    </row>
    <row r="612" ht="14.25" customHeight="1">
      <c r="A612" s="408"/>
      <c r="B612" s="408"/>
      <c r="C612" s="408"/>
      <c r="D612" s="408"/>
      <c r="E612" s="408"/>
      <c r="F612" s="408"/>
      <c r="G612" s="408"/>
      <c r="H612" s="408"/>
      <c r="I612" s="408"/>
      <c r="J612" s="408"/>
      <c r="K612" s="408"/>
      <c r="L612" s="408"/>
      <c r="M612" s="408"/>
      <c r="N612" s="408"/>
      <c r="O612" s="408"/>
      <c r="P612" s="408"/>
      <c r="Q612" s="408"/>
      <c r="R612" s="408"/>
      <c r="S612" s="408"/>
      <c r="T612" s="408"/>
      <c r="U612" s="408"/>
      <c r="V612" s="408"/>
      <c r="W612" s="408"/>
      <c r="X612" s="408"/>
      <c r="Y612" s="408"/>
      <c r="Z612" s="408"/>
    </row>
    <row r="613" ht="14.25" customHeight="1">
      <c r="A613" s="408"/>
      <c r="B613" s="408"/>
      <c r="C613" s="408"/>
      <c r="D613" s="408"/>
      <c r="E613" s="408"/>
      <c r="F613" s="408"/>
      <c r="G613" s="408"/>
      <c r="H613" s="408"/>
      <c r="I613" s="408"/>
      <c r="J613" s="408"/>
      <c r="K613" s="408"/>
      <c r="L613" s="408"/>
      <c r="M613" s="408"/>
      <c r="N613" s="408"/>
      <c r="O613" s="408"/>
      <c r="P613" s="408"/>
      <c r="Q613" s="408"/>
      <c r="R613" s="408"/>
      <c r="S613" s="408"/>
      <c r="T613" s="408"/>
      <c r="U613" s="408"/>
      <c r="V613" s="408"/>
      <c r="W613" s="408"/>
      <c r="X613" s="408"/>
      <c r="Y613" s="408"/>
      <c r="Z613" s="408"/>
    </row>
    <row r="614" ht="14.25" customHeight="1">
      <c r="A614" s="408"/>
      <c r="B614" s="408"/>
      <c r="C614" s="408"/>
      <c r="D614" s="408"/>
      <c r="E614" s="408"/>
      <c r="F614" s="408"/>
      <c r="G614" s="408"/>
      <c r="H614" s="408"/>
      <c r="I614" s="408"/>
      <c r="J614" s="408"/>
      <c r="K614" s="408"/>
      <c r="L614" s="408"/>
      <c r="M614" s="408"/>
      <c r="N614" s="408"/>
      <c r="O614" s="408"/>
      <c r="P614" s="408"/>
      <c r="Q614" s="408"/>
      <c r="R614" s="408"/>
      <c r="S614" s="408"/>
      <c r="T614" s="408"/>
      <c r="U614" s="408"/>
      <c r="V614" s="408"/>
      <c r="W614" s="408"/>
      <c r="X614" s="408"/>
      <c r="Y614" s="408"/>
      <c r="Z614" s="408"/>
    </row>
    <row r="615" ht="14.25" customHeight="1">
      <c r="A615" s="408"/>
      <c r="B615" s="408"/>
      <c r="C615" s="408"/>
      <c r="D615" s="408"/>
      <c r="E615" s="408"/>
      <c r="F615" s="408"/>
      <c r="G615" s="408"/>
      <c r="H615" s="408"/>
      <c r="I615" s="408"/>
      <c r="J615" s="408"/>
      <c r="K615" s="408"/>
      <c r="L615" s="408"/>
      <c r="M615" s="408"/>
      <c r="N615" s="408"/>
      <c r="O615" s="408"/>
      <c r="P615" s="408"/>
      <c r="Q615" s="408"/>
      <c r="R615" s="408"/>
      <c r="S615" s="408"/>
      <c r="T615" s="408"/>
      <c r="U615" s="408"/>
      <c r="V615" s="408"/>
      <c r="W615" s="408"/>
      <c r="X615" s="408"/>
      <c r="Y615" s="408"/>
      <c r="Z615" s="408"/>
    </row>
    <row r="616" ht="14.25" customHeight="1">
      <c r="A616" s="408"/>
      <c r="B616" s="408"/>
      <c r="C616" s="408"/>
      <c r="D616" s="408"/>
      <c r="E616" s="408"/>
      <c r="F616" s="408"/>
      <c r="G616" s="408"/>
      <c r="H616" s="408"/>
      <c r="I616" s="408"/>
      <c r="J616" s="408"/>
      <c r="K616" s="408"/>
      <c r="L616" s="408"/>
      <c r="M616" s="408"/>
      <c r="N616" s="408"/>
      <c r="O616" s="408"/>
      <c r="P616" s="408"/>
      <c r="Q616" s="408"/>
      <c r="R616" s="408"/>
      <c r="S616" s="408"/>
      <c r="T616" s="408"/>
      <c r="U616" s="408"/>
      <c r="V616" s="408"/>
      <c r="W616" s="408"/>
      <c r="X616" s="408"/>
      <c r="Y616" s="408"/>
      <c r="Z616" s="408"/>
    </row>
    <row r="617" ht="14.25" customHeight="1">
      <c r="A617" s="408"/>
      <c r="B617" s="408"/>
      <c r="C617" s="408"/>
      <c r="D617" s="408"/>
      <c r="E617" s="408"/>
      <c r="F617" s="408"/>
      <c r="G617" s="408"/>
      <c r="H617" s="408"/>
      <c r="I617" s="408"/>
      <c r="J617" s="408"/>
      <c r="K617" s="408"/>
      <c r="L617" s="408"/>
      <c r="M617" s="408"/>
      <c r="N617" s="408"/>
      <c r="O617" s="408"/>
      <c r="P617" s="408"/>
      <c r="Q617" s="408"/>
      <c r="R617" s="408"/>
      <c r="S617" s="408"/>
      <c r="T617" s="408"/>
      <c r="U617" s="408"/>
      <c r="V617" s="408"/>
      <c r="W617" s="408"/>
      <c r="X617" s="408"/>
      <c r="Y617" s="408"/>
      <c r="Z617" s="408"/>
    </row>
    <row r="618" ht="14.25" customHeight="1">
      <c r="A618" s="408"/>
      <c r="B618" s="408"/>
      <c r="C618" s="408"/>
      <c r="D618" s="408"/>
      <c r="E618" s="408"/>
      <c r="F618" s="408"/>
      <c r="G618" s="408"/>
      <c r="H618" s="408"/>
      <c r="I618" s="408"/>
      <c r="J618" s="408"/>
      <c r="K618" s="408"/>
      <c r="L618" s="408"/>
      <c r="M618" s="408"/>
      <c r="N618" s="408"/>
      <c r="O618" s="408"/>
      <c r="P618" s="408"/>
      <c r="Q618" s="408"/>
      <c r="R618" s="408"/>
      <c r="S618" s="408"/>
      <c r="T618" s="408"/>
      <c r="U618" s="408"/>
      <c r="V618" s="408"/>
      <c r="W618" s="408"/>
      <c r="X618" s="408"/>
      <c r="Y618" s="408"/>
      <c r="Z618" s="408"/>
    </row>
    <row r="619" ht="14.25" customHeight="1">
      <c r="A619" s="408"/>
      <c r="B619" s="408"/>
      <c r="C619" s="408"/>
      <c r="D619" s="408"/>
      <c r="E619" s="408"/>
      <c r="F619" s="408"/>
      <c r="G619" s="408"/>
      <c r="H619" s="408"/>
      <c r="I619" s="408"/>
      <c r="J619" s="408"/>
      <c r="K619" s="408"/>
      <c r="L619" s="408"/>
      <c r="M619" s="408"/>
      <c r="N619" s="408"/>
      <c r="O619" s="408"/>
      <c r="P619" s="408"/>
      <c r="Q619" s="408"/>
      <c r="R619" s="408"/>
      <c r="S619" s="408"/>
      <c r="T619" s="408"/>
      <c r="U619" s="408"/>
      <c r="V619" s="408"/>
      <c r="W619" s="408"/>
      <c r="X619" s="408"/>
      <c r="Y619" s="408"/>
      <c r="Z619" s="408"/>
    </row>
    <row r="620" ht="14.25" customHeight="1">
      <c r="A620" s="408"/>
      <c r="B620" s="408"/>
      <c r="C620" s="408"/>
      <c r="D620" s="408"/>
      <c r="E620" s="408"/>
      <c r="F620" s="408"/>
      <c r="G620" s="408"/>
      <c r="H620" s="408"/>
      <c r="I620" s="408"/>
      <c r="J620" s="408"/>
      <c r="K620" s="408"/>
      <c r="L620" s="408"/>
      <c r="M620" s="408"/>
      <c r="N620" s="408"/>
      <c r="O620" s="408"/>
      <c r="P620" s="408"/>
      <c r="Q620" s="408"/>
      <c r="R620" s="408"/>
      <c r="S620" s="408"/>
      <c r="T620" s="408"/>
      <c r="U620" s="408"/>
      <c r="V620" s="408"/>
      <c r="W620" s="408"/>
      <c r="X620" s="408"/>
      <c r="Y620" s="408"/>
      <c r="Z620" s="408"/>
    </row>
    <row r="621" ht="14.25" customHeight="1">
      <c r="A621" s="408"/>
      <c r="B621" s="408"/>
      <c r="C621" s="408"/>
      <c r="D621" s="408"/>
      <c r="E621" s="408"/>
      <c r="F621" s="408"/>
      <c r="G621" s="408"/>
      <c r="H621" s="408"/>
      <c r="I621" s="408"/>
      <c r="J621" s="408"/>
      <c r="K621" s="408"/>
      <c r="L621" s="408"/>
      <c r="M621" s="408"/>
      <c r="N621" s="408"/>
      <c r="O621" s="408"/>
      <c r="P621" s="408"/>
      <c r="Q621" s="408"/>
      <c r="R621" s="408"/>
      <c r="S621" s="408"/>
      <c r="T621" s="408"/>
      <c r="U621" s="408"/>
      <c r="V621" s="408"/>
      <c r="W621" s="408"/>
      <c r="X621" s="408"/>
      <c r="Y621" s="408"/>
      <c r="Z621" s="408"/>
    </row>
    <row r="622" ht="14.25" customHeight="1">
      <c r="A622" s="408"/>
      <c r="B622" s="408"/>
      <c r="C622" s="408"/>
      <c r="D622" s="408"/>
      <c r="E622" s="408"/>
      <c r="F622" s="408"/>
      <c r="G622" s="408"/>
      <c r="H622" s="408"/>
      <c r="I622" s="408"/>
      <c r="J622" s="408"/>
      <c r="K622" s="408"/>
      <c r="L622" s="408"/>
      <c r="M622" s="408"/>
      <c r="N622" s="408"/>
      <c r="O622" s="408"/>
      <c r="P622" s="408"/>
      <c r="Q622" s="408"/>
      <c r="R622" s="408"/>
      <c r="S622" s="408"/>
      <c r="T622" s="408"/>
      <c r="U622" s="408"/>
      <c r="V622" s="408"/>
      <c r="W622" s="408"/>
      <c r="X622" s="408"/>
      <c r="Y622" s="408"/>
      <c r="Z622" s="408"/>
    </row>
    <row r="623" ht="14.25" customHeight="1">
      <c r="A623" s="408"/>
      <c r="B623" s="408"/>
      <c r="C623" s="408"/>
      <c r="D623" s="408"/>
      <c r="E623" s="408"/>
      <c r="F623" s="408"/>
      <c r="G623" s="408"/>
      <c r="H623" s="408"/>
      <c r="I623" s="408"/>
      <c r="J623" s="408"/>
      <c r="K623" s="408"/>
      <c r="L623" s="408"/>
      <c r="M623" s="408"/>
      <c r="N623" s="408"/>
      <c r="O623" s="408"/>
      <c r="P623" s="408"/>
      <c r="Q623" s="408"/>
      <c r="R623" s="408"/>
      <c r="S623" s="408"/>
      <c r="T623" s="408"/>
      <c r="U623" s="408"/>
      <c r="V623" s="408"/>
      <c r="W623" s="408"/>
      <c r="X623" s="408"/>
      <c r="Y623" s="408"/>
      <c r="Z623" s="408"/>
    </row>
    <row r="624" ht="14.25" customHeight="1">
      <c r="A624" s="408"/>
      <c r="B624" s="408"/>
      <c r="C624" s="408"/>
      <c r="D624" s="408"/>
      <c r="E624" s="408"/>
      <c r="F624" s="408"/>
      <c r="G624" s="408"/>
      <c r="H624" s="408"/>
      <c r="I624" s="408"/>
      <c r="J624" s="408"/>
      <c r="K624" s="408"/>
      <c r="L624" s="408"/>
      <c r="M624" s="408"/>
      <c r="N624" s="408"/>
      <c r="O624" s="408"/>
      <c r="P624" s="408"/>
      <c r="Q624" s="408"/>
      <c r="R624" s="408"/>
      <c r="S624" s="408"/>
      <c r="T624" s="408"/>
      <c r="U624" s="408"/>
      <c r="V624" s="408"/>
      <c r="W624" s="408"/>
      <c r="X624" s="408"/>
      <c r="Y624" s="408"/>
      <c r="Z624" s="408"/>
    </row>
    <row r="625" ht="14.25" customHeight="1">
      <c r="A625" s="408"/>
      <c r="B625" s="408"/>
      <c r="C625" s="408"/>
      <c r="D625" s="408"/>
      <c r="E625" s="408"/>
      <c r="F625" s="408"/>
      <c r="G625" s="408"/>
      <c r="H625" s="408"/>
      <c r="I625" s="408"/>
      <c r="J625" s="408"/>
      <c r="K625" s="408"/>
      <c r="L625" s="408"/>
      <c r="M625" s="408"/>
      <c r="N625" s="408"/>
      <c r="O625" s="408"/>
      <c r="P625" s="408"/>
      <c r="Q625" s="408"/>
      <c r="R625" s="408"/>
      <c r="S625" s="408"/>
      <c r="T625" s="408"/>
      <c r="U625" s="408"/>
      <c r="V625" s="408"/>
      <c r="W625" s="408"/>
      <c r="X625" s="408"/>
      <c r="Y625" s="408"/>
      <c r="Z625" s="408"/>
    </row>
    <row r="626" ht="14.25" customHeight="1">
      <c r="A626" s="408"/>
      <c r="B626" s="408"/>
      <c r="C626" s="408"/>
      <c r="D626" s="408"/>
      <c r="E626" s="408"/>
      <c r="F626" s="408"/>
      <c r="G626" s="408"/>
      <c r="H626" s="408"/>
      <c r="I626" s="408"/>
      <c r="J626" s="408"/>
      <c r="K626" s="408"/>
      <c r="L626" s="408"/>
      <c r="M626" s="408"/>
      <c r="N626" s="408"/>
      <c r="O626" s="408"/>
      <c r="P626" s="408"/>
      <c r="Q626" s="408"/>
      <c r="R626" s="408"/>
      <c r="S626" s="408"/>
      <c r="T626" s="408"/>
      <c r="U626" s="408"/>
      <c r="V626" s="408"/>
      <c r="W626" s="408"/>
      <c r="X626" s="408"/>
      <c r="Y626" s="408"/>
      <c r="Z626" s="408"/>
    </row>
    <row r="627" ht="14.25" customHeight="1">
      <c r="A627" s="408"/>
      <c r="B627" s="408"/>
      <c r="C627" s="408"/>
      <c r="D627" s="408"/>
      <c r="E627" s="408"/>
      <c r="F627" s="408"/>
      <c r="G627" s="408"/>
      <c r="H627" s="408"/>
      <c r="I627" s="408"/>
      <c r="J627" s="408"/>
      <c r="K627" s="408"/>
      <c r="L627" s="408"/>
      <c r="M627" s="408"/>
      <c r="N627" s="408"/>
      <c r="O627" s="408"/>
      <c r="P627" s="408"/>
      <c r="Q627" s="408"/>
      <c r="R627" s="408"/>
      <c r="S627" s="408"/>
      <c r="T627" s="408"/>
      <c r="U627" s="408"/>
      <c r="V627" s="408"/>
      <c r="W627" s="408"/>
      <c r="X627" s="408"/>
      <c r="Y627" s="408"/>
      <c r="Z627" s="408"/>
    </row>
    <row r="628" ht="14.25" customHeight="1">
      <c r="A628" s="408"/>
      <c r="B628" s="408"/>
      <c r="C628" s="408"/>
      <c r="D628" s="408"/>
      <c r="E628" s="408"/>
      <c r="F628" s="408"/>
      <c r="G628" s="408"/>
      <c r="H628" s="408"/>
      <c r="I628" s="408"/>
      <c r="J628" s="408"/>
      <c r="K628" s="408"/>
      <c r="L628" s="408"/>
      <c r="M628" s="408"/>
      <c r="N628" s="408"/>
      <c r="O628" s="408"/>
      <c r="P628" s="408"/>
      <c r="Q628" s="408"/>
      <c r="R628" s="408"/>
      <c r="S628" s="408"/>
      <c r="T628" s="408"/>
      <c r="U628" s="408"/>
      <c r="V628" s="408"/>
      <c r="W628" s="408"/>
      <c r="X628" s="408"/>
      <c r="Y628" s="408"/>
      <c r="Z628" s="408"/>
    </row>
    <row r="629" ht="14.25" customHeight="1">
      <c r="A629" s="408"/>
      <c r="B629" s="408"/>
      <c r="C629" s="408"/>
      <c r="D629" s="408"/>
      <c r="E629" s="408"/>
      <c r="F629" s="408"/>
      <c r="G629" s="408"/>
      <c r="H629" s="408"/>
      <c r="I629" s="408"/>
      <c r="J629" s="408"/>
      <c r="K629" s="408"/>
      <c r="L629" s="408"/>
      <c r="M629" s="408"/>
      <c r="N629" s="408"/>
      <c r="O629" s="408"/>
      <c r="P629" s="408"/>
      <c r="Q629" s="408"/>
      <c r="R629" s="408"/>
      <c r="S629" s="408"/>
      <c r="T629" s="408"/>
      <c r="U629" s="408"/>
      <c r="V629" s="408"/>
      <c r="W629" s="408"/>
      <c r="X629" s="408"/>
      <c r="Y629" s="408"/>
      <c r="Z629" s="408"/>
    </row>
    <row r="630" ht="14.25" customHeight="1">
      <c r="A630" s="408"/>
      <c r="B630" s="408"/>
      <c r="C630" s="408"/>
      <c r="D630" s="408"/>
      <c r="E630" s="408"/>
      <c r="F630" s="408"/>
      <c r="G630" s="408"/>
      <c r="H630" s="408"/>
      <c r="I630" s="408"/>
      <c r="J630" s="408"/>
      <c r="K630" s="408"/>
      <c r="L630" s="408"/>
      <c r="M630" s="408"/>
      <c r="N630" s="408"/>
      <c r="O630" s="408"/>
      <c r="P630" s="408"/>
      <c r="Q630" s="408"/>
      <c r="R630" s="408"/>
      <c r="S630" s="408"/>
      <c r="T630" s="408"/>
      <c r="U630" s="408"/>
      <c r="V630" s="408"/>
      <c r="W630" s="408"/>
      <c r="X630" s="408"/>
      <c r="Y630" s="408"/>
      <c r="Z630" s="408"/>
    </row>
    <row r="631" ht="14.25" customHeight="1">
      <c r="A631" s="408"/>
      <c r="B631" s="408"/>
      <c r="C631" s="408"/>
      <c r="D631" s="408"/>
      <c r="E631" s="408"/>
      <c r="F631" s="408"/>
      <c r="G631" s="408"/>
      <c r="H631" s="408"/>
      <c r="I631" s="408"/>
      <c r="J631" s="408"/>
      <c r="K631" s="408"/>
      <c r="L631" s="408"/>
      <c r="M631" s="408"/>
      <c r="N631" s="408"/>
      <c r="O631" s="408"/>
      <c r="P631" s="408"/>
      <c r="Q631" s="408"/>
      <c r="R631" s="408"/>
      <c r="S631" s="408"/>
      <c r="T631" s="408"/>
      <c r="U631" s="408"/>
      <c r="V631" s="408"/>
      <c r="W631" s="408"/>
      <c r="X631" s="408"/>
      <c r="Y631" s="408"/>
      <c r="Z631" s="408"/>
    </row>
    <row r="632" ht="14.25" customHeight="1">
      <c r="A632" s="408"/>
      <c r="B632" s="408"/>
      <c r="C632" s="408"/>
      <c r="D632" s="408"/>
      <c r="E632" s="408"/>
      <c r="F632" s="408"/>
      <c r="G632" s="408"/>
      <c r="H632" s="408"/>
      <c r="I632" s="408"/>
      <c r="J632" s="408"/>
      <c r="K632" s="408"/>
      <c r="L632" s="408"/>
      <c r="M632" s="408"/>
      <c r="N632" s="408"/>
      <c r="O632" s="408"/>
      <c r="P632" s="408"/>
      <c r="Q632" s="408"/>
      <c r="R632" s="408"/>
      <c r="S632" s="408"/>
      <c r="T632" s="408"/>
      <c r="U632" s="408"/>
      <c r="V632" s="408"/>
      <c r="W632" s="408"/>
      <c r="X632" s="408"/>
      <c r="Y632" s="408"/>
      <c r="Z632" s="408"/>
    </row>
    <row r="633" ht="14.25" customHeight="1">
      <c r="A633" s="408"/>
      <c r="B633" s="408"/>
      <c r="C633" s="408"/>
      <c r="D633" s="408"/>
      <c r="E633" s="408"/>
      <c r="F633" s="408"/>
      <c r="G633" s="408"/>
      <c r="H633" s="408"/>
      <c r="I633" s="408"/>
      <c r="J633" s="408"/>
      <c r="K633" s="408"/>
      <c r="L633" s="408"/>
      <c r="M633" s="408"/>
      <c r="N633" s="408"/>
      <c r="O633" s="408"/>
      <c r="P633" s="408"/>
      <c r="Q633" s="408"/>
      <c r="R633" s="408"/>
      <c r="S633" s="408"/>
      <c r="T633" s="408"/>
      <c r="U633" s="408"/>
      <c r="V633" s="408"/>
      <c r="W633" s="408"/>
      <c r="X633" s="408"/>
      <c r="Y633" s="408"/>
      <c r="Z633" s="408"/>
    </row>
    <row r="634" ht="14.25" customHeight="1">
      <c r="A634" s="408"/>
      <c r="B634" s="408"/>
      <c r="C634" s="408"/>
      <c r="D634" s="408"/>
      <c r="E634" s="408"/>
      <c r="F634" s="408"/>
      <c r="G634" s="408"/>
      <c r="H634" s="408"/>
      <c r="I634" s="408"/>
      <c r="J634" s="408"/>
      <c r="K634" s="408"/>
      <c r="L634" s="408"/>
      <c r="M634" s="408"/>
      <c r="N634" s="408"/>
      <c r="O634" s="408"/>
      <c r="P634" s="408"/>
      <c r="Q634" s="408"/>
      <c r="R634" s="408"/>
      <c r="S634" s="408"/>
      <c r="T634" s="408"/>
      <c r="U634" s="408"/>
      <c r="V634" s="408"/>
      <c r="W634" s="408"/>
      <c r="X634" s="408"/>
      <c r="Y634" s="408"/>
      <c r="Z634" s="408"/>
    </row>
    <row r="635" ht="14.25" customHeight="1">
      <c r="A635" s="408"/>
      <c r="B635" s="408"/>
      <c r="C635" s="408"/>
      <c r="D635" s="408"/>
      <c r="E635" s="408"/>
      <c r="F635" s="408"/>
      <c r="G635" s="408"/>
      <c r="H635" s="408"/>
      <c r="I635" s="408"/>
      <c r="J635" s="408"/>
      <c r="K635" s="408"/>
      <c r="L635" s="408"/>
      <c r="M635" s="408"/>
      <c r="N635" s="408"/>
      <c r="O635" s="408"/>
      <c r="P635" s="408"/>
      <c r="Q635" s="408"/>
      <c r="R635" s="408"/>
      <c r="S635" s="408"/>
      <c r="T635" s="408"/>
      <c r="U635" s="408"/>
      <c r="V635" s="408"/>
      <c r="W635" s="408"/>
      <c r="X635" s="408"/>
      <c r="Y635" s="408"/>
      <c r="Z635" s="408"/>
    </row>
    <row r="636" ht="14.25" customHeight="1">
      <c r="A636" s="408"/>
      <c r="B636" s="408"/>
      <c r="C636" s="408"/>
      <c r="D636" s="408"/>
      <c r="E636" s="408"/>
      <c r="F636" s="408"/>
      <c r="G636" s="408"/>
      <c r="H636" s="408"/>
      <c r="I636" s="408"/>
      <c r="J636" s="408"/>
      <c r="K636" s="408"/>
      <c r="L636" s="408"/>
      <c r="M636" s="408"/>
      <c r="N636" s="408"/>
      <c r="O636" s="408"/>
      <c r="P636" s="408"/>
      <c r="Q636" s="408"/>
      <c r="R636" s="408"/>
      <c r="S636" s="408"/>
      <c r="T636" s="408"/>
      <c r="U636" s="408"/>
      <c r="V636" s="408"/>
      <c r="W636" s="408"/>
      <c r="X636" s="408"/>
      <c r="Y636" s="408"/>
      <c r="Z636" s="408"/>
    </row>
    <row r="637" ht="14.25" customHeight="1">
      <c r="A637" s="408"/>
      <c r="B637" s="408"/>
      <c r="C637" s="408"/>
      <c r="D637" s="408"/>
      <c r="E637" s="408"/>
      <c r="F637" s="408"/>
      <c r="G637" s="408"/>
      <c r="H637" s="408"/>
      <c r="I637" s="408"/>
      <c r="J637" s="408"/>
      <c r="K637" s="408"/>
      <c r="L637" s="408"/>
      <c r="M637" s="408"/>
      <c r="N637" s="408"/>
      <c r="O637" s="408"/>
      <c r="P637" s="408"/>
      <c r="Q637" s="408"/>
      <c r="R637" s="408"/>
      <c r="S637" s="408"/>
      <c r="T637" s="408"/>
      <c r="U637" s="408"/>
      <c r="V637" s="408"/>
      <c r="W637" s="408"/>
      <c r="X637" s="408"/>
      <c r="Y637" s="408"/>
      <c r="Z637" s="408"/>
    </row>
    <row r="638" ht="14.25" customHeight="1">
      <c r="A638" s="408"/>
      <c r="B638" s="408"/>
      <c r="C638" s="408"/>
      <c r="D638" s="408"/>
      <c r="E638" s="408"/>
      <c r="F638" s="408"/>
      <c r="G638" s="408"/>
      <c r="H638" s="408"/>
      <c r="I638" s="408"/>
      <c r="J638" s="408"/>
      <c r="K638" s="408"/>
      <c r="L638" s="408"/>
      <c r="M638" s="408"/>
      <c r="N638" s="408"/>
      <c r="O638" s="408"/>
      <c r="P638" s="408"/>
      <c r="Q638" s="408"/>
      <c r="R638" s="408"/>
      <c r="S638" s="408"/>
      <c r="T638" s="408"/>
      <c r="U638" s="408"/>
      <c r="V638" s="408"/>
      <c r="W638" s="408"/>
      <c r="X638" s="408"/>
      <c r="Y638" s="408"/>
      <c r="Z638" s="408"/>
    </row>
    <row r="639" ht="14.25" customHeight="1">
      <c r="A639" s="408"/>
      <c r="B639" s="408"/>
      <c r="C639" s="408"/>
      <c r="D639" s="408"/>
      <c r="E639" s="408"/>
      <c r="F639" s="408"/>
      <c r="G639" s="408"/>
      <c r="H639" s="408"/>
      <c r="I639" s="408"/>
      <c r="J639" s="408"/>
      <c r="K639" s="408"/>
      <c r="L639" s="408"/>
      <c r="M639" s="408"/>
      <c r="N639" s="408"/>
      <c r="O639" s="408"/>
      <c r="P639" s="408"/>
      <c r="Q639" s="408"/>
      <c r="R639" s="408"/>
      <c r="S639" s="408"/>
      <c r="T639" s="408"/>
      <c r="U639" s="408"/>
      <c r="V639" s="408"/>
      <c r="W639" s="408"/>
      <c r="X639" s="408"/>
      <c r="Y639" s="408"/>
      <c r="Z639" s="408"/>
    </row>
    <row r="640" ht="14.25" customHeight="1">
      <c r="A640" s="408"/>
      <c r="B640" s="408"/>
      <c r="C640" s="408"/>
      <c r="D640" s="408"/>
      <c r="E640" s="408"/>
      <c r="F640" s="408"/>
      <c r="G640" s="408"/>
      <c r="H640" s="408"/>
      <c r="I640" s="408"/>
      <c r="J640" s="408"/>
      <c r="K640" s="408"/>
      <c r="L640" s="408"/>
      <c r="M640" s="408"/>
      <c r="N640" s="408"/>
      <c r="O640" s="408"/>
      <c r="P640" s="408"/>
      <c r="Q640" s="408"/>
      <c r="R640" s="408"/>
      <c r="S640" s="408"/>
      <c r="T640" s="408"/>
      <c r="U640" s="408"/>
      <c r="V640" s="408"/>
      <c r="W640" s="408"/>
      <c r="X640" s="408"/>
      <c r="Y640" s="408"/>
      <c r="Z640" s="408"/>
    </row>
    <row r="641" ht="14.25" customHeight="1">
      <c r="A641" s="408"/>
      <c r="B641" s="408"/>
      <c r="C641" s="408"/>
      <c r="D641" s="408"/>
      <c r="E641" s="408"/>
      <c r="F641" s="408"/>
      <c r="G641" s="408"/>
      <c r="H641" s="408"/>
      <c r="I641" s="408"/>
      <c r="J641" s="408"/>
      <c r="K641" s="408"/>
      <c r="L641" s="408"/>
      <c r="M641" s="408"/>
      <c r="N641" s="408"/>
      <c r="O641" s="408"/>
      <c r="P641" s="408"/>
      <c r="Q641" s="408"/>
      <c r="R641" s="408"/>
      <c r="S641" s="408"/>
      <c r="T641" s="408"/>
      <c r="U641" s="408"/>
      <c r="V641" s="408"/>
      <c r="W641" s="408"/>
      <c r="X641" s="408"/>
      <c r="Y641" s="408"/>
      <c r="Z641" s="408"/>
    </row>
    <row r="642" ht="14.25" customHeight="1">
      <c r="A642" s="408"/>
      <c r="B642" s="408"/>
      <c r="C642" s="408"/>
      <c r="D642" s="408"/>
      <c r="E642" s="408"/>
      <c r="F642" s="408"/>
      <c r="G642" s="408"/>
      <c r="H642" s="408"/>
      <c r="I642" s="408"/>
      <c r="J642" s="408"/>
      <c r="K642" s="408"/>
      <c r="L642" s="408"/>
      <c r="M642" s="408"/>
      <c r="N642" s="408"/>
      <c r="O642" s="408"/>
      <c r="P642" s="408"/>
      <c r="Q642" s="408"/>
      <c r="R642" s="408"/>
      <c r="S642" s="408"/>
      <c r="T642" s="408"/>
      <c r="U642" s="408"/>
      <c r="V642" s="408"/>
      <c r="W642" s="408"/>
      <c r="X642" s="408"/>
      <c r="Y642" s="408"/>
      <c r="Z642" s="408"/>
    </row>
    <row r="643" ht="14.25" customHeight="1">
      <c r="A643" s="408"/>
      <c r="B643" s="408"/>
      <c r="C643" s="408"/>
      <c r="D643" s="408"/>
      <c r="E643" s="408"/>
      <c r="F643" s="408"/>
      <c r="G643" s="408"/>
      <c r="H643" s="408"/>
      <c r="I643" s="408"/>
      <c r="J643" s="408"/>
      <c r="K643" s="408"/>
      <c r="L643" s="408"/>
      <c r="M643" s="408"/>
      <c r="N643" s="408"/>
      <c r="O643" s="408"/>
      <c r="P643" s="408"/>
      <c r="Q643" s="408"/>
      <c r="R643" s="408"/>
      <c r="S643" s="408"/>
      <c r="T643" s="408"/>
      <c r="U643" s="408"/>
      <c r="V643" s="408"/>
      <c r="W643" s="408"/>
      <c r="X643" s="408"/>
      <c r="Y643" s="408"/>
      <c r="Z643" s="408"/>
    </row>
    <row r="644" ht="14.25" customHeight="1">
      <c r="A644" s="408"/>
      <c r="B644" s="408"/>
      <c r="C644" s="408"/>
      <c r="D644" s="408"/>
      <c r="E644" s="408"/>
      <c r="F644" s="408"/>
      <c r="G644" s="408"/>
      <c r="H644" s="408"/>
      <c r="I644" s="408"/>
      <c r="J644" s="408"/>
      <c r="K644" s="408"/>
      <c r="L644" s="408"/>
      <c r="M644" s="408"/>
      <c r="N644" s="408"/>
      <c r="O644" s="408"/>
      <c r="P644" s="408"/>
      <c r="Q644" s="408"/>
      <c r="R644" s="408"/>
      <c r="S644" s="408"/>
      <c r="T644" s="408"/>
      <c r="U644" s="408"/>
      <c r="V644" s="408"/>
      <c r="W644" s="408"/>
      <c r="X644" s="408"/>
      <c r="Y644" s="408"/>
      <c r="Z644" s="408"/>
    </row>
    <row r="645" ht="14.25" customHeight="1">
      <c r="A645" s="408"/>
      <c r="B645" s="408"/>
      <c r="C645" s="408"/>
      <c r="D645" s="408"/>
      <c r="E645" s="408"/>
      <c r="F645" s="408"/>
      <c r="G645" s="408"/>
      <c r="H645" s="408"/>
      <c r="I645" s="408"/>
      <c r="J645" s="408"/>
      <c r="K645" s="408"/>
      <c r="L645" s="408"/>
      <c r="M645" s="408"/>
      <c r="N645" s="408"/>
      <c r="O645" s="408"/>
      <c r="P645" s="408"/>
      <c r="Q645" s="408"/>
      <c r="R645" s="408"/>
      <c r="S645" s="408"/>
      <c r="T645" s="408"/>
      <c r="U645" s="408"/>
      <c r="V645" s="408"/>
      <c r="W645" s="408"/>
      <c r="X645" s="408"/>
      <c r="Y645" s="408"/>
      <c r="Z645" s="408"/>
    </row>
    <row r="646" ht="14.25" customHeight="1">
      <c r="A646" s="408"/>
      <c r="B646" s="408"/>
      <c r="C646" s="408"/>
      <c r="D646" s="408"/>
      <c r="E646" s="408"/>
      <c r="F646" s="408"/>
      <c r="G646" s="408"/>
      <c r="H646" s="408"/>
      <c r="I646" s="408"/>
      <c r="J646" s="408"/>
      <c r="K646" s="408"/>
      <c r="L646" s="408"/>
      <c r="M646" s="408"/>
      <c r="N646" s="408"/>
      <c r="O646" s="408"/>
      <c r="P646" s="408"/>
      <c r="Q646" s="408"/>
      <c r="R646" s="408"/>
      <c r="S646" s="408"/>
      <c r="T646" s="408"/>
      <c r="U646" s="408"/>
      <c r="V646" s="408"/>
      <c r="W646" s="408"/>
      <c r="X646" s="408"/>
      <c r="Y646" s="408"/>
      <c r="Z646" s="408"/>
    </row>
    <row r="647" ht="14.25" customHeight="1">
      <c r="A647" s="408"/>
      <c r="B647" s="408"/>
      <c r="C647" s="408"/>
      <c r="D647" s="408"/>
      <c r="E647" s="408"/>
      <c r="F647" s="408"/>
      <c r="G647" s="408"/>
      <c r="H647" s="408"/>
      <c r="I647" s="408"/>
      <c r="J647" s="408"/>
      <c r="K647" s="408"/>
      <c r="L647" s="408"/>
      <c r="M647" s="408"/>
      <c r="N647" s="408"/>
      <c r="O647" s="408"/>
      <c r="P647" s="408"/>
      <c r="Q647" s="408"/>
      <c r="R647" s="408"/>
      <c r="S647" s="408"/>
      <c r="T647" s="408"/>
      <c r="U647" s="408"/>
      <c r="V647" s="408"/>
      <c r="W647" s="408"/>
      <c r="X647" s="408"/>
      <c r="Y647" s="408"/>
      <c r="Z647" s="408"/>
    </row>
    <row r="648" ht="14.25" customHeight="1">
      <c r="A648" s="408"/>
      <c r="B648" s="408"/>
      <c r="C648" s="408"/>
      <c r="D648" s="408"/>
      <c r="E648" s="408"/>
      <c r="F648" s="408"/>
      <c r="G648" s="408"/>
      <c r="H648" s="408"/>
      <c r="I648" s="408"/>
      <c r="J648" s="408"/>
      <c r="K648" s="408"/>
      <c r="L648" s="408"/>
      <c r="M648" s="408"/>
      <c r="N648" s="408"/>
      <c r="O648" s="408"/>
      <c r="P648" s="408"/>
      <c r="Q648" s="408"/>
      <c r="R648" s="408"/>
      <c r="S648" s="408"/>
      <c r="T648" s="408"/>
      <c r="U648" s="408"/>
      <c r="V648" s="408"/>
      <c r="W648" s="408"/>
      <c r="X648" s="408"/>
      <c r="Y648" s="408"/>
      <c r="Z648" s="408"/>
    </row>
    <row r="649" ht="14.25" customHeight="1">
      <c r="A649" s="408"/>
      <c r="B649" s="408"/>
      <c r="C649" s="408"/>
      <c r="D649" s="408"/>
      <c r="E649" s="408"/>
      <c r="F649" s="408"/>
      <c r="G649" s="408"/>
      <c r="H649" s="408"/>
      <c r="I649" s="408"/>
      <c r="J649" s="408"/>
      <c r="K649" s="408"/>
      <c r="L649" s="408"/>
      <c r="M649" s="408"/>
      <c r="N649" s="408"/>
      <c r="O649" s="408"/>
      <c r="P649" s="408"/>
      <c r="Q649" s="408"/>
      <c r="R649" s="408"/>
      <c r="S649" s="408"/>
      <c r="T649" s="408"/>
      <c r="U649" s="408"/>
      <c r="V649" s="408"/>
      <c r="W649" s="408"/>
      <c r="X649" s="408"/>
      <c r="Y649" s="408"/>
      <c r="Z649" s="408"/>
    </row>
    <row r="650" ht="14.25" customHeight="1">
      <c r="A650" s="408"/>
      <c r="B650" s="408"/>
      <c r="C650" s="408"/>
      <c r="D650" s="408"/>
      <c r="E650" s="408"/>
      <c r="F650" s="408"/>
      <c r="G650" s="408"/>
      <c r="H650" s="408"/>
      <c r="I650" s="408"/>
      <c r="J650" s="408"/>
      <c r="K650" s="408"/>
      <c r="L650" s="408"/>
      <c r="M650" s="408"/>
      <c r="N650" s="408"/>
      <c r="O650" s="408"/>
      <c r="P650" s="408"/>
      <c r="Q650" s="408"/>
      <c r="R650" s="408"/>
      <c r="S650" s="408"/>
      <c r="T650" s="408"/>
      <c r="U650" s="408"/>
      <c r="V650" s="408"/>
      <c r="W650" s="408"/>
      <c r="X650" s="408"/>
      <c r="Y650" s="408"/>
      <c r="Z650" s="408"/>
    </row>
    <row r="651" ht="14.25" customHeight="1">
      <c r="A651" s="408"/>
      <c r="B651" s="408"/>
      <c r="C651" s="408"/>
      <c r="D651" s="408"/>
      <c r="E651" s="408"/>
      <c r="F651" s="408"/>
      <c r="G651" s="408"/>
      <c r="H651" s="408"/>
      <c r="I651" s="408"/>
      <c r="J651" s="408"/>
      <c r="K651" s="408"/>
      <c r="L651" s="408"/>
      <c r="M651" s="408"/>
      <c r="N651" s="408"/>
      <c r="O651" s="408"/>
      <c r="P651" s="408"/>
      <c r="Q651" s="408"/>
      <c r="R651" s="408"/>
      <c r="S651" s="408"/>
      <c r="T651" s="408"/>
      <c r="U651" s="408"/>
      <c r="V651" s="408"/>
      <c r="W651" s="408"/>
      <c r="X651" s="408"/>
      <c r="Y651" s="408"/>
      <c r="Z651" s="408"/>
    </row>
    <row r="652" ht="14.25" customHeight="1">
      <c r="A652" s="408"/>
      <c r="B652" s="408"/>
      <c r="C652" s="408"/>
      <c r="D652" s="408"/>
      <c r="E652" s="408"/>
      <c r="F652" s="408"/>
      <c r="G652" s="408"/>
      <c r="H652" s="408"/>
      <c r="I652" s="408"/>
      <c r="J652" s="408"/>
      <c r="K652" s="408"/>
      <c r="L652" s="408"/>
      <c r="M652" s="408"/>
      <c r="N652" s="408"/>
      <c r="O652" s="408"/>
      <c r="P652" s="408"/>
      <c r="Q652" s="408"/>
      <c r="R652" s="408"/>
      <c r="S652" s="408"/>
      <c r="T652" s="408"/>
      <c r="U652" s="408"/>
      <c r="V652" s="408"/>
      <c r="W652" s="408"/>
      <c r="X652" s="408"/>
      <c r="Y652" s="408"/>
      <c r="Z652" s="408"/>
    </row>
    <row r="653" ht="14.25" customHeight="1">
      <c r="A653" s="408"/>
      <c r="B653" s="408"/>
      <c r="C653" s="408"/>
      <c r="D653" s="408"/>
      <c r="E653" s="408"/>
      <c r="F653" s="408"/>
      <c r="G653" s="408"/>
      <c r="H653" s="408"/>
      <c r="I653" s="408"/>
      <c r="J653" s="408"/>
      <c r="K653" s="408"/>
      <c r="L653" s="408"/>
      <c r="M653" s="408"/>
      <c r="N653" s="408"/>
      <c r="O653" s="408"/>
      <c r="P653" s="408"/>
      <c r="Q653" s="408"/>
      <c r="R653" s="408"/>
      <c r="S653" s="408"/>
      <c r="T653" s="408"/>
      <c r="U653" s="408"/>
      <c r="V653" s="408"/>
      <c r="W653" s="408"/>
      <c r="X653" s="408"/>
      <c r="Y653" s="408"/>
      <c r="Z653" s="408"/>
    </row>
    <row r="654" ht="14.25" customHeight="1">
      <c r="A654" s="408"/>
      <c r="B654" s="408"/>
      <c r="C654" s="408"/>
      <c r="D654" s="408"/>
      <c r="E654" s="408"/>
      <c r="F654" s="408"/>
      <c r="G654" s="408"/>
      <c r="H654" s="408"/>
      <c r="I654" s="408"/>
      <c r="J654" s="408"/>
      <c r="K654" s="408"/>
      <c r="L654" s="408"/>
      <c r="M654" s="408"/>
      <c r="N654" s="408"/>
      <c r="O654" s="408"/>
      <c r="P654" s="408"/>
      <c r="Q654" s="408"/>
      <c r="R654" s="408"/>
      <c r="S654" s="408"/>
      <c r="T654" s="408"/>
      <c r="U654" s="408"/>
      <c r="V654" s="408"/>
      <c r="W654" s="408"/>
      <c r="X654" s="408"/>
      <c r="Y654" s="408"/>
      <c r="Z654" s="408"/>
    </row>
    <row r="655" ht="14.25" customHeight="1">
      <c r="A655" s="408"/>
      <c r="B655" s="408"/>
      <c r="C655" s="408"/>
      <c r="D655" s="408"/>
      <c r="E655" s="408"/>
      <c r="F655" s="408"/>
      <c r="G655" s="408"/>
      <c r="H655" s="408"/>
      <c r="I655" s="408"/>
      <c r="J655" s="408"/>
      <c r="K655" s="408"/>
      <c r="L655" s="408"/>
      <c r="M655" s="408"/>
      <c r="N655" s="408"/>
      <c r="O655" s="408"/>
      <c r="P655" s="408"/>
      <c r="Q655" s="408"/>
      <c r="R655" s="408"/>
      <c r="S655" s="408"/>
      <c r="T655" s="408"/>
      <c r="U655" s="408"/>
      <c r="V655" s="408"/>
      <c r="W655" s="408"/>
      <c r="X655" s="408"/>
      <c r="Y655" s="408"/>
      <c r="Z655" s="408"/>
    </row>
    <row r="656" ht="14.25" customHeight="1">
      <c r="A656" s="408"/>
      <c r="B656" s="408"/>
      <c r="C656" s="408"/>
      <c r="D656" s="408"/>
      <c r="E656" s="408"/>
      <c r="F656" s="408"/>
      <c r="G656" s="408"/>
      <c r="H656" s="408"/>
      <c r="I656" s="408"/>
      <c r="J656" s="408"/>
      <c r="K656" s="408"/>
      <c r="L656" s="408"/>
      <c r="M656" s="408"/>
      <c r="N656" s="408"/>
      <c r="O656" s="408"/>
      <c r="P656" s="408"/>
      <c r="Q656" s="408"/>
      <c r="R656" s="408"/>
      <c r="S656" s="408"/>
      <c r="T656" s="408"/>
      <c r="U656" s="408"/>
      <c r="V656" s="408"/>
      <c r="W656" s="408"/>
      <c r="X656" s="408"/>
      <c r="Y656" s="408"/>
      <c r="Z656" s="408"/>
    </row>
    <row r="657" ht="14.25" customHeight="1">
      <c r="A657" s="408"/>
      <c r="B657" s="408"/>
      <c r="C657" s="408"/>
      <c r="D657" s="408"/>
      <c r="E657" s="408"/>
      <c r="F657" s="408"/>
      <c r="G657" s="408"/>
      <c r="H657" s="408"/>
      <c r="I657" s="408"/>
      <c r="J657" s="408"/>
      <c r="K657" s="408"/>
      <c r="L657" s="408"/>
      <c r="M657" s="408"/>
      <c r="N657" s="408"/>
      <c r="O657" s="408"/>
      <c r="P657" s="408"/>
      <c r="Q657" s="408"/>
      <c r="R657" s="408"/>
      <c r="S657" s="408"/>
      <c r="T657" s="408"/>
      <c r="U657" s="408"/>
      <c r="V657" s="408"/>
      <c r="W657" s="408"/>
      <c r="X657" s="408"/>
      <c r="Y657" s="408"/>
      <c r="Z657" s="408"/>
    </row>
    <row r="658" ht="14.25" customHeight="1">
      <c r="A658" s="408"/>
      <c r="B658" s="408"/>
      <c r="C658" s="408"/>
      <c r="D658" s="408"/>
      <c r="E658" s="408"/>
      <c r="F658" s="408"/>
      <c r="G658" s="408"/>
      <c r="H658" s="408"/>
      <c r="I658" s="408"/>
      <c r="J658" s="408"/>
      <c r="K658" s="408"/>
      <c r="L658" s="408"/>
      <c r="M658" s="408"/>
      <c r="N658" s="408"/>
      <c r="O658" s="408"/>
      <c r="P658" s="408"/>
      <c r="Q658" s="408"/>
      <c r="R658" s="408"/>
      <c r="S658" s="408"/>
      <c r="T658" s="408"/>
      <c r="U658" s="408"/>
      <c r="V658" s="408"/>
      <c r="W658" s="408"/>
      <c r="X658" s="408"/>
      <c r="Y658" s="408"/>
      <c r="Z658" s="408"/>
    </row>
    <row r="659" ht="14.25" customHeight="1">
      <c r="A659" s="408"/>
      <c r="B659" s="408"/>
      <c r="C659" s="408"/>
      <c r="D659" s="408"/>
      <c r="E659" s="408"/>
      <c r="F659" s="408"/>
      <c r="G659" s="408"/>
      <c r="H659" s="408"/>
      <c r="I659" s="408"/>
      <c r="J659" s="408"/>
      <c r="K659" s="408"/>
      <c r="L659" s="408"/>
      <c r="M659" s="408"/>
      <c r="N659" s="408"/>
      <c r="O659" s="408"/>
      <c r="P659" s="408"/>
      <c r="Q659" s="408"/>
      <c r="R659" s="408"/>
      <c r="S659" s="408"/>
      <c r="T659" s="408"/>
      <c r="U659" s="408"/>
      <c r="V659" s="408"/>
      <c r="W659" s="408"/>
      <c r="X659" s="408"/>
      <c r="Y659" s="408"/>
      <c r="Z659" s="408"/>
    </row>
    <row r="660" ht="14.25" customHeight="1">
      <c r="A660" s="408"/>
      <c r="B660" s="408"/>
      <c r="C660" s="408"/>
      <c r="D660" s="408"/>
      <c r="E660" s="408"/>
      <c r="F660" s="408"/>
      <c r="G660" s="408"/>
      <c r="H660" s="408"/>
      <c r="I660" s="408"/>
      <c r="J660" s="408"/>
      <c r="K660" s="408"/>
      <c r="L660" s="408"/>
      <c r="M660" s="408"/>
      <c r="N660" s="408"/>
      <c r="O660" s="408"/>
      <c r="P660" s="408"/>
      <c r="Q660" s="408"/>
      <c r="R660" s="408"/>
      <c r="S660" s="408"/>
      <c r="T660" s="408"/>
      <c r="U660" s="408"/>
      <c r="V660" s="408"/>
      <c r="W660" s="408"/>
      <c r="X660" s="408"/>
      <c r="Y660" s="408"/>
      <c r="Z660" s="408"/>
    </row>
    <row r="661" ht="14.25" customHeight="1">
      <c r="A661" s="408"/>
      <c r="B661" s="408"/>
      <c r="C661" s="408"/>
      <c r="D661" s="408"/>
      <c r="E661" s="408"/>
      <c r="F661" s="408"/>
      <c r="G661" s="408"/>
      <c r="H661" s="408"/>
      <c r="I661" s="408"/>
      <c r="J661" s="408"/>
      <c r="K661" s="408"/>
      <c r="L661" s="408"/>
      <c r="M661" s="408"/>
      <c r="N661" s="408"/>
      <c r="O661" s="408"/>
      <c r="P661" s="408"/>
      <c r="Q661" s="408"/>
      <c r="R661" s="408"/>
      <c r="S661" s="408"/>
      <c r="T661" s="408"/>
      <c r="U661" s="408"/>
      <c r="V661" s="408"/>
      <c r="W661" s="408"/>
      <c r="X661" s="408"/>
      <c r="Y661" s="408"/>
      <c r="Z661" s="408"/>
    </row>
    <row r="662" ht="14.25" customHeight="1">
      <c r="A662" s="408"/>
      <c r="B662" s="408"/>
      <c r="C662" s="408"/>
      <c r="D662" s="408"/>
      <c r="E662" s="408"/>
      <c r="F662" s="408"/>
      <c r="G662" s="408"/>
      <c r="H662" s="408"/>
      <c r="I662" s="408"/>
      <c r="J662" s="408"/>
      <c r="K662" s="408"/>
      <c r="L662" s="408"/>
      <c r="M662" s="408"/>
      <c r="N662" s="408"/>
      <c r="O662" s="408"/>
      <c r="P662" s="408"/>
      <c r="Q662" s="408"/>
      <c r="R662" s="408"/>
      <c r="S662" s="408"/>
      <c r="T662" s="408"/>
      <c r="U662" s="408"/>
      <c r="V662" s="408"/>
      <c r="W662" s="408"/>
      <c r="X662" s="408"/>
      <c r="Y662" s="408"/>
      <c r="Z662" s="408"/>
    </row>
    <row r="663" ht="14.25" customHeight="1">
      <c r="A663" s="408"/>
      <c r="B663" s="408"/>
      <c r="C663" s="408"/>
      <c r="D663" s="408"/>
      <c r="E663" s="408"/>
      <c r="F663" s="408"/>
      <c r="G663" s="408"/>
      <c r="H663" s="408"/>
      <c r="I663" s="408"/>
      <c r="J663" s="408"/>
      <c r="K663" s="408"/>
      <c r="L663" s="408"/>
      <c r="M663" s="408"/>
      <c r="N663" s="408"/>
      <c r="O663" s="408"/>
      <c r="P663" s="408"/>
      <c r="Q663" s="408"/>
      <c r="R663" s="408"/>
      <c r="S663" s="408"/>
      <c r="T663" s="408"/>
      <c r="U663" s="408"/>
      <c r="V663" s="408"/>
      <c r="W663" s="408"/>
      <c r="X663" s="408"/>
      <c r="Y663" s="408"/>
      <c r="Z663" s="408"/>
    </row>
    <row r="664" ht="14.25" customHeight="1">
      <c r="A664" s="408"/>
      <c r="B664" s="408"/>
      <c r="C664" s="408"/>
      <c r="D664" s="408"/>
      <c r="E664" s="408"/>
      <c r="F664" s="408"/>
      <c r="G664" s="408"/>
      <c r="H664" s="408"/>
      <c r="I664" s="408"/>
      <c r="J664" s="408"/>
      <c r="K664" s="408"/>
      <c r="L664" s="408"/>
      <c r="M664" s="408"/>
      <c r="N664" s="408"/>
      <c r="O664" s="408"/>
      <c r="P664" s="408"/>
      <c r="Q664" s="408"/>
      <c r="R664" s="408"/>
      <c r="S664" s="408"/>
      <c r="T664" s="408"/>
      <c r="U664" s="408"/>
      <c r="V664" s="408"/>
      <c r="W664" s="408"/>
      <c r="X664" s="408"/>
      <c r="Y664" s="408"/>
      <c r="Z664" s="408"/>
    </row>
    <row r="665" ht="14.25" customHeight="1">
      <c r="A665" s="408"/>
      <c r="B665" s="408"/>
      <c r="C665" s="408"/>
      <c r="D665" s="408"/>
      <c r="E665" s="408"/>
      <c r="F665" s="408"/>
      <c r="G665" s="408"/>
      <c r="H665" s="408"/>
      <c r="I665" s="408"/>
      <c r="J665" s="408"/>
      <c r="K665" s="408"/>
      <c r="L665" s="408"/>
      <c r="M665" s="408"/>
      <c r="N665" s="408"/>
      <c r="O665" s="408"/>
      <c r="P665" s="408"/>
      <c r="Q665" s="408"/>
      <c r="R665" s="408"/>
      <c r="S665" s="408"/>
      <c r="T665" s="408"/>
      <c r="U665" s="408"/>
      <c r="V665" s="408"/>
      <c r="W665" s="408"/>
      <c r="X665" s="408"/>
      <c r="Y665" s="408"/>
      <c r="Z665" s="408"/>
    </row>
    <row r="666" ht="14.25" customHeight="1">
      <c r="A666" s="408"/>
      <c r="B666" s="408"/>
      <c r="C666" s="408"/>
      <c r="D666" s="408"/>
      <c r="E666" s="408"/>
      <c r="F666" s="408"/>
      <c r="G666" s="408"/>
      <c r="H666" s="408"/>
      <c r="I666" s="408"/>
      <c r="J666" s="408"/>
      <c r="K666" s="408"/>
      <c r="L666" s="408"/>
      <c r="M666" s="408"/>
      <c r="N666" s="408"/>
      <c r="O666" s="408"/>
      <c r="P666" s="408"/>
      <c r="Q666" s="408"/>
      <c r="R666" s="408"/>
      <c r="S666" s="408"/>
      <c r="T666" s="408"/>
      <c r="U666" s="408"/>
      <c r="V666" s="408"/>
      <c r="W666" s="408"/>
      <c r="X666" s="408"/>
      <c r="Y666" s="408"/>
      <c r="Z666" s="408"/>
    </row>
    <row r="667" ht="14.25" customHeight="1">
      <c r="A667" s="408"/>
      <c r="B667" s="408"/>
      <c r="C667" s="408"/>
      <c r="D667" s="408"/>
      <c r="E667" s="408"/>
      <c r="F667" s="408"/>
      <c r="G667" s="408"/>
      <c r="H667" s="408"/>
      <c r="I667" s="408"/>
      <c r="J667" s="408"/>
      <c r="K667" s="408"/>
      <c r="L667" s="408"/>
      <c r="M667" s="408"/>
      <c r="N667" s="408"/>
      <c r="O667" s="408"/>
      <c r="P667" s="408"/>
      <c r="Q667" s="408"/>
      <c r="R667" s="408"/>
      <c r="S667" s="408"/>
      <c r="T667" s="408"/>
      <c r="U667" s="408"/>
      <c r="V667" s="408"/>
      <c r="W667" s="408"/>
      <c r="X667" s="408"/>
      <c r="Y667" s="408"/>
      <c r="Z667" s="408"/>
    </row>
    <row r="668" ht="14.25" customHeight="1">
      <c r="A668" s="408"/>
      <c r="B668" s="408"/>
      <c r="C668" s="408"/>
      <c r="D668" s="408"/>
      <c r="E668" s="408"/>
      <c r="F668" s="408"/>
      <c r="G668" s="408"/>
      <c r="H668" s="408"/>
      <c r="I668" s="408"/>
      <c r="J668" s="408"/>
      <c r="K668" s="408"/>
      <c r="L668" s="408"/>
      <c r="M668" s="408"/>
      <c r="N668" s="408"/>
      <c r="O668" s="408"/>
      <c r="P668" s="408"/>
      <c r="Q668" s="408"/>
      <c r="R668" s="408"/>
      <c r="S668" s="408"/>
      <c r="T668" s="408"/>
      <c r="U668" s="408"/>
      <c r="V668" s="408"/>
      <c r="W668" s="408"/>
      <c r="X668" s="408"/>
      <c r="Y668" s="408"/>
      <c r="Z668" s="408"/>
    </row>
    <row r="669" ht="14.25" customHeight="1">
      <c r="A669" s="408"/>
      <c r="B669" s="408"/>
      <c r="C669" s="408"/>
      <c r="D669" s="408"/>
      <c r="E669" s="408"/>
      <c r="F669" s="408"/>
      <c r="G669" s="408"/>
      <c r="H669" s="408"/>
      <c r="I669" s="408"/>
      <c r="J669" s="408"/>
      <c r="K669" s="408"/>
      <c r="L669" s="408"/>
      <c r="M669" s="408"/>
      <c r="N669" s="408"/>
      <c r="O669" s="408"/>
      <c r="P669" s="408"/>
      <c r="Q669" s="408"/>
      <c r="R669" s="408"/>
      <c r="S669" s="408"/>
      <c r="T669" s="408"/>
      <c r="U669" s="408"/>
      <c r="V669" s="408"/>
      <c r="W669" s="408"/>
      <c r="X669" s="408"/>
      <c r="Y669" s="408"/>
      <c r="Z669" s="408"/>
    </row>
    <row r="670" ht="14.25" customHeight="1">
      <c r="A670" s="408"/>
      <c r="B670" s="408"/>
      <c r="C670" s="408"/>
      <c r="D670" s="408"/>
      <c r="E670" s="408"/>
      <c r="F670" s="408"/>
      <c r="G670" s="408"/>
      <c r="H670" s="408"/>
      <c r="I670" s="408"/>
      <c r="J670" s="408"/>
      <c r="K670" s="408"/>
      <c r="L670" s="408"/>
      <c r="M670" s="408"/>
      <c r="N670" s="408"/>
      <c r="O670" s="408"/>
      <c r="P670" s="408"/>
      <c r="Q670" s="408"/>
      <c r="R670" s="408"/>
      <c r="S670" s="408"/>
      <c r="T670" s="408"/>
      <c r="U670" s="408"/>
      <c r="V670" s="408"/>
      <c r="W670" s="408"/>
      <c r="X670" s="408"/>
      <c r="Y670" s="408"/>
      <c r="Z670" s="408"/>
    </row>
    <row r="671" ht="14.25" customHeight="1">
      <c r="A671" s="408"/>
      <c r="B671" s="408"/>
      <c r="C671" s="408"/>
      <c r="D671" s="408"/>
      <c r="E671" s="408"/>
      <c r="F671" s="408"/>
      <c r="G671" s="408"/>
      <c r="H671" s="408"/>
      <c r="I671" s="408"/>
      <c r="J671" s="408"/>
      <c r="K671" s="408"/>
      <c r="L671" s="408"/>
      <c r="M671" s="408"/>
      <c r="N671" s="408"/>
      <c r="O671" s="408"/>
      <c r="P671" s="408"/>
      <c r="Q671" s="408"/>
      <c r="R671" s="408"/>
      <c r="S671" s="408"/>
      <c r="T671" s="408"/>
      <c r="U671" s="408"/>
      <c r="V671" s="408"/>
      <c r="W671" s="408"/>
      <c r="X671" s="408"/>
      <c r="Y671" s="408"/>
      <c r="Z671" s="408"/>
    </row>
    <row r="672" ht="14.25" customHeight="1">
      <c r="A672" s="408"/>
      <c r="B672" s="408"/>
      <c r="C672" s="408"/>
      <c r="D672" s="408"/>
      <c r="E672" s="408"/>
      <c r="F672" s="408"/>
      <c r="G672" s="408"/>
      <c r="H672" s="408"/>
      <c r="I672" s="408"/>
      <c r="J672" s="408"/>
      <c r="K672" s="408"/>
      <c r="L672" s="408"/>
      <c r="M672" s="408"/>
      <c r="N672" s="408"/>
      <c r="O672" s="408"/>
      <c r="P672" s="408"/>
      <c r="Q672" s="408"/>
      <c r="R672" s="408"/>
      <c r="S672" s="408"/>
      <c r="T672" s="408"/>
      <c r="U672" s="408"/>
      <c r="V672" s="408"/>
      <c r="W672" s="408"/>
      <c r="X672" s="408"/>
      <c r="Y672" s="408"/>
      <c r="Z672" s="408"/>
    </row>
    <row r="673" ht="14.25" customHeight="1">
      <c r="A673" s="408"/>
      <c r="B673" s="408"/>
      <c r="C673" s="408"/>
      <c r="D673" s="408"/>
      <c r="E673" s="408"/>
      <c r="F673" s="408"/>
      <c r="G673" s="408"/>
      <c r="H673" s="408"/>
      <c r="I673" s="408"/>
      <c r="J673" s="408"/>
      <c r="K673" s="408"/>
      <c r="L673" s="408"/>
      <c r="M673" s="408"/>
      <c r="N673" s="408"/>
      <c r="O673" s="408"/>
      <c r="P673" s="408"/>
      <c r="Q673" s="408"/>
      <c r="R673" s="408"/>
      <c r="S673" s="408"/>
      <c r="T673" s="408"/>
      <c r="U673" s="408"/>
      <c r="V673" s="408"/>
      <c r="W673" s="408"/>
      <c r="X673" s="408"/>
      <c r="Y673" s="408"/>
      <c r="Z673" s="408"/>
    </row>
    <row r="674" ht="14.25" customHeight="1">
      <c r="A674" s="408"/>
      <c r="B674" s="408"/>
      <c r="C674" s="408"/>
      <c r="D674" s="408"/>
      <c r="E674" s="408"/>
      <c r="F674" s="408"/>
      <c r="G674" s="408"/>
      <c r="H674" s="408"/>
      <c r="I674" s="408"/>
      <c r="J674" s="408"/>
      <c r="K674" s="408"/>
      <c r="L674" s="408"/>
      <c r="M674" s="408"/>
      <c r="N674" s="408"/>
      <c r="O674" s="408"/>
      <c r="P674" s="408"/>
      <c r="Q674" s="408"/>
      <c r="R674" s="408"/>
      <c r="S674" s="408"/>
      <c r="T674" s="408"/>
      <c r="U674" s="408"/>
      <c r="V674" s="408"/>
      <c r="W674" s="408"/>
      <c r="X674" s="408"/>
      <c r="Y674" s="408"/>
      <c r="Z674" s="408"/>
    </row>
    <row r="675" ht="14.25" customHeight="1">
      <c r="A675" s="408"/>
      <c r="B675" s="408"/>
      <c r="C675" s="408"/>
      <c r="D675" s="408"/>
      <c r="E675" s="408"/>
      <c r="F675" s="408"/>
      <c r="G675" s="408"/>
      <c r="H675" s="408"/>
      <c r="I675" s="408"/>
      <c r="J675" s="408"/>
      <c r="K675" s="408"/>
      <c r="L675" s="408"/>
      <c r="M675" s="408"/>
      <c r="N675" s="408"/>
      <c r="O675" s="408"/>
      <c r="P675" s="408"/>
      <c r="Q675" s="408"/>
      <c r="R675" s="408"/>
      <c r="S675" s="408"/>
      <c r="T675" s="408"/>
      <c r="U675" s="408"/>
      <c r="V675" s="408"/>
      <c r="W675" s="408"/>
      <c r="X675" s="408"/>
      <c r="Y675" s="408"/>
      <c r="Z675" s="408"/>
    </row>
    <row r="676" ht="14.25" customHeight="1">
      <c r="A676" s="408"/>
      <c r="B676" s="408"/>
      <c r="C676" s="408"/>
      <c r="D676" s="408"/>
      <c r="E676" s="408"/>
      <c r="F676" s="408"/>
      <c r="G676" s="408"/>
      <c r="H676" s="408"/>
      <c r="I676" s="408"/>
      <c r="J676" s="408"/>
      <c r="K676" s="408"/>
      <c r="L676" s="408"/>
      <c r="M676" s="408"/>
      <c r="N676" s="408"/>
      <c r="O676" s="408"/>
      <c r="P676" s="408"/>
      <c r="Q676" s="408"/>
      <c r="R676" s="408"/>
      <c r="S676" s="408"/>
      <c r="T676" s="408"/>
      <c r="U676" s="408"/>
      <c r="V676" s="408"/>
      <c r="W676" s="408"/>
      <c r="X676" s="408"/>
      <c r="Y676" s="408"/>
      <c r="Z676" s="408"/>
    </row>
    <row r="677" ht="14.25" customHeight="1">
      <c r="A677" s="408"/>
      <c r="B677" s="408"/>
      <c r="C677" s="408"/>
      <c r="D677" s="408"/>
      <c r="E677" s="408"/>
      <c r="F677" s="408"/>
      <c r="G677" s="408"/>
      <c r="H677" s="408"/>
      <c r="I677" s="408"/>
      <c r="J677" s="408"/>
      <c r="K677" s="408"/>
      <c r="L677" s="408"/>
      <c r="M677" s="408"/>
      <c r="N677" s="408"/>
      <c r="O677" s="408"/>
      <c r="P677" s="408"/>
      <c r="Q677" s="408"/>
      <c r="R677" s="408"/>
      <c r="S677" s="408"/>
      <c r="T677" s="408"/>
      <c r="U677" s="408"/>
      <c r="V677" s="408"/>
      <c r="W677" s="408"/>
      <c r="X677" s="408"/>
      <c r="Y677" s="408"/>
      <c r="Z677" s="408"/>
    </row>
    <row r="678" ht="14.25" customHeight="1">
      <c r="A678" s="408"/>
      <c r="B678" s="408"/>
      <c r="C678" s="408"/>
      <c r="D678" s="408"/>
      <c r="E678" s="408"/>
      <c r="F678" s="408"/>
      <c r="G678" s="408"/>
      <c r="H678" s="408"/>
      <c r="I678" s="408"/>
      <c r="J678" s="408"/>
      <c r="K678" s="408"/>
      <c r="L678" s="408"/>
      <c r="M678" s="408"/>
      <c r="N678" s="408"/>
      <c r="O678" s="408"/>
      <c r="P678" s="408"/>
      <c r="Q678" s="408"/>
      <c r="R678" s="408"/>
      <c r="S678" s="408"/>
      <c r="T678" s="408"/>
      <c r="U678" s="408"/>
      <c r="V678" s="408"/>
      <c r="W678" s="408"/>
      <c r="X678" s="408"/>
      <c r="Y678" s="408"/>
      <c r="Z678" s="408"/>
    </row>
    <row r="679" ht="14.25" customHeight="1">
      <c r="A679" s="408"/>
      <c r="B679" s="408"/>
      <c r="C679" s="408"/>
      <c r="D679" s="408"/>
      <c r="E679" s="408"/>
      <c r="F679" s="408"/>
      <c r="G679" s="408"/>
      <c r="H679" s="408"/>
      <c r="I679" s="408"/>
      <c r="J679" s="408"/>
      <c r="K679" s="408"/>
      <c r="L679" s="408"/>
      <c r="M679" s="408"/>
      <c r="N679" s="408"/>
      <c r="O679" s="408"/>
      <c r="P679" s="408"/>
      <c r="Q679" s="408"/>
      <c r="R679" s="408"/>
      <c r="S679" s="408"/>
      <c r="T679" s="408"/>
      <c r="U679" s="408"/>
      <c r="V679" s="408"/>
      <c r="W679" s="408"/>
      <c r="X679" s="408"/>
      <c r="Y679" s="408"/>
      <c r="Z679" s="408"/>
    </row>
    <row r="680" ht="14.25" customHeight="1">
      <c r="A680" s="408"/>
      <c r="B680" s="408"/>
      <c r="C680" s="408"/>
      <c r="D680" s="408"/>
      <c r="E680" s="408"/>
      <c r="F680" s="408"/>
      <c r="G680" s="408"/>
      <c r="H680" s="408"/>
      <c r="I680" s="408"/>
      <c r="J680" s="408"/>
      <c r="K680" s="408"/>
      <c r="L680" s="408"/>
      <c r="M680" s="408"/>
      <c r="N680" s="408"/>
      <c r="O680" s="408"/>
      <c r="P680" s="408"/>
      <c r="Q680" s="408"/>
      <c r="R680" s="408"/>
      <c r="S680" s="408"/>
      <c r="T680" s="408"/>
      <c r="U680" s="408"/>
      <c r="V680" s="408"/>
      <c r="W680" s="408"/>
      <c r="X680" s="408"/>
      <c r="Y680" s="408"/>
      <c r="Z680" s="408"/>
    </row>
    <row r="681" ht="14.25" customHeight="1">
      <c r="A681" s="408"/>
      <c r="B681" s="408"/>
      <c r="C681" s="408"/>
      <c r="D681" s="408"/>
      <c r="E681" s="408"/>
      <c r="F681" s="408"/>
      <c r="G681" s="408"/>
      <c r="H681" s="408"/>
      <c r="I681" s="408"/>
      <c r="J681" s="408"/>
      <c r="K681" s="408"/>
      <c r="L681" s="408"/>
      <c r="M681" s="408"/>
      <c r="N681" s="408"/>
      <c r="O681" s="408"/>
      <c r="P681" s="408"/>
      <c r="Q681" s="408"/>
      <c r="R681" s="408"/>
      <c r="S681" s="408"/>
      <c r="T681" s="408"/>
      <c r="U681" s="408"/>
      <c r="V681" s="408"/>
      <c r="W681" s="408"/>
      <c r="X681" s="408"/>
      <c r="Y681" s="408"/>
      <c r="Z681" s="408"/>
    </row>
    <row r="682" ht="14.25" customHeight="1">
      <c r="A682" s="408"/>
      <c r="B682" s="408"/>
      <c r="C682" s="408"/>
      <c r="D682" s="408"/>
      <c r="E682" s="408"/>
      <c r="F682" s="408"/>
      <c r="G682" s="408"/>
      <c r="H682" s="408"/>
      <c r="I682" s="408"/>
      <c r="J682" s="408"/>
      <c r="K682" s="408"/>
      <c r="L682" s="408"/>
      <c r="M682" s="408"/>
      <c r="N682" s="408"/>
      <c r="O682" s="408"/>
      <c r="P682" s="408"/>
      <c r="Q682" s="408"/>
      <c r="R682" s="408"/>
      <c r="S682" s="408"/>
      <c r="T682" s="408"/>
      <c r="U682" s="408"/>
      <c r="V682" s="408"/>
      <c r="W682" s="408"/>
      <c r="X682" s="408"/>
      <c r="Y682" s="408"/>
      <c r="Z682" s="408"/>
    </row>
    <row r="683" ht="14.25" customHeight="1">
      <c r="A683" s="408"/>
      <c r="B683" s="408"/>
      <c r="C683" s="408"/>
      <c r="D683" s="408"/>
      <c r="E683" s="408"/>
      <c r="F683" s="408"/>
      <c r="G683" s="408"/>
      <c r="H683" s="408"/>
      <c r="I683" s="408"/>
      <c r="J683" s="408"/>
      <c r="K683" s="408"/>
      <c r="L683" s="408"/>
      <c r="M683" s="408"/>
      <c r="N683" s="408"/>
      <c r="O683" s="408"/>
      <c r="P683" s="408"/>
      <c r="Q683" s="408"/>
      <c r="R683" s="408"/>
      <c r="S683" s="408"/>
      <c r="T683" s="408"/>
      <c r="U683" s="408"/>
      <c r="V683" s="408"/>
      <c r="W683" s="408"/>
      <c r="X683" s="408"/>
      <c r="Y683" s="408"/>
      <c r="Z683" s="408"/>
    </row>
    <row r="684" ht="14.25" customHeight="1">
      <c r="A684" s="408"/>
      <c r="B684" s="408"/>
      <c r="C684" s="408"/>
      <c r="D684" s="408"/>
      <c r="E684" s="408"/>
      <c r="F684" s="408"/>
      <c r="G684" s="408"/>
      <c r="H684" s="408"/>
      <c r="I684" s="408"/>
      <c r="J684" s="408"/>
      <c r="K684" s="408"/>
      <c r="L684" s="408"/>
      <c r="M684" s="408"/>
      <c r="N684" s="408"/>
      <c r="O684" s="408"/>
      <c r="P684" s="408"/>
      <c r="Q684" s="408"/>
      <c r="R684" s="408"/>
      <c r="S684" s="408"/>
      <c r="T684" s="408"/>
      <c r="U684" s="408"/>
      <c r="V684" s="408"/>
      <c r="W684" s="408"/>
      <c r="X684" s="408"/>
      <c r="Y684" s="408"/>
      <c r="Z684" s="408"/>
    </row>
    <row r="685" ht="14.25" customHeight="1">
      <c r="A685" s="408"/>
      <c r="B685" s="408"/>
      <c r="C685" s="408"/>
      <c r="D685" s="408"/>
      <c r="E685" s="408"/>
      <c r="F685" s="408"/>
      <c r="G685" s="408"/>
      <c r="H685" s="408"/>
      <c r="I685" s="408"/>
      <c r="J685" s="408"/>
      <c r="K685" s="408"/>
      <c r="L685" s="408"/>
      <c r="M685" s="408"/>
      <c r="N685" s="408"/>
      <c r="O685" s="408"/>
      <c r="P685" s="408"/>
      <c r="Q685" s="408"/>
      <c r="R685" s="408"/>
      <c r="S685" s="408"/>
      <c r="T685" s="408"/>
      <c r="U685" s="408"/>
      <c r="V685" s="408"/>
      <c r="W685" s="408"/>
      <c r="X685" s="408"/>
      <c r="Y685" s="408"/>
      <c r="Z685" s="408"/>
    </row>
    <row r="686" ht="14.25" customHeight="1">
      <c r="A686" s="408"/>
      <c r="B686" s="408"/>
      <c r="C686" s="408"/>
      <c r="D686" s="408"/>
      <c r="E686" s="408"/>
      <c r="F686" s="408"/>
      <c r="G686" s="408"/>
      <c r="H686" s="408"/>
      <c r="I686" s="408"/>
      <c r="J686" s="408"/>
      <c r="K686" s="408"/>
      <c r="L686" s="408"/>
      <c r="M686" s="408"/>
      <c r="N686" s="408"/>
      <c r="O686" s="408"/>
      <c r="P686" s="408"/>
      <c r="Q686" s="408"/>
      <c r="R686" s="408"/>
      <c r="S686" s="408"/>
      <c r="T686" s="408"/>
      <c r="U686" s="408"/>
      <c r="V686" s="408"/>
      <c r="W686" s="408"/>
      <c r="X686" s="408"/>
      <c r="Y686" s="408"/>
      <c r="Z686" s="408"/>
    </row>
    <row r="687" ht="14.25" customHeight="1">
      <c r="A687" s="408"/>
      <c r="B687" s="408"/>
      <c r="C687" s="408"/>
      <c r="D687" s="408"/>
      <c r="E687" s="408"/>
      <c r="F687" s="408"/>
      <c r="G687" s="408"/>
      <c r="H687" s="408"/>
      <c r="I687" s="408"/>
      <c r="J687" s="408"/>
      <c r="K687" s="408"/>
      <c r="L687" s="408"/>
      <c r="M687" s="408"/>
      <c r="N687" s="408"/>
      <c r="O687" s="408"/>
      <c r="P687" s="408"/>
      <c r="Q687" s="408"/>
      <c r="R687" s="408"/>
      <c r="S687" s="408"/>
      <c r="T687" s="408"/>
      <c r="U687" s="408"/>
      <c r="V687" s="408"/>
      <c r="W687" s="408"/>
      <c r="X687" s="408"/>
      <c r="Y687" s="408"/>
      <c r="Z687" s="408"/>
    </row>
    <row r="688" ht="14.25" customHeight="1">
      <c r="A688" s="408"/>
      <c r="B688" s="408"/>
      <c r="C688" s="408"/>
      <c r="D688" s="408"/>
      <c r="E688" s="408"/>
      <c r="F688" s="408"/>
      <c r="G688" s="408"/>
      <c r="H688" s="408"/>
      <c r="I688" s="408"/>
      <c r="J688" s="408"/>
      <c r="K688" s="408"/>
      <c r="L688" s="408"/>
      <c r="M688" s="408"/>
      <c r="N688" s="408"/>
      <c r="O688" s="408"/>
      <c r="P688" s="408"/>
      <c r="Q688" s="408"/>
      <c r="R688" s="408"/>
      <c r="S688" s="408"/>
      <c r="T688" s="408"/>
      <c r="U688" s="408"/>
      <c r="V688" s="408"/>
      <c r="W688" s="408"/>
      <c r="X688" s="408"/>
      <c r="Y688" s="408"/>
      <c r="Z688" s="408"/>
    </row>
    <row r="689" ht="14.25" customHeight="1">
      <c r="A689" s="408"/>
      <c r="B689" s="408"/>
      <c r="C689" s="408"/>
      <c r="D689" s="408"/>
      <c r="E689" s="408"/>
      <c r="F689" s="408"/>
      <c r="G689" s="408"/>
      <c r="H689" s="408"/>
      <c r="I689" s="408"/>
      <c r="J689" s="408"/>
      <c r="K689" s="408"/>
      <c r="L689" s="408"/>
      <c r="M689" s="408"/>
      <c r="N689" s="408"/>
      <c r="O689" s="408"/>
      <c r="P689" s="408"/>
      <c r="Q689" s="408"/>
      <c r="R689" s="408"/>
      <c r="S689" s="408"/>
      <c r="T689" s="408"/>
      <c r="U689" s="408"/>
      <c r="V689" s="408"/>
      <c r="W689" s="408"/>
      <c r="X689" s="408"/>
      <c r="Y689" s="408"/>
      <c r="Z689" s="408"/>
    </row>
    <row r="690" ht="14.25" customHeight="1">
      <c r="A690" s="408"/>
      <c r="B690" s="408"/>
      <c r="C690" s="408"/>
      <c r="D690" s="408"/>
      <c r="E690" s="408"/>
      <c r="F690" s="408"/>
      <c r="G690" s="408"/>
      <c r="H690" s="408"/>
      <c r="I690" s="408"/>
      <c r="J690" s="408"/>
      <c r="K690" s="408"/>
      <c r="L690" s="408"/>
      <c r="M690" s="408"/>
      <c r="N690" s="408"/>
      <c r="O690" s="408"/>
      <c r="P690" s="408"/>
      <c r="Q690" s="408"/>
      <c r="R690" s="408"/>
      <c r="S690" s="408"/>
      <c r="T690" s="408"/>
      <c r="U690" s="408"/>
      <c r="V690" s="408"/>
      <c r="W690" s="408"/>
      <c r="X690" s="408"/>
      <c r="Y690" s="408"/>
      <c r="Z690" s="408"/>
    </row>
    <row r="691" ht="14.25" customHeight="1">
      <c r="A691" s="408"/>
      <c r="B691" s="408"/>
      <c r="C691" s="408"/>
      <c r="D691" s="408"/>
      <c r="E691" s="408"/>
      <c r="F691" s="408"/>
      <c r="G691" s="408"/>
      <c r="H691" s="408"/>
      <c r="I691" s="408"/>
      <c r="J691" s="408"/>
      <c r="K691" s="408"/>
      <c r="L691" s="408"/>
      <c r="M691" s="408"/>
      <c r="N691" s="408"/>
      <c r="O691" s="408"/>
      <c r="P691" s="408"/>
      <c r="Q691" s="408"/>
      <c r="R691" s="408"/>
      <c r="S691" s="408"/>
      <c r="T691" s="408"/>
      <c r="U691" s="408"/>
      <c r="V691" s="408"/>
      <c r="W691" s="408"/>
      <c r="X691" s="408"/>
      <c r="Y691" s="408"/>
      <c r="Z691" s="408"/>
    </row>
    <row r="692" ht="14.25" customHeight="1">
      <c r="A692" s="408"/>
      <c r="B692" s="408"/>
      <c r="C692" s="408"/>
      <c r="D692" s="408"/>
      <c r="E692" s="408"/>
      <c r="F692" s="408"/>
      <c r="G692" s="408"/>
      <c r="H692" s="408"/>
      <c r="I692" s="408"/>
      <c r="J692" s="408"/>
      <c r="K692" s="408"/>
      <c r="L692" s="408"/>
      <c r="M692" s="408"/>
      <c r="N692" s="408"/>
      <c r="O692" s="408"/>
      <c r="P692" s="408"/>
      <c r="Q692" s="408"/>
      <c r="R692" s="408"/>
      <c r="S692" s="408"/>
      <c r="T692" s="408"/>
      <c r="U692" s="408"/>
      <c r="V692" s="408"/>
      <c r="W692" s="408"/>
      <c r="X692" s="408"/>
      <c r="Y692" s="408"/>
      <c r="Z692" s="408"/>
    </row>
    <row r="693" ht="14.25" customHeight="1">
      <c r="A693" s="408"/>
      <c r="B693" s="408"/>
      <c r="C693" s="408"/>
      <c r="D693" s="408"/>
      <c r="E693" s="408"/>
      <c r="F693" s="408"/>
      <c r="G693" s="408"/>
      <c r="H693" s="408"/>
      <c r="I693" s="408"/>
      <c r="J693" s="408"/>
      <c r="K693" s="408"/>
      <c r="L693" s="408"/>
      <c r="M693" s="408"/>
      <c r="N693" s="408"/>
      <c r="O693" s="408"/>
      <c r="P693" s="408"/>
      <c r="Q693" s="408"/>
      <c r="R693" s="408"/>
      <c r="S693" s="408"/>
      <c r="T693" s="408"/>
      <c r="U693" s="408"/>
      <c r="V693" s="408"/>
      <c r="W693" s="408"/>
      <c r="X693" s="408"/>
      <c r="Y693" s="408"/>
      <c r="Z693" s="408"/>
    </row>
    <row r="694" ht="14.25" customHeight="1">
      <c r="A694" s="408"/>
      <c r="B694" s="408"/>
      <c r="C694" s="408"/>
      <c r="D694" s="408"/>
      <c r="E694" s="408"/>
      <c r="F694" s="408"/>
      <c r="G694" s="408"/>
      <c r="H694" s="408"/>
      <c r="I694" s="408"/>
      <c r="J694" s="408"/>
      <c r="K694" s="408"/>
      <c r="L694" s="408"/>
      <c r="M694" s="408"/>
      <c r="N694" s="408"/>
      <c r="O694" s="408"/>
      <c r="P694" s="408"/>
      <c r="Q694" s="408"/>
      <c r="R694" s="408"/>
      <c r="S694" s="408"/>
      <c r="T694" s="408"/>
      <c r="U694" s="408"/>
      <c r="V694" s="408"/>
      <c r="W694" s="408"/>
      <c r="X694" s="408"/>
      <c r="Y694" s="408"/>
      <c r="Z694" s="408"/>
    </row>
    <row r="695" ht="14.25" customHeight="1">
      <c r="A695" s="408"/>
      <c r="B695" s="408"/>
      <c r="C695" s="408"/>
      <c r="D695" s="408"/>
      <c r="E695" s="408"/>
      <c r="F695" s="408"/>
      <c r="G695" s="408"/>
      <c r="H695" s="408"/>
      <c r="I695" s="408"/>
      <c r="J695" s="408"/>
      <c r="K695" s="408"/>
      <c r="L695" s="408"/>
      <c r="M695" s="408"/>
      <c r="N695" s="408"/>
      <c r="O695" s="408"/>
      <c r="P695" s="408"/>
      <c r="Q695" s="408"/>
      <c r="R695" s="408"/>
      <c r="S695" s="408"/>
      <c r="T695" s="408"/>
      <c r="U695" s="408"/>
      <c r="V695" s="408"/>
      <c r="W695" s="408"/>
      <c r="X695" s="408"/>
      <c r="Y695" s="408"/>
      <c r="Z695" s="408"/>
    </row>
    <row r="696" ht="14.25" customHeight="1">
      <c r="A696" s="408"/>
      <c r="B696" s="408"/>
      <c r="C696" s="408"/>
      <c r="D696" s="408"/>
      <c r="E696" s="408"/>
      <c r="F696" s="408"/>
      <c r="G696" s="408"/>
      <c r="H696" s="408"/>
      <c r="I696" s="408"/>
      <c r="J696" s="408"/>
      <c r="K696" s="408"/>
      <c r="L696" s="408"/>
      <c r="M696" s="408"/>
      <c r="N696" s="408"/>
      <c r="O696" s="408"/>
      <c r="P696" s="408"/>
      <c r="Q696" s="408"/>
      <c r="R696" s="408"/>
      <c r="S696" s="408"/>
      <c r="T696" s="408"/>
      <c r="U696" s="408"/>
      <c r="V696" s="408"/>
      <c r="W696" s="408"/>
      <c r="X696" s="408"/>
      <c r="Y696" s="408"/>
      <c r="Z696" s="408"/>
    </row>
    <row r="697" ht="14.25" customHeight="1">
      <c r="A697" s="408"/>
      <c r="B697" s="408"/>
      <c r="C697" s="408"/>
      <c r="D697" s="408"/>
      <c r="E697" s="408"/>
      <c r="F697" s="408"/>
      <c r="G697" s="408"/>
      <c r="H697" s="408"/>
      <c r="I697" s="408"/>
      <c r="J697" s="408"/>
      <c r="K697" s="408"/>
      <c r="L697" s="408"/>
      <c r="M697" s="408"/>
      <c r="N697" s="408"/>
      <c r="O697" s="408"/>
      <c r="P697" s="408"/>
      <c r="Q697" s="408"/>
      <c r="R697" s="408"/>
      <c r="S697" s="408"/>
      <c r="T697" s="408"/>
      <c r="U697" s="408"/>
      <c r="V697" s="408"/>
      <c r="W697" s="408"/>
      <c r="X697" s="408"/>
      <c r="Y697" s="408"/>
      <c r="Z697" s="408"/>
    </row>
    <row r="698" ht="14.25" customHeight="1">
      <c r="A698" s="408"/>
      <c r="B698" s="408"/>
      <c r="C698" s="408"/>
      <c r="D698" s="408"/>
      <c r="E698" s="408"/>
      <c r="F698" s="408"/>
      <c r="G698" s="408"/>
      <c r="H698" s="408"/>
      <c r="I698" s="408"/>
      <c r="J698" s="408"/>
      <c r="K698" s="408"/>
      <c r="L698" s="408"/>
      <c r="M698" s="408"/>
      <c r="N698" s="408"/>
      <c r="O698" s="408"/>
      <c r="P698" s="408"/>
      <c r="Q698" s="408"/>
      <c r="R698" s="408"/>
      <c r="S698" s="408"/>
      <c r="T698" s="408"/>
      <c r="U698" s="408"/>
      <c r="V698" s="408"/>
      <c r="W698" s="408"/>
      <c r="X698" s="408"/>
      <c r="Y698" s="408"/>
      <c r="Z698" s="408"/>
    </row>
    <row r="699" ht="14.25" customHeight="1">
      <c r="A699" s="408"/>
      <c r="B699" s="408"/>
      <c r="C699" s="408"/>
      <c r="D699" s="408"/>
      <c r="E699" s="408"/>
      <c r="F699" s="408"/>
      <c r="G699" s="408"/>
      <c r="H699" s="408"/>
      <c r="I699" s="408"/>
      <c r="J699" s="408"/>
      <c r="K699" s="408"/>
      <c r="L699" s="408"/>
      <c r="M699" s="408"/>
      <c r="N699" s="408"/>
      <c r="O699" s="408"/>
      <c r="P699" s="408"/>
      <c r="Q699" s="408"/>
      <c r="R699" s="408"/>
      <c r="S699" s="408"/>
      <c r="T699" s="408"/>
      <c r="U699" s="408"/>
      <c r="V699" s="408"/>
      <c r="W699" s="408"/>
      <c r="X699" s="408"/>
      <c r="Y699" s="408"/>
      <c r="Z699" s="408"/>
    </row>
    <row r="700" ht="14.25" customHeight="1">
      <c r="A700" s="408"/>
      <c r="B700" s="408"/>
      <c r="C700" s="408"/>
      <c r="D700" s="408"/>
      <c r="E700" s="408"/>
      <c r="F700" s="408"/>
      <c r="G700" s="408"/>
      <c r="H700" s="408"/>
      <c r="I700" s="408"/>
      <c r="J700" s="408"/>
      <c r="K700" s="408"/>
      <c r="L700" s="408"/>
      <c r="M700" s="408"/>
      <c r="N700" s="408"/>
      <c r="O700" s="408"/>
      <c r="P700" s="408"/>
      <c r="Q700" s="408"/>
      <c r="R700" s="408"/>
      <c r="S700" s="408"/>
      <c r="T700" s="408"/>
      <c r="U700" s="408"/>
      <c r="V700" s="408"/>
      <c r="W700" s="408"/>
      <c r="X700" s="408"/>
      <c r="Y700" s="408"/>
      <c r="Z700" s="408"/>
    </row>
    <row r="701" ht="14.25" customHeight="1">
      <c r="A701" s="408"/>
      <c r="B701" s="408"/>
      <c r="C701" s="408"/>
      <c r="D701" s="408"/>
      <c r="E701" s="408"/>
      <c r="F701" s="408"/>
      <c r="G701" s="408"/>
      <c r="H701" s="408"/>
      <c r="I701" s="408"/>
      <c r="J701" s="408"/>
      <c r="K701" s="408"/>
      <c r="L701" s="408"/>
      <c r="M701" s="408"/>
      <c r="N701" s="408"/>
      <c r="O701" s="408"/>
      <c r="P701" s="408"/>
      <c r="Q701" s="408"/>
      <c r="R701" s="408"/>
      <c r="S701" s="408"/>
      <c r="T701" s="408"/>
      <c r="U701" s="408"/>
      <c r="V701" s="408"/>
      <c r="W701" s="408"/>
      <c r="X701" s="408"/>
      <c r="Y701" s="408"/>
      <c r="Z701" s="408"/>
    </row>
    <row r="702" ht="14.25" customHeight="1">
      <c r="A702" s="408"/>
      <c r="B702" s="408"/>
      <c r="C702" s="408"/>
      <c r="D702" s="408"/>
      <c r="E702" s="408"/>
      <c r="F702" s="408"/>
      <c r="G702" s="408"/>
      <c r="H702" s="408"/>
      <c r="I702" s="408"/>
      <c r="J702" s="408"/>
      <c r="K702" s="408"/>
      <c r="L702" s="408"/>
      <c r="M702" s="408"/>
      <c r="N702" s="408"/>
      <c r="O702" s="408"/>
      <c r="P702" s="408"/>
      <c r="Q702" s="408"/>
      <c r="R702" s="408"/>
      <c r="S702" s="408"/>
      <c r="T702" s="408"/>
      <c r="U702" s="408"/>
      <c r="V702" s="408"/>
      <c r="W702" s="408"/>
      <c r="X702" s="408"/>
      <c r="Y702" s="408"/>
      <c r="Z702" s="408"/>
    </row>
    <row r="703" ht="14.25" customHeight="1">
      <c r="A703" s="408"/>
      <c r="B703" s="408"/>
      <c r="C703" s="408"/>
      <c r="D703" s="408"/>
      <c r="E703" s="408"/>
      <c r="F703" s="408"/>
      <c r="G703" s="408"/>
      <c r="H703" s="408"/>
      <c r="I703" s="408"/>
      <c r="J703" s="408"/>
      <c r="K703" s="408"/>
      <c r="L703" s="408"/>
      <c r="M703" s="408"/>
      <c r="N703" s="408"/>
      <c r="O703" s="408"/>
      <c r="P703" s="408"/>
      <c r="Q703" s="408"/>
      <c r="R703" s="408"/>
      <c r="S703" s="408"/>
      <c r="T703" s="408"/>
      <c r="U703" s="408"/>
      <c r="V703" s="408"/>
      <c r="W703" s="408"/>
      <c r="X703" s="408"/>
      <c r="Y703" s="408"/>
      <c r="Z703" s="408"/>
    </row>
    <row r="704" ht="14.25" customHeight="1">
      <c r="A704" s="408"/>
      <c r="B704" s="408"/>
      <c r="C704" s="408"/>
      <c r="D704" s="408"/>
      <c r="E704" s="408"/>
      <c r="F704" s="408"/>
      <c r="G704" s="408"/>
      <c r="H704" s="408"/>
      <c r="I704" s="408"/>
      <c r="J704" s="408"/>
      <c r="K704" s="408"/>
      <c r="L704" s="408"/>
      <c r="M704" s="408"/>
      <c r="N704" s="408"/>
      <c r="O704" s="408"/>
      <c r="P704" s="408"/>
      <c r="Q704" s="408"/>
      <c r="R704" s="408"/>
      <c r="S704" s="408"/>
      <c r="T704" s="408"/>
      <c r="U704" s="408"/>
      <c r="V704" s="408"/>
      <c r="W704" s="408"/>
      <c r="X704" s="408"/>
      <c r="Y704" s="408"/>
      <c r="Z704" s="408"/>
    </row>
    <row r="705" ht="14.25" customHeight="1">
      <c r="A705" s="408"/>
      <c r="B705" s="408"/>
      <c r="C705" s="408"/>
      <c r="D705" s="408"/>
      <c r="E705" s="408"/>
      <c r="F705" s="408"/>
      <c r="G705" s="408"/>
      <c r="H705" s="408"/>
      <c r="I705" s="408"/>
      <c r="J705" s="408"/>
      <c r="K705" s="408"/>
      <c r="L705" s="408"/>
      <c r="M705" s="408"/>
      <c r="N705" s="408"/>
      <c r="O705" s="408"/>
      <c r="P705" s="408"/>
      <c r="Q705" s="408"/>
      <c r="R705" s="408"/>
      <c r="S705" s="408"/>
      <c r="T705" s="408"/>
      <c r="U705" s="408"/>
      <c r="V705" s="408"/>
      <c r="W705" s="408"/>
      <c r="X705" s="408"/>
      <c r="Y705" s="408"/>
      <c r="Z705" s="408"/>
    </row>
    <row r="706" ht="14.25" customHeight="1">
      <c r="A706" s="408"/>
      <c r="B706" s="408"/>
      <c r="C706" s="408"/>
      <c r="D706" s="408"/>
      <c r="E706" s="408"/>
      <c r="F706" s="408"/>
      <c r="G706" s="408"/>
      <c r="H706" s="408"/>
      <c r="I706" s="408"/>
      <c r="J706" s="408"/>
      <c r="K706" s="408"/>
      <c r="L706" s="408"/>
      <c r="M706" s="408"/>
      <c r="N706" s="408"/>
      <c r="O706" s="408"/>
      <c r="P706" s="408"/>
      <c r="Q706" s="408"/>
      <c r="R706" s="408"/>
      <c r="S706" s="408"/>
      <c r="T706" s="408"/>
      <c r="U706" s="408"/>
      <c r="V706" s="408"/>
      <c r="W706" s="408"/>
      <c r="X706" s="408"/>
      <c r="Y706" s="408"/>
      <c r="Z706" s="408"/>
    </row>
    <row r="707" ht="14.25" customHeight="1">
      <c r="A707" s="408"/>
      <c r="B707" s="408"/>
      <c r="C707" s="408"/>
      <c r="D707" s="408"/>
      <c r="E707" s="408"/>
      <c r="F707" s="408"/>
      <c r="G707" s="408"/>
      <c r="H707" s="408"/>
      <c r="I707" s="408"/>
      <c r="J707" s="408"/>
      <c r="K707" s="408"/>
      <c r="L707" s="408"/>
      <c r="M707" s="408"/>
      <c r="N707" s="408"/>
      <c r="O707" s="408"/>
      <c r="P707" s="408"/>
      <c r="Q707" s="408"/>
      <c r="R707" s="408"/>
      <c r="S707" s="408"/>
      <c r="T707" s="408"/>
      <c r="U707" s="408"/>
      <c r="V707" s="408"/>
      <c r="W707" s="408"/>
      <c r="X707" s="408"/>
      <c r="Y707" s="408"/>
      <c r="Z707" s="408"/>
    </row>
    <row r="708" ht="14.25" customHeight="1">
      <c r="A708" s="408"/>
      <c r="B708" s="408"/>
      <c r="C708" s="408"/>
      <c r="D708" s="408"/>
      <c r="E708" s="408"/>
      <c r="F708" s="408"/>
      <c r="G708" s="408"/>
      <c r="H708" s="408"/>
      <c r="I708" s="408"/>
      <c r="J708" s="408"/>
      <c r="K708" s="408"/>
      <c r="L708" s="408"/>
      <c r="M708" s="408"/>
      <c r="N708" s="408"/>
      <c r="O708" s="408"/>
      <c r="P708" s="408"/>
      <c r="Q708" s="408"/>
      <c r="R708" s="408"/>
      <c r="S708" s="408"/>
      <c r="T708" s="408"/>
      <c r="U708" s="408"/>
      <c r="V708" s="408"/>
      <c r="W708" s="408"/>
      <c r="X708" s="408"/>
      <c r="Y708" s="408"/>
      <c r="Z708" s="408"/>
    </row>
    <row r="709" ht="14.25" customHeight="1">
      <c r="A709" s="408"/>
      <c r="B709" s="408"/>
      <c r="C709" s="408"/>
      <c r="D709" s="408"/>
      <c r="E709" s="408"/>
      <c r="F709" s="408"/>
      <c r="G709" s="408"/>
      <c r="H709" s="408"/>
      <c r="I709" s="408"/>
      <c r="J709" s="408"/>
      <c r="K709" s="408"/>
      <c r="L709" s="408"/>
      <c r="M709" s="408"/>
      <c r="N709" s="408"/>
      <c r="O709" s="408"/>
      <c r="P709" s="408"/>
      <c r="Q709" s="408"/>
      <c r="R709" s="408"/>
      <c r="S709" s="408"/>
      <c r="T709" s="408"/>
      <c r="U709" s="408"/>
      <c r="V709" s="408"/>
      <c r="W709" s="408"/>
      <c r="X709" s="408"/>
      <c r="Y709" s="408"/>
      <c r="Z709" s="408"/>
    </row>
    <row r="710" ht="14.25" customHeight="1">
      <c r="A710" s="408"/>
      <c r="B710" s="408"/>
      <c r="C710" s="408"/>
      <c r="D710" s="408"/>
      <c r="E710" s="408"/>
      <c r="F710" s="408"/>
      <c r="G710" s="408"/>
      <c r="H710" s="408"/>
      <c r="I710" s="408"/>
      <c r="J710" s="408"/>
      <c r="K710" s="408"/>
      <c r="L710" s="408"/>
      <c r="M710" s="408"/>
      <c r="N710" s="408"/>
      <c r="O710" s="408"/>
      <c r="P710" s="408"/>
      <c r="Q710" s="408"/>
      <c r="R710" s="408"/>
      <c r="S710" s="408"/>
      <c r="T710" s="408"/>
      <c r="U710" s="408"/>
      <c r="V710" s="408"/>
      <c r="W710" s="408"/>
      <c r="X710" s="408"/>
      <c r="Y710" s="408"/>
      <c r="Z710" s="408"/>
    </row>
    <row r="711" ht="14.25" customHeight="1">
      <c r="A711" s="408"/>
      <c r="B711" s="408"/>
      <c r="C711" s="408"/>
      <c r="D711" s="408"/>
      <c r="E711" s="408"/>
      <c r="F711" s="408"/>
      <c r="G711" s="408"/>
      <c r="H711" s="408"/>
      <c r="I711" s="408"/>
      <c r="J711" s="408"/>
      <c r="K711" s="408"/>
      <c r="L711" s="408"/>
      <c r="M711" s="408"/>
      <c r="N711" s="408"/>
      <c r="O711" s="408"/>
      <c r="P711" s="408"/>
      <c r="Q711" s="408"/>
      <c r="R711" s="408"/>
      <c r="S711" s="408"/>
      <c r="T711" s="408"/>
      <c r="U711" s="408"/>
      <c r="V711" s="408"/>
      <c r="W711" s="408"/>
      <c r="X711" s="408"/>
      <c r="Y711" s="408"/>
      <c r="Z711" s="408"/>
    </row>
    <row r="712" ht="14.25" customHeight="1">
      <c r="A712" s="408"/>
      <c r="B712" s="408"/>
      <c r="C712" s="408"/>
      <c r="D712" s="408"/>
      <c r="E712" s="408"/>
      <c r="F712" s="408"/>
      <c r="G712" s="408"/>
      <c r="H712" s="408"/>
      <c r="I712" s="408"/>
      <c r="J712" s="408"/>
      <c r="K712" s="408"/>
      <c r="L712" s="408"/>
      <c r="M712" s="408"/>
      <c r="N712" s="408"/>
      <c r="O712" s="408"/>
      <c r="P712" s="408"/>
      <c r="Q712" s="408"/>
      <c r="R712" s="408"/>
      <c r="S712" s="408"/>
      <c r="T712" s="408"/>
      <c r="U712" s="408"/>
      <c r="V712" s="408"/>
      <c r="W712" s="408"/>
      <c r="X712" s="408"/>
      <c r="Y712" s="408"/>
      <c r="Z712" s="408"/>
    </row>
    <row r="713" ht="14.25" customHeight="1">
      <c r="A713" s="408"/>
      <c r="B713" s="408"/>
      <c r="C713" s="408"/>
      <c r="D713" s="408"/>
      <c r="E713" s="408"/>
      <c r="F713" s="408"/>
      <c r="G713" s="408"/>
      <c r="H713" s="408"/>
      <c r="I713" s="408"/>
      <c r="J713" s="408"/>
      <c r="K713" s="408"/>
      <c r="L713" s="408"/>
      <c r="M713" s="408"/>
      <c r="N713" s="408"/>
      <c r="O713" s="408"/>
      <c r="P713" s="408"/>
      <c r="Q713" s="408"/>
      <c r="R713" s="408"/>
      <c r="S713" s="408"/>
      <c r="T713" s="408"/>
      <c r="U713" s="408"/>
      <c r="V713" s="408"/>
      <c r="W713" s="408"/>
      <c r="X713" s="408"/>
      <c r="Y713" s="408"/>
      <c r="Z713" s="408"/>
    </row>
    <row r="714" ht="14.25" customHeight="1">
      <c r="A714" s="408"/>
      <c r="B714" s="408"/>
      <c r="C714" s="408"/>
      <c r="D714" s="408"/>
      <c r="E714" s="408"/>
      <c r="F714" s="408"/>
      <c r="G714" s="408"/>
      <c r="H714" s="408"/>
      <c r="I714" s="408"/>
      <c r="J714" s="408"/>
      <c r="K714" s="408"/>
      <c r="L714" s="408"/>
      <c r="M714" s="408"/>
      <c r="N714" s="408"/>
      <c r="O714" s="408"/>
      <c r="P714" s="408"/>
      <c r="Q714" s="408"/>
      <c r="R714" s="408"/>
      <c r="S714" s="408"/>
      <c r="T714" s="408"/>
      <c r="U714" s="408"/>
      <c r="V714" s="408"/>
      <c r="W714" s="408"/>
      <c r="X714" s="408"/>
      <c r="Y714" s="408"/>
      <c r="Z714" s="408"/>
    </row>
    <row r="715" ht="14.25" customHeight="1">
      <c r="A715" s="408"/>
      <c r="B715" s="408"/>
      <c r="C715" s="408"/>
      <c r="D715" s="408"/>
      <c r="E715" s="408"/>
      <c r="F715" s="408"/>
      <c r="G715" s="408"/>
      <c r="H715" s="408"/>
      <c r="I715" s="408"/>
      <c r="J715" s="408"/>
      <c r="K715" s="408"/>
      <c r="L715" s="408"/>
      <c r="M715" s="408"/>
      <c r="N715" s="408"/>
      <c r="O715" s="408"/>
      <c r="P715" s="408"/>
      <c r="Q715" s="408"/>
      <c r="R715" s="408"/>
      <c r="S715" s="408"/>
      <c r="T715" s="408"/>
      <c r="U715" s="408"/>
      <c r="V715" s="408"/>
      <c r="W715" s="408"/>
      <c r="X715" s="408"/>
      <c r="Y715" s="408"/>
      <c r="Z715" s="408"/>
    </row>
    <row r="716" ht="14.25" customHeight="1">
      <c r="A716" s="408"/>
      <c r="B716" s="408"/>
      <c r="C716" s="408"/>
      <c r="D716" s="408"/>
      <c r="E716" s="408"/>
      <c r="F716" s="408"/>
      <c r="G716" s="408"/>
      <c r="H716" s="408"/>
      <c r="I716" s="408"/>
      <c r="J716" s="408"/>
      <c r="K716" s="408"/>
      <c r="L716" s="408"/>
      <c r="M716" s="408"/>
      <c r="N716" s="408"/>
      <c r="O716" s="408"/>
      <c r="P716" s="408"/>
      <c r="Q716" s="408"/>
      <c r="R716" s="408"/>
      <c r="S716" s="408"/>
      <c r="T716" s="408"/>
      <c r="U716" s="408"/>
      <c r="V716" s="408"/>
      <c r="W716" s="408"/>
      <c r="X716" s="408"/>
      <c r="Y716" s="408"/>
      <c r="Z716" s="408"/>
    </row>
    <row r="717" ht="14.25" customHeight="1">
      <c r="A717" s="408"/>
      <c r="B717" s="408"/>
      <c r="C717" s="408"/>
      <c r="D717" s="408"/>
      <c r="E717" s="408"/>
      <c r="F717" s="408"/>
      <c r="G717" s="408"/>
      <c r="H717" s="408"/>
      <c r="I717" s="408"/>
      <c r="J717" s="408"/>
      <c r="K717" s="408"/>
      <c r="L717" s="408"/>
      <c r="M717" s="408"/>
      <c r="N717" s="408"/>
      <c r="O717" s="408"/>
      <c r="P717" s="408"/>
      <c r="Q717" s="408"/>
      <c r="R717" s="408"/>
      <c r="S717" s="408"/>
      <c r="T717" s="408"/>
      <c r="U717" s="408"/>
      <c r="V717" s="408"/>
      <c r="W717" s="408"/>
      <c r="X717" s="408"/>
      <c r="Y717" s="408"/>
      <c r="Z717" s="408"/>
    </row>
    <row r="718" ht="14.25" customHeight="1">
      <c r="A718" s="408"/>
      <c r="B718" s="408"/>
      <c r="C718" s="408"/>
      <c r="D718" s="408"/>
      <c r="E718" s="408"/>
      <c r="F718" s="408"/>
      <c r="G718" s="408"/>
      <c r="H718" s="408"/>
      <c r="I718" s="408"/>
      <c r="J718" s="408"/>
      <c r="K718" s="408"/>
      <c r="L718" s="408"/>
      <c r="M718" s="408"/>
      <c r="N718" s="408"/>
      <c r="O718" s="408"/>
      <c r="P718" s="408"/>
      <c r="Q718" s="408"/>
      <c r="R718" s="408"/>
      <c r="S718" s="408"/>
      <c r="T718" s="408"/>
      <c r="U718" s="408"/>
      <c r="V718" s="408"/>
      <c r="W718" s="408"/>
      <c r="X718" s="408"/>
      <c r="Y718" s="408"/>
      <c r="Z718" s="408"/>
    </row>
    <row r="719" ht="14.25" customHeight="1">
      <c r="A719" s="408"/>
      <c r="B719" s="408"/>
      <c r="C719" s="408"/>
      <c r="D719" s="408"/>
      <c r="E719" s="408"/>
      <c r="F719" s="408"/>
      <c r="G719" s="408"/>
      <c r="H719" s="408"/>
      <c r="I719" s="408"/>
      <c r="J719" s="408"/>
      <c r="K719" s="408"/>
      <c r="L719" s="408"/>
      <c r="M719" s="408"/>
      <c r="N719" s="408"/>
      <c r="O719" s="408"/>
      <c r="P719" s="408"/>
      <c r="Q719" s="408"/>
      <c r="R719" s="408"/>
      <c r="S719" s="408"/>
      <c r="T719" s="408"/>
      <c r="U719" s="408"/>
      <c r="V719" s="408"/>
      <c r="W719" s="408"/>
      <c r="X719" s="408"/>
      <c r="Y719" s="408"/>
      <c r="Z719" s="408"/>
    </row>
    <row r="720" ht="14.25" customHeight="1">
      <c r="A720" s="408"/>
      <c r="B720" s="408"/>
      <c r="C720" s="408"/>
      <c r="D720" s="408"/>
      <c r="E720" s="408"/>
      <c r="F720" s="408"/>
      <c r="G720" s="408"/>
      <c r="H720" s="408"/>
      <c r="I720" s="408"/>
      <c r="J720" s="408"/>
      <c r="K720" s="408"/>
      <c r="L720" s="408"/>
      <c r="M720" s="408"/>
      <c r="N720" s="408"/>
      <c r="O720" s="408"/>
      <c r="P720" s="408"/>
      <c r="Q720" s="408"/>
      <c r="R720" s="408"/>
      <c r="S720" s="408"/>
      <c r="T720" s="408"/>
      <c r="U720" s="408"/>
      <c r="V720" s="408"/>
      <c r="W720" s="408"/>
      <c r="X720" s="408"/>
      <c r="Y720" s="408"/>
      <c r="Z720" s="408"/>
    </row>
    <row r="721" ht="14.25" customHeight="1">
      <c r="A721" s="408"/>
      <c r="B721" s="408"/>
      <c r="C721" s="408"/>
      <c r="D721" s="408"/>
      <c r="E721" s="408"/>
      <c r="F721" s="408"/>
      <c r="G721" s="408"/>
      <c r="H721" s="408"/>
      <c r="I721" s="408"/>
      <c r="J721" s="408"/>
      <c r="K721" s="408"/>
      <c r="L721" s="408"/>
      <c r="M721" s="408"/>
      <c r="N721" s="408"/>
      <c r="O721" s="408"/>
      <c r="P721" s="408"/>
      <c r="Q721" s="408"/>
      <c r="R721" s="408"/>
      <c r="S721" s="408"/>
      <c r="T721" s="408"/>
      <c r="U721" s="408"/>
      <c r="V721" s="408"/>
      <c r="W721" s="408"/>
      <c r="X721" s="408"/>
      <c r="Y721" s="408"/>
      <c r="Z721" s="408"/>
    </row>
    <row r="722" ht="14.25" customHeight="1">
      <c r="A722" s="408"/>
      <c r="B722" s="408"/>
      <c r="C722" s="408"/>
      <c r="D722" s="408"/>
      <c r="E722" s="408"/>
      <c r="F722" s="408"/>
      <c r="G722" s="408"/>
      <c r="H722" s="408"/>
      <c r="I722" s="408"/>
      <c r="J722" s="408"/>
      <c r="K722" s="408"/>
      <c r="L722" s="408"/>
      <c r="M722" s="408"/>
      <c r="N722" s="408"/>
      <c r="O722" s="408"/>
      <c r="P722" s="408"/>
      <c r="Q722" s="408"/>
      <c r="R722" s="408"/>
      <c r="S722" s="408"/>
      <c r="T722" s="408"/>
      <c r="U722" s="408"/>
      <c r="V722" s="408"/>
      <c r="W722" s="408"/>
      <c r="X722" s="408"/>
      <c r="Y722" s="408"/>
      <c r="Z722" s="408"/>
    </row>
    <row r="723" ht="14.25" customHeight="1">
      <c r="A723" s="408"/>
      <c r="B723" s="408"/>
      <c r="C723" s="408"/>
      <c r="D723" s="408"/>
      <c r="E723" s="408"/>
      <c r="F723" s="408"/>
      <c r="G723" s="408"/>
      <c r="H723" s="408"/>
      <c r="I723" s="408"/>
      <c r="J723" s="408"/>
      <c r="K723" s="408"/>
      <c r="L723" s="408"/>
      <c r="M723" s="408"/>
      <c r="N723" s="408"/>
      <c r="O723" s="408"/>
      <c r="P723" s="408"/>
      <c r="Q723" s="408"/>
      <c r="R723" s="408"/>
      <c r="S723" s="408"/>
      <c r="T723" s="408"/>
      <c r="U723" s="408"/>
      <c r="V723" s="408"/>
      <c r="W723" s="408"/>
      <c r="X723" s="408"/>
      <c r="Y723" s="408"/>
      <c r="Z723" s="408"/>
    </row>
    <row r="724" ht="14.25" customHeight="1">
      <c r="A724" s="408"/>
      <c r="B724" s="408"/>
      <c r="C724" s="408"/>
      <c r="D724" s="408"/>
      <c r="E724" s="408"/>
      <c r="F724" s="408"/>
      <c r="G724" s="408"/>
      <c r="H724" s="408"/>
      <c r="I724" s="408"/>
      <c r="J724" s="408"/>
      <c r="K724" s="408"/>
      <c r="L724" s="408"/>
      <c r="M724" s="408"/>
      <c r="N724" s="408"/>
      <c r="O724" s="408"/>
      <c r="P724" s="408"/>
      <c r="Q724" s="408"/>
      <c r="R724" s="408"/>
      <c r="S724" s="408"/>
      <c r="T724" s="408"/>
      <c r="U724" s="408"/>
      <c r="V724" s="408"/>
      <c r="W724" s="408"/>
      <c r="X724" s="408"/>
      <c r="Y724" s="408"/>
      <c r="Z724" s="408"/>
    </row>
    <row r="725" ht="14.25" customHeight="1">
      <c r="A725" s="408"/>
      <c r="B725" s="408"/>
      <c r="C725" s="408"/>
      <c r="D725" s="408"/>
      <c r="E725" s="408"/>
      <c r="F725" s="408"/>
      <c r="G725" s="408"/>
      <c r="H725" s="408"/>
      <c r="I725" s="408"/>
      <c r="J725" s="408"/>
      <c r="K725" s="408"/>
      <c r="L725" s="408"/>
      <c r="M725" s="408"/>
      <c r="N725" s="408"/>
      <c r="O725" s="408"/>
      <c r="P725" s="408"/>
      <c r="Q725" s="408"/>
      <c r="R725" s="408"/>
      <c r="S725" s="408"/>
      <c r="T725" s="408"/>
      <c r="U725" s="408"/>
      <c r="V725" s="408"/>
      <c r="W725" s="408"/>
      <c r="X725" s="408"/>
      <c r="Y725" s="408"/>
      <c r="Z725" s="408"/>
    </row>
    <row r="726" ht="14.25" customHeight="1">
      <c r="A726" s="408"/>
      <c r="B726" s="408"/>
      <c r="C726" s="408"/>
      <c r="D726" s="408"/>
      <c r="E726" s="408"/>
      <c r="F726" s="408"/>
      <c r="G726" s="408"/>
      <c r="H726" s="408"/>
      <c r="I726" s="408"/>
      <c r="J726" s="408"/>
      <c r="K726" s="408"/>
      <c r="L726" s="408"/>
      <c r="M726" s="408"/>
      <c r="N726" s="408"/>
      <c r="O726" s="408"/>
      <c r="P726" s="408"/>
      <c r="Q726" s="408"/>
      <c r="R726" s="408"/>
      <c r="S726" s="408"/>
      <c r="T726" s="408"/>
      <c r="U726" s="408"/>
      <c r="V726" s="408"/>
      <c r="W726" s="408"/>
      <c r="X726" s="408"/>
      <c r="Y726" s="408"/>
      <c r="Z726" s="408"/>
    </row>
    <row r="727" ht="14.25" customHeight="1">
      <c r="A727" s="408"/>
      <c r="B727" s="408"/>
      <c r="C727" s="408"/>
      <c r="D727" s="408"/>
      <c r="E727" s="408"/>
      <c r="F727" s="408"/>
      <c r="G727" s="408"/>
      <c r="H727" s="408"/>
      <c r="I727" s="408"/>
      <c r="J727" s="408"/>
      <c r="K727" s="408"/>
      <c r="L727" s="408"/>
      <c r="M727" s="408"/>
      <c r="N727" s="408"/>
      <c r="O727" s="408"/>
      <c r="P727" s="408"/>
      <c r="Q727" s="408"/>
      <c r="R727" s="408"/>
      <c r="S727" s="408"/>
      <c r="T727" s="408"/>
      <c r="U727" s="408"/>
      <c r="V727" s="408"/>
      <c r="W727" s="408"/>
      <c r="X727" s="408"/>
      <c r="Y727" s="408"/>
      <c r="Z727" s="408"/>
    </row>
    <row r="728" ht="14.25" customHeight="1">
      <c r="A728" s="408"/>
      <c r="B728" s="408"/>
      <c r="C728" s="408"/>
      <c r="D728" s="408"/>
      <c r="E728" s="408"/>
      <c r="F728" s="408"/>
      <c r="G728" s="408"/>
      <c r="H728" s="408"/>
      <c r="I728" s="408"/>
      <c r="J728" s="408"/>
      <c r="K728" s="408"/>
      <c r="L728" s="408"/>
      <c r="M728" s="408"/>
      <c r="N728" s="408"/>
      <c r="O728" s="408"/>
      <c r="P728" s="408"/>
      <c r="Q728" s="408"/>
      <c r="R728" s="408"/>
      <c r="S728" s="408"/>
      <c r="T728" s="408"/>
      <c r="U728" s="408"/>
      <c r="V728" s="408"/>
      <c r="W728" s="408"/>
      <c r="X728" s="408"/>
      <c r="Y728" s="408"/>
      <c r="Z728" s="408"/>
    </row>
    <row r="729" ht="14.25" customHeight="1">
      <c r="A729" s="408"/>
      <c r="B729" s="408"/>
      <c r="C729" s="408"/>
      <c r="D729" s="408"/>
      <c r="E729" s="408"/>
      <c r="F729" s="408"/>
      <c r="G729" s="408"/>
      <c r="H729" s="408"/>
      <c r="I729" s="408"/>
      <c r="J729" s="408"/>
      <c r="K729" s="408"/>
      <c r="L729" s="408"/>
      <c r="M729" s="408"/>
      <c r="N729" s="408"/>
      <c r="O729" s="408"/>
      <c r="P729" s="408"/>
      <c r="Q729" s="408"/>
      <c r="R729" s="408"/>
      <c r="S729" s="408"/>
      <c r="T729" s="408"/>
      <c r="U729" s="408"/>
      <c r="V729" s="408"/>
      <c r="W729" s="408"/>
      <c r="X729" s="408"/>
      <c r="Y729" s="408"/>
      <c r="Z729" s="408"/>
    </row>
    <row r="730" ht="14.25" customHeight="1">
      <c r="A730" s="408"/>
      <c r="B730" s="408"/>
      <c r="C730" s="408"/>
      <c r="D730" s="408"/>
      <c r="E730" s="408"/>
      <c r="F730" s="408"/>
      <c r="G730" s="408"/>
      <c r="H730" s="408"/>
      <c r="I730" s="408"/>
      <c r="J730" s="408"/>
      <c r="K730" s="408"/>
      <c r="L730" s="408"/>
      <c r="M730" s="408"/>
      <c r="N730" s="408"/>
      <c r="O730" s="408"/>
      <c r="P730" s="408"/>
      <c r="Q730" s="408"/>
      <c r="R730" s="408"/>
      <c r="S730" s="408"/>
      <c r="T730" s="408"/>
      <c r="U730" s="408"/>
      <c r="V730" s="408"/>
      <c r="W730" s="408"/>
      <c r="X730" s="408"/>
      <c r="Y730" s="408"/>
      <c r="Z730" s="408"/>
    </row>
    <row r="731" ht="14.25" customHeight="1">
      <c r="A731" s="408"/>
      <c r="B731" s="408"/>
      <c r="C731" s="408"/>
      <c r="D731" s="408"/>
      <c r="E731" s="408"/>
      <c r="F731" s="408"/>
      <c r="G731" s="408"/>
      <c r="H731" s="408"/>
      <c r="I731" s="408"/>
      <c r="J731" s="408"/>
      <c r="K731" s="408"/>
      <c r="L731" s="408"/>
      <c r="M731" s="408"/>
      <c r="N731" s="408"/>
      <c r="O731" s="408"/>
      <c r="P731" s="408"/>
      <c r="Q731" s="408"/>
      <c r="R731" s="408"/>
      <c r="S731" s="408"/>
      <c r="T731" s="408"/>
      <c r="U731" s="408"/>
      <c r="V731" s="408"/>
      <c r="W731" s="408"/>
      <c r="X731" s="408"/>
      <c r="Y731" s="408"/>
      <c r="Z731" s="408"/>
    </row>
    <row r="732" ht="14.25" customHeight="1">
      <c r="A732" s="408"/>
      <c r="B732" s="408"/>
      <c r="C732" s="408"/>
      <c r="D732" s="408"/>
      <c r="E732" s="408"/>
      <c r="F732" s="408"/>
      <c r="G732" s="408"/>
      <c r="H732" s="408"/>
      <c r="I732" s="408"/>
      <c r="J732" s="408"/>
      <c r="K732" s="408"/>
      <c r="L732" s="408"/>
      <c r="M732" s="408"/>
      <c r="N732" s="408"/>
      <c r="O732" s="408"/>
      <c r="P732" s="408"/>
      <c r="Q732" s="408"/>
      <c r="R732" s="408"/>
      <c r="S732" s="408"/>
      <c r="T732" s="408"/>
      <c r="U732" s="408"/>
      <c r="V732" s="408"/>
      <c r="W732" s="408"/>
      <c r="X732" s="408"/>
      <c r="Y732" s="408"/>
      <c r="Z732" s="408"/>
    </row>
    <row r="733" ht="14.25" customHeight="1">
      <c r="A733" s="408"/>
      <c r="B733" s="408"/>
      <c r="C733" s="408"/>
      <c r="D733" s="408"/>
      <c r="E733" s="408"/>
      <c r="F733" s="408"/>
      <c r="G733" s="408"/>
      <c r="H733" s="408"/>
      <c r="I733" s="408"/>
      <c r="J733" s="408"/>
      <c r="K733" s="408"/>
      <c r="L733" s="408"/>
      <c r="M733" s="408"/>
      <c r="N733" s="408"/>
      <c r="O733" s="408"/>
      <c r="P733" s="408"/>
      <c r="Q733" s="408"/>
      <c r="R733" s="408"/>
      <c r="S733" s="408"/>
      <c r="T733" s="408"/>
      <c r="U733" s="408"/>
      <c r="V733" s="408"/>
      <c r="W733" s="408"/>
      <c r="X733" s="408"/>
      <c r="Y733" s="408"/>
      <c r="Z733" s="408"/>
    </row>
    <row r="734" ht="14.25" customHeight="1">
      <c r="A734" s="408"/>
      <c r="B734" s="408"/>
      <c r="C734" s="408"/>
      <c r="D734" s="408"/>
      <c r="E734" s="408"/>
      <c r="F734" s="408"/>
      <c r="G734" s="408"/>
      <c r="H734" s="408"/>
      <c r="I734" s="408"/>
      <c r="J734" s="408"/>
      <c r="K734" s="408"/>
      <c r="L734" s="408"/>
      <c r="M734" s="408"/>
      <c r="N734" s="408"/>
      <c r="O734" s="408"/>
      <c r="P734" s="408"/>
      <c r="Q734" s="408"/>
      <c r="R734" s="408"/>
      <c r="S734" s="408"/>
      <c r="T734" s="408"/>
      <c r="U734" s="408"/>
      <c r="V734" s="408"/>
      <c r="W734" s="408"/>
      <c r="X734" s="408"/>
      <c r="Y734" s="408"/>
      <c r="Z734" s="408"/>
    </row>
    <row r="735" ht="14.25" customHeight="1">
      <c r="A735" s="408"/>
      <c r="B735" s="408"/>
      <c r="C735" s="408"/>
      <c r="D735" s="408"/>
      <c r="E735" s="408"/>
      <c r="F735" s="408"/>
      <c r="G735" s="408"/>
      <c r="H735" s="408"/>
      <c r="I735" s="408"/>
      <c r="J735" s="408"/>
      <c r="K735" s="408"/>
      <c r="L735" s="408"/>
      <c r="M735" s="408"/>
      <c r="N735" s="408"/>
      <c r="O735" s="408"/>
      <c r="P735" s="408"/>
      <c r="Q735" s="408"/>
      <c r="R735" s="408"/>
      <c r="S735" s="408"/>
      <c r="T735" s="408"/>
      <c r="U735" s="408"/>
      <c r="V735" s="408"/>
      <c r="W735" s="408"/>
      <c r="X735" s="408"/>
      <c r="Y735" s="408"/>
      <c r="Z735" s="408"/>
    </row>
    <row r="736" ht="14.25" customHeight="1">
      <c r="A736" s="408"/>
      <c r="B736" s="408"/>
      <c r="C736" s="408"/>
      <c r="D736" s="408"/>
      <c r="E736" s="408"/>
      <c r="F736" s="408"/>
      <c r="G736" s="408"/>
      <c r="H736" s="408"/>
      <c r="I736" s="408"/>
      <c r="J736" s="408"/>
      <c r="K736" s="408"/>
      <c r="L736" s="408"/>
      <c r="M736" s="408"/>
      <c r="N736" s="408"/>
      <c r="O736" s="408"/>
      <c r="P736" s="408"/>
      <c r="Q736" s="408"/>
      <c r="R736" s="408"/>
      <c r="S736" s="408"/>
      <c r="T736" s="408"/>
      <c r="U736" s="408"/>
      <c r="V736" s="408"/>
      <c r="W736" s="408"/>
      <c r="X736" s="408"/>
      <c r="Y736" s="408"/>
      <c r="Z736" s="408"/>
    </row>
    <row r="737" ht="14.25" customHeight="1">
      <c r="A737" s="408"/>
      <c r="B737" s="408"/>
      <c r="C737" s="408"/>
      <c r="D737" s="408"/>
      <c r="E737" s="408"/>
      <c r="F737" s="408"/>
      <c r="G737" s="408"/>
      <c r="H737" s="408"/>
      <c r="I737" s="408"/>
      <c r="J737" s="408"/>
      <c r="K737" s="408"/>
      <c r="L737" s="408"/>
      <c r="M737" s="408"/>
      <c r="N737" s="408"/>
      <c r="O737" s="408"/>
      <c r="P737" s="408"/>
      <c r="Q737" s="408"/>
      <c r="R737" s="408"/>
      <c r="S737" s="408"/>
      <c r="T737" s="408"/>
      <c r="U737" s="408"/>
      <c r="V737" s="408"/>
      <c r="W737" s="408"/>
      <c r="X737" s="408"/>
      <c r="Y737" s="408"/>
      <c r="Z737" s="408"/>
    </row>
    <row r="738" ht="14.25" customHeight="1">
      <c r="A738" s="408"/>
      <c r="B738" s="408"/>
      <c r="C738" s="408"/>
      <c r="D738" s="408"/>
      <c r="E738" s="408"/>
      <c r="F738" s="408"/>
      <c r="G738" s="408"/>
      <c r="H738" s="408"/>
      <c r="I738" s="408"/>
      <c r="J738" s="408"/>
      <c r="K738" s="408"/>
      <c r="L738" s="408"/>
      <c r="M738" s="408"/>
      <c r="N738" s="408"/>
      <c r="O738" s="408"/>
      <c r="P738" s="408"/>
      <c r="Q738" s="408"/>
      <c r="R738" s="408"/>
      <c r="S738" s="408"/>
      <c r="T738" s="408"/>
      <c r="U738" s="408"/>
      <c r="V738" s="408"/>
      <c r="W738" s="408"/>
      <c r="X738" s="408"/>
      <c r="Y738" s="408"/>
      <c r="Z738" s="408"/>
    </row>
    <row r="739" ht="14.25" customHeight="1">
      <c r="A739" s="408"/>
      <c r="B739" s="408"/>
      <c r="C739" s="408"/>
      <c r="D739" s="408"/>
      <c r="E739" s="408"/>
      <c r="F739" s="408"/>
      <c r="G739" s="408"/>
      <c r="H739" s="408"/>
      <c r="I739" s="408"/>
      <c r="J739" s="408"/>
      <c r="K739" s="408"/>
      <c r="L739" s="408"/>
      <c r="M739" s="408"/>
      <c r="N739" s="408"/>
      <c r="O739" s="408"/>
      <c r="P739" s="408"/>
      <c r="Q739" s="408"/>
      <c r="R739" s="408"/>
      <c r="S739" s="408"/>
      <c r="T739" s="408"/>
      <c r="U739" s="408"/>
      <c r="V739" s="408"/>
      <c r="W739" s="408"/>
      <c r="X739" s="408"/>
      <c r="Y739" s="408"/>
      <c r="Z739" s="408"/>
    </row>
    <row r="740" ht="14.25" customHeight="1">
      <c r="A740" s="408"/>
      <c r="B740" s="408"/>
      <c r="C740" s="408"/>
      <c r="D740" s="408"/>
      <c r="E740" s="408"/>
      <c r="F740" s="408"/>
      <c r="G740" s="408"/>
      <c r="H740" s="408"/>
      <c r="I740" s="408"/>
      <c r="J740" s="408"/>
      <c r="K740" s="408"/>
      <c r="L740" s="408"/>
      <c r="M740" s="408"/>
      <c r="N740" s="408"/>
      <c r="O740" s="408"/>
      <c r="P740" s="408"/>
      <c r="Q740" s="408"/>
      <c r="R740" s="408"/>
      <c r="S740" s="408"/>
      <c r="T740" s="408"/>
      <c r="U740" s="408"/>
      <c r="V740" s="408"/>
      <c r="W740" s="408"/>
      <c r="X740" s="408"/>
      <c r="Y740" s="408"/>
      <c r="Z740" s="408"/>
    </row>
    <row r="741" ht="14.25" customHeight="1">
      <c r="A741" s="408"/>
      <c r="B741" s="408"/>
      <c r="C741" s="408"/>
      <c r="D741" s="408"/>
      <c r="E741" s="408"/>
      <c r="F741" s="408"/>
      <c r="G741" s="408"/>
      <c r="H741" s="408"/>
      <c r="I741" s="408"/>
      <c r="J741" s="408"/>
      <c r="K741" s="408"/>
      <c r="L741" s="408"/>
      <c r="M741" s="408"/>
      <c r="N741" s="408"/>
      <c r="O741" s="408"/>
      <c r="P741" s="408"/>
      <c r="Q741" s="408"/>
      <c r="R741" s="408"/>
      <c r="S741" s="408"/>
      <c r="T741" s="408"/>
      <c r="U741" s="408"/>
      <c r="V741" s="408"/>
      <c r="W741" s="408"/>
      <c r="X741" s="408"/>
      <c r="Y741" s="408"/>
      <c r="Z741" s="408"/>
    </row>
    <row r="742" ht="14.25" customHeight="1">
      <c r="A742" s="408"/>
      <c r="B742" s="408"/>
      <c r="C742" s="408"/>
      <c r="D742" s="408"/>
      <c r="E742" s="408"/>
      <c r="F742" s="408"/>
      <c r="G742" s="408"/>
      <c r="H742" s="408"/>
      <c r="I742" s="408"/>
      <c r="J742" s="408"/>
      <c r="K742" s="408"/>
      <c r="L742" s="408"/>
      <c r="M742" s="408"/>
      <c r="N742" s="408"/>
      <c r="O742" s="408"/>
      <c r="P742" s="408"/>
      <c r="Q742" s="408"/>
      <c r="R742" s="408"/>
      <c r="S742" s="408"/>
      <c r="T742" s="408"/>
      <c r="U742" s="408"/>
      <c r="V742" s="408"/>
      <c r="W742" s="408"/>
      <c r="X742" s="408"/>
      <c r="Y742" s="408"/>
      <c r="Z742" s="408"/>
    </row>
    <row r="743" ht="14.25" customHeight="1">
      <c r="A743" s="408"/>
      <c r="B743" s="408"/>
      <c r="C743" s="408"/>
      <c r="D743" s="408"/>
      <c r="E743" s="408"/>
      <c r="F743" s="408"/>
      <c r="G743" s="408"/>
      <c r="H743" s="408"/>
      <c r="I743" s="408"/>
      <c r="J743" s="408"/>
      <c r="K743" s="408"/>
      <c r="L743" s="408"/>
      <c r="M743" s="408"/>
      <c r="N743" s="408"/>
      <c r="O743" s="408"/>
      <c r="P743" s="408"/>
      <c r="Q743" s="408"/>
      <c r="R743" s="408"/>
      <c r="S743" s="408"/>
      <c r="T743" s="408"/>
      <c r="U743" s="408"/>
      <c r="V743" s="408"/>
      <c r="W743" s="408"/>
      <c r="X743" s="408"/>
      <c r="Y743" s="408"/>
      <c r="Z743" s="408"/>
    </row>
    <row r="744" ht="14.25" customHeight="1">
      <c r="A744" s="408"/>
      <c r="B744" s="408"/>
      <c r="C744" s="408"/>
      <c r="D744" s="408"/>
      <c r="E744" s="408"/>
      <c r="F744" s="408"/>
      <c r="G744" s="408"/>
      <c r="H744" s="408"/>
      <c r="I744" s="408"/>
      <c r="J744" s="408"/>
      <c r="K744" s="408"/>
      <c r="L744" s="408"/>
      <c r="M744" s="408"/>
      <c r="N744" s="408"/>
      <c r="O744" s="408"/>
      <c r="P744" s="408"/>
      <c r="Q744" s="408"/>
      <c r="R744" s="408"/>
      <c r="S744" s="408"/>
      <c r="T744" s="408"/>
      <c r="U744" s="408"/>
      <c r="V744" s="408"/>
      <c r="W744" s="408"/>
      <c r="X744" s="408"/>
      <c r="Y744" s="408"/>
      <c r="Z744" s="408"/>
    </row>
    <row r="745" ht="14.25" customHeight="1">
      <c r="A745" s="408"/>
      <c r="B745" s="408"/>
      <c r="C745" s="408"/>
      <c r="D745" s="408"/>
      <c r="E745" s="408"/>
      <c r="F745" s="408"/>
      <c r="G745" s="408"/>
      <c r="H745" s="408"/>
      <c r="I745" s="408"/>
      <c r="J745" s="408"/>
      <c r="K745" s="408"/>
      <c r="L745" s="408"/>
      <c r="M745" s="408"/>
      <c r="N745" s="408"/>
      <c r="O745" s="408"/>
      <c r="P745" s="408"/>
      <c r="Q745" s="408"/>
      <c r="R745" s="408"/>
      <c r="S745" s="408"/>
      <c r="T745" s="408"/>
      <c r="U745" s="408"/>
      <c r="V745" s="408"/>
      <c r="W745" s="408"/>
      <c r="X745" s="408"/>
      <c r="Y745" s="408"/>
      <c r="Z745" s="408"/>
    </row>
    <row r="746" ht="14.25" customHeight="1">
      <c r="A746" s="408"/>
      <c r="B746" s="408"/>
      <c r="C746" s="408"/>
      <c r="D746" s="408"/>
      <c r="E746" s="408"/>
      <c r="F746" s="408"/>
      <c r="G746" s="408"/>
      <c r="H746" s="408"/>
      <c r="I746" s="408"/>
      <c r="J746" s="408"/>
      <c r="K746" s="408"/>
      <c r="L746" s="408"/>
      <c r="M746" s="408"/>
      <c r="N746" s="408"/>
      <c r="O746" s="408"/>
      <c r="P746" s="408"/>
      <c r="Q746" s="408"/>
      <c r="R746" s="408"/>
      <c r="S746" s="408"/>
      <c r="T746" s="408"/>
      <c r="U746" s="408"/>
      <c r="V746" s="408"/>
      <c r="W746" s="408"/>
      <c r="X746" s="408"/>
      <c r="Y746" s="408"/>
      <c r="Z746" s="408"/>
    </row>
    <row r="747" ht="14.25" customHeight="1">
      <c r="A747" s="408"/>
      <c r="B747" s="408"/>
      <c r="C747" s="408"/>
      <c r="D747" s="408"/>
      <c r="E747" s="408"/>
      <c r="F747" s="408"/>
      <c r="G747" s="408"/>
      <c r="H747" s="408"/>
      <c r="I747" s="408"/>
      <c r="J747" s="408"/>
      <c r="K747" s="408"/>
      <c r="L747" s="408"/>
      <c r="M747" s="408"/>
      <c r="N747" s="408"/>
      <c r="O747" s="408"/>
      <c r="P747" s="408"/>
      <c r="Q747" s="408"/>
      <c r="R747" s="408"/>
      <c r="S747" s="408"/>
      <c r="T747" s="408"/>
      <c r="U747" s="408"/>
      <c r="V747" s="408"/>
      <c r="W747" s="408"/>
      <c r="X747" s="408"/>
      <c r="Y747" s="408"/>
      <c r="Z747" s="408"/>
    </row>
    <row r="748" ht="14.25" customHeight="1">
      <c r="A748" s="408"/>
      <c r="B748" s="408"/>
      <c r="C748" s="408"/>
      <c r="D748" s="408"/>
      <c r="E748" s="408"/>
      <c r="F748" s="408"/>
      <c r="G748" s="408"/>
      <c r="H748" s="408"/>
      <c r="I748" s="408"/>
      <c r="J748" s="408"/>
      <c r="K748" s="408"/>
      <c r="L748" s="408"/>
      <c r="M748" s="408"/>
      <c r="N748" s="408"/>
      <c r="O748" s="408"/>
      <c r="P748" s="408"/>
      <c r="Q748" s="408"/>
      <c r="R748" s="408"/>
      <c r="S748" s="408"/>
      <c r="T748" s="408"/>
      <c r="U748" s="408"/>
      <c r="V748" s="408"/>
      <c r="W748" s="408"/>
      <c r="X748" s="408"/>
      <c r="Y748" s="408"/>
      <c r="Z748" s="408"/>
    </row>
    <row r="749" ht="14.25" customHeight="1">
      <c r="A749" s="408"/>
      <c r="B749" s="408"/>
      <c r="C749" s="408"/>
      <c r="D749" s="408"/>
      <c r="E749" s="408"/>
      <c r="F749" s="408"/>
      <c r="G749" s="408"/>
      <c r="H749" s="408"/>
      <c r="I749" s="408"/>
      <c r="J749" s="408"/>
      <c r="K749" s="408"/>
      <c r="L749" s="408"/>
      <c r="M749" s="408"/>
      <c r="N749" s="408"/>
      <c r="O749" s="408"/>
      <c r="P749" s="408"/>
      <c r="Q749" s="408"/>
      <c r="R749" s="408"/>
      <c r="S749" s="408"/>
      <c r="T749" s="408"/>
      <c r="U749" s="408"/>
      <c r="V749" s="408"/>
      <c r="W749" s="408"/>
      <c r="X749" s="408"/>
      <c r="Y749" s="408"/>
      <c r="Z749" s="408"/>
    </row>
    <row r="750" ht="14.25" customHeight="1">
      <c r="A750" s="408"/>
      <c r="B750" s="408"/>
      <c r="C750" s="408"/>
      <c r="D750" s="408"/>
      <c r="E750" s="408"/>
      <c r="F750" s="408"/>
      <c r="G750" s="408"/>
      <c r="H750" s="408"/>
      <c r="I750" s="408"/>
      <c r="J750" s="408"/>
      <c r="K750" s="408"/>
      <c r="L750" s="408"/>
      <c r="M750" s="408"/>
      <c r="N750" s="408"/>
      <c r="O750" s="408"/>
      <c r="P750" s="408"/>
      <c r="Q750" s="408"/>
      <c r="R750" s="408"/>
      <c r="S750" s="408"/>
      <c r="T750" s="408"/>
      <c r="U750" s="408"/>
      <c r="V750" s="408"/>
      <c r="W750" s="408"/>
      <c r="X750" s="408"/>
      <c r="Y750" s="408"/>
      <c r="Z750" s="408"/>
    </row>
    <row r="751" ht="14.25" customHeight="1">
      <c r="A751" s="408"/>
      <c r="B751" s="408"/>
      <c r="C751" s="408"/>
      <c r="D751" s="408"/>
      <c r="E751" s="408"/>
      <c r="F751" s="408"/>
      <c r="G751" s="408"/>
      <c r="H751" s="408"/>
      <c r="I751" s="408"/>
      <c r="J751" s="408"/>
      <c r="K751" s="408"/>
      <c r="L751" s="408"/>
      <c r="M751" s="408"/>
      <c r="N751" s="408"/>
      <c r="O751" s="408"/>
      <c r="P751" s="408"/>
      <c r="Q751" s="408"/>
      <c r="R751" s="408"/>
      <c r="S751" s="408"/>
      <c r="T751" s="408"/>
      <c r="U751" s="408"/>
      <c r="V751" s="408"/>
      <c r="W751" s="408"/>
      <c r="X751" s="408"/>
      <c r="Y751" s="408"/>
      <c r="Z751" s="408"/>
    </row>
    <row r="752" ht="14.25" customHeight="1">
      <c r="A752" s="408"/>
      <c r="B752" s="408"/>
      <c r="C752" s="408"/>
      <c r="D752" s="408"/>
      <c r="E752" s="408"/>
      <c r="F752" s="408"/>
      <c r="G752" s="408"/>
      <c r="H752" s="408"/>
      <c r="I752" s="408"/>
      <c r="J752" s="408"/>
      <c r="K752" s="408"/>
      <c r="L752" s="408"/>
      <c r="M752" s="408"/>
      <c r="N752" s="408"/>
      <c r="O752" s="408"/>
      <c r="P752" s="408"/>
      <c r="Q752" s="408"/>
      <c r="R752" s="408"/>
      <c r="S752" s="408"/>
      <c r="T752" s="408"/>
      <c r="U752" s="408"/>
      <c r="V752" s="408"/>
      <c r="W752" s="408"/>
      <c r="X752" s="408"/>
      <c r="Y752" s="408"/>
      <c r="Z752" s="408"/>
    </row>
    <row r="753" ht="14.25" customHeight="1">
      <c r="A753" s="408"/>
      <c r="B753" s="408"/>
      <c r="C753" s="408"/>
      <c r="D753" s="408"/>
      <c r="E753" s="408"/>
      <c r="F753" s="408"/>
      <c r="G753" s="408"/>
      <c r="H753" s="408"/>
      <c r="I753" s="408"/>
      <c r="J753" s="408"/>
      <c r="K753" s="408"/>
      <c r="L753" s="408"/>
      <c r="M753" s="408"/>
      <c r="N753" s="408"/>
      <c r="O753" s="408"/>
      <c r="P753" s="408"/>
      <c r="Q753" s="408"/>
      <c r="R753" s="408"/>
      <c r="S753" s="408"/>
      <c r="T753" s="408"/>
      <c r="U753" s="408"/>
      <c r="V753" s="408"/>
      <c r="W753" s="408"/>
      <c r="X753" s="408"/>
      <c r="Y753" s="408"/>
      <c r="Z753" s="408"/>
    </row>
    <row r="754" ht="14.25" customHeight="1">
      <c r="A754" s="408"/>
      <c r="B754" s="408"/>
      <c r="C754" s="408"/>
      <c r="D754" s="408"/>
      <c r="E754" s="408"/>
      <c r="F754" s="408"/>
      <c r="G754" s="408"/>
      <c r="H754" s="408"/>
      <c r="I754" s="408"/>
      <c r="J754" s="408"/>
      <c r="K754" s="408"/>
      <c r="L754" s="408"/>
      <c r="M754" s="408"/>
      <c r="N754" s="408"/>
      <c r="O754" s="408"/>
      <c r="P754" s="408"/>
      <c r="Q754" s="408"/>
      <c r="R754" s="408"/>
      <c r="S754" s="408"/>
      <c r="T754" s="408"/>
      <c r="U754" s="408"/>
      <c r="V754" s="408"/>
      <c r="W754" s="408"/>
      <c r="X754" s="408"/>
      <c r="Y754" s="408"/>
      <c r="Z754" s="408"/>
    </row>
    <row r="755" ht="14.25" customHeight="1">
      <c r="A755" s="408"/>
      <c r="B755" s="408"/>
      <c r="C755" s="408"/>
      <c r="D755" s="408"/>
      <c r="E755" s="408"/>
      <c r="F755" s="408"/>
      <c r="G755" s="408"/>
      <c r="H755" s="408"/>
      <c r="I755" s="408"/>
      <c r="J755" s="408"/>
      <c r="K755" s="408"/>
      <c r="L755" s="408"/>
      <c r="M755" s="408"/>
      <c r="N755" s="408"/>
      <c r="O755" s="408"/>
      <c r="P755" s="408"/>
      <c r="Q755" s="408"/>
      <c r="R755" s="408"/>
      <c r="S755" s="408"/>
      <c r="T755" s="408"/>
      <c r="U755" s="408"/>
      <c r="V755" s="408"/>
      <c r="W755" s="408"/>
      <c r="X755" s="408"/>
      <c r="Y755" s="408"/>
      <c r="Z755" s="408"/>
    </row>
    <row r="756" ht="14.25" customHeight="1">
      <c r="A756" s="408"/>
      <c r="B756" s="408"/>
      <c r="C756" s="408"/>
      <c r="D756" s="408"/>
      <c r="E756" s="408"/>
      <c r="F756" s="408"/>
      <c r="G756" s="408"/>
      <c r="H756" s="408"/>
      <c r="I756" s="408"/>
      <c r="J756" s="408"/>
      <c r="K756" s="408"/>
      <c r="L756" s="408"/>
      <c r="M756" s="408"/>
      <c r="N756" s="408"/>
      <c r="O756" s="408"/>
      <c r="P756" s="408"/>
      <c r="Q756" s="408"/>
      <c r="R756" s="408"/>
      <c r="S756" s="408"/>
      <c r="T756" s="408"/>
      <c r="U756" s="408"/>
      <c r="V756" s="408"/>
      <c r="W756" s="408"/>
      <c r="X756" s="408"/>
      <c r="Y756" s="408"/>
      <c r="Z756" s="408"/>
    </row>
    <row r="757" ht="14.25" customHeight="1">
      <c r="A757" s="408"/>
      <c r="B757" s="408"/>
      <c r="C757" s="408"/>
      <c r="D757" s="408"/>
      <c r="E757" s="408"/>
      <c r="F757" s="408"/>
      <c r="G757" s="408"/>
      <c r="H757" s="408"/>
      <c r="I757" s="408"/>
      <c r="J757" s="408"/>
      <c r="K757" s="408"/>
      <c r="L757" s="408"/>
      <c r="M757" s="408"/>
      <c r="N757" s="408"/>
      <c r="O757" s="408"/>
      <c r="P757" s="408"/>
      <c r="Q757" s="408"/>
      <c r="R757" s="408"/>
      <c r="S757" s="408"/>
      <c r="T757" s="408"/>
      <c r="U757" s="408"/>
      <c r="V757" s="408"/>
      <c r="W757" s="408"/>
      <c r="X757" s="408"/>
      <c r="Y757" s="408"/>
      <c r="Z757" s="408"/>
    </row>
    <row r="758" ht="14.25" customHeight="1">
      <c r="A758" s="408"/>
      <c r="B758" s="408"/>
      <c r="C758" s="408"/>
      <c r="D758" s="408"/>
      <c r="E758" s="408"/>
      <c r="F758" s="408"/>
      <c r="G758" s="408"/>
      <c r="H758" s="408"/>
      <c r="I758" s="408"/>
      <c r="J758" s="408"/>
      <c r="K758" s="408"/>
      <c r="L758" s="408"/>
      <c r="M758" s="408"/>
      <c r="N758" s="408"/>
      <c r="O758" s="408"/>
      <c r="P758" s="408"/>
      <c r="Q758" s="408"/>
      <c r="R758" s="408"/>
      <c r="S758" s="408"/>
      <c r="T758" s="408"/>
      <c r="U758" s="408"/>
      <c r="V758" s="408"/>
      <c r="W758" s="408"/>
      <c r="X758" s="408"/>
      <c r="Y758" s="408"/>
      <c r="Z758" s="408"/>
    </row>
    <row r="759" ht="14.25" customHeight="1">
      <c r="A759" s="408"/>
      <c r="B759" s="408"/>
      <c r="C759" s="408"/>
      <c r="D759" s="408"/>
      <c r="E759" s="408"/>
      <c r="F759" s="408"/>
      <c r="G759" s="408"/>
      <c r="H759" s="408"/>
      <c r="I759" s="408"/>
      <c r="J759" s="408"/>
      <c r="K759" s="408"/>
      <c r="L759" s="408"/>
      <c r="M759" s="408"/>
      <c r="N759" s="408"/>
      <c r="O759" s="408"/>
      <c r="P759" s="408"/>
      <c r="Q759" s="408"/>
      <c r="R759" s="408"/>
      <c r="S759" s="408"/>
      <c r="T759" s="408"/>
      <c r="U759" s="408"/>
      <c r="V759" s="408"/>
      <c r="W759" s="408"/>
      <c r="X759" s="408"/>
      <c r="Y759" s="408"/>
      <c r="Z759" s="408"/>
    </row>
    <row r="760" ht="14.25" customHeight="1">
      <c r="A760" s="408"/>
      <c r="B760" s="408"/>
      <c r="C760" s="408"/>
      <c r="D760" s="408"/>
      <c r="E760" s="408"/>
      <c r="F760" s="408"/>
      <c r="G760" s="408"/>
      <c r="H760" s="408"/>
      <c r="I760" s="408"/>
      <c r="J760" s="408"/>
      <c r="K760" s="408"/>
      <c r="L760" s="408"/>
      <c r="M760" s="408"/>
      <c r="N760" s="408"/>
      <c r="O760" s="408"/>
      <c r="P760" s="408"/>
      <c r="Q760" s="408"/>
      <c r="R760" s="408"/>
      <c r="S760" s="408"/>
      <c r="T760" s="408"/>
      <c r="U760" s="408"/>
      <c r="V760" s="408"/>
      <c r="W760" s="408"/>
      <c r="X760" s="408"/>
      <c r="Y760" s="408"/>
      <c r="Z760" s="408"/>
    </row>
    <row r="761" ht="14.25" customHeight="1">
      <c r="A761" s="408"/>
      <c r="B761" s="408"/>
      <c r="C761" s="408"/>
      <c r="D761" s="408"/>
      <c r="E761" s="408"/>
      <c r="F761" s="408"/>
      <c r="G761" s="408"/>
      <c r="H761" s="408"/>
      <c r="I761" s="408"/>
      <c r="J761" s="408"/>
      <c r="K761" s="408"/>
      <c r="L761" s="408"/>
      <c r="M761" s="408"/>
      <c r="N761" s="408"/>
      <c r="O761" s="408"/>
      <c r="P761" s="408"/>
      <c r="Q761" s="408"/>
      <c r="R761" s="408"/>
      <c r="S761" s="408"/>
      <c r="T761" s="408"/>
      <c r="U761" s="408"/>
      <c r="V761" s="408"/>
      <c r="W761" s="408"/>
      <c r="X761" s="408"/>
      <c r="Y761" s="408"/>
      <c r="Z761" s="408"/>
    </row>
    <row r="762" ht="14.25" customHeight="1">
      <c r="A762" s="408"/>
      <c r="B762" s="408"/>
      <c r="C762" s="408"/>
      <c r="D762" s="408"/>
      <c r="E762" s="408"/>
      <c r="F762" s="408"/>
      <c r="G762" s="408"/>
      <c r="H762" s="408"/>
      <c r="I762" s="408"/>
      <c r="J762" s="408"/>
      <c r="K762" s="408"/>
      <c r="L762" s="408"/>
      <c r="M762" s="408"/>
      <c r="N762" s="408"/>
      <c r="O762" s="408"/>
      <c r="P762" s="408"/>
      <c r="Q762" s="408"/>
      <c r="R762" s="408"/>
      <c r="S762" s="408"/>
      <c r="T762" s="408"/>
      <c r="U762" s="408"/>
      <c r="V762" s="408"/>
      <c r="W762" s="408"/>
      <c r="X762" s="408"/>
      <c r="Y762" s="408"/>
      <c r="Z762" s="408"/>
    </row>
    <row r="763" ht="14.25" customHeight="1">
      <c r="A763" s="408"/>
      <c r="B763" s="408"/>
      <c r="C763" s="408"/>
      <c r="D763" s="408"/>
      <c r="E763" s="408"/>
      <c r="F763" s="408"/>
      <c r="G763" s="408"/>
      <c r="H763" s="408"/>
      <c r="I763" s="408"/>
      <c r="J763" s="408"/>
      <c r="K763" s="408"/>
      <c r="L763" s="408"/>
      <c r="M763" s="408"/>
      <c r="N763" s="408"/>
      <c r="O763" s="408"/>
      <c r="P763" s="408"/>
      <c r="Q763" s="408"/>
      <c r="R763" s="408"/>
      <c r="S763" s="408"/>
      <c r="T763" s="408"/>
      <c r="U763" s="408"/>
      <c r="V763" s="408"/>
      <c r="W763" s="408"/>
      <c r="X763" s="408"/>
      <c r="Y763" s="408"/>
      <c r="Z763" s="408"/>
    </row>
    <row r="764" ht="14.25" customHeight="1">
      <c r="A764" s="408"/>
      <c r="B764" s="408"/>
      <c r="C764" s="408"/>
      <c r="D764" s="408"/>
      <c r="E764" s="408"/>
      <c r="F764" s="408"/>
      <c r="G764" s="408"/>
      <c r="H764" s="408"/>
      <c r="I764" s="408"/>
      <c r="J764" s="408"/>
      <c r="K764" s="408"/>
      <c r="L764" s="408"/>
      <c r="M764" s="408"/>
      <c r="N764" s="408"/>
      <c r="O764" s="408"/>
      <c r="P764" s="408"/>
      <c r="Q764" s="408"/>
      <c r="R764" s="408"/>
      <c r="S764" s="408"/>
      <c r="T764" s="408"/>
      <c r="U764" s="408"/>
      <c r="V764" s="408"/>
      <c r="W764" s="408"/>
      <c r="X764" s="408"/>
      <c r="Y764" s="408"/>
      <c r="Z764" s="408"/>
    </row>
    <row r="765" ht="14.25" customHeight="1">
      <c r="A765" s="408"/>
      <c r="B765" s="408"/>
      <c r="C765" s="408"/>
      <c r="D765" s="408"/>
      <c r="E765" s="408"/>
      <c r="F765" s="408"/>
      <c r="G765" s="408"/>
      <c r="H765" s="408"/>
      <c r="I765" s="408"/>
      <c r="J765" s="408"/>
      <c r="K765" s="408"/>
      <c r="L765" s="408"/>
      <c r="M765" s="408"/>
      <c r="N765" s="408"/>
      <c r="O765" s="408"/>
      <c r="P765" s="408"/>
      <c r="Q765" s="408"/>
      <c r="R765" s="408"/>
      <c r="S765" s="408"/>
      <c r="T765" s="408"/>
      <c r="U765" s="408"/>
      <c r="V765" s="408"/>
      <c r="W765" s="408"/>
      <c r="X765" s="408"/>
      <c r="Y765" s="408"/>
      <c r="Z765" s="408"/>
    </row>
    <row r="766" ht="14.25" customHeight="1">
      <c r="A766" s="408"/>
      <c r="B766" s="408"/>
      <c r="C766" s="408"/>
      <c r="D766" s="408"/>
      <c r="E766" s="408"/>
      <c r="F766" s="408"/>
      <c r="G766" s="408"/>
      <c r="H766" s="408"/>
      <c r="I766" s="408"/>
      <c r="J766" s="408"/>
      <c r="K766" s="408"/>
      <c r="L766" s="408"/>
      <c r="M766" s="408"/>
      <c r="N766" s="408"/>
      <c r="O766" s="408"/>
      <c r="P766" s="408"/>
      <c r="Q766" s="408"/>
      <c r="R766" s="408"/>
      <c r="S766" s="408"/>
      <c r="T766" s="408"/>
      <c r="U766" s="408"/>
      <c r="V766" s="408"/>
      <c r="W766" s="408"/>
      <c r="X766" s="408"/>
      <c r="Y766" s="408"/>
      <c r="Z766" s="408"/>
    </row>
    <row r="767" ht="14.25" customHeight="1">
      <c r="A767" s="408"/>
      <c r="B767" s="408"/>
      <c r="C767" s="408"/>
      <c r="D767" s="408"/>
      <c r="E767" s="408"/>
      <c r="F767" s="408"/>
      <c r="G767" s="408"/>
      <c r="H767" s="408"/>
      <c r="I767" s="408"/>
      <c r="J767" s="408"/>
      <c r="K767" s="408"/>
      <c r="L767" s="408"/>
      <c r="M767" s="408"/>
      <c r="N767" s="408"/>
      <c r="O767" s="408"/>
      <c r="P767" s="408"/>
      <c r="Q767" s="408"/>
      <c r="R767" s="408"/>
      <c r="S767" s="408"/>
      <c r="T767" s="408"/>
      <c r="U767" s="408"/>
      <c r="V767" s="408"/>
      <c r="W767" s="408"/>
      <c r="X767" s="408"/>
      <c r="Y767" s="408"/>
      <c r="Z767" s="408"/>
    </row>
    <row r="768" ht="14.25" customHeight="1">
      <c r="A768" s="408"/>
      <c r="B768" s="408"/>
      <c r="C768" s="408"/>
      <c r="D768" s="408"/>
      <c r="E768" s="408"/>
      <c r="F768" s="408"/>
      <c r="G768" s="408"/>
      <c r="H768" s="408"/>
      <c r="I768" s="408"/>
      <c r="J768" s="408"/>
      <c r="K768" s="408"/>
      <c r="L768" s="408"/>
      <c r="M768" s="408"/>
      <c r="N768" s="408"/>
      <c r="O768" s="408"/>
      <c r="P768" s="408"/>
      <c r="Q768" s="408"/>
      <c r="R768" s="408"/>
      <c r="S768" s="408"/>
      <c r="T768" s="408"/>
      <c r="U768" s="408"/>
      <c r="V768" s="408"/>
      <c r="W768" s="408"/>
      <c r="X768" s="408"/>
      <c r="Y768" s="408"/>
      <c r="Z768" s="408"/>
    </row>
    <row r="769" ht="14.25" customHeight="1">
      <c r="A769" s="408"/>
      <c r="B769" s="408"/>
      <c r="C769" s="408"/>
      <c r="D769" s="408"/>
      <c r="E769" s="408"/>
      <c r="F769" s="408"/>
      <c r="G769" s="408"/>
      <c r="H769" s="408"/>
      <c r="I769" s="408"/>
      <c r="J769" s="408"/>
      <c r="K769" s="408"/>
      <c r="L769" s="408"/>
      <c r="M769" s="408"/>
      <c r="N769" s="408"/>
      <c r="O769" s="408"/>
      <c r="P769" s="408"/>
      <c r="Q769" s="408"/>
      <c r="R769" s="408"/>
      <c r="S769" s="408"/>
      <c r="T769" s="408"/>
      <c r="U769" s="408"/>
      <c r="V769" s="408"/>
      <c r="W769" s="408"/>
      <c r="X769" s="408"/>
      <c r="Y769" s="408"/>
      <c r="Z769" s="408"/>
    </row>
    <row r="770" ht="14.25" customHeight="1">
      <c r="A770" s="408"/>
      <c r="B770" s="408"/>
      <c r="C770" s="408"/>
      <c r="D770" s="408"/>
      <c r="E770" s="408"/>
      <c r="F770" s="408"/>
      <c r="G770" s="408"/>
      <c r="H770" s="408"/>
      <c r="I770" s="408"/>
      <c r="J770" s="408"/>
      <c r="K770" s="408"/>
      <c r="L770" s="408"/>
      <c r="M770" s="408"/>
      <c r="N770" s="408"/>
      <c r="O770" s="408"/>
      <c r="P770" s="408"/>
      <c r="Q770" s="408"/>
      <c r="R770" s="408"/>
      <c r="S770" s="408"/>
      <c r="T770" s="408"/>
      <c r="U770" s="408"/>
      <c r="V770" s="408"/>
      <c r="W770" s="408"/>
      <c r="X770" s="408"/>
      <c r="Y770" s="408"/>
      <c r="Z770" s="408"/>
    </row>
    <row r="771" ht="14.25" customHeight="1">
      <c r="A771" s="408"/>
      <c r="B771" s="408"/>
      <c r="C771" s="408"/>
      <c r="D771" s="408"/>
      <c r="E771" s="408"/>
      <c r="F771" s="408"/>
      <c r="G771" s="408"/>
      <c r="H771" s="408"/>
      <c r="I771" s="408"/>
      <c r="J771" s="408"/>
      <c r="K771" s="408"/>
      <c r="L771" s="408"/>
      <c r="M771" s="408"/>
      <c r="N771" s="408"/>
      <c r="O771" s="408"/>
      <c r="P771" s="408"/>
      <c r="Q771" s="408"/>
      <c r="R771" s="408"/>
      <c r="S771" s="408"/>
      <c r="T771" s="408"/>
      <c r="U771" s="408"/>
      <c r="V771" s="408"/>
      <c r="W771" s="408"/>
      <c r="X771" s="408"/>
      <c r="Y771" s="408"/>
      <c r="Z771" s="408"/>
    </row>
    <row r="772" ht="14.25" customHeight="1">
      <c r="A772" s="408"/>
      <c r="B772" s="408"/>
      <c r="C772" s="408"/>
      <c r="D772" s="408"/>
      <c r="E772" s="408"/>
      <c r="F772" s="408"/>
      <c r="G772" s="408"/>
      <c r="H772" s="408"/>
      <c r="I772" s="408"/>
      <c r="J772" s="408"/>
      <c r="K772" s="408"/>
      <c r="L772" s="408"/>
      <c r="M772" s="408"/>
      <c r="N772" s="408"/>
      <c r="O772" s="408"/>
      <c r="P772" s="408"/>
      <c r="Q772" s="408"/>
      <c r="R772" s="408"/>
      <c r="S772" s="408"/>
      <c r="T772" s="408"/>
      <c r="U772" s="408"/>
      <c r="V772" s="408"/>
      <c r="W772" s="408"/>
      <c r="X772" s="408"/>
      <c r="Y772" s="408"/>
      <c r="Z772" s="408"/>
    </row>
    <row r="773" ht="14.25" customHeight="1">
      <c r="A773" s="408"/>
      <c r="B773" s="408"/>
      <c r="C773" s="408"/>
      <c r="D773" s="408"/>
      <c r="E773" s="408"/>
      <c r="F773" s="408"/>
      <c r="G773" s="408"/>
      <c r="H773" s="408"/>
      <c r="I773" s="408"/>
      <c r="J773" s="408"/>
      <c r="K773" s="408"/>
      <c r="L773" s="408"/>
      <c r="M773" s="408"/>
      <c r="N773" s="408"/>
      <c r="O773" s="408"/>
      <c r="P773" s="408"/>
      <c r="Q773" s="408"/>
      <c r="R773" s="408"/>
      <c r="S773" s="408"/>
      <c r="T773" s="408"/>
      <c r="U773" s="408"/>
      <c r="V773" s="408"/>
      <c r="W773" s="408"/>
      <c r="X773" s="408"/>
      <c r="Y773" s="408"/>
      <c r="Z773" s="408"/>
    </row>
    <row r="774" ht="14.25" customHeight="1">
      <c r="A774" s="408"/>
      <c r="B774" s="408"/>
      <c r="C774" s="408"/>
      <c r="D774" s="408"/>
      <c r="E774" s="408"/>
      <c r="F774" s="408"/>
      <c r="G774" s="408"/>
      <c r="H774" s="408"/>
      <c r="I774" s="408"/>
      <c r="J774" s="408"/>
      <c r="K774" s="408"/>
      <c r="L774" s="408"/>
      <c r="M774" s="408"/>
      <c r="N774" s="408"/>
      <c r="O774" s="408"/>
      <c r="P774" s="408"/>
      <c r="Q774" s="408"/>
      <c r="R774" s="408"/>
      <c r="S774" s="408"/>
      <c r="T774" s="408"/>
      <c r="U774" s="408"/>
      <c r="V774" s="408"/>
      <c r="W774" s="408"/>
      <c r="X774" s="408"/>
      <c r="Y774" s="408"/>
      <c r="Z774" s="408"/>
    </row>
    <row r="775" ht="14.25" customHeight="1">
      <c r="A775" s="408"/>
      <c r="B775" s="408"/>
      <c r="C775" s="408"/>
      <c r="D775" s="408"/>
      <c r="E775" s="408"/>
      <c r="F775" s="408"/>
      <c r="G775" s="408"/>
      <c r="H775" s="408"/>
      <c r="I775" s="408"/>
      <c r="J775" s="408"/>
      <c r="K775" s="408"/>
      <c r="L775" s="408"/>
      <c r="M775" s="408"/>
      <c r="N775" s="408"/>
      <c r="O775" s="408"/>
      <c r="P775" s="408"/>
      <c r="Q775" s="408"/>
      <c r="R775" s="408"/>
      <c r="S775" s="408"/>
      <c r="T775" s="408"/>
      <c r="U775" s="408"/>
      <c r="V775" s="408"/>
      <c r="W775" s="408"/>
      <c r="X775" s="408"/>
      <c r="Y775" s="408"/>
      <c r="Z775" s="408"/>
    </row>
    <row r="776" ht="14.25" customHeight="1">
      <c r="A776" s="408"/>
      <c r="B776" s="408"/>
      <c r="C776" s="408"/>
      <c r="D776" s="408"/>
      <c r="E776" s="408"/>
      <c r="F776" s="408"/>
      <c r="G776" s="408"/>
      <c r="H776" s="408"/>
      <c r="I776" s="408"/>
      <c r="J776" s="408"/>
      <c r="K776" s="408"/>
      <c r="L776" s="408"/>
      <c r="M776" s="408"/>
      <c r="N776" s="408"/>
      <c r="O776" s="408"/>
      <c r="P776" s="408"/>
      <c r="Q776" s="408"/>
      <c r="R776" s="408"/>
      <c r="S776" s="408"/>
      <c r="T776" s="408"/>
      <c r="U776" s="408"/>
      <c r="V776" s="408"/>
      <c r="W776" s="408"/>
      <c r="X776" s="408"/>
      <c r="Y776" s="408"/>
      <c r="Z776" s="408"/>
    </row>
    <row r="777" ht="14.25" customHeight="1">
      <c r="A777" s="408"/>
      <c r="B777" s="408"/>
      <c r="C777" s="408"/>
      <c r="D777" s="408"/>
      <c r="E777" s="408"/>
      <c r="F777" s="408"/>
      <c r="G777" s="408"/>
      <c r="H777" s="408"/>
      <c r="I777" s="408"/>
      <c r="J777" s="408"/>
      <c r="K777" s="408"/>
      <c r="L777" s="408"/>
      <c r="M777" s="408"/>
      <c r="N777" s="408"/>
      <c r="O777" s="408"/>
      <c r="P777" s="408"/>
      <c r="Q777" s="408"/>
      <c r="R777" s="408"/>
      <c r="S777" s="408"/>
      <c r="T777" s="408"/>
      <c r="U777" s="408"/>
      <c r="V777" s="408"/>
      <c r="W777" s="408"/>
      <c r="X777" s="408"/>
      <c r="Y777" s="408"/>
      <c r="Z777" s="408"/>
    </row>
    <row r="778" ht="14.25" customHeight="1">
      <c r="A778" s="408"/>
      <c r="B778" s="408"/>
      <c r="C778" s="408"/>
      <c r="D778" s="408"/>
      <c r="E778" s="408"/>
      <c r="F778" s="408"/>
      <c r="G778" s="408"/>
      <c r="H778" s="408"/>
      <c r="I778" s="408"/>
      <c r="J778" s="408"/>
      <c r="K778" s="408"/>
      <c r="L778" s="408"/>
      <c r="M778" s="408"/>
      <c r="N778" s="408"/>
      <c r="O778" s="408"/>
      <c r="P778" s="408"/>
      <c r="Q778" s="408"/>
      <c r="R778" s="408"/>
      <c r="S778" s="408"/>
      <c r="T778" s="408"/>
      <c r="U778" s="408"/>
      <c r="V778" s="408"/>
      <c r="W778" s="408"/>
      <c r="X778" s="408"/>
      <c r="Y778" s="408"/>
      <c r="Z778" s="408"/>
    </row>
    <row r="779" ht="14.25" customHeight="1">
      <c r="A779" s="408"/>
      <c r="B779" s="408"/>
      <c r="C779" s="408"/>
      <c r="D779" s="408"/>
      <c r="E779" s="408"/>
      <c r="F779" s="408"/>
      <c r="G779" s="408"/>
      <c r="H779" s="408"/>
      <c r="I779" s="408"/>
      <c r="J779" s="408"/>
      <c r="K779" s="408"/>
      <c r="L779" s="408"/>
      <c r="M779" s="408"/>
      <c r="N779" s="408"/>
      <c r="O779" s="408"/>
      <c r="P779" s="408"/>
      <c r="Q779" s="408"/>
      <c r="R779" s="408"/>
      <c r="S779" s="408"/>
      <c r="T779" s="408"/>
      <c r="U779" s="408"/>
      <c r="V779" s="408"/>
      <c r="W779" s="408"/>
      <c r="X779" s="408"/>
      <c r="Y779" s="408"/>
      <c r="Z779" s="408"/>
    </row>
    <row r="780" ht="14.25" customHeight="1">
      <c r="A780" s="408"/>
      <c r="B780" s="408"/>
      <c r="C780" s="408"/>
      <c r="D780" s="408"/>
      <c r="E780" s="408"/>
      <c r="F780" s="408"/>
      <c r="G780" s="408"/>
      <c r="H780" s="408"/>
      <c r="I780" s="408"/>
      <c r="J780" s="408"/>
      <c r="K780" s="408"/>
      <c r="L780" s="408"/>
      <c r="M780" s="408"/>
      <c r="N780" s="408"/>
      <c r="O780" s="408"/>
      <c r="P780" s="408"/>
      <c r="Q780" s="408"/>
      <c r="R780" s="408"/>
      <c r="S780" s="408"/>
      <c r="T780" s="408"/>
      <c r="U780" s="408"/>
      <c r="V780" s="408"/>
      <c r="W780" s="408"/>
      <c r="X780" s="408"/>
      <c r="Y780" s="408"/>
      <c r="Z780" s="408"/>
    </row>
    <row r="781" ht="14.25" customHeight="1">
      <c r="A781" s="408"/>
      <c r="B781" s="408"/>
      <c r="C781" s="408"/>
      <c r="D781" s="408"/>
      <c r="E781" s="408"/>
      <c r="F781" s="408"/>
      <c r="G781" s="408"/>
      <c r="H781" s="408"/>
      <c r="I781" s="408"/>
      <c r="J781" s="408"/>
      <c r="K781" s="408"/>
      <c r="L781" s="408"/>
      <c r="M781" s="408"/>
      <c r="N781" s="408"/>
      <c r="O781" s="408"/>
      <c r="P781" s="408"/>
      <c r="Q781" s="408"/>
      <c r="R781" s="408"/>
      <c r="S781" s="408"/>
      <c r="T781" s="408"/>
      <c r="U781" s="408"/>
      <c r="V781" s="408"/>
      <c r="W781" s="408"/>
      <c r="X781" s="408"/>
      <c r="Y781" s="408"/>
      <c r="Z781" s="408"/>
    </row>
    <row r="782" ht="14.25" customHeight="1">
      <c r="A782" s="408"/>
      <c r="B782" s="408"/>
      <c r="C782" s="408"/>
      <c r="D782" s="408"/>
      <c r="E782" s="408"/>
      <c r="F782" s="408"/>
      <c r="G782" s="408"/>
      <c r="H782" s="408"/>
      <c r="I782" s="408"/>
      <c r="J782" s="408"/>
      <c r="K782" s="408"/>
      <c r="L782" s="408"/>
      <c r="M782" s="408"/>
      <c r="N782" s="408"/>
      <c r="O782" s="408"/>
      <c r="P782" s="408"/>
      <c r="Q782" s="408"/>
      <c r="R782" s="408"/>
      <c r="S782" s="408"/>
      <c r="T782" s="408"/>
      <c r="U782" s="408"/>
      <c r="V782" s="408"/>
      <c r="W782" s="408"/>
      <c r="X782" s="408"/>
      <c r="Y782" s="408"/>
      <c r="Z782" s="408"/>
    </row>
    <row r="783" ht="14.25" customHeight="1">
      <c r="A783" s="408"/>
      <c r="B783" s="408"/>
      <c r="C783" s="408"/>
      <c r="D783" s="408"/>
      <c r="E783" s="408"/>
      <c r="F783" s="408"/>
      <c r="G783" s="408"/>
      <c r="H783" s="408"/>
      <c r="I783" s="408"/>
      <c r="J783" s="408"/>
      <c r="K783" s="408"/>
      <c r="L783" s="408"/>
      <c r="M783" s="408"/>
      <c r="N783" s="408"/>
      <c r="O783" s="408"/>
      <c r="P783" s="408"/>
      <c r="Q783" s="408"/>
      <c r="R783" s="408"/>
      <c r="S783" s="408"/>
      <c r="T783" s="408"/>
      <c r="U783" s="408"/>
      <c r="V783" s="408"/>
      <c r="W783" s="408"/>
      <c r="X783" s="408"/>
      <c r="Y783" s="408"/>
      <c r="Z783" s="408"/>
    </row>
    <row r="784" ht="14.25" customHeight="1">
      <c r="A784" s="408"/>
      <c r="B784" s="408"/>
      <c r="C784" s="408"/>
      <c r="D784" s="408"/>
      <c r="E784" s="408"/>
      <c r="F784" s="408"/>
      <c r="G784" s="408"/>
      <c r="H784" s="408"/>
      <c r="I784" s="408"/>
      <c r="J784" s="408"/>
      <c r="K784" s="408"/>
      <c r="L784" s="408"/>
      <c r="M784" s="408"/>
      <c r="N784" s="408"/>
      <c r="O784" s="408"/>
      <c r="P784" s="408"/>
      <c r="Q784" s="408"/>
      <c r="R784" s="408"/>
      <c r="S784" s="408"/>
      <c r="T784" s="408"/>
      <c r="U784" s="408"/>
      <c r="V784" s="408"/>
      <c r="W784" s="408"/>
      <c r="X784" s="408"/>
      <c r="Y784" s="408"/>
      <c r="Z784" s="408"/>
    </row>
    <row r="785" ht="14.25" customHeight="1">
      <c r="A785" s="408"/>
      <c r="B785" s="408"/>
      <c r="C785" s="408"/>
      <c r="D785" s="408"/>
      <c r="E785" s="408"/>
      <c r="F785" s="408"/>
      <c r="G785" s="408"/>
      <c r="H785" s="408"/>
      <c r="I785" s="408"/>
      <c r="J785" s="408"/>
      <c r="K785" s="408"/>
      <c r="L785" s="408"/>
      <c r="M785" s="408"/>
      <c r="N785" s="408"/>
      <c r="O785" s="408"/>
      <c r="P785" s="408"/>
      <c r="Q785" s="408"/>
      <c r="R785" s="408"/>
      <c r="S785" s="408"/>
      <c r="T785" s="408"/>
      <c r="U785" s="408"/>
      <c r="V785" s="408"/>
      <c r="W785" s="408"/>
      <c r="X785" s="408"/>
      <c r="Y785" s="408"/>
      <c r="Z785" s="408"/>
    </row>
    <row r="786" ht="14.25" customHeight="1">
      <c r="A786" s="408"/>
      <c r="B786" s="408"/>
      <c r="C786" s="408"/>
      <c r="D786" s="408"/>
      <c r="E786" s="408"/>
      <c r="F786" s="408"/>
      <c r="G786" s="408"/>
      <c r="H786" s="408"/>
      <c r="I786" s="408"/>
      <c r="J786" s="408"/>
      <c r="K786" s="408"/>
      <c r="L786" s="408"/>
      <c r="M786" s="408"/>
      <c r="N786" s="408"/>
      <c r="O786" s="408"/>
      <c r="P786" s="408"/>
      <c r="Q786" s="408"/>
      <c r="R786" s="408"/>
      <c r="S786" s="408"/>
      <c r="T786" s="408"/>
      <c r="U786" s="408"/>
      <c r="V786" s="408"/>
      <c r="W786" s="408"/>
      <c r="X786" s="408"/>
      <c r="Y786" s="408"/>
      <c r="Z786" s="408"/>
    </row>
    <row r="787" ht="14.25" customHeight="1">
      <c r="A787" s="408"/>
      <c r="B787" s="408"/>
      <c r="C787" s="408"/>
      <c r="D787" s="408"/>
      <c r="E787" s="408"/>
      <c r="F787" s="408"/>
      <c r="G787" s="408"/>
      <c r="H787" s="408"/>
      <c r="I787" s="408"/>
      <c r="J787" s="408"/>
      <c r="K787" s="408"/>
      <c r="L787" s="408"/>
      <c r="M787" s="408"/>
      <c r="N787" s="408"/>
      <c r="O787" s="408"/>
      <c r="P787" s="408"/>
      <c r="Q787" s="408"/>
      <c r="R787" s="408"/>
      <c r="S787" s="408"/>
      <c r="T787" s="408"/>
      <c r="U787" s="408"/>
      <c r="V787" s="408"/>
      <c r="W787" s="408"/>
      <c r="X787" s="408"/>
      <c r="Y787" s="408"/>
      <c r="Z787" s="408"/>
    </row>
    <row r="788" ht="14.25" customHeight="1">
      <c r="A788" s="408"/>
      <c r="B788" s="408"/>
      <c r="C788" s="408"/>
      <c r="D788" s="408"/>
      <c r="E788" s="408"/>
      <c r="F788" s="408"/>
      <c r="G788" s="408"/>
      <c r="H788" s="408"/>
      <c r="I788" s="408"/>
      <c r="J788" s="408"/>
      <c r="K788" s="408"/>
      <c r="L788" s="408"/>
      <c r="M788" s="408"/>
      <c r="N788" s="408"/>
      <c r="O788" s="408"/>
      <c r="P788" s="408"/>
      <c r="Q788" s="408"/>
      <c r="R788" s="408"/>
      <c r="S788" s="408"/>
      <c r="T788" s="408"/>
      <c r="U788" s="408"/>
      <c r="V788" s="408"/>
      <c r="W788" s="408"/>
      <c r="X788" s="408"/>
      <c r="Y788" s="408"/>
      <c r="Z788" s="408"/>
    </row>
    <row r="789" ht="14.25" customHeight="1">
      <c r="A789" s="408"/>
      <c r="B789" s="408"/>
      <c r="C789" s="408"/>
      <c r="D789" s="408"/>
      <c r="E789" s="408"/>
      <c r="F789" s="408"/>
      <c r="G789" s="408"/>
      <c r="H789" s="408"/>
      <c r="I789" s="408"/>
      <c r="J789" s="408"/>
      <c r="K789" s="408"/>
      <c r="L789" s="408"/>
      <c r="M789" s="408"/>
      <c r="N789" s="408"/>
      <c r="O789" s="408"/>
      <c r="P789" s="408"/>
      <c r="Q789" s="408"/>
      <c r="R789" s="408"/>
      <c r="S789" s="408"/>
      <c r="T789" s="408"/>
      <c r="U789" s="408"/>
      <c r="V789" s="408"/>
      <c r="W789" s="408"/>
      <c r="X789" s="408"/>
      <c r="Y789" s="408"/>
      <c r="Z789" s="408"/>
    </row>
    <row r="790" ht="14.25" customHeight="1">
      <c r="A790" s="408"/>
      <c r="B790" s="408"/>
      <c r="C790" s="408"/>
      <c r="D790" s="408"/>
      <c r="E790" s="408"/>
      <c r="F790" s="408"/>
      <c r="G790" s="408"/>
      <c r="H790" s="408"/>
      <c r="I790" s="408"/>
      <c r="J790" s="408"/>
      <c r="K790" s="408"/>
      <c r="L790" s="408"/>
      <c r="M790" s="408"/>
      <c r="N790" s="408"/>
      <c r="O790" s="408"/>
      <c r="P790" s="408"/>
      <c r="Q790" s="408"/>
      <c r="R790" s="408"/>
      <c r="S790" s="408"/>
      <c r="T790" s="408"/>
      <c r="U790" s="408"/>
      <c r="V790" s="408"/>
      <c r="W790" s="408"/>
      <c r="X790" s="408"/>
      <c r="Y790" s="408"/>
      <c r="Z790" s="408"/>
    </row>
    <row r="791" ht="14.25" customHeight="1">
      <c r="A791" s="408"/>
      <c r="B791" s="408"/>
      <c r="C791" s="408"/>
      <c r="D791" s="408"/>
      <c r="E791" s="408"/>
      <c r="F791" s="408"/>
      <c r="G791" s="408"/>
      <c r="H791" s="408"/>
      <c r="I791" s="408"/>
      <c r="J791" s="408"/>
      <c r="K791" s="408"/>
      <c r="L791" s="408"/>
      <c r="M791" s="408"/>
      <c r="N791" s="408"/>
      <c r="O791" s="408"/>
      <c r="P791" s="408"/>
      <c r="Q791" s="408"/>
      <c r="R791" s="408"/>
      <c r="S791" s="408"/>
      <c r="T791" s="408"/>
      <c r="U791" s="408"/>
      <c r="V791" s="408"/>
      <c r="W791" s="408"/>
      <c r="X791" s="408"/>
      <c r="Y791" s="408"/>
      <c r="Z791" s="408"/>
    </row>
    <row r="792" ht="14.25" customHeight="1">
      <c r="A792" s="408"/>
      <c r="B792" s="408"/>
      <c r="C792" s="408"/>
      <c r="D792" s="408"/>
      <c r="E792" s="408"/>
      <c r="F792" s="408"/>
      <c r="G792" s="408"/>
      <c r="H792" s="408"/>
      <c r="I792" s="408"/>
      <c r="J792" s="408"/>
      <c r="K792" s="408"/>
      <c r="L792" s="408"/>
      <c r="M792" s="408"/>
      <c r="N792" s="408"/>
      <c r="O792" s="408"/>
      <c r="P792" s="408"/>
      <c r="Q792" s="408"/>
      <c r="R792" s="408"/>
      <c r="S792" s="408"/>
      <c r="T792" s="408"/>
      <c r="U792" s="408"/>
      <c r="V792" s="408"/>
      <c r="W792" s="408"/>
      <c r="X792" s="408"/>
      <c r="Y792" s="408"/>
      <c r="Z792" s="408"/>
    </row>
    <row r="793" ht="14.25" customHeight="1">
      <c r="A793" s="408"/>
      <c r="B793" s="408"/>
      <c r="C793" s="408"/>
      <c r="D793" s="408"/>
      <c r="E793" s="408"/>
      <c r="F793" s="408"/>
      <c r="G793" s="408"/>
      <c r="H793" s="408"/>
      <c r="I793" s="408"/>
      <c r="J793" s="408"/>
      <c r="K793" s="408"/>
      <c r="L793" s="408"/>
      <c r="M793" s="408"/>
      <c r="N793" s="408"/>
      <c r="O793" s="408"/>
      <c r="P793" s="408"/>
      <c r="Q793" s="408"/>
      <c r="R793" s="408"/>
      <c r="S793" s="408"/>
      <c r="T793" s="408"/>
      <c r="U793" s="408"/>
      <c r="V793" s="408"/>
      <c r="W793" s="408"/>
      <c r="X793" s="408"/>
      <c r="Y793" s="408"/>
      <c r="Z793" s="408"/>
    </row>
    <row r="794" ht="14.25" customHeight="1">
      <c r="A794" s="408"/>
      <c r="B794" s="408"/>
      <c r="C794" s="408"/>
      <c r="D794" s="408"/>
      <c r="E794" s="408"/>
      <c r="F794" s="408"/>
      <c r="G794" s="408"/>
      <c r="H794" s="408"/>
      <c r="I794" s="408"/>
      <c r="J794" s="408"/>
      <c r="K794" s="408"/>
      <c r="L794" s="408"/>
      <c r="M794" s="408"/>
      <c r="N794" s="408"/>
      <c r="O794" s="408"/>
      <c r="P794" s="408"/>
      <c r="Q794" s="408"/>
      <c r="R794" s="408"/>
      <c r="S794" s="408"/>
      <c r="T794" s="408"/>
      <c r="U794" s="408"/>
      <c r="V794" s="408"/>
      <c r="W794" s="408"/>
      <c r="X794" s="408"/>
      <c r="Y794" s="408"/>
      <c r="Z794" s="408"/>
    </row>
    <row r="795" ht="14.25" customHeight="1">
      <c r="A795" s="408"/>
      <c r="B795" s="408"/>
      <c r="C795" s="408"/>
      <c r="D795" s="408"/>
      <c r="E795" s="408"/>
      <c r="F795" s="408"/>
      <c r="G795" s="408"/>
      <c r="H795" s="408"/>
      <c r="I795" s="408"/>
      <c r="J795" s="408"/>
      <c r="K795" s="408"/>
      <c r="L795" s="408"/>
      <c r="M795" s="408"/>
      <c r="N795" s="408"/>
      <c r="O795" s="408"/>
      <c r="P795" s="408"/>
      <c r="Q795" s="408"/>
      <c r="R795" s="408"/>
      <c r="S795" s="408"/>
      <c r="T795" s="408"/>
      <c r="U795" s="408"/>
      <c r="V795" s="408"/>
      <c r="W795" s="408"/>
      <c r="X795" s="408"/>
      <c r="Y795" s="408"/>
      <c r="Z795" s="408"/>
    </row>
    <row r="796" ht="14.25" customHeight="1">
      <c r="A796" s="408"/>
      <c r="B796" s="408"/>
      <c r="C796" s="408"/>
      <c r="D796" s="408"/>
      <c r="E796" s="408"/>
      <c r="F796" s="408"/>
      <c r="G796" s="408"/>
      <c r="H796" s="408"/>
      <c r="I796" s="408"/>
      <c r="J796" s="408"/>
      <c r="K796" s="408"/>
      <c r="L796" s="408"/>
      <c r="M796" s="408"/>
      <c r="N796" s="408"/>
      <c r="O796" s="408"/>
      <c r="P796" s="408"/>
      <c r="Q796" s="408"/>
      <c r="R796" s="408"/>
      <c r="S796" s="408"/>
      <c r="T796" s="408"/>
      <c r="U796" s="408"/>
      <c r="V796" s="408"/>
      <c r="W796" s="408"/>
      <c r="X796" s="408"/>
      <c r="Y796" s="408"/>
      <c r="Z796" s="408"/>
    </row>
    <row r="797" ht="14.25" customHeight="1">
      <c r="A797" s="408"/>
      <c r="B797" s="408"/>
      <c r="C797" s="408"/>
      <c r="D797" s="408"/>
      <c r="E797" s="408"/>
      <c r="F797" s="408"/>
      <c r="G797" s="408"/>
      <c r="H797" s="408"/>
      <c r="I797" s="408"/>
      <c r="J797" s="408"/>
      <c r="K797" s="408"/>
      <c r="L797" s="408"/>
      <c r="M797" s="408"/>
      <c r="N797" s="408"/>
      <c r="O797" s="408"/>
      <c r="P797" s="408"/>
      <c r="Q797" s="408"/>
      <c r="R797" s="408"/>
      <c r="S797" s="408"/>
      <c r="T797" s="408"/>
      <c r="U797" s="408"/>
      <c r="V797" s="408"/>
      <c r="W797" s="408"/>
      <c r="X797" s="408"/>
      <c r="Y797" s="408"/>
      <c r="Z797" s="408"/>
    </row>
    <row r="798" ht="14.25" customHeight="1">
      <c r="A798" s="408"/>
      <c r="B798" s="408"/>
      <c r="C798" s="408"/>
      <c r="D798" s="408"/>
      <c r="E798" s="408"/>
      <c r="F798" s="408"/>
      <c r="G798" s="408"/>
      <c r="H798" s="408"/>
      <c r="I798" s="408"/>
      <c r="J798" s="408"/>
      <c r="K798" s="408"/>
      <c r="L798" s="408"/>
      <c r="M798" s="408"/>
      <c r="N798" s="408"/>
      <c r="O798" s="408"/>
      <c r="P798" s="408"/>
      <c r="Q798" s="408"/>
      <c r="R798" s="408"/>
      <c r="S798" s="408"/>
      <c r="T798" s="408"/>
      <c r="U798" s="408"/>
      <c r="V798" s="408"/>
      <c r="W798" s="408"/>
      <c r="X798" s="408"/>
      <c r="Y798" s="408"/>
      <c r="Z798" s="408"/>
    </row>
    <row r="799" ht="14.25" customHeight="1">
      <c r="A799" s="408"/>
      <c r="B799" s="408"/>
      <c r="C799" s="408"/>
      <c r="D799" s="408"/>
      <c r="E799" s="408"/>
      <c r="F799" s="408"/>
      <c r="G799" s="408"/>
      <c r="H799" s="408"/>
      <c r="I799" s="408"/>
      <c r="J799" s="408"/>
      <c r="K799" s="408"/>
      <c r="L799" s="408"/>
      <c r="M799" s="408"/>
      <c r="N799" s="408"/>
      <c r="O799" s="408"/>
      <c r="P799" s="408"/>
      <c r="Q799" s="408"/>
      <c r="R799" s="408"/>
      <c r="S799" s="408"/>
      <c r="T799" s="408"/>
      <c r="U799" s="408"/>
      <c r="V799" s="408"/>
      <c r="W799" s="408"/>
      <c r="X799" s="408"/>
      <c r="Y799" s="408"/>
      <c r="Z799" s="408"/>
    </row>
    <row r="800" ht="14.25" customHeight="1">
      <c r="A800" s="408"/>
      <c r="B800" s="408"/>
      <c r="C800" s="408"/>
      <c r="D800" s="408"/>
      <c r="E800" s="408"/>
      <c r="F800" s="408"/>
      <c r="G800" s="408"/>
      <c r="H800" s="408"/>
      <c r="I800" s="408"/>
      <c r="J800" s="408"/>
      <c r="K800" s="408"/>
      <c r="L800" s="408"/>
      <c r="M800" s="408"/>
      <c r="N800" s="408"/>
      <c r="O800" s="408"/>
      <c r="P800" s="408"/>
      <c r="Q800" s="408"/>
      <c r="R800" s="408"/>
      <c r="S800" s="408"/>
      <c r="T800" s="408"/>
      <c r="U800" s="408"/>
      <c r="V800" s="408"/>
      <c r="W800" s="408"/>
      <c r="X800" s="408"/>
      <c r="Y800" s="408"/>
      <c r="Z800" s="408"/>
    </row>
    <row r="801" ht="14.25" customHeight="1">
      <c r="A801" s="408"/>
      <c r="B801" s="408"/>
      <c r="C801" s="408"/>
      <c r="D801" s="408"/>
      <c r="E801" s="408"/>
      <c r="F801" s="408"/>
      <c r="G801" s="408"/>
      <c r="H801" s="408"/>
      <c r="I801" s="408"/>
      <c r="J801" s="408"/>
      <c r="K801" s="408"/>
      <c r="L801" s="408"/>
      <c r="M801" s="408"/>
      <c r="N801" s="408"/>
      <c r="O801" s="408"/>
      <c r="P801" s="408"/>
      <c r="Q801" s="408"/>
      <c r="R801" s="408"/>
      <c r="S801" s="408"/>
      <c r="T801" s="408"/>
      <c r="U801" s="408"/>
      <c r="V801" s="408"/>
      <c r="W801" s="408"/>
      <c r="X801" s="408"/>
      <c r="Y801" s="408"/>
      <c r="Z801" s="408"/>
    </row>
    <row r="802" ht="14.25" customHeight="1">
      <c r="A802" s="408"/>
      <c r="B802" s="408"/>
      <c r="C802" s="408"/>
      <c r="D802" s="408"/>
      <c r="E802" s="408"/>
      <c r="F802" s="408"/>
      <c r="G802" s="408"/>
      <c r="H802" s="408"/>
      <c r="I802" s="408"/>
      <c r="J802" s="408"/>
      <c r="K802" s="408"/>
      <c r="L802" s="408"/>
      <c r="M802" s="408"/>
      <c r="N802" s="408"/>
      <c r="O802" s="408"/>
      <c r="P802" s="408"/>
      <c r="Q802" s="408"/>
      <c r="R802" s="408"/>
      <c r="S802" s="408"/>
      <c r="T802" s="408"/>
      <c r="U802" s="408"/>
      <c r="V802" s="408"/>
      <c r="W802" s="408"/>
      <c r="X802" s="408"/>
      <c r="Y802" s="408"/>
      <c r="Z802" s="408"/>
    </row>
    <row r="803" ht="14.25" customHeight="1">
      <c r="A803" s="408"/>
      <c r="B803" s="408"/>
      <c r="C803" s="408"/>
      <c r="D803" s="408"/>
      <c r="E803" s="408"/>
      <c r="F803" s="408"/>
      <c r="G803" s="408"/>
      <c r="H803" s="408"/>
      <c r="I803" s="408"/>
      <c r="J803" s="408"/>
      <c r="K803" s="408"/>
      <c r="L803" s="408"/>
      <c r="M803" s="408"/>
      <c r="N803" s="408"/>
      <c r="O803" s="408"/>
      <c r="P803" s="408"/>
      <c r="Q803" s="408"/>
      <c r="R803" s="408"/>
      <c r="S803" s="408"/>
      <c r="T803" s="408"/>
      <c r="U803" s="408"/>
      <c r="V803" s="408"/>
      <c r="W803" s="408"/>
      <c r="X803" s="408"/>
      <c r="Y803" s="408"/>
      <c r="Z803" s="408"/>
    </row>
    <row r="804" ht="14.25" customHeight="1">
      <c r="A804" s="408"/>
      <c r="B804" s="408"/>
      <c r="C804" s="408"/>
      <c r="D804" s="408"/>
      <c r="E804" s="408"/>
      <c r="F804" s="408"/>
      <c r="G804" s="408"/>
      <c r="H804" s="408"/>
      <c r="I804" s="408"/>
      <c r="J804" s="408"/>
      <c r="K804" s="408"/>
      <c r="L804" s="408"/>
      <c r="M804" s="408"/>
      <c r="N804" s="408"/>
      <c r="O804" s="408"/>
      <c r="P804" s="408"/>
      <c r="Q804" s="408"/>
      <c r="R804" s="408"/>
      <c r="S804" s="408"/>
      <c r="T804" s="408"/>
      <c r="U804" s="408"/>
      <c r="V804" s="408"/>
      <c r="W804" s="408"/>
      <c r="X804" s="408"/>
      <c r="Y804" s="408"/>
      <c r="Z804" s="408"/>
    </row>
    <row r="805" ht="14.25" customHeight="1">
      <c r="A805" s="408"/>
      <c r="B805" s="408"/>
      <c r="C805" s="408"/>
      <c r="D805" s="408"/>
      <c r="E805" s="408"/>
      <c r="F805" s="408"/>
      <c r="G805" s="408"/>
      <c r="H805" s="408"/>
      <c r="I805" s="408"/>
      <c r="J805" s="408"/>
      <c r="K805" s="408"/>
      <c r="L805" s="408"/>
      <c r="M805" s="408"/>
      <c r="N805" s="408"/>
      <c r="O805" s="408"/>
      <c r="P805" s="408"/>
      <c r="Q805" s="408"/>
      <c r="R805" s="408"/>
      <c r="S805" s="408"/>
      <c r="T805" s="408"/>
      <c r="U805" s="408"/>
      <c r="V805" s="408"/>
      <c r="W805" s="408"/>
      <c r="X805" s="408"/>
      <c r="Y805" s="408"/>
      <c r="Z805" s="408"/>
    </row>
    <row r="806" ht="14.25" customHeight="1">
      <c r="A806" s="408"/>
      <c r="B806" s="408"/>
      <c r="C806" s="408"/>
      <c r="D806" s="408"/>
      <c r="E806" s="408"/>
      <c r="F806" s="408"/>
      <c r="G806" s="408"/>
      <c r="H806" s="408"/>
      <c r="I806" s="408"/>
      <c r="J806" s="408"/>
      <c r="K806" s="408"/>
      <c r="L806" s="408"/>
      <c r="M806" s="408"/>
      <c r="N806" s="408"/>
      <c r="O806" s="408"/>
      <c r="P806" s="408"/>
      <c r="Q806" s="408"/>
      <c r="R806" s="408"/>
      <c r="S806" s="408"/>
      <c r="T806" s="408"/>
      <c r="U806" s="408"/>
      <c r="V806" s="408"/>
      <c r="W806" s="408"/>
      <c r="X806" s="408"/>
      <c r="Y806" s="408"/>
      <c r="Z806" s="408"/>
    </row>
    <row r="807" ht="14.25" customHeight="1">
      <c r="A807" s="408"/>
      <c r="B807" s="408"/>
      <c r="C807" s="408"/>
      <c r="D807" s="408"/>
      <c r="E807" s="408"/>
      <c r="F807" s="408"/>
      <c r="G807" s="408"/>
      <c r="H807" s="408"/>
      <c r="I807" s="408"/>
      <c r="J807" s="408"/>
      <c r="K807" s="408"/>
      <c r="L807" s="408"/>
      <c r="M807" s="408"/>
      <c r="N807" s="408"/>
      <c r="O807" s="408"/>
      <c r="P807" s="408"/>
      <c r="Q807" s="408"/>
      <c r="R807" s="408"/>
      <c r="S807" s="408"/>
      <c r="T807" s="408"/>
      <c r="U807" s="408"/>
      <c r="V807" s="408"/>
      <c r="W807" s="408"/>
      <c r="X807" s="408"/>
      <c r="Y807" s="408"/>
      <c r="Z807" s="408"/>
    </row>
    <row r="808" ht="14.25" customHeight="1">
      <c r="A808" s="408"/>
      <c r="B808" s="408"/>
      <c r="C808" s="408"/>
      <c r="D808" s="408"/>
      <c r="E808" s="408"/>
      <c r="F808" s="408"/>
      <c r="G808" s="408"/>
      <c r="H808" s="408"/>
      <c r="I808" s="408"/>
      <c r="J808" s="408"/>
      <c r="K808" s="408"/>
      <c r="L808" s="408"/>
      <c r="M808" s="408"/>
      <c r="N808" s="408"/>
      <c r="O808" s="408"/>
      <c r="P808" s="408"/>
      <c r="Q808" s="408"/>
      <c r="R808" s="408"/>
      <c r="S808" s="408"/>
      <c r="T808" s="408"/>
      <c r="U808" s="408"/>
      <c r="V808" s="408"/>
      <c r="W808" s="408"/>
      <c r="X808" s="408"/>
      <c r="Y808" s="408"/>
      <c r="Z808" s="408"/>
    </row>
    <row r="809" ht="14.25" customHeight="1">
      <c r="A809" s="408"/>
      <c r="B809" s="408"/>
      <c r="C809" s="408"/>
      <c r="D809" s="408"/>
      <c r="E809" s="408"/>
      <c r="F809" s="408"/>
      <c r="G809" s="408"/>
      <c r="H809" s="408"/>
      <c r="I809" s="408"/>
      <c r="J809" s="408"/>
      <c r="K809" s="408"/>
      <c r="L809" s="408"/>
      <c r="M809" s="408"/>
      <c r="N809" s="408"/>
      <c r="O809" s="408"/>
      <c r="P809" s="408"/>
      <c r="Q809" s="408"/>
      <c r="R809" s="408"/>
      <c r="S809" s="408"/>
      <c r="T809" s="408"/>
      <c r="U809" s="408"/>
      <c r="V809" s="408"/>
      <c r="W809" s="408"/>
      <c r="X809" s="408"/>
      <c r="Y809" s="408"/>
      <c r="Z809" s="408"/>
    </row>
    <row r="810" ht="14.25" customHeight="1">
      <c r="A810" s="408"/>
      <c r="B810" s="408"/>
      <c r="C810" s="408"/>
      <c r="D810" s="408"/>
      <c r="E810" s="408"/>
      <c r="F810" s="408"/>
      <c r="G810" s="408"/>
      <c r="H810" s="408"/>
      <c r="I810" s="408"/>
      <c r="J810" s="408"/>
      <c r="K810" s="408"/>
      <c r="L810" s="408"/>
      <c r="M810" s="408"/>
      <c r="N810" s="408"/>
      <c r="O810" s="408"/>
      <c r="P810" s="408"/>
      <c r="Q810" s="408"/>
      <c r="R810" s="408"/>
      <c r="S810" s="408"/>
      <c r="T810" s="408"/>
      <c r="U810" s="408"/>
      <c r="V810" s="408"/>
      <c r="W810" s="408"/>
      <c r="X810" s="408"/>
      <c r="Y810" s="408"/>
      <c r="Z810" s="408"/>
    </row>
    <row r="811" ht="14.25" customHeight="1">
      <c r="A811" s="408"/>
      <c r="B811" s="408"/>
      <c r="C811" s="408"/>
      <c r="D811" s="408"/>
      <c r="E811" s="408"/>
      <c r="F811" s="408"/>
      <c r="G811" s="408"/>
      <c r="H811" s="408"/>
      <c r="I811" s="408"/>
      <c r="J811" s="408"/>
      <c r="K811" s="408"/>
      <c r="L811" s="408"/>
      <c r="M811" s="408"/>
      <c r="N811" s="408"/>
      <c r="O811" s="408"/>
      <c r="P811" s="408"/>
      <c r="Q811" s="408"/>
      <c r="R811" s="408"/>
      <c r="S811" s="408"/>
      <c r="T811" s="408"/>
      <c r="U811" s="408"/>
      <c r="V811" s="408"/>
      <c r="W811" s="408"/>
      <c r="X811" s="408"/>
      <c r="Y811" s="408"/>
      <c r="Z811" s="408"/>
    </row>
    <row r="812" ht="14.25" customHeight="1">
      <c r="A812" s="408"/>
      <c r="B812" s="408"/>
      <c r="C812" s="408"/>
      <c r="D812" s="408"/>
      <c r="E812" s="408"/>
      <c r="F812" s="408"/>
      <c r="G812" s="408"/>
      <c r="H812" s="408"/>
      <c r="I812" s="408"/>
      <c r="J812" s="408"/>
      <c r="K812" s="408"/>
      <c r="L812" s="408"/>
      <c r="M812" s="408"/>
      <c r="N812" s="408"/>
      <c r="O812" s="408"/>
      <c r="P812" s="408"/>
      <c r="Q812" s="408"/>
      <c r="R812" s="408"/>
      <c r="S812" s="408"/>
      <c r="T812" s="408"/>
      <c r="U812" s="408"/>
      <c r="V812" s="408"/>
      <c r="W812" s="408"/>
      <c r="X812" s="408"/>
      <c r="Y812" s="408"/>
      <c r="Z812" s="408"/>
    </row>
    <row r="813" ht="14.25" customHeight="1">
      <c r="A813" s="408"/>
      <c r="B813" s="408"/>
      <c r="C813" s="408"/>
      <c r="D813" s="408"/>
      <c r="E813" s="408"/>
      <c r="F813" s="408"/>
      <c r="G813" s="408"/>
      <c r="H813" s="408"/>
      <c r="I813" s="408"/>
      <c r="J813" s="408"/>
      <c r="K813" s="408"/>
      <c r="L813" s="408"/>
      <c r="M813" s="408"/>
      <c r="N813" s="408"/>
      <c r="O813" s="408"/>
      <c r="P813" s="408"/>
      <c r="Q813" s="408"/>
      <c r="R813" s="408"/>
      <c r="S813" s="408"/>
      <c r="T813" s="408"/>
      <c r="U813" s="408"/>
      <c r="V813" s="408"/>
      <c r="W813" s="408"/>
      <c r="X813" s="408"/>
      <c r="Y813" s="408"/>
      <c r="Z813" s="408"/>
    </row>
    <row r="814" ht="14.25" customHeight="1">
      <c r="A814" s="408"/>
      <c r="B814" s="408"/>
      <c r="C814" s="408"/>
      <c r="D814" s="408"/>
      <c r="E814" s="408"/>
      <c r="F814" s="408"/>
      <c r="G814" s="408"/>
      <c r="H814" s="408"/>
      <c r="I814" s="408"/>
      <c r="J814" s="408"/>
      <c r="K814" s="408"/>
      <c r="L814" s="408"/>
      <c r="M814" s="408"/>
      <c r="N814" s="408"/>
      <c r="O814" s="408"/>
      <c r="P814" s="408"/>
      <c r="Q814" s="408"/>
      <c r="R814" s="408"/>
      <c r="S814" s="408"/>
      <c r="T814" s="408"/>
      <c r="U814" s="408"/>
      <c r="V814" s="408"/>
      <c r="W814" s="408"/>
      <c r="X814" s="408"/>
      <c r="Y814" s="408"/>
      <c r="Z814" s="408"/>
    </row>
    <row r="815" ht="14.25" customHeight="1">
      <c r="A815" s="408"/>
      <c r="B815" s="408"/>
      <c r="C815" s="408"/>
      <c r="D815" s="408"/>
      <c r="E815" s="408"/>
      <c r="F815" s="408"/>
      <c r="G815" s="408"/>
      <c r="H815" s="408"/>
      <c r="I815" s="408"/>
      <c r="J815" s="408"/>
      <c r="K815" s="408"/>
      <c r="L815" s="408"/>
      <c r="M815" s="408"/>
      <c r="N815" s="408"/>
      <c r="O815" s="408"/>
      <c r="P815" s="408"/>
      <c r="Q815" s="408"/>
      <c r="R815" s="408"/>
      <c r="S815" s="408"/>
      <c r="T815" s="408"/>
      <c r="U815" s="408"/>
      <c r="V815" s="408"/>
      <c r="W815" s="408"/>
      <c r="X815" s="408"/>
      <c r="Y815" s="408"/>
      <c r="Z815" s="408"/>
    </row>
    <row r="816" ht="14.25" customHeight="1">
      <c r="A816" s="408"/>
      <c r="B816" s="408"/>
      <c r="C816" s="408"/>
      <c r="D816" s="408"/>
      <c r="E816" s="408"/>
      <c r="F816" s="408"/>
      <c r="G816" s="408"/>
      <c r="H816" s="408"/>
      <c r="I816" s="408"/>
      <c r="J816" s="408"/>
      <c r="K816" s="408"/>
      <c r="L816" s="408"/>
      <c r="M816" s="408"/>
      <c r="N816" s="408"/>
      <c r="O816" s="408"/>
      <c r="P816" s="408"/>
      <c r="Q816" s="408"/>
      <c r="R816" s="408"/>
      <c r="S816" s="408"/>
      <c r="T816" s="408"/>
      <c r="U816" s="408"/>
      <c r="V816" s="408"/>
      <c r="W816" s="408"/>
      <c r="X816" s="408"/>
      <c r="Y816" s="408"/>
      <c r="Z816" s="408"/>
    </row>
    <row r="817" ht="14.25" customHeight="1">
      <c r="A817" s="408"/>
      <c r="B817" s="408"/>
      <c r="C817" s="408"/>
      <c r="D817" s="408"/>
      <c r="E817" s="408"/>
      <c r="F817" s="408"/>
      <c r="G817" s="408"/>
      <c r="H817" s="408"/>
      <c r="I817" s="408"/>
      <c r="J817" s="408"/>
      <c r="K817" s="408"/>
      <c r="L817" s="408"/>
      <c r="M817" s="408"/>
      <c r="N817" s="408"/>
      <c r="O817" s="408"/>
      <c r="P817" s="408"/>
      <c r="Q817" s="408"/>
      <c r="R817" s="408"/>
      <c r="S817" s="408"/>
      <c r="T817" s="408"/>
      <c r="U817" s="408"/>
      <c r="V817" s="408"/>
      <c r="W817" s="408"/>
      <c r="X817" s="408"/>
      <c r="Y817" s="408"/>
      <c r="Z817" s="408"/>
    </row>
    <row r="818" ht="14.25" customHeight="1">
      <c r="A818" s="408"/>
      <c r="B818" s="408"/>
      <c r="C818" s="408"/>
      <c r="D818" s="408"/>
      <c r="E818" s="408"/>
      <c r="F818" s="408"/>
      <c r="G818" s="408"/>
      <c r="H818" s="408"/>
      <c r="I818" s="408"/>
      <c r="J818" s="408"/>
      <c r="K818" s="408"/>
      <c r="L818" s="408"/>
      <c r="M818" s="408"/>
      <c r="N818" s="408"/>
      <c r="O818" s="408"/>
      <c r="P818" s="408"/>
      <c r="Q818" s="408"/>
      <c r="R818" s="408"/>
      <c r="S818" s="408"/>
      <c r="T818" s="408"/>
      <c r="U818" s="408"/>
      <c r="V818" s="408"/>
      <c r="W818" s="408"/>
      <c r="X818" s="408"/>
      <c r="Y818" s="408"/>
      <c r="Z818" s="408"/>
    </row>
    <row r="819" ht="14.25" customHeight="1">
      <c r="A819" s="408"/>
      <c r="B819" s="408"/>
      <c r="C819" s="408"/>
      <c r="D819" s="408"/>
      <c r="E819" s="408"/>
      <c r="F819" s="408"/>
      <c r="G819" s="408"/>
      <c r="H819" s="408"/>
      <c r="I819" s="408"/>
      <c r="J819" s="408"/>
      <c r="K819" s="408"/>
      <c r="L819" s="408"/>
      <c r="M819" s="408"/>
      <c r="N819" s="408"/>
      <c r="O819" s="408"/>
      <c r="P819" s="408"/>
      <c r="Q819" s="408"/>
      <c r="R819" s="408"/>
      <c r="S819" s="408"/>
      <c r="T819" s="408"/>
      <c r="U819" s="408"/>
      <c r="V819" s="408"/>
      <c r="W819" s="408"/>
      <c r="X819" s="408"/>
      <c r="Y819" s="408"/>
      <c r="Z819" s="408"/>
    </row>
    <row r="820" ht="14.25" customHeight="1">
      <c r="A820" s="408"/>
      <c r="B820" s="408"/>
      <c r="C820" s="408"/>
      <c r="D820" s="408"/>
      <c r="E820" s="408"/>
      <c r="F820" s="408"/>
      <c r="G820" s="408"/>
      <c r="H820" s="408"/>
      <c r="I820" s="408"/>
      <c r="J820" s="408"/>
      <c r="K820" s="408"/>
      <c r="L820" s="408"/>
      <c r="M820" s="408"/>
      <c r="N820" s="408"/>
      <c r="O820" s="408"/>
      <c r="P820" s="408"/>
      <c r="Q820" s="408"/>
      <c r="R820" s="408"/>
      <c r="S820" s="408"/>
      <c r="T820" s="408"/>
      <c r="U820" s="408"/>
      <c r="V820" s="408"/>
      <c r="W820" s="408"/>
      <c r="X820" s="408"/>
      <c r="Y820" s="408"/>
      <c r="Z820" s="408"/>
    </row>
    <row r="821" ht="14.25" customHeight="1">
      <c r="A821" s="408"/>
      <c r="B821" s="408"/>
      <c r="C821" s="408"/>
      <c r="D821" s="408"/>
      <c r="E821" s="408"/>
      <c r="F821" s="408"/>
      <c r="G821" s="408"/>
      <c r="H821" s="408"/>
      <c r="I821" s="408"/>
      <c r="J821" s="408"/>
      <c r="K821" s="408"/>
      <c r="L821" s="408"/>
      <c r="M821" s="408"/>
      <c r="N821" s="408"/>
      <c r="O821" s="408"/>
      <c r="P821" s="408"/>
      <c r="Q821" s="408"/>
      <c r="R821" s="408"/>
      <c r="S821" s="408"/>
      <c r="T821" s="408"/>
      <c r="U821" s="408"/>
      <c r="V821" s="408"/>
      <c r="W821" s="408"/>
      <c r="X821" s="408"/>
      <c r="Y821" s="408"/>
      <c r="Z821" s="408"/>
    </row>
    <row r="822" ht="14.25" customHeight="1">
      <c r="A822" s="408"/>
      <c r="B822" s="408"/>
      <c r="C822" s="408"/>
      <c r="D822" s="408"/>
      <c r="E822" s="408"/>
      <c r="F822" s="408"/>
      <c r="G822" s="408"/>
      <c r="H822" s="408"/>
      <c r="I822" s="408"/>
      <c r="J822" s="408"/>
      <c r="K822" s="408"/>
      <c r="L822" s="408"/>
      <c r="M822" s="408"/>
      <c r="N822" s="408"/>
      <c r="O822" s="408"/>
      <c r="P822" s="408"/>
      <c r="Q822" s="408"/>
      <c r="R822" s="408"/>
      <c r="S822" s="408"/>
      <c r="T822" s="408"/>
      <c r="U822" s="408"/>
      <c r="V822" s="408"/>
      <c r="W822" s="408"/>
      <c r="X822" s="408"/>
      <c r="Y822" s="408"/>
      <c r="Z822" s="408"/>
    </row>
    <row r="823" ht="14.25" customHeight="1">
      <c r="A823" s="408"/>
      <c r="B823" s="408"/>
      <c r="C823" s="408"/>
      <c r="D823" s="408"/>
      <c r="E823" s="408"/>
      <c r="F823" s="408"/>
      <c r="G823" s="408"/>
      <c r="H823" s="408"/>
      <c r="I823" s="408"/>
      <c r="J823" s="408"/>
      <c r="K823" s="408"/>
      <c r="L823" s="408"/>
      <c r="M823" s="408"/>
      <c r="N823" s="408"/>
      <c r="O823" s="408"/>
      <c r="P823" s="408"/>
      <c r="Q823" s="408"/>
      <c r="R823" s="408"/>
      <c r="S823" s="408"/>
      <c r="T823" s="408"/>
      <c r="U823" s="408"/>
      <c r="V823" s="408"/>
      <c r="W823" s="408"/>
      <c r="X823" s="408"/>
      <c r="Y823" s="408"/>
      <c r="Z823" s="408"/>
    </row>
    <row r="824" ht="14.25" customHeight="1">
      <c r="A824" s="408"/>
      <c r="B824" s="408"/>
      <c r="C824" s="408"/>
      <c r="D824" s="408"/>
      <c r="E824" s="408"/>
      <c r="F824" s="408"/>
      <c r="G824" s="408"/>
      <c r="H824" s="408"/>
      <c r="I824" s="408"/>
      <c r="J824" s="408"/>
      <c r="K824" s="408"/>
      <c r="L824" s="408"/>
      <c r="M824" s="408"/>
      <c r="N824" s="408"/>
      <c r="O824" s="408"/>
      <c r="P824" s="408"/>
      <c r="Q824" s="408"/>
      <c r="R824" s="408"/>
      <c r="S824" s="408"/>
      <c r="T824" s="408"/>
      <c r="U824" s="408"/>
      <c r="V824" s="408"/>
      <c r="W824" s="408"/>
      <c r="X824" s="408"/>
      <c r="Y824" s="408"/>
      <c r="Z824" s="408"/>
    </row>
    <row r="825" ht="14.25" customHeight="1">
      <c r="A825" s="408"/>
      <c r="B825" s="408"/>
      <c r="C825" s="408"/>
      <c r="D825" s="408"/>
      <c r="E825" s="408"/>
      <c r="F825" s="408"/>
      <c r="G825" s="408"/>
      <c r="H825" s="408"/>
      <c r="I825" s="408"/>
      <c r="J825" s="408"/>
      <c r="K825" s="408"/>
      <c r="L825" s="408"/>
      <c r="M825" s="408"/>
      <c r="N825" s="408"/>
      <c r="O825" s="408"/>
      <c r="P825" s="408"/>
      <c r="Q825" s="408"/>
      <c r="R825" s="408"/>
      <c r="S825" s="408"/>
      <c r="T825" s="408"/>
      <c r="U825" s="408"/>
      <c r="V825" s="408"/>
      <c r="W825" s="408"/>
      <c r="X825" s="408"/>
      <c r="Y825" s="408"/>
      <c r="Z825" s="408"/>
    </row>
    <row r="826" ht="14.25" customHeight="1">
      <c r="A826" s="408"/>
      <c r="B826" s="408"/>
      <c r="C826" s="408"/>
      <c r="D826" s="408"/>
      <c r="E826" s="408"/>
      <c r="F826" s="408"/>
      <c r="G826" s="408"/>
      <c r="H826" s="408"/>
      <c r="I826" s="408"/>
      <c r="J826" s="408"/>
      <c r="K826" s="408"/>
      <c r="L826" s="408"/>
      <c r="M826" s="408"/>
      <c r="N826" s="408"/>
      <c r="O826" s="408"/>
      <c r="P826" s="408"/>
      <c r="Q826" s="408"/>
      <c r="R826" s="408"/>
      <c r="S826" s="408"/>
      <c r="T826" s="408"/>
      <c r="U826" s="408"/>
      <c r="V826" s="408"/>
      <c r="W826" s="408"/>
      <c r="X826" s="408"/>
      <c r="Y826" s="408"/>
      <c r="Z826" s="408"/>
    </row>
    <row r="827" ht="14.25" customHeight="1">
      <c r="A827" s="408"/>
      <c r="B827" s="408"/>
      <c r="C827" s="408"/>
      <c r="D827" s="408"/>
      <c r="E827" s="408"/>
      <c r="F827" s="408"/>
      <c r="G827" s="408"/>
      <c r="H827" s="408"/>
      <c r="I827" s="408"/>
      <c r="J827" s="408"/>
      <c r="K827" s="408"/>
      <c r="L827" s="408"/>
      <c r="M827" s="408"/>
      <c r="N827" s="408"/>
      <c r="O827" s="408"/>
      <c r="P827" s="408"/>
      <c r="Q827" s="408"/>
      <c r="R827" s="408"/>
      <c r="S827" s="408"/>
      <c r="T827" s="408"/>
      <c r="U827" s="408"/>
      <c r="V827" s="408"/>
      <c r="W827" s="408"/>
      <c r="X827" s="408"/>
      <c r="Y827" s="408"/>
      <c r="Z827" s="408"/>
    </row>
    <row r="828" ht="14.25" customHeight="1">
      <c r="A828" s="408"/>
      <c r="B828" s="408"/>
      <c r="C828" s="408"/>
      <c r="D828" s="408"/>
      <c r="E828" s="408"/>
      <c r="F828" s="408"/>
      <c r="G828" s="408"/>
      <c r="H828" s="408"/>
      <c r="I828" s="408"/>
      <c r="J828" s="408"/>
      <c r="K828" s="408"/>
      <c r="L828" s="408"/>
      <c r="M828" s="408"/>
      <c r="N828" s="408"/>
      <c r="O828" s="408"/>
      <c r="P828" s="408"/>
      <c r="Q828" s="408"/>
      <c r="R828" s="408"/>
      <c r="S828" s="408"/>
      <c r="T828" s="408"/>
      <c r="U828" s="408"/>
      <c r="V828" s="408"/>
      <c r="W828" s="408"/>
      <c r="X828" s="408"/>
      <c r="Y828" s="408"/>
      <c r="Z828" s="408"/>
    </row>
    <row r="829" ht="14.25" customHeight="1">
      <c r="A829" s="408"/>
      <c r="B829" s="408"/>
      <c r="C829" s="408"/>
      <c r="D829" s="408"/>
      <c r="E829" s="408"/>
      <c r="F829" s="408"/>
      <c r="G829" s="408"/>
      <c r="H829" s="408"/>
      <c r="I829" s="408"/>
      <c r="J829" s="408"/>
      <c r="K829" s="408"/>
      <c r="L829" s="408"/>
      <c r="M829" s="408"/>
      <c r="N829" s="408"/>
      <c r="O829" s="408"/>
      <c r="P829" s="408"/>
      <c r="Q829" s="408"/>
      <c r="R829" s="408"/>
      <c r="S829" s="408"/>
      <c r="T829" s="408"/>
      <c r="U829" s="408"/>
      <c r="V829" s="408"/>
      <c r="W829" s="408"/>
      <c r="X829" s="408"/>
      <c r="Y829" s="408"/>
      <c r="Z829" s="408"/>
    </row>
    <row r="830" ht="14.25" customHeight="1">
      <c r="A830" s="408"/>
      <c r="B830" s="408"/>
      <c r="C830" s="408"/>
      <c r="D830" s="408"/>
      <c r="E830" s="408"/>
      <c r="F830" s="408"/>
      <c r="G830" s="408"/>
      <c r="H830" s="408"/>
      <c r="I830" s="408"/>
      <c r="J830" s="408"/>
      <c r="K830" s="408"/>
      <c r="L830" s="408"/>
      <c r="M830" s="408"/>
      <c r="N830" s="408"/>
      <c r="O830" s="408"/>
      <c r="P830" s="408"/>
      <c r="Q830" s="408"/>
      <c r="R830" s="408"/>
      <c r="S830" s="408"/>
      <c r="T830" s="408"/>
      <c r="U830" s="408"/>
      <c r="V830" s="408"/>
      <c r="W830" s="408"/>
      <c r="X830" s="408"/>
      <c r="Y830" s="408"/>
      <c r="Z830" s="408"/>
    </row>
    <row r="831" ht="14.25" customHeight="1">
      <c r="A831" s="408"/>
      <c r="B831" s="408"/>
      <c r="C831" s="408"/>
      <c r="D831" s="408"/>
      <c r="E831" s="408"/>
      <c r="F831" s="408"/>
      <c r="G831" s="408"/>
      <c r="H831" s="408"/>
      <c r="I831" s="408"/>
      <c r="J831" s="408"/>
      <c r="K831" s="408"/>
      <c r="L831" s="408"/>
      <c r="M831" s="408"/>
      <c r="N831" s="408"/>
      <c r="O831" s="408"/>
      <c r="P831" s="408"/>
      <c r="Q831" s="408"/>
      <c r="R831" s="408"/>
      <c r="S831" s="408"/>
      <c r="T831" s="408"/>
      <c r="U831" s="408"/>
      <c r="V831" s="408"/>
      <c r="W831" s="408"/>
      <c r="X831" s="408"/>
      <c r="Y831" s="408"/>
      <c r="Z831" s="408"/>
    </row>
    <row r="832" ht="14.25" customHeight="1">
      <c r="A832" s="408"/>
      <c r="B832" s="408"/>
      <c r="C832" s="408"/>
      <c r="D832" s="408"/>
      <c r="E832" s="408"/>
      <c r="F832" s="408"/>
      <c r="G832" s="408"/>
      <c r="H832" s="408"/>
      <c r="I832" s="408"/>
      <c r="J832" s="408"/>
      <c r="K832" s="408"/>
      <c r="L832" s="408"/>
      <c r="M832" s="408"/>
      <c r="N832" s="408"/>
      <c r="O832" s="408"/>
      <c r="P832" s="408"/>
      <c r="Q832" s="408"/>
      <c r="R832" s="408"/>
      <c r="S832" s="408"/>
      <c r="T832" s="408"/>
      <c r="U832" s="408"/>
      <c r="V832" s="408"/>
      <c r="W832" s="408"/>
      <c r="X832" s="408"/>
      <c r="Y832" s="408"/>
      <c r="Z832" s="408"/>
    </row>
    <row r="833" ht="14.25" customHeight="1">
      <c r="A833" s="408"/>
      <c r="B833" s="408"/>
      <c r="C833" s="408"/>
      <c r="D833" s="408"/>
      <c r="E833" s="408"/>
      <c r="F833" s="408"/>
      <c r="G833" s="408"/>
      <c r="H833" s="408"/>
      <c r="I833" s="408"/>
      <c r="J833" s="408"/>
      <c r="K833" s="408"/>
      <c r="L833" s="408"/>
      <c r="M833" s="408"/>
      <c r="N833" s="408"/>
      <c r="O833" s="408"/>
      <c r="P833" s="408"/>
      <c r="Q833" s="408"/>
      <c r="R833" s="408"/>
      <c r="S833" s="408"/>
      <c r="T833" s="408"/>
      <c r="U833" s="408"/>
      <c r="V833" s="408"/>
      <c r="W833" s="408"/>
      <c r="X833" s="408"/>
      <c r="Y833" s="408"/>
      <c r="Z833" s="408"/>
    </row>
    <row r="834" ht="14.25" customHeight="1">
      <c r="A834" s="408"/>
      <c r="B834" s="408"/>
      <c r="C834" s="408"/>
      <c r="D834" s="408"/>
      <c r="E834" s="408"/>
      <c r="F834" s="408"/>
      <c r="G834" s="408"/>
      <c r="H834" s="408"/>
      <c r="I834" s="408"/>
      <c r="J834" s="408"/>
      <c r="K834" s="408"/>
      <c r="L834" s="408"/>
      <c r="M834" s="408"/>
      <c r="N834" s="408"/>
      <c r="O834" s="408"/>
      <c r="P834" s="408"/>
      <c r="Q834" s="408"/>
      <c r="R834" s="408"/>
      <c r="S834" s="408"/>
      <c r="T834" s="408"/>
      <c r="U834" s="408"/>
      <c r="V834" s="408"/>
      <c r="W834" s="408"/>
      <c r="X834" s="408"/>
      <c r="Y834" s="408"/>
      <c r="Z834" s="408"/>
    </row>
    <row r="835" ht="14.25" customHeight="1">
      <c r="A835" s="408"/>
      <c r="B835" s="408"/>
      <c r="C835" s="408"/>
      <c r="D835" s="408"/>
      <c r="E835" s="408"/>
      <c r="F835" s="408"/>
      <c r="G835" s="408"/>
      <c r="H835" s="408"/>
      <c r="I835" s="408"/>
      <c r="J835" s="408"/>
      <c r="K835" s="408"/>
      <c r="L835" s="408"/>
      <c r="M835" s="408"/>
      <c r="N835" s="408"/>
      <c r="O835" s="408"/>
      <c r="P835" s="408"/>
      <c r="Q835" s="408"/>
      <c r="R835" s="408"/>
      <c r="S835" s="408"/>
      <c r="T835" s="408"/>
      <c r="U835" s="408"/>
      <c r="V835" s="408"/>
      <c r="W835" s="408"/>
      <c r="X835" s="408"/>
      <c r="Y835" s="408"/>
      <c r="Z835" s="408"/>
    </row>
    <row r="836" ht="14.25" customHeight="1">
      <c r="A836" s="408"/>
      <c r="B836" s="408"/>
      <c r="C836" s="408"/>
      <c r="D836" s="408"/>
      <c r="E836" s="408"/>
      <c r="F836" s="408"/>
      <c r="G836" s="408"/>
      <c r="H836" s="408"/>
      <c r="I836" s="408"/>
      <c r="J836" s="408"/>
      <c r="K836" s="408"/>
      <c r="L836" s="408"/>
      <c r="M836" s="408"/>
      <c r="N836" s="408"/>
      <c r="O836" s="408"/>
      <c r="P836" s="408"/>
      <c r="Q836" s="408"/>
      <c r="R836" s="408"/>
      <c r="S836" s="408"/>
      <c r="T836" s="408"/>
      <c r="U836" s="408"/>
      <c r="V836" s="408"/>
      <c r="W836" s="408"/>
      <c r="X836" s="408"/>
      <c r="Y836" s="408"/>
      <c r="Z836" s="408"/>
    </row>
    <row r="837" ht="14.25" customHeight="1">
      <c r="A837" s="408"/>
      <c r="B837" s="408"/>
      <c r="C837" s="408"/>
      <c r="D837" s="408"/>
      <c r="E837" s="408"/>
      <c r="F837" s="408"/>
      <c r="G837" s="408"/>
      <c r="H837" s="408"/>
      <c r="I837" s="408"/>
      <c r="J837" s="408"/>
      <c r="K837" s="408"/>
      <c r="L837" s="408"/>
      <c r="M837" s="408"/>
      <c r="N837" s="408"/>
      <c r="O837" s="408"/>
      <c r="P837" s="408"/>
      <c r="Q837" s="408"/>
      <c r="R837" s="408"/>
      <c r="S837" s="408"/>
      <c r="T837" s="408"/>
      <c r="U837" s="408"/>
      <c r="V837" s="408"/>
      <c r="W837" s="408"/>
      <c r="X837" s="408"/>
      <c r="Y837" s="408"/>
      <c r="Z837" s="408"/>
    </row>
    <row r="838" ht="14.25" customHeight="1">
      <c r="A838" s="408"/>
      <c r="B838" s="408"/>
      <c r="C838" s="408"/>
      <c r="D838" s="408"/>
      <c r="E838" s="408"/>
      <c r="F838" s="408"/>
      <c r="G838" s="408"/>
      <c r="H838" s="408"/>
      <c r="I838" s="408"/>
      <c r="J838" s="408"/>
      <c r="K838" s="408"/>
      <c r="L838" s="408"/>
      <c r="M838" s="408"/>
      <c r="N838" s="408"/>
      <c r="O838" s="408"/>
      <c r="P838" s="408"/>
      <c r="Q838" s="408"/>
      <c r="R838" s="408"/>
      <c r="S838" s="408"/>
      <c r="T838" s="408"/>
      <c r="U838" s="408"/>
      <c r="V838" s="408"/>
      <c r="W838" s="408"/>
      <c r="X838" s="408"/>
      <c r="Y838" s="408"/>
      <c r="Z838" s="408"/>
    </row>
    <row r="839" ht="14.25" customHeight="1">
      <c r="A839" s="408"/>
      <c r="B839" s="408"/>
      <c r="C839" s="408"/>
      <c r="D839" s="408"/>
      <c r="E839" s="408"/>
      <c r="F839" s="408"/>
      <c r="G839" s="408"/>
      <c r="H839" s="408"/>
      <c r="I839" s="408"/>
      <c r="J839" s="408"/>
      <c r="K839" s="408"/>
      <c r="L839" s="408"/>
      <c r="M839" s="408"/>
      <c r="N839" s="408"/>
      <c r="O839" s="408"/>
      <c r="P839" s="408"/>
      <c r="Q839" s="408"/>
      <c r="R839" s="408"/>
      <c r="S839" s="408"/>
      <c r="T839" s="408"/>
      <c r="U839" s="408"/>
      <c r="V839" s="408"/>
      <c r="W839" s="408"/>
      <c r="X839" s="408"/>
      <c r="Y839" s="408"/>
      <c r="Z839" s="408"/>
    </row>
    <row r="840" ht="14.25" customHeight="1">
      <c r="A840" s="408"/>
      <c r="B840" s="408"/>
      <c r="C840" s="408"/>
      <c r="D840" s="408"/>
      <c r="E840" s="408"/>
      <c r="F840" s="408"/>
      <c r="G840" s="408"/>
      <c r="H840" s="408"/>
      <c r="I840" s="408"/>
      <c r="J840" s="408"/>
      <c r="K840" s="408"/>
      <c r="L840" s="408"/>
      <c r="M840" s="408"/>
      <c r="N840" s="408"/>
      <c r="O840" s="408"/>
      <c r="P840" s="408"/>
      <c r="Q840" s="408"/>
      <c r="R840" s="408"/>
      <c r="S840" s="408"/>
      <c r="T840" s="408"/>
      <c r="U840" s="408"/>
      <c r="V840" s="408"/>
      <c r="W840" s="408"/>
      <c r="X840" s="408"/>
      <c r="Y840" s="408"/>
      <c r="Z840" s="408"/>
    </row>
    <row r="841" ht="14.25" customHeight="1">
      <c r="A841" s="408"/>
      <c r="B841" s="408"/>
      <c r="C841" s="408"/>
      <c r="D841" s="408"/>
      <c r="E841" s="408"/>
      <c r="F841" s="408"/>
      <c r="G841" s="408"/>
      <c r="H841" s="408"/>
      <c r="I841" s="408"/>
      <c r="J841" s="408"/>
      <c r="K841" s="408"/>
      <c r="L841" s="408"/>
      <c r="M841" s="408"/>
      <c r="N841" s="408"/>
      <c r="O841" s="408"/>
      <c r="P841" s="408"/>
      <c r="Q841" s="408"/>
      <c r="R841" s="408"/>
      <c r="S841" s="408"/>
      <c r="T841" s="408"/>
      <c r="U841" s="408"/>
      <c r="V841" s="408"/>
      <c r="W841" s="408"/>
      <c r="X841" s="408"/>
      <c r="Y841" s="408"/>
      <c r="Z841" s="408"/>
    </row>
    <row r="842" ht="14.25" customHeight="1">
      <c r="A842" s="408"/>
      <c r="B842" s="408"/>
      <c r="C842" s="408"/>
      <c r="D842" s="408"/>
      <c r="E842" s="408"/>
      <c r="F842" s="408"/>
      <c r="G842" s="408"/>
      <c r="H842" s="408"/>
      <c r="I842" s="408"/>
      <c r="J842" s="408"/>
      <c r="K842" s="408"/>
      <c r="L842" s="408"/>
      <c r="M842" s="408"/>
      <c r="N842" s="408"/>
      <c r="O842" s="408"/>
      <c r="P842" s="408"/>
      <c r="Q842" s="408"/>
      <c r="R842" s="408"/>
      <c r="S842" s="408"/>
      <c r="T842" s="408"/>
      <c r="U842" s="408"/>
      <c r="V842" s="408"/>
      <c r="W842" s="408"/>
      <c r="X842" s="408"/>
      <c r="Y842" s="408"/>
      <c r="Z842" s="408"/>
    </row>
    <row r="843" ht="14.25" customHeight="1">
      <c r="A843" s="408"/>
      <c r="B843" s="408"/>
      <c r="C843" s="408"/>
      <c r="D843" s="408"/>
      <c r="E843" s="408"/>
      <c r="F843" s="408"/>
      <c r="G843" s="408"/>
      <c r="H843" s="408"/>
      <c r="I843" s="408"/>
      <c r="J843" s="408"/>
      <c r="K843" s="408"/>
      <c r="L843" s="408"/>
      <c r="M843" s="408"/>
      <c r="N843" s="408"/>
      <c r="O843" s="408"/>
      <c r="P843" s="408"/>
      <c r="Q843" s="408"/>
      <c r="R843" s="408"/>
      <c r="S843" s="408"/>
      <c r="T843" s="408"/>
      <c r="U843" s="408"/>
      <c r="V843" s="408"/>
      <c r="W843" s="408"/>
      <c r="X843" s="408"/>
      <c r="Y843" s="408"/>
      <c r="Z843" s="408"/>
    </row>
    <row r="844" ht="14.25" customHeight="1">
      <c r="A844" s="408"/>
      <c r="B844" s="408"/>
      <c r="C844" s="408"/>
      <c r="D844" s="408"/>
      <c r="E844" s="408"/>
      <c r="F844" s="408"/>
      <c r="G844" s="408"/>
      <c r="H844" s="408"/>
      <c r="I844" s="408"/>
      <c r="J844" s="408"/>
      <c r="K844" s="408"/>
      <c r="L844" s="408"/>
      <c r="M844" s="408"/>
      <c r="N844" s="408"/>
      <c r="O844" s="408"/>
      <c r="P844" s="408"/>
      <c r="Q844" s="408"/>
      <c r="R844" s="408"/>
      <c r="S844" s="408"/>
      <c r="T844" s="408"/>
      <c r="U844" s="408"/>
      <c r="V844" s="408"/>
      <c r="W844" s="408"/>
      <c r="X844" s="408"/>
      <c r="Y844" s="408"/>
      <c r="Z844" s="408"/>
    </row>
    <row r="845" ht="14.25" customHeight="1">
      <c r="A845" s="408"/>
      <c r="B845" s="408"/>
      <c r="C845" s="408"/>
      <c r="D845" s="408"/>
      <c r="E845" s="408"/>
      <c r="F845" s="408"/>
      <c r="G845" s="408"/>
      <c r="H845" s="408"/>
      <c r="I845" s="408"/>
      <c r="J845" s="408"/>
      <c r="K845" s="408"/>
      <c r="L845" s="408"/>
      <c r="M845" s="408"/>
      <c r="N845" s="408"/>
      <c r="O845" s="408"/>
      <c r="P845" s="408"/>
      <c r="Q845" s="408"/>
      <c r="R845" s="408"/>
      <c r="S845" s="408"/>
      <c r="T845" s="408"/>
      <c r="U845" s="408"/>
      <c r="V845" s="408"/>
      <c r="W845" s="408"/>
      <c r="X845" s="408"/>
      <c r="Y845" s="408"/>
      <c r="Z845" s="408"/>
    </row>
    <row r="846" ht="14.25" customHeight="1">
      <c r="A846" s="408"/>
      <c r="B846" s="408"/>
      <c r="C846" s="408"/>
      <c r="D846" s="408"/>
      <c r="E846" s="408"/>
      <c r="F846" s="408"/>
      <c r="G846" s="408"/>
      <c r="H846" s="408"/>
      <c r="I846" s="408"/>
      <c r="J846" s="408"/>
      <c r="K846" s="408"/>
      <c r="L846" s="408"/>
      <c r="M846" s="408"/>
      <c r="N846" s="408"/>
      <c r="O846" s="408"/>
      <c r="P846" s="408"/>
      <c r="Q846" s="408"/>
      <c r="R846" s="408"/>
      <c r="S846" s="408"/>
      <c r="T846" s="408"/>
      <c r="U846" s="408"/>
      <c r="V846" s="408"/>
      <c r="W846" s="408"/>
      <c r="X846" s="408"/>
      <c r="Y846" s="408"/>
      <c r="Z846" s="408"/>
    </row>
    <row r="847" ht="14.25" customHeight="1">
      <c r="A847" s="408"/>
      <c r="B847" s="408"/>
      <c r="C847" s="408"/>
      <c r="D847" s="408"/>
      <c r="E847" s="408"/>
      <c r="F847" s="408"/>
      <c r="G847" s="408"/>
      <c r="H847" s="408"/>
      <c r="I847" s="408"/>
      <c r="J847" s="408"/>
      <c r="K847" s="408"/>
      <c r="L847" s="408"/>
      <c r="M847" s="408"/>
      <c r="N847" s="408"/>
      <c r="O847" s="408"/>
      <c r="P847" s="408"/>
      <c r="Q847" s="408"/>
      <c r="R847" s="408"/>
      <c r="S847" s="408"/>
      <c r="T847" s="408"/>
      <c r="U847" s="408"/>
      <c r="V847" s="408"/>
      <c r="W847" s="408"/>
      <c r="X847" s="408"/>
      <c r="Y847" s="408"/>
      <c r="Z847" s="408"/>
    </row>
    <row r="848" ht="14.25" customHeight="1">
      <c r="A848" s="408"/>
      <c r="B848" s="408"/>
      <c r="C848" s="408"/>
      <c r="D848" s="408"/>
      <c r="E848" s="408"/>
      <c r="F848" s="408"/>
      <c r="G848" s="408"/>
      <c r="H848" s="408"/>
      <c r="I848" s="408"/>
      <c r="J848" s="408"/>
      <c r="K848" s="408"/>
      <c r="L848" s="408"/>
      <c r="M848" s="408"/>
      <c r="N848" s="408"/>
      <c r="O848" s="408"/>
      <c r="P848" s="408"/>
      <c r="Q848" s="408"/>
      <c r="R848" s="408"/>
      <c r="S848" s="408"/>
      <c r="T848" s="408"/>
      <c r="U848" s="408"/>
      <c r="V848" s="408"/>
      <c r="W848" s="408"/>
      <c r="X848" s="408"/>
      <c r="Y848" s="408"/>
      <c r="Z848" s="408"/>
    </row>
    <row r="849" ht="14.25" customHeight="1">
      <c r="A849" s="408"/>
      <c r="B849" s="408"/>
      <c r="C849" s="408"/>
      <c r="D849" s="408"/>
      <c r="E849" s="408"/>
      <c r="F849" s="408"/>
      <c r="G849" s="408"/>
      <c r="H849" s="408"/>
      <c r="I849" s="408"/>
      <c r="J849" s="408"/>
      <c r="K849" s="408"/>
      <c r="L849" s="408"/>
      <c r="M849" s="408"/>
      <c r="N849" s="408"/>
      <c r="O849" s="408"/>
      <c r="P849" s="408"/>
      <c r="Q849" s="408"/>
      <c r="R849" s="408"/>
      <c r="S849" s="408"/>
      <c r="T849" s="408"/>
      <c r="U849" s="408"/>
      <c r="V849" s="408"/>
      <c r="W849" s="408"/>
      <c r="X849" s="408"/>
      <c r="Y849" s="408"/>
      <c r="Z849" s="408"/>
    </row>
    <row r="850" ht="14.25" customHeight="1">
      <c r="A850" s="408"/>
      <c r="B850" s="408"/>
      <c r="C850" s="408"/>
      <c r="D850" s="408"/>
      <c r="E850" s="408"/>
      <c r="F850" s="408"/>
      <c r="G850" s="408"/>
      <c r="H850" s="408"/>
      <c r="I850" s="408"/>
      <c r="J850" s="408"/>
      <c r="K850" s="408"/>
      <c r="L850" s="408"/>
      <c r="M850" s="408"/>
      <c r="N850" s="408"/>
      <c r="O850" s="408"/>
      <c r="P850" s="408"/>
      <c r="Q850" s="408"/>
      <c r="R850" s="408"/>
      <c r="S850" s="408"/>
      <c r="T850" s="408"/>
      <c r="U850" s="408"/>
      <c r="V850" s="408"/>
      <c r="W850" s="408"/>
      <c r="X850" s="408"/>
      <c r="Y850" s="408"/>
      <c r="Z850" s="408"/>
    </row>
    <row r="851" ht="14.25" customHeight="1">
      <c r="A851" s="408"/>
      <c r="B851" s="408"/>
      <c r="C851" s="408"/>
      <c r="D851" s="408"/>
      <c r="E851" s="408"/>
      <c r="F851" s="408"/>
      <c r="G851" s="408"/>
      <c r="H851" s="408"/>
      <c r="I851" s="408"/>
      <c r="J851" s="408"/>
      <c r="K851" s="408"/>
      <c r="L851" s="408"/>
      <c r="M851" s="408"/>
      <c r="N851" s="408"/>
      <c r="O851" s="408"/>
      <c r="P851" s="408"/>
      <c r="Q851" s="408"/>
      <c r="R851" s="408"/>
      <c r="S851" s="408"/>
      <c r="T851" s="408"/>
      <c r="U851" s="408"/>
      <c r="V851" s="408"/>
      <c r="W851" s="408"/>
      <c r="X851" s="408"/>
      <c r="Y851" s="408"/>
      <c r="Z851" s="408"/>
    </row>
    <row r="852" ht="14.25" customHeight="1">
      <c r="A852" s="408"/>
      <c r="B852" s="408"/>
      <c r="C852" s="408"/>
      <c r="D852" s="408"/>
      <c r="E852" s="408"/>
      <c r="F852" s="408"/>
      <c r="G852" s="408"/>
      <c r="H852" s="408"/>
      <c r="I852" s="408"/>
      <c r="J852" s="408"/>
      <c r="K852" s="408"/>
      <c r="L852" s="408"/>
      <c r="M852" s="408"/>
      <c r="N852" s="408"/>
      <c r="O852" s="408"/>
      <c r="P852" s="408"/>
      <c r="Q852" s="408"/>
      <c r="R852" s="408"/>
      <c r="S852" s="408"/>
      <c r="T852" s="408"/>
      <c r="U852" s="408"/>
      <c r="V852" s="408"/>
      <c r="W852" s="408"/>
      <c r="X852" s="408"/>
      <c r="Y852" s="408"/>
      <c r="Z852" s="408"/>
    </row>
    <row r="853" ht="14.25" customHeight="1">
      <c r="A853" s="408"/>
      <c r="B853" s="408"/>
      <c r="C853" s="408"/>
      <c r="D853" s="408"/>
      <c r="E853" s="408"/>
      <c r="F853" s="408"/>
      <c r="G853" s="408"/>
      <c r="H853" s="408"/>
      <c r="I853" s="408"/>
      <c r="J853" s="408"/>
      <c r="K853" s="408"/>
      <c r="L853" s="408"/>
      <c r="M853" s="408"/>
      <c r="N853" s="408"/>
      <c r="O853" s="408"/>
      <c r="P853" s="408"/>
      <c r="Q853" s="408"/>
      <c r="R853" s="408"/>
      <c r="S853" s="408"/>
      <c r="T853" s="408"/>
      <c r="U853" s="408"/>
      <c r="V853" s="408"/>
      <c r="W853" s="408"/>
      <c r="X853" s="408"/>
      <c r="Y853" s="408"/>
      <c r="Z853" s="408"/>
    </row>
    <row r="854" ht="14.25" customHeight="1">
      <c r="A854" s="408"/>
      <c r="B854" s="408"/>
      <c r="C854" s="408"/>
      <c r="D854" s="408"/>
      <c r="E854" s="408"/>
      <c r="F854" s="408"/>
      <c r="G854" s="408"/>
      <c r="H854" s="408"/>
      <c r="I854" s="408"/>
      <c r="J854" s="408"/>
      <c r="K854" s="408"/>
      <c r="L854" s="408"/>
      <c r="M854" s="408"/>
      <c r="N854" s="408"/>
      <c r="O854" s="408"/>
      <c r="P854" s="408"/>
      <c r="Q854" s="408"/>
      <c r="R854" s="408"/>
      <c r="S854" s="408"/>
      <c r="T854" s="408"/>
      <c r="U854" s="408"/>
      <c r="V854" s="408"/>
      <c r="W854" s="408"/>
      <c r="X854" s="408"/>
      <c r="Y854" s="408"/>
      <c r="Z854" s="408"/>
    </row>
    <row r="855" ht="14.25" customHeight="1">
      <c r="A855" s="408"/>
      <c r="B855" s="408"/>
      <c r="C855" s="408"/>
      <c r="D855" s="408"/>
      <c r="E855" s="408"/>
      <c r="F855" s="408"/>
      <c r="G855" s="408"/>
      <c r="H855" s="408"/>
      <c r="I855" s="408"/>
      <c r="J855" s="408"/>
      <c r="K855" s="408"/>
      <c r="L855" s="408"/>
      <c r="M855" s="408"/>
      <c r="N855" s="408"/>
      <c r="O855" s="408"/>
      <c r="P855" s="408"/>
      <c r="Q855" s="408"/>
      <c r="R855" s="408"/>
      <c r="S855" s="408"/>
      <c r="T855" s="408"/>
      <c r="U855" s="408"/>
      <c r="V855" s="408"/>
      <c r="W855" s="408"/>
      <c r="X855" s="408"/>
      <c r="Y855" s="408"/>
      <c r="Z855" s="408"/>
    </row>
    <row r="856" ht="14.25" customHeight="1">
      <c r="A856" s="408"/>
      <c r="B856" s="408"/>
      <c r="C856" s="408"/>
      <c r="D856" s="408"/>
      <c r="E856" s="408"/>
      <c r="F856" s="408"/>
      <c r="G856" s="408"/>
      <c r="H856" s="408"/>
      <c r="I856" s="408"/>
      <c r="J856" s="408"/>
      <c r="K856" s="408"/>
      <c r="L856" s="408"/>
      <c r="M856" s="408"/>
      <c r="N856" s="408"/>
      <c r="O856" s="408"/>
      <c r="P856" s="408"/>
      <c r="Q856" s="408"/>
      <c r="R856" s="408"/>
      <c r="S856" s="408"/>
      <c r="T856" s="408"/>
      <c r="U856" s="408"/>
      <c r="V856" s="408"/>
      <c r="W856" s="408"/>
      <c r="X856" s="408"/>
      <c r="Y856" s="408"/>
      <c r="Z856" s="408"/>
    </row>
    <row r="857" ht="14.25" customHeight="1">
      <c r="A857" s="408"/>
      <c r="B857" s="408"/>
      <c r="C857" s="408"/>
      <c r="D857" s="408"/>
      <c r="E857" s="408"/>
      <c r="F857" s="408"/>
      <c r="G857" s="408"/>
      <c r="H857" s="408"/>
      <c r="I857" s="408"/>
      <c r="J857" s="408"/>
      <c r="K857" s="408"/>
      <c r="L857" s="408"/>
      <c r="M857" s="408"/>
      <c r="N857" s="408"/>
      <c r="O857" s="408"/>
      <c r="P857" s="408"/>
      <c r="Q857" s="408"/>
      <c r="R857" s="408"/>
      <c r="S857" s="408"/>
      <c r="T857" s="408"/>
      <c r="U857" s="408"/>
      <c r="V857" s="408"/>
      <c r="W857" s="408"/>
      <c r="X857" s="408"/>
      <c r="Y857" s="408"/>
      <c r="Z857" s="408"/>
    </row>
    <row r="858" ht="14.25" customHeight="1">
      <c r="A858" s="408"/>
      <c r="B858" s="408"/>
      <c r="C858" s="408"/>
      <c r="D858" s="408"/>
      <c r="E858" s="408"/>
      <c r="F858" s="408"/>
      <c r="G858" s="408"/>
      <c r="H858" s="408"/>
      <c r="I858" s="408"/>
      <c r="J858" s="408"/>
      <c r="K858" s="408"/>
      <c r="L858" s="408"/>
      <c r="M858" s="408"/>
      <c r="N858" s="408"/>
      <c r="O858" s="408"/>
      <c r="P858" s="408"/>
      <c r="Q858" s="408"/>
      <c r="R858" s="408"/>
      <c r="S858" s="408"/>
      <c r="T858" s="408"/>
      <c r="U858" s="408"/>
      <c r="V858" s="408"/>
      <c r="W858" s="408"/>
      <c r="X858" s="408"/>
      <c r="Y858" s="408"/>
      <c r="Z858" s="408"/>
    </row>
    <row r="859" ht="14.25" customHeight="1">
      <c r="A859" s="408"/>
      <c r="B859" s="408"/>
      <c r="C859" s="408"/>
      <c r="D859" s="408"/>
      <c r="E859" s="408"/>
      <c r="F859" s="408"/>
      <c r="G859" s="408"/>
      <c r="H859" s="408"/>
      <c r="I859" s="408"/>
      <c r="J859" s="408"/>
      <c r="K859" s="408"/>
      <c r="L859" s="408"/>
      <c r="M859" s="408"/>
      <c r="N859" s="408"/>
      <c r="O859" s="408"/>
      <c r="P859" s="408"/>
      <c r="Q859" s="408"/>
      <c r="R859" s="408"/>
      <c r="S859" s="408"/>
      <c r="T859" s="408"/>
      <c r="U859" s="408"/>
      <c r="V859" s="408"/>
      <c r="W859" s="408"/>
      <c r="X859" s="408"/>
      <c r="Y859" s="408"/>
      <c r="Z859" s="408"/>
    </row>
    <row r="860" ht="14.25" customHeight="1">
      <c r="A860" s="408"/>
      <c r="B860" s="408"/>
      <c r="C860" s="408"/>
      <c r="D860" s="408"/>
      <c r="E860" s="408"/>
      <c r="F860" s="408"/>
      <c r="G860" s="408"/>
      <c r="H860" s="408"/>
      <c r="I860" s="408"/>
      <c r="J860" s="408"/>
      <c r="K860" s="408"/>
      <c r="L860" s="408"/>
      <c r="M860" s="408"/>
      <c r="N860" s="408"/>
      <c r="O860" s="408"/>
      <c r="P860" s="408"/>
      <c r="Q860" s="408"/>
      <c r="R860" s="408"/>
      <c r="S860" s="408"/>
      <c r="T860" s="408"/>
      <c r="U860" s="408"/>
      <c r="V860" s="408"/>
      <c r="W860" s="408"/>
      <c r="X860" s="408"/>
      <c r="Y860" s="408"/>
      <c r="Z860" s="408"/>
    </row>
    <row r="861" ht="14.25" customHeight="1">
      <c r="A861" s="408"/>
      <c r="B861" s="408"/>
      <c r="C861" s="408"/>
      <c r="D861" s="408"/>
      <c r="E861" s="408"/>
      <c r="F861" s="408"/>
      <c r="G861" s="408"/>
      <c r="H861" s="408"/>
      <c r="I861" s="408"/>
      <c r="J861" s="408"/>
      <c r="K861" s="408"/>
      <c r="L861" s="408"/>
      <c r="M861" s="408"/>
      <c r="N861" s="408"/>
      <c r="O861" s="408"/>
      <c r="P861" s="408"/>
      <c r="Q861" s="408"/>
      <c r="R861" s="408"/>
      <c r="S861" s="408"/>
      <c r="T861" s="408"/>
      <c r="U861" s="408"/>
      <c r="V861" s="408"/>
      <c r="W861" s="408"/>
      <c r="X861" s="408"/>
      <c r="Y861" s="408"/>
      <c r="Z861" s="408"/>
    </row>
    <row r="862" ht="14.25" customHeight="1">
      <c r="A862" s="408"/>
      <c r="B862" s="408"/>
      <c r="C862" s="408"/>
      <c r="D862" s="408"/>
      <c r="E862" s="408"/>
      <c r="F862" s="408"/>
      <c r="G862" s="408"/>
      <c r="H862" s="408"/>
      <c r="I862" s="408"/>
      <c r="J862" s="408"/>
      <c r="K862" s="408"/>
      <c r="L862" s="408"/>
      <c r="M862" s="408"/>
      <c r="N862" s="408"/>
      <c r="O862" s="408"/>
      <c r="P862" s="408"/>
      <c r="Q862" s="408"/>
      <c r="R862" s="408"/>
      <c r="S862" s="408"/>
      <c r="T862" s="408"/>
      <c r="U862" s="408"/>
      <c r="V862" s="408"/>
      <c r="W862" s="408"/>
      <c r="X862" s="408"/>
      <c r="Y862" s="408"/>
      <c r="Z862" s="408"/>
    </row>
    <row r="863" ht="14.25" customHeight="1">
      <c r="A863" s="408"/>
      <c r="B863" s="408"/>
      <c r="C863" s="408"/>
      <c r="D863" s="408"/>
      <c r="E863" s="408"/>
      <c r="F863" s="408"/>
      <c r="G863" s="408"/>
      <c r="H863" s="408"/>
      <c r="I863" s="408"/>
      <c r="J863" s="408"/>
      <c r="K863" s="408"/>
      <c r="L863" s="408"/>
      <c r="M863" s="408"/>
      <c r="N863" s="408"/>
      <c r="O863" s="408"/>
      <c r="P863" s="408"/>
      <c r="Q863" s="408"/>
      <c r="R863" s="408"/>
      <c r="S863" s="408"/>
      <c r="T863" s="408"/>
      <c r="U863" s="408"/>
      <c r="V863" s="408"/>
      <c r="W863" s="408"/>
      <c r="X863" s="408"/>
      <c r="Y863" s="408"/>
      <c r="Z863" s="408"/>
    </row>
    <row r="864" ht="14.25" customHeight="1">
      <c r="A864" s="408"/>
      <c r="B864" s="408"/>
      <c r="C864" s="408"/>
      <c r="D864" s="408"/>
      <c r="E864" s="408"/>
      <c r="F864" s="408"/>
      <c r="G864" s="408"/>
      <c r="H864" s="408"/>
      <c r="I864" s="408"/>
      <c r="J864" s="408"/>
      <c r="K864" s="408"/>
      <c r="L864" s="408"/>
      <c r="M864" s="408"/>
      <c r="N864" s="408"/>
      <c r="O864" s="408"/>
      <c r="P864" s="408"/>
      <c r="Q864" s="408"/>
      <c r="R864" s="408"/>
      <c r="S864" s="408"/>
      <c r="T864" s="408"/>
      <c r="U864" s="408"/>
      <c r="V864" s="408"/>
      <c r="W864" s="408"/>
      <c r="X864" s="408"/>
      <c r="Y864" s="408"/>
      <c r="Z864" s="408"/>
    </row>
    <row r="865" ht="14.25" customHeight="1">
      <c r="A865" s="408"/>
      <c r="B865" s="408"/>
      <c r="C865" s="408"/>
      <c r="D865" s="408"/>
      <c r="E865" s="408"/>
      <c r="F865" s="408"/>
      <c r="G865" s="408"/>
      <c r="H865" s="408"/>
      <c r="I865" s="408"/>
      <c r="J865" s="408"/>
      <c r="K865" s="408"/>
      <c r="L865" s="408"/>
      <c r="M865" s="408"/>
      <c r="N865" s="408"/>
      <c r="O865" s="408"/>
      <c r="P865" s="408"/>
      <c r="Q865" s="408"/>
      <c r="R865" s="408"/>
      <c r="S865" s="408"/>
      <c r="T865" s="408"/>
      <c r="U865" s="408"/>
      <c r="V865" s="408"/>
      <c r="W865" s="408"/>
      <c r="X865" s="408"/>
      <c r="Y865" s="408"/>
      <c r="Z865" s="408"/>
    </row>
    <row r="866" ht="14.25" customHeight="1">
      <c r="A866" s="408"/>
      <c r="B866" s="408"/>
      <c r="C866" s="408"/>
      <c r="D866" s="408"/>
      <c r="E866" s="408"/>
      <c r="F866" s="408"/>
      <c r="G866" s="408"/>
      <c r="H866" s="408"/>
      <c r="I866" s="408"/>
      <c r="J866" s="408"/>
      <c r="K866" s="408"/>
      <c r="L866" s="408"/>
      <c r="M866" s="408"/>
      <c r="N866" s="408"/>
      <c r="O866" s="408"/>
      <c r="P866" s="408"/>
      <c r="Q866" s="408"/>
      <c r="R866" s="408"/>
      <c r="S866" s="408"/>
      <c r="T866" s="408"/>
      <c r="U866" s="408"/>
      <c r="V866" s="408"/>
      <c r="W866" s="408"/>
      <c r="X866" s="408"/>
      <c r="Y866" s="408"/>
      <c r="Z866" s="408"/>
    </row>
    <row r="867" ht="14.25" customHeight="1">
      <c r="A867" s="408"/>
      <c r="B867" s="408"/>
      <c r="C867" s="408"/>
      <c r="D867" s="408"/>
      <c r="E867" s="408"/>
      <c r="F867" s="408"/>
      <c r="G867" s="408"/>
      <c r="H867" s="408"/>
      <c r="I867" s="408"/>
      <c r="J867" s="408"/>
      <c r="K867" s="408"/>
      <c r="L867" s="408"/>
      <c r="M867" s="408"/>
      <c r="N867" s="408"/>
      <c r="O867" s="408"/>
      <c r="P867" s="408"/>
      <c r="Q867" s="408"/>
      <c r="R867" s="408"/>
      <c r="S867" s="408"/>
      <c r="T867" s="408"/>
      <c r="U867" s="408"/>
      <c r="V867" s="408"/>
      <c r="W867" s="408"/>
      <c r="X867" s="408"/>
      <c r="Y867" s="408"/>
      <c r="Z867" s="408"/>
    </row>
    <row r="868" ht="14.25" customHeight="1">
      <c r="A868" s="408"/>
      <c r="B868" s="408"/>
      <c r="C868" s="408"/>
      <c r="D868" s="408"/>
      <c r="E868" s="408"/>
      <c r="F868" s="408"/>
      <c r="G868" s="408"/>
      <c r="H868" s="408"/>
      <c r="I868" s="408"/>
      <c r="J868" s="408"/>
      <c r="K868" s="408"/>
      <c r="L868" s="408"/>
      <c r="M868" s="408"/>
      <c r="N868" s="408"/>
      <c r="O868" s="408"/>
      <c r="P868" s="408"/>
      <c r="Q868" s="408"/>
      <c r="R868" s="408"/>
      <c r="S868" s="408"/>
      <c r="T868" s="408"/>
      <c r="U868" s="408"/>
      <c r="V868" s="408"/>
      <c r="W868" s="408"/>
      <c r="X868" s="408"/>
      <c r="Y868" s="408"/>
      <c r="Z868" s="408"/>
    </row>
    <row r="869" ht="14.25" customHeight="1">
      <c r="A869" s="408"/>
      <c r="B869" s="408"/>
      <c r="C869" s="408"/>
      <c r="D869" s="408"/>
      <c r="E869" s="408"/>
      <c r="F869" s="408"/>
      <c r="G869" s="408"/>
      <c r="H869" s="408"/>
      <c r="I869" s="408"/>
      <c r="J869" s="408"/>
      <c r="K869" s="408"/>
      <c r="L869" s="408"/>
      <c r="M869" s="408"/>
      <c r="N869" s="408"/>
      <c r="O869" s="408"/>
      <c r="P869" s="408"/>
      <c r="Q869" s="408"/>
      <c r="R869" s="408"/>
      <c r="S869" s="408"/>
      <c r="T869" s="408"/>
      <c r="U869" s="408"/>
      <c r="V869" s="408"/>
      <c r="W869" s="408"/>
      <c r="X869" s="408"/>
      <c r="Y869" s="408"/>
      <c r="Z869" s="408"/>
    </row>
    <row r="870" ht="14.25" customHeight="1">
      <c r="A870" s="408"/>
      <c r="B870" s="408"/>
      <c r="C870" s="408"/>
      <c r="D870" s="408"/>
      <c r="E870" s="408"/>
      <c r="F870" s="408"/>
      <c r="G870" s="408"/>
      <c r="H870" s="408"/>
      <c r="I870" s="408"/>
      <c r="J870" s="408"/>
      <c r="K870" s="408"/>
      <c r="L870" s="408"/>
      <c r="M870" s="408"/>
      <c r="N870" s="408"/>
      <c r="O870" s="408"/>
      <c r="P870" s="408"/>
      <c r="Q870" s="408"/>
      <c r="R870" s="408"/>
      <c r="S870" s="408"/>
      <c r="T870" s="408"/>
      <c r="U870" s="408"/>
      <c r="V870" s="408"/>
      <c r="W870" s="408"/>
      <c r="X870" s="408"/>
      <c r="Y870" s="408"/>
      <c r="Z870" s="408"/>
    </row>
    <row r="871" ht="14.25" customHeight="1">
      <c r="A871" s="408"/>
      <c r="B871" s="408"/>
      <c r="C871" s="408"/>
      <c r="D871" s="408"/>
      <c r="E871" s="408"/>
      <c r="F871" s="408"/>
      <c r="G871" s="408"/>
      <c r="H871" s="408"/>
      <c r="I871" s="408"/>
      <c r="J871" s="408"/>
      <c r="K871" s="408"/>
      <c r="L871" s="408"/>
      <c r="M871" s="408"/>
      <c r="N871" s="408"/>
      <c r="O871" s="408"/>
      <c r="P871" s="408"/>
      <c r="Q871" s="408"/>
      <c r="R871" s="408"/>
      <c r="S871" s="408"/>
      <c r="T871" s="408"/>
      <c r="U871" s="408"/>
      <c r="V871" s="408"/>
      <c r="W871" s="408"/>
      <c r="X871" s="408"/>
      <c r="Y871" s="408"/>
      <c r="Z871" s="408"/>
    </row>
    <row r="872" ht="14.25" customHeight="1">
      <c r="A872" s="408"/>
      <c r="B872" s="408"/>
      <c r="C872" s="408"/>
      <c r="D872" s="408"/>
      <c r="E872" s="408"/>
      <c r="F872" s="408"/>
      <c r="G872" s="408"/>
      <c r="H872" s="408"/>
      <c r="I872" s="408"/>
      <c r="J872" s="408"/>
      <c r="K872" s="408"/>
      <c r="L872" s="408"/>
      <c r="M872" s="408"/>
      <c r="N872" s="408"/>
      <c r="O872" s="408"/>
      <c r="P872" s="408"/>
      <c r="Q872" s="408"/>
      <c r="R872" s="408"/>
      <c r="S872" s="408"/>
      <c r="T872" s="408"/>
      <c r="U872" s="408"/>
      <c r="V872" s="408"/>
      <c r="W872" s="408"/>
      <c r="X872" s="408"/>
      <c r="Y872" s="408"/>
      <c r="Z872" s="408"/>
    </row>
    <row r="873" ht="14.25" customHeight="1">
      <c r="A873" s="408"/>
      <c r="B873" s="408"/>
      <c r="C873" s="408"/>
      <c r="D873" s="408"/>
      <c r="E873" s="408"/>
      <c r="F873" s="408"/>
      <c r="G873" s="408"/>
      <c r="H873" s="408"/>
      <c r="I873" s="408"/>
      <c r="J873" s="408"/>
      <c r="K873" s="408"/>
      <c r="L873" s="408"/>
      <c r="M873" s="408"/>
      <c r="N873" s="408"/>
      <c r="O873" s="408"/>
      <c r="P873" s="408"/>
      <c r="Q873" s="408"/>
      <c r="R873" s="408"/>
      <c r="S873" s="408"/>
      <c r="T873" s="408"/>
      <c r="U873" s="408"/>
      <c r="V873" s="408"/>
      <c r="W873" s="408"/>
      <c r="X873" s="408"/>
      <c r="Y873" s="408"/>
      <c r="Z873" s="408"/>
    </row>
    <row r="874" ht="14.25" customHeight="1">
      <c r="A874" s="408"/>
      <c r="B874" s="408"/>
      <c r="C874" s="408"/>
      <c r="D874" s="408"/>
      <c r="E874" s="408"/>
      <c r="F874" s="408"/>
      <c r="G874" s="408"/>
      <c r="H874" s="408"/>
      <c r="I874" s="408"/>
      <c r="J874" s="408"/>
      <c r="K874" s="408"/>
      <c r="L874" s="408"/>
      <c r="M874" s="408"/>
      <c r="N874" s="408"/>
      <c r="O874" s="408"/>
      <c r="P874" s="408"/>
      <c r="Q874" s="408"/>
      <c r="R874" s="408"/>
      <c r="S874" s="408"/>
      <c r="T874" s="408"/>
      <c r="U874" s="408"/>
      <c r="V874" s="408"/>
      <c r="W874" s="408"/>
      <c r="X874" s="408"/>
      <c r="Y874" s="408"/>
      <c r="Z874" s="408"/>
    </row>
    <row r="875" ht="14.25" customHeight="1">
      <c r="A875" s="408"/>
      <c r="B875" s="408"/>
      <c r="C875" s="408"/>
      <c r="D875" s="408"/>
      <c r="E875" s="408"/>
      <c r="F875" s="408"/>
      <c r="G875" s="408"/>
      <c r="H875" s="408"/>
      <c r="I875" s="408"/>
      <c r="J875" s="408"/>
      <c r="K875" s="408"/>
      <c r="L875" s="408"/>
      <c r="M875" s="408"/>
      <c r="N875" s="408"/>
      <c r="O875" s="408"/>
      <c r="P875" s="408"/>
      <c r="Q875" s="408"/>
      <c r="R875" s="408"/>
      <c r="S875" s="408"/>
      <c r="T875" s="408"/>
      <c r="U875" s="408"/>
      <c r="V875" s="408"/>
      <c r="W875" s="408"/>
      <c r="X875" s="408"/>
      <c r="Y875" s="408"/>
      <c r="Z875" s="408"/>
    </row>
    <row r="876" ht="14.25" customHeight="1">
      <c r="A876" s="408"/>
      <c r="B876" s="408"/>
      <c r="C876" s="408"/>
      <c r="D876" s="408"/>
      <c r="E876" s="408"/>
      <c r="F876" s="408"/>
      <c r="G876" s="408"/>
      <c r="H876" s="408"/>
      <c r="I876" s="408"/>
      <c r="J876" s="408"/>
      <c r="K876" s="408"/>
      <c r="L876" s="408"/>
      <c r="M876" s="408"/>
      <c r="N876" s="408"/>
      <c r="O876" s="408"/>
      <c r="P876" s="408"/>
      <c r="Q876" s="408"/>
      <c r="R876" s="408"/>
      <c r="S876" s="408"/>
      <c r="T876" s="408"/>
      <c r="U876" s="408"/>
      <c r="V876" s="408"/>
      <c r="W876" s="408"/>
      <c r="X876" s="408"/>
      <c r="Y876" s="408"/>
      <c r="Z876" s="408"/>
    </row>
    <row r="877" ht="14.25" customHeight="1">
      <c r="A877" s="408"/>
      <c r="B877" s="408"/>
      <c r="C877" s="408"/>
      <c r="D877" s="408"/>
      <c r="E877" s="408"/>
      <c r="F877" s="408"/>
      <c r="G877" s="408"/>
      <c r="H877" s="408"/>
      <c r="I877" s="408"/>
      <c r="J877" s="408"/>
      <c r="K877" s="408"/>
      <c r="L877" s="408"/>
      <c r="M877" s="408"/>
      <c r="N877" s="408"/>
      <c r="O877" s="408"/>
      <c r="P877" s="408"/>
      <c r="Q877" s="408"/>
      <c r="R877" s="408"/>
      <c r="S877" s="408"/>
      <c r="T877" s="408"/>
      <c r="U877" s="408"/>
      <c r="V877" s="408"/>
      <c r="W877" s="408"/>
      <c r="X877" s="408"/>
      <c r="Y877" s="408"/>
      <c r="Z877" s="408"/>
    </row>
    <row r="878" ht="14.25" customHeight="1">
      <c r="A878" s="408"/>
      <c r="B878" s="408"/>
      <c r="C878" s="408"/>
      <c r="D878" s="408"/>
      <c r="E878" s="408"/>
      <c r="F878" s="408"/>
      <c r="G878" s="408"/>
      <c r="H878" s="408"/>
      <c r="I878" s="408"/>
      <c r="J878" s="408"/>
      <c r="K878" s="408"/>
      <c r="L878" s="408"/>
      <c r="M878" s="408"/>
      <c r="N878" s="408"/>
      <c r="O878" s="408"/>
      <c r="P878" s="408"/>
      <c r="Q878" s="408"/>
      <c r="R878" s="408"/>
      <c r="S878" s="408"/>
      <c r="T878" s="408"/>
      <c r="U878" s="408"/>
      <c r="V878" s="408"/>
      <c r="W878" s="408"/>
      <c r="X878" s="408"/>
      <c r="Y878" s="408"/>
      <c r="Z878" s="408"/>
    </row>
    <row r="879" ht="14.25" customHeight="1">
      <c r="A879" s="408"/>
      <c r="B879" s="408"/>
      <c r="C879" s="408"/>
      <c r="D879" s="408"/>
      <c r="E879" s="408"/>
      <c r="F879" s="408"/>
      <c r="G879" s="408"/>
      <c r="H879" s="408"/>
      <c r="I879" s="408"/>
      <c r="J879" s="408"/>
      <c r="K879" s="408"/>
      <c r="L879" s="408"/>
      <c r="M879" s="408"/>
      <c r="N879" s="408"/>
      <c r="O879" s="408"/>
      <c r="P879" s="408"/>
      <c r="Q879" s="408"/>
      <c r="R879" s="408"/>
      <c r="S879" s="408"/>
      <c r="T879" s="408"/>
      <c r="U879" s="408"/>
      <c r="V879" s="408"/>
      <c r="W879" s="408"/>
      <c r="X879" s="408"/>
      <c r="Y879" s="408"/>
      <c r="Z879" s="408"/>
    </row>
    <row r="880" ht="14.25" customHeight="1">
      <c r="A880" s="408"/>
      <c r="B880" s="408"/>
      <c r="C880" s="408"/>
      <c r="D880" s="408"/>
      <c r="E880" s="408"/>
      <c r="F880" s="408"/>
      <c r="G880" s="408"/>
      <c r="H880" s="408"/>
      <c r="I880" s="408"/>
      <c r="J880" s="408"/>
      <c r="K880" s="408"/>
      <c r="L880" s="408"/>
      <c r="M880" s="408"/>
      <c r="N880" s="408"/>
      <c r="O880" s="408"/>
      <c r="P880" s="408"/>
      <c r="Q880" s="408"/>
      <c r="R880" s="408"/>
      <c r="S880" s="408"/>
      <c r="T880" s="408"/>
      <c r="U880" s="408"/>
      <c r="V880" s="408"/>
      <c r="W880" s="408"/>
      <c r="X880" s="408"/>
      <c r="Y880" s="408"/>
      <c r="Z880" s="408"/>
    </row>
    <row r="881" ht="14.25" customHeight="1">
      <c r="A881" s="408"/>
      <c r="B881" s="408"/>
      <c r="C881" s="408"/>
      <c r="D881" s="408"/>
      <c r="E881" s="408"/>
      <c r="F881" s="408"/>
      <c r="G881" s="408"/>
      <c r="H881" s="408"/>
      <c r="I881" s="408"/>
      <c r="J881" s="408"/>
      <c r="K881" s="408"/>
      <c r="L881" s="408"/>
      <c r="M881" s="408"/>
      <c r="N881" s="408"/>
      <c r="O881" s="408"/>
      <c r="P881" s="408"/>
      <c r="Q881" s="408"/>
      <c r="R881" s="408"/>
      <c r="S881" s="408"/>
      <c r="T881" s="408"/>
      <c r="U881" s="408"/>
      <c r="V881" s="408"/>
      <c r="W881" s="408"/>
      <c r="X881" s="408"/>
      <c r="Y881" s="408"/>
      <c r="Z881" s="408"/>
    </row>
    <row r="882" ht="14.25" customHeight="1">
      <c r="A882" s="408"/>
      <c r="B882" s="408"/>
      <c r="C882" s="408"/>
      <c r="D882" s="408"/>
      <c r="E882" s="408"/>
      <c r="F882" s="408"/>
      <c r="G882" s="408"/>
      <c r="H882" s="408"/>
      <c r="I882" s="408"/>
      <c r="J882" s="408"/>
      <c r="K882" s="408"/>
      <c r="L882" s="408"/>
      <c r="M882" s="408"/>
      <c r="N882" s="408"/>
      <c r="O882" s="408"/>
      <c r="P882" s="408"/>
      <c r="Q882" s="408"/>
      <c r="R882" s="408"/>
      <c r="S882" s="408"/>
      <c r="T882" s="408"/>
      <c r="U882" s="408"/>
      <c r="V882" s="408"/>
      <c r="W882" s="408"/>
      <c r="X882" s="408"/>
      <c r="Y882" s="408"/>
      <c r="Z882" s="408"/>
    </row>
    <row r="883" ht="14.25" customHeight="1">
      <c r="A883" s="408"/>
      <c r="B883" s="408"/>
      <c r="C883" s="408"/>
      <c r="D883" s="408"/>
      <c r="E883" s="408"/>
      <c r="F883" s="408"/>
      <c r="G883" s="408"/>
      <c r="H883" s="408"/>
      <c r="I883" s="408"/>
      <c r="J883" s="408"/>
      <c r="K883" s="408"/>
      <c r="L883" s="408"/>
      <c r="M883" s="408"/>
      <c r="N883" s="408"/>
      <c r="O883" s="408"/>
      <c r="P883" s="408"/>
      <c r="Q883" s="408"/>
      <c r="R883" s="408"/>
      <c r="S883" s="408"/>
      <c r="T883" s="408"/>
      <c r="U883" s="408"/>
      <c r="V883" s="408"/>
      <c r="W883" s="408"/>
      <c r="X883" s="408"/>
      <c r="Y883" s="408"/>
      <c r="Z883" s="408"/>
    </row>
    <row r="884" ht="14.25" customHeight="1">
      <c r="A884" s="408"/>
      <c r="B884" s="408"/>
      <c r="C884" s="408"/>
      <c r="D884" s="408"/>
      <c r="E884" s="408"/>
      <c r="F884" s="408"/>
      <c r="G884" s="408"/>
      <c r="H884" s="408"/>
      <c r="I884" s="408"/>
      <c r="J884" s="408"/>
      <c r="K884" s="408"/>
      <c r="L884" s="408"/>
      <c r="M884" s="408"/>
      <c r="N884" s="408"/>
      <c r="O884" s="408"/>
      <c r="P884" s="408"/>
      <c r="Q884" s="408"/>
      <c r="R884" s="408"/>
      <c r="S884" s="408"/>
      <c r="T884" s="408"/>
      <c r="U884" s="408"/>
      <c r="V884" s="408"/>
      <c r="W884" s="408"/>
      <c r="X884" s="408"/>
      <c r="Y884" s="408"/>
      <c r="Z884" s="408"/>
    </row>
    <row r="885" ht="14.25" customHeight="1">
      <c r="A885" s="408"/>
      <c r="B885" s="408"/>
      <c r="C885" s="408"/>
      <c r="D885" s="408"/>
      <c r="E885" s="408"/>
      <c r="F885" s="408"/>
      <c r="G885" s="408"/>
      <c r="H885" s="408"/>
      <c r="I885" s="408"/>
      <c r="J885" s="408"/>
      <c r="K885" s="408"/>
      <c r="L885" s="408"/>
      <c r="M885" s="408"/>
      <c r="N885" s="408"/>
      <c r="O885" s="408"/>
      <c r="P885" s="408"/>
      <c r="Q885" s="408"/>
      <c r="R885" s="408"/>
      <c r="S885" s="408"/>
      <c r="T885" s="408"/>
      <c r="U885" s="408"/>
      <c r="V885" s="408"/>
      <c r="W885" s="408"/>
      <c r="X885" s="408"/>
      <c r="Y885" s="408"/>
      <c r="Z885" s="408"/>
    </row>
    <row r="886" ht="14.25" customHeight="1">
      <c r="A886" s="408"/>
      <c r="B886" s="408"/>
      <c r="C886" s="408"/>
      <c r="D886" s="408"/>
      <c r="E886" s="408"/>
      <c r="F886" s="408"/>
      <c r="G886" s="408"/>
      <c r="H886" s="408"/>
      <c r="I886" s="408"/>
      <c r="J886" s="408"/>
      <c r="K886" s="408"/>
      <c r="L886" s="408"/>
      <c r="M886" s="408"/>
      <c r="N886" s="408"/>
      <c r="O886" s="408"/>
      <c r="P886" s="408"/>
      <c r="Q886" s="408"/>
      <c r="R886" s="408"/>
      <c r="S886" s="408"/>
      <c r="T886" s="408"/>
      <c r="U886" s="408"/>
      <c r="V886" s="408"/>
      <c r="W886" s="408"/>
      <c r="X886" s="408"/>
      <c r="Y886" s="408"/>
      <c r="Z886" s="408"/>
    </row>
    <row r="887" ht="14.25" customHeight="1">
      <c r="A887" s="408"/>
      <c r="B887" s="408"/>
      <c r="C887" s="408"/>
      <c r="D887" s="408"/>
      <c r="E887" s="408"/>
      <c r="F887" s="408"/>
      <c r="G887" s="408"/>
      <c r="H887" s="408"/>
      <c r="I887" s="408"/>
      <c r="J887" s="408"/>
      <c r="K887" s="408"/>
      <c r="L887" s="408"/>
      <c r="M887" s="408"/>
      <c r="N887" s="408"/>
      <c r="O887" s="408"/>
      <c r="P887" s="408"/>
      <c r="Q887" s="408"/>
      <c r="R887" s="408"/>
      <c r="S887" s="408"/>
      <c r="T887" s="408"/>
      <c r="U887" s="408"/>
      <c r="V887" s="408"/>
      <c r="W887" s="408"/>
      <c r="X887" s="408"/>
      <c r="Y887" s="408"/>
      <c r="Z887" s="408"/>
    </row>
    <row r="888" ht="14.25" customHeight="1">
      <c r="A888" s="408"/>
      <c r="B888" s="408"/>
      <c r="C888" s="408"/>
      <c r="D888" s="408"/>
      <c r="E888" s="408"/>
      <c r="F888" s="408"/>
      <c r="G888" s="408"/>
      <c r="H888" s="408"/>
      <c r="I888" s="408"/>
      <c r="J888" s="408"/>
      <c r="K888" s="408"/>
      <c r="L888" s="408"/>
      <c r="M888" s="408"/>
      <c r="N888" s="408"/>
      <c r="O888" s="408"/>
      <c r="P888" s="408"/>
      <c r="Q888" s="408"/>
      <c r="R888" s="408"/>
      <c r="S888" s="408"/>
      <c r="T888" s="408"/>
      <c r="U888" s="408"/>
      <c r="V888" s="408"/>
      <c r="W888" s="408"/>
      <c r="X888" s="408"/>
      <c r="Y888" s="408"/>
      <c r="Z888" s="408"/>
    </row>
    <row r="889" ht="14.25" customHeight="1">
      <c r="A889" s="408"/>
      <c r="B889" s="408"/>
      <c r="C889" s="408"/>
      <c r="D889" s="408"/>
      <c r="E889" s="408"/>
      <c r="F889" s="408"/>
      <c r="G889" s="408"/>
      <c r="H889" s="408"/>
      <c r="I889" s="408"/>
      <c r="J889" s="408"/>
      <c r="K889" s="408"/>
      <c r="L889" s="408"/>
      <c r="M889" s="408"/>
      <c r="N889" s="408"/>
      <c r="O889" s="408"/>
      <c r="P889" s="408"/>
      <c r="Q889" s="408"/>
      <c r="R889" s="408"/>
      <c r="S889" s="408"/>
      <c r="T889" s="408"/>
      <c r="U889" s="408"/>
      <c r="V889" s="408"/>
      <c r="W889" s="408"/>
      <c r="X889" s="408"/>
      <c r="Y889" s="408"/>
      <c r="Z889" s="408"/>
    </row>
    <row r="890" ht="14.25" customHeight="1">
      <c r="A890" s="408"/>
      <c r="B890" s="408"/>
      <c r="C890" s="408"/>
      <c r="D890" s="408"/>
      <c r="E890" s="408"/>
      <c r="F890" s="408"/>
      <c r="G890" s="408"/>
      <c r="H890" s="408"/>
      <c r="I890" s="408"/>
      <c r="J890" s="408"/>
      <c r="K890" s="408"/>
      <c r="L890" s="408"/>
      <c r="M890" s="408"/>
      <c r="N890" s="408"/>
      <c r="O890" s="408"/>
      <c r="P890" s="408"/>
      <c r="Q890" s="408"/>
      <c r="R890" s="408"/>
      <c r="S890" s="408"/>
      <c r="T890" s="408"/>
      <c r="U890" s="408"/>
      <c r="V890" s="408"/>
      <c r="W890" s="408"/>
      <c r="X890" s="408"/>
      <c r="Y890" s="408"/>
      <c r="Z890" s="408"/>
    </row>
    <row r="891" ht="14.25" customHeight="1">
      <c r="A891" s="408"/>
      <c r="B891" s="408"/>
      <c r="C891" s="408"/>
      <c r="D891" s="408"/>
      <c r="E891" s="408"/>
      <c r="F891" s="408"/>
      <c r="G891" s="408"/>
      <c r="H891" s="408"/>
      <c r="I891" s="408"/>
      <c r="J891" s="408"/>
      <c r="K891" s="408"/>
      <c r="L891" s="408"/>
      <c r="M891" s="408"/>
      <c r="N891" s="408"/>
      <c r="O891" s="408"/>
      <c r="P891" s="408"/>
      <c r="Q891" s="408"/>
      <c r="R891" s="408"/>
      <c r="S891" s="408"/>
      <c r="T891" s="408"/>
      <c r="U891" s="408"/>
      <c r="V891" s="408"/>
      <c r="W891" s="408"/>
      <c r="X891" s="408"/>
      <c r="Y891" s="408"/>
      <c r="Z891" s="408"/>
    </row>
    <row r="892" ht="14.25" customHeight="1">
      <c r="A892" s="408"/>
      <c r="B892" s="408"/>
      <c r="C892" s="408"/>
      <c r="D892" s="408"/>
      <c r="E892" s="408"/>
      <c r="F892" s="408"/>
      <c r="G892" s="408"/>
      <c r="H892" s="408"/>
      <c r="I892" s="408"/>
      <c r="J892" s="408"/>
      <c r="K892" s="408"/>
      <c r="L892" s="408"/>
      <c r="M892" s="408"/>
      <c r="N892" s="408"/>
      <c r="O892" s="408"/>
      <c r="P892" s="408"/>
      <c r="Q892" s="408"/>
      <c r="R892" s="408"/>
      <c r="S892" s="408"/>
      <c r="T892" s="408"/>
      <c r="U892" s="408"/>
      <c r="V892" s="408"/>
      <c r="W892" s="408"/>
      <c r="X892" s="408"/>
      <c r="Y892" s="408"/>
      <c r="Z892" s="408"/>
    </row>
    <row r="893" ht="14.25" customHeight="1">
      <c r="A893" s="408"/>
      <c r="B893" s="408"/>
      <c r="C893" s="408"/>
      <c r="D893" s="408"/>
      <c r="E893" s="408"/>
      <c r="F893" s="408"/>
      <c r="G893" s="408"/>
      <c r="H893" s="408"/>
      <c r="I893" s="408"/>
      <c r="J893" s="408"/>
      <c r="K893" s="408"/>
      <c r="L893" s="408"/>
      <c r="M893" s="408"/>
      <c r="N893" s="408"/>
      <c r="O893" s="408"/>
      <c r="P893" s="408"/>
      <c r="Q893" s="408"/>
      <c r="R893" s="408"/>
      <c r="S893" s="408"/>
      <c r="T893" s="408"/>
      <c r="U893" s="408"/>
      <c r="V893" s="408"/>
      <c r="W893" s="408"/>
      <c r="X893" s="408"/>
      <c r="Y893" s="408"/>
      <c r="Z893" s="408"/>
    </row>
    <row r="894" ht="14.25" customHeight="1">
      <c r="A894" s="408"/>
      <c r="B894" s="408"/>
      <c r="C894" s="408"/>
      <c r="D894" s="408"/>
      <c r="E894" s="408"/>
      <c r="F894" s="408"/>
      <c r="G894" s="408"/>
      <c r="H894" s="408"/>
      <c r="I894" s="408"/>
      <c r="J894" s="408"/>
      <c r="K894" s="408"/>
      <c r="L894" s="408"/>
      <c r="M894" s="408"/>
      <c r="N894" s="408"/>
      <c r="O894" s="408"/>
      <c r="P894" s="408"/>
      <c r="Q894" s="408"/>
      <c r="R894" s="408"/>
      <c r="S894" s="408"/>
      <c r="T894" s="408"/>
      <c r="U894" s="408"/>
      <c r="V894" s="408"/>
      <c r="W894" s="408"/>
      <c r="X894" s="408"/>
      <c r="Y894" s="408"/>
      <c r="Z894" s="408"/>
    </row>
    <row r="895" ht="14.25" customHeight="1">
      <c r="A895" s="408"/>
      <c r="B895" s="408"/>
      <c r="C895" s="408"/>
      <c r="D895" s="408"/>
      <c r="E895" s="408"/>
      <c r="F895" s="408"/>
      <c r="G895" s="408"/>
      <c r="H895" s="408"/>
      <c r="I895" s="408"/>
      <c r="J895" s="408"/>
      <c r="K895" s="408"/>
      <c r="L895" s="408"/>
      <c r="M895" s="408"/>
      <c r="N895" s="408"/>
      <c r="O895" s="408"/>
      <c r="P895" s="408"/>
      <c r="Q895" s="408"/>
      <c r="R895" s="408"/>
      <c r="S895" s="408"/>
      <c r="T895" s="408"/>
      <c r="U895" s="408"/>
      <c r="V895" s="408"/>
      <c r="W895" s="408"/>
      <c r="X895" s="408"/>
      <c r="Y895" s="408"/>
      <c r="Z895" s="408"/>
    </row>
    <row r="896" ht="14.25" customHeight="1">
      <c r="A896" s="408"/>
      <c r="B896" s="408"/>
      <c r="C896" s="408"/>
      <c r="D896" s="408"/>
      <c r="E896" s="408"/>
      <c r="F896" s="408"/>
      <c r="G896" s="408"/>
      <c r="H896" s="408"/>
      <c r="I896" s="408"/>
      <c r="J896" s="408"/>
      <c r="K896" s="408"/>
      <c r="L896" s="408"/>
      <c r="M896" s="408"/>
      <c r="N896" s="408"/>
      <c r="O896" s="408"/>
      <c r="P896" s="408"/>
      <c r="Q896" s="408"/>
      <c r="R896" s="408"/>
      <c r="S896" s="408"/>
      <c r="T896" s="408"/>
      <c r="U896" s="408"/>
      <c r="V896" s="408"/>
      <c r="W896" s="408"/>
      <c r="X896" s="408"/>
      <c r="Y896" s="408"/>
      <c r="Z896" s="408"/>
    </row>
    <row r="897" ht="14.25" customHeight="1">
      <c r="A897" s="408"/>
      <c r="B897" s="408"/>
      <c r="C897" s="408"/>
      <c r="D897" s="408"/>
      <c r="E897" s="408"/>
      <c r="F897" s="408"/>
      <c r="G897" s="408"/>
      <c r="H897" s="408"/>
      <c r="I897" s="408"/>
      <c r="J897" s="408"/>
      <c r="K897" s="408"/>
      <c r="L897" s="408"/>
      <c r="M897" s="408"/>
      <c r="N897" s="408"/>
      <c r="O897" s="408"/>
      <c r="P897" s="408"/>
      <c r="Q897" s="408"/>
      <c r="R897" s="408"/>
      <c r="S897" s="408"/>
      <c r="T897" s="408"/>
      <c r="U897" s="408"/>
      <c r="V897" s="408"/>
      <c r="W897" s="408"/>
      <c r="X897" s="408"/>
      <c r="Y897" s="408"/>
      <c r="Z897" s="408"/>
    </row>
    <row r="898" ht="14.25" customHeight="1">
      <c r="A898" s="408"/>
      <c r="B898" s="408"/>
      <c r="C898" s="408"/>
      <c r="D898" s="408"/>
      <c r="E898" s="408"/>
      <c r="F898" s="408"/>
      <c r="G898" s="408"/>
      <c r="H898" s="408"/>
      <c r="I898" s="408"/>
      <c r="J898" s="408"/>
      <c r="K898" s="408"/>
      <c r="L898" s="408"/>
      <c r="M898" s="408"/>
      <c r="N898" s="408"/>
      <c r="O898" s="408"/>
      <c r="P898" s="408"/>
      <c r="Q898" s="408"/>
      <c r="R898" s="408"/>
      <c r="S898" s="408"/>
      <c r="T898" s="408"/>
      <c r="U898" s="408"/>
      <c r="V898" s="408"/>
      <c r="W898" s="408"/>
      <c r="X898" s="408"/>
      <c r="Y898" s="408"/>
      <c r="Z898" s="408"/>
    </row>
    <row r="899" ht="14.25" customHeight="1">
      <c r="A899" s="408"/>
      <c r="B899" s="408"/>
      <c r="C899" s="408"/>
      <c r="D899" s="408"/>
      <c r="E899" s="408"/>
      <c r="F899" s="408"/>
      <c r="G899" s="408"/>
      <c r="H899" s="408"/>
      <c r="I899" s="408"/>
      <c r="J899" s="408"/>
      <c r="K899" s="408"/>
      <c r="L899" s="408"/>
      <c r="M899" s="408"/>
      <c r="N899" s="408"/>
      <c r="O899" s="408"/>
      <c r="P899" s="408"/>
      <c r="Q899" s="408"/>
      <c r="R899" s="408"/>
      <c r="S899" s="408"/>
      <c r="T899" s="408"/>
      <c r="U899" s="408"/>
      <c r="V899" s="408"/>
      <c r="W899" s="408"/>
      <c r="X899" s="408"/>
      <c r="Y899" s="408"/>
      <c r="Z899" s="408"/>
    </row>
    <row r="900" ht="14.25" customHeight="1">
      <c r="A900" s="408"/>
      <c r="B900" s="408"/>
      <c r="C900" s="408"/>
      <c r="D900" s="408"/>
      <c r="E900" s="408"/>
      <c r="F900" s="408"/>
      <c r="G900" s="408"/>
      <c r="H900" s="408"/>
      <c r="I900" s="408"/>
      <c r="J900" s="408"/>
      <c r="K900" s="408"/>
      <c r="L900" s="408"/>
      <c r="M900" s="408"/>
      <c r="N900" s="408"/>
      <c r="O900" s="408"/>
      <c r="P900" s="408"/>
      <c r="Q900" s="408"/>
      <c r="R900" s="408"/>
      <c r="S900" s="408"/>
      <c r="T900" s="408"/>
      <c r="U900" s="408"/>
      <c r="V900" s="408"/>
      <c r="W900" s="408"/>
      <c r="X900" s="408"/>
      <c r="Y900" s="408"/>
      <c r="Z900" s="408"/>
    </row>
    <row r="901" ht="14.25" customHeight="1">
      <c r="A901" s="408"/>
      <c r="B901" s="408"/>
      <c r="C901" s="408"/>
      <c r="D901" s="408"/>
      <c r="E901" s="408"/>
      <c r="F901" s="408"/>
      <c r="G901" s="408"/>
      <c r="H901" s="408"/>
      <c r="I901" s="408"/>
      <c r="J901" s="408"/>
      <c r="K901" s="408"/>
      <c r="L901" s="408"/>
      <c r="M901" s="408"/>
      <c r="N901" s="408"/>
      <c r="O901" s="408"/>
      <c r="P901" s="408"/>
      <c r="Q901" s="408"/>
      <c r="R901" s="408"/>
      <c r="S901" s="408"/>
      <c r="T901" s="408"/>
      <c r="U901" s="408"/>
      <c r="V901" s="408"/>
      <c r="W901" s="408"/>
      <c r="X901" s="408"/>
      <c r="Y901" s="408"/>
      <c r="Z901" s="408"/>
    </row>
    <row r="902" ht="14.25" customHeight="1">
      <c r="A902" s="408"/>
      <c r="B902" s="408"/>
      <c r="C902" s="408"/>
      <c r="D902" s="408"/>
      <c r="E902" s="408"/>
      <c r="F902" s="408"/>
      <c r="G902" s="408"/>
      <c r="H902" s="408"/>
      <c r="I902" s="408"/>
      <c r="J902" s="408"/>
      <c r="K902" s="408"/>
      <c r="L902" s="408"/>
      <c r="M902" s="408"/>
      <c r="N902" s="408"/>
      <c r="O902" s="408"/>
      <c r="P902" s="408"/>
      <c r="Q902" s="408"/>
      <c r="R902" s="408"/>
      <c r="S902" s="408"/>
      <c r="T902" s="408"/>
      <c r="U902" s="408"/>
      <c r="V902" s="408"/>
      <c r="W902" s="408"/>
      <c r="X902" s="408"/>
      <c r="Y902" s="408"/>
      <c r="Z902" s="408"/>
    </row>
    <row r="903" ht="14.25" customHeight="1">
      <c r="A903" s="408"/>
      <c r="B903" s="408"/>
      <c r="C903" s="408"/>
      <c r="D903" s="408"/>
      <c r="E903" s="408"/>
      <c r="F903" s="408"/>
      <c r="G903" s="408"/>
      <c r="H903" s="408"/>
      <c r="I903" s="408"/>
      <c r="J903" s="408"/>
      <c r="K903" s="408"/>
      <c r="L903" s="408"/>
      <c r="M903" s="408"/>
      <c r="N903" s="408"/>
      <c r="O903" s="408"/>
      <c r="P903" s="408"/>
      <c r="Q903" s="408"/>
      <c r="R903" s="408"/>
      <c r="S903" s="408"/>
      <c r="T903" s="408"/>
      <c r="U903" s="408"/>
      <c r="V903" s="408"/>
      <c r="W903" s="408"/>
      <c r="X903" s="408"/>
      <c r="Y903" s="408"/>
      <c r="Z903" s="408"/>
    </row>
    <row r="904" ht="14.25" customHeight="1">
      <c r="A904" s="408"/>
      <c r="B904" s="408"/>
      <c r="C904" s="408"/>
      <c r="D904" s="408"/>
      <c r="E904" s="408"/>
      <c r="F904" s="408"/>
      <c r="G904" s="408"/>
      <c r="H904" s="408"/>
      <c r="I904" s="408"/>
      <c r="J904" s="408"/>
      <c r="K904" s="408"/>
      <c r="L904" s="408"/>
      <c r="M904" s="408"/>
      <c r="N904" s="408"/>
      <c r="O904" s="408"/>
      <c r="P904" s="408"/>
      <c r="Q904" s="408"/>
      <c r="R904" s="408"/>
      <c r="S904" s="408"/>
      <c r="T904" s="408"/>
      <c r="U904" s="408"/>
      <c r="V904" s="408"/>
      <c r="W904" s="408"/>
      <c r="X904" s="408"/>
      <c r="Y904" s="408"/>
      <c r="Z904" s="408"/>
    </row>
    <row r="905" ht="14.25" customHeight="1">
      <c r="A905" s="408"/>
      <c r="B905" s="408"/>
      <c r="C905" s="408"/>
      <c r="D905" s="408"/>
      <c r="E905" s="408"/>
      <c r="F905" s="408"/>
      <c r="G905" s="408"/>
      <c r="H905" s="408"/>
      <c r="I905" s="408"/>
      <c r="J905" s="408"/>
      <c r="K905" s="408"/>
      <c r="L905" s="408"/>
      <c r="M905" s="408"/>
      <c r="N905" s="408"/>
      <c r="O905" s="408"/>
      <c r="P905" s="408"/>
      <c r="Q905" s="408"/>
      <c r="R905" s="408"/>
      <c r="S905" s="408"/>
      <c r="T905" s="408"/>
      <c r="U905" s="408"/>
      <c r="V905" s="408"/>
      <c r="W905" s="408"/>
      <c r="X905" s="408"/>
      <c r="Y905" s="408"/>
      <c r="Z905" s="408"/>
    </row>
    <row r="906" ht="14.25" customHeight="1">
      <c r="A906" s="408"/>
      <c r="B906" s="408"/>
      <c r="C906" s="408"/>
      <c r="D906" s="408"/>
      <c r="E906" s="408"/>
      <c r="F906" s="408"/>
      <c r="G906" s="408"/>
      <c r="H906" s="408"/>
      <c r="I906" s="408"/>
      <c r="J906" s="408"/>
      <c r="K906" s="408"/>
      <c r="L906" s="408"/>
      <c r="M906" s="408"/>
      <c r="N906" s="408"/>
      <c r="O906" s="408"/>
      <c r="P906" s="408"/>
      <c r="Q906" s="408"/>
      <c r="R906" s="408"/>
      <c r="S906" s="408"/>
      <c r="T906" s="408"/>
      <c r="U906" s="408"/>
      <c r="V906" s="408"/>
      <c r="W906" s="408"/>
      <c r="X906" s="408"/>
      <c r="Y906" s="408"/>
      <c r="Z906" s="408"/>
    </row>
    <row r="907" ht="14.25" customHeight="1">
      <c r="A907" s="408"/>
      <c r="B907" s="408"/>
      <c r="C907" s="408"/>
      <c r="D907" s="408"/>
      <c r="E907" s="408"/>
      <c r="F907" s="408"/>
      <c r="G907" s="408"/>
      <c r="H907" s="408"/>
      <c r="I907" s="408"/>
      <c r="J907" s="408"/>
      <c r="K907" s="408"/>
      <c r="L907" s="408"/>
      <c r="M907" s="408"/>
      <c r="N907" s="408"/>
      <c r="O907" s="408"/>
      <c r="P907" s="408"/>
      <c r="Q907" s="408"/>
      <c r="R907" s="408"/>
      <c r="S907" s="408"/>
      <c r="T907" s="408"/>
      <c r="U907" s="408"/>
      <c r="V907" s="408"/>
      <c r="W907" s="408"/>
      <c r="X907" s="408"/>
      <c r="Y907" s="408"/>
      <c r="Z907" s="408"/>
    </row>
    <row r="908" ht="14.25" customHeight="1">
      <c r="A908" s="408"/>
      <c r="B908" s="408"/>
      <c r="C908" s="408"/>
      <c r="D908" s="408"/>
      <c r="E908" s="408"/>
      <c r="F908" s="408"/>
      <c r="G908" s="408"/>
      <c r="H908" s="408"/>
      <c r="I908" s="408"/>
      <c r="J908" s="408"/>
      <c r="K908" s="408"/>
      <c r="L908" s="408"/>
      <c r="M908" s="408"/>
      <c r="N908" s="408"/>
      <c r="O908" s="408"/>
      <c r="P908" s="408"/>
      <c r="Q908" s="408"/>
      <c r="R908" s="408"/>
      <c r="S908" s="408"/>
      <c r="T908" s="408"/>
      <c r="U908" s="408"/>
      <c r="V908" s="408"/>
      <c r="W908" s="408"/>
      <c r="X908" s="408"/>
      <c r="Y908" s="408"/>
      <c r="Z908" s="408"/>
    </row>
    <row r="909" ht="14.25" customHeight="1">
      <c r="A909" s="408"/>
      <c r="B909" s="408"/>
      <c r="C909" s="408"/>
      <c r="D909" s="408"/>
      <c r="E909" s="408"/>
      <c r="F909" s="408"/>
      <c r="G909" s="408"/>
      <c r="H909" s="408"/>
      <c r="I909" s="408"/>
      <c r="J909" s="408"/>
      <c r="K909" s="408"/>
      <c r="L909" s="408"/>
      <c r="M909" s="408"/>
      <c r="N909" s="408"/>
      <c r="O909" s="408"/>
      <c r="P909" s="408"/>
      <c r="Q909" s="408"/>
      <c r="R909" s="408"/>
      <c r="S909" s="408"/>
      <c r="T909" s="408"/>
      <c r="U909" s="408"/>
      <c r="V909" s="408"/>
      <c r="W909" s="408"/>
      <c r="X909" s="408"/>
      <c r="Y909" s="408"/>
      <c r="Z909" s="408"/>
    </row>
    <row r="910" ht="14.25" customHeight="1">
      <c r="A910" s="408"/>
      <c r="B910" s="408"/>
      <c r="C910" s="408"/>
      <c r="D910" s="408"/>
      <c r="E910" s="408"/>
      <c r="F910" s="408"/>
      <c r="G910" s="408"/>
      <c r="H910" s="408"/>
      <c r="I910" s="408"/>
      <c r="J910" s="408"/>
      <c r="K910" s="408"/>
      <c r="L910" s="408"/>
      <c r="M910" s="408"/>
      <c r="N910" s="408"/>
      <c r="O910" s="408"/>
      <c r="P910" s="408"/>
      <c r="Q910" s="408"/>
      <c r="R910" s="408"/>
      <c r="S910" s="408"/>
      <c r="T910" s="408"/>
      <c r="U910" s="408"/>
      <c r="V910" s="408"/>
      <c r="W910" s="408"/>
      <c r="X910" s="408"/>
      <c r="Y910" s="408"/>
      <c r="Z910" s="408"/>
    </row>
    <row r="911" ht="14.25" customHeight="1">
      <c r="A911" s="408"/>
      <c r="B911" s="408"/>
      <c r="C911" s="408"/>
      <c r="D911" s="408"/>
      <c r="E911" s="408"/>
      <c r="F911" s="408"/>
      <c r="G911" s="408"/>
      <c r="H911" s="408"/>
      <c r="I911" s="408"/>
      <c r="J911" s="408"/>
      <c r="K911" s="408"/>
      <c r="L911" s="408"/>
      <c r="M911" s="408"/>
      <c r="N911" s="408"/>
      <c r="O911" s="408"/>
      <c r="P911" s="408"/>
      <c r="Q911" s="408"/>
      <c r="R911" s="408"/>
      <c r="S911" s="408"/>
      <c r="T911" s="408"/>
      <c r="U911" s="408"/>
      <c r="V911" s="408"/>
      <c r="W911" s="408"/>
      <c r="X911" s="408"/>
      <c r="Y911" s="408"/>
      <c r="Z911" s="408"/>
    </row>
    <row r="912" ht="14.25" customHeight="1">
      <c r="A912" s="408"/>
      <c r="B912" s="408"/>
      <c r="C912" s="408"/>
      <c r="D912" s="408"/>
      <c r="E912" s="408"/>
      <c r="F912" s="408"/>
      <c r="G912" s="408"/>
      <c r="H912" s="408"/>
      <c r="I912" s="408"/>
      <c r="J912" s="408"/>
      <c r="K912" s="408"/>
      <c r="L912" s="408"/>
      <c r="M912" s="408"/>
      <c r="N912" s="408"/>
      <c r="O912" s="408"/>
      <c r="P912" s="408"/>
      <c r="Q912" s="408"/>
      <c r="R912" s="408"/>
      <c r="S912" s="408"/>
      <c r="T912" s="408"/>
      <c r="U912" s="408"/>
      <c r="V912" s="408"/>
      <c r="W912" s="408"/>
      <c r="X912" s="408"/>
      <c r="Y912" s="408"/>
      <c r="Z912" s="408"/>
    </row>
    <row r="913" ht="14.25" customHeight="1">
      <c r="A913" s="408"/>
      <c r="B913" s="408"/>
      <c r="C913" s="408"/>
      <c r="D913" s="408"/>
      <c r="E913" s="408"/>
      <c r="F913" s="408"/>
      <c r="G913" s="408"/>
      <c r="H913" s="408"/>
      <c r="I913" s="408"/>
      <c r="J913" s="408"/>
      <c r="K913" s="408"/>
      <c r="L913" s="408"/>
      <c r="M913" s="408"/>
      <c r="N913" s="408"/>
      <c r="O913" s="408"/>
      <c r="P913" s="408"/>
      <c r="Q913" s="408"/>
      <c r="R913" s="408"/>
      <c r="S913" s="408"/>
      <c r="T913" s="408"/>
      <c r="U913" s="408"/>
      <c r="V913" s="408"/>
      <c r="W913" s="408"/>
      <c r="X913" s="408"/>
      <c r="Y913" s="408"/>
      <c r="Z913" s="408"/>
    </row>
    <row r="914" ht="14.25" customHeight="1">
      <c r="A914" s="408"/>
      <c r="B914" s="408"/>
      <c r="C914" s="408"/>
      <c r="D914" s="408"/>
      <c r="E914" s="408"/>
      <c r="F914" s="408"/>
      <c r="G914" s="408"/>
      <c r="H914" s="408"/>
      <c r="I914" s="408"/>
      <c r="J914" s="408"/>
      <c r="K914" s="408"/>
      <c r="L914" s="408"/>
      <c r="M914" s="408"/>
      <c r="N914" s="408"/>
      <c r="O914" s="408"/>
      <c r="P914" s="408"/>
      <c r="Q914" s="408"/>
      <c r="R914" s="408"/>
      <c r="S914" s="408"/>
      <c r="T914" s="408"/>
      <c r="U914" s="408"/>
      <c r="V914" s="408"/>
      <c r="W914" s="408"/>
      <c r="X914" s="408"/>
      <c r="Y914" s="408"/>
      <c r="Z914" s="408"/>
    </row>
    <row r="915" ht="14.25" customHeight="1">
      <c r="A915" s="408"/>
      <c r="B915" s="408"/>
      <c r="C915" s="408"/>
      <c r="D915" s="408"/>
      <c r="E915" s="408"/>
      <c r="F915" s="408"/>
      <c r="G915" s="408"/>
      <c r="H915" s="408"/>
      <c r="I915" s="408"/>
      <c r="J915" s="408"/>
      <c r="K915" s="408"/>
      <c r="L915" s="408"/>
      <c r="M915" s="408"/>
      <c r="N915" s="408"/>
      <c r="O915" s="408"/>
      <c r="P915" s="408"/>
      <c r="Q915" s="408"/>
      <c r="R915" s="408"/>
      <c r="S915" s="408"/>
      <c r="T915" s="408"/>
      <c r="U915" s="408"/>
      <c r="V915" s="408"/>
      <c r="W915" s="408"/>
      <c r="X915" s="408"/>
      <c r="Y915" s="408"/>
      <c r="Z915" s="408"/>
    </row>
    <row r="916" ht="14.25" customHeight="1">
      <c r="A916" s="408"/>
      <c r="B916" s="408"/>
      <c r="C916" s="408"/>
      <c r="D916" s="408"/>
      <c r="E916" s="408"/>
      <c r="F916" s="408"/>
      <c r="G916" s="408"/>
      <c r="H916" s="408"/>
      <c r="I916" s="408"/>
      <c r="J916" s="408"/>
      <c r="K916" s="408"/>
      <c r="L916" s="408"/>
      <c r="M916" s="408"/>
      <c r="N916" s="408"/>
      <c r="O916" s="408"/>
      <c r="P916" s="408"/>
      <c r="Q916" s="408"/>
      <c r="R916" s="408"/>
      <c r="S916" s="408"/>
      <c r="T916" s="408"/>
      <c r="U916" s="408"/>
      <c r="V916" s="408"/>
      <c r="W916" s="408"/>
      <c r="X916" s="408"/>
      <c r="Y916" s="408"/>
      <c r="Z916" s="408"/>
    </row>
    <row r="917" ht="14.25" customHeight="1">
      <c r="A917" s="408"/>
      <c r="B917" s="408"/>
      <c r="C917" s="408"/>
      <c r="D917" s="408"/>
      <c r="E917" s="408"/>
      <c r="F917" s="408"/>
      <c r="G917" s="408"/>
      <c r="H917" s="408"/>
      <c r="I917" s="408"/>
      <c r="J917" s="408"/>
      <c r="K917" s="408"/>
      <c r="L917" s="408"/>
      <c r="M917" s="408"/>
      <c r="N917" s="408"/>
      <c r="O917" s="408"/>
      <c r="P917" s="408"/>
      <c r="Q917" s="408"/>
      <c r="R917" s="408"/>
      <c r="S917" s="408"/>
      <c r="T917" s="408"/>
      <c r="U917" s="408"/>
      <c r="V917" s="408"/>
      <c r="W917" s="408"/>
      <c r="X917" s="408"/>
      <c r="Y917" s="408"/>
      <c r="Z917" s="408"/>
    </row>
    <row r="918" ht="14.25" customHeight="1">
      <c r="A918" s="408"/>
      <c r="B918" s="408"/>
      <c r="C918" s="408"/>
      <c r="D918" s="408"/>
      <c r="E918" s="408"/>
      <c r="F918" s="408"/>
      <c r="G918" s="408"/>
      <c r="H918" s="408"/>
      <c r="I918" s="408"/>
      <c r="J918" s="408"/>
      <c r="K918" s="408"/>
      <c r="L918" s="408"/>
      <c r="M918" s="408"/>
      <c r="N918" s="408"/>
      <c r="O918" s="408"/>
      <c r="P918" s="408"/>
      <c r="Q918" s="408"/>
      <c r="R918" s="408"/>
      <c r="S918" s="408"/>
      <c r="T918" s="408"/>
      <c r="U918" s="408"/>
      <c r="V918" s="408"/>
      <c r="W918" s="408"/>
      <c r="X918" s="408"/>
      <c r="Y918" s="408"/>
      <c r="Z918" s="408"/>
    </row>
    <row r="919" ht="14.25" customHeight="1">
      <c r="A919" s="408"/>
      <c r="B919" s="408"/>
      <c r="C919" s="408"/>
      <c r="D919" s="408"/>
      <c r="E919" s="408"/>
      <c r="F919" s="408"/>
      <c r="G919" s="408"/>
      <c r="H919" s="408"/>
      <c r="I919" s="408"/>
      <c r="J919" s="408"/>
      <c r="K919" s="408"/>
      <c r="L919" s="408"/>
      <c r="M919" s="408"/>
      <c r="N919" s="408"/>
      <c r="O919" s="408"/>
      <c r="P919" s="408"/>
      <c r="Q919" s="408"/>
      <c r="R919" s="408"/>
      <c r="S919" s="408"/>
      <c r="T919" s="408"/>
      <c r="U919" s="408"/>
      <c r="V919" s="408"/>
      <c r="W919" s="408"/>
      <c r="X919" s="408"/>
      <c r="Y919" s="408"/>
      <c r="Z919" s="408"/>
    </row>
    <row r="920" ht="14.25" customHeight="1">
      <c r="A920" s="408"/>
      <c r="B920" s="408"/>
      <c r="C920" s="408"/>
      <c r="D920" s="408"/>
      <c r="E920" s="408"/>
      <c r="F920" s="408"/>
      <c r="G920" s="408"/>
      <c r="H920" s="408"/>
      <c r="I920" s="408"/>
      <c r="J920" s="408"/>
      <c r="K920" s="408"/>
      <c r="L920" s="408"/>
      <c r="M920" s="408"/>
      <c r="N920" s="408"/>
      <c r="O920" s="408"/>
      <c r="P920" s="408"/>
      <c r="Q920" s="408"/>
      <c r="R920" s="408"/>
      <c r="S920" s="408"/>
      <c r="T920" s="408"/>
      <c r="U920" s="408"/>
      <c r="V920" s="408"/>
      <c r="W920" s="408"/>
      <c r="X920" s="408"/>
      <c r="Y920" s="408"/>
      <c r="Z920" s="408"/>
    </row>
    <row r="921" ht="14.25" customHeight="1">
      <c r="A921" s="408"/>
      <c r="B921" s="408"/>
      <c r="C921" s="408"/>
      <c r="D921" s="408"/>
      <c r="E921" s="408"/>
      <c r="F921" s="408"/>
      <c r="G921" s="408"/>
      <c r="H921" s="408"/>
      <c r="I921" s="408"/>
      <c r="J921" s="408"/>
      <c r="K921" s="408"/>
      <c r="L921" s="408"/>
      <c r="M921" s="408"/>
      <c r="N921" s="408"/>
      <c r="O921" s="408"/>
      <c r="P921" s="408"/>
      <c r="Q921" s="408"/>
      <c r="R921" s="408"/>
      <c r="S921" s="408"/>
      <c r="T921" s="408"/>
      <c r="U921" s="408"/>
      <c r="V921" s="408"/>
      <c r="W921" s="408"/>
      <c r="X921" s="408"/>
      <c r="Y921" s="408"/>
      <c r="Z921" s="408"/>
    </row>
    <row r="922" ht="14.25" customHeight="1">
      <c r="A922" s="408"/>
      <c r="B922" s="408"/>
      <c r="C922" s="408"/>
      <c r="D922" s="408"/>
      <c r="E922" s="408"/>
      <c r="F922" s="408"/>
      <c r="G922" s="408"/>
      <c r="H922" s="408"/>
      <c r="I922" s="408"/>
      <c r="J922" s="408"/>
      <c r="K922" s="408"/>
      <c r="L922" s="408"/>
      <c r="M922" s="408"/>
      <c r="N922" s="408"/>
      <c r="O922" s="408"/>
      <c r="P922" s="408"/>
      <c r="Q922" s="408"/>
      <c r="R922" s="408"/>
      <c r="S922" s="408"/>
      <c r="T922" s="408"/>
      <c r="U922" s="408"/>
      <c r="V922" s="408"/>
      <c r="W922" s="408"/>
      <c r="X922" s="408"/>
      <c r="Y922" s="408"/>
      <c r="Z922" s="408"/>
    </row>
    <row r="923" ht="14.25" customHeight="1">
      <c r="A923" s="408"/>
      <c r="B923" s="408"/>
      <c r="C923" s="408"/>
      <c r="D923" s="408"/>
      <c r="E923" s="408"/>
      <c r="F923" s="408"/>
      <c r="G923" s="408"/>
      <c r="H923" s="408"/>
      <c r="I923" s="408"/>
      <c r="J923" s="408"/>
      <c r="K923" s="408"/>
      <c r="L923" s="408"/>
      <c r="M923" s="408"/>
      <c r="N923" s="408"/>
      <c r="O923" s="408"/>
      <c r="P923" s="408"/>
      <c r="Q923" s="408"/>
      <c r="R923" s="408"/>
      <c r="S923" s="408"/>
      <c r="T923" s="408"/>
      <c r="U923" s="408"/>
      <c r="V923" s="408"/>
      <c r="W923" s="408"/>
      <c r="X923" s="408"/>
      <c r="Y923" s="408"/>
      <c r="Z923" s="408"/>
    </row>
    <row r="924" ht="14.25" customHeight="1">
      <c r="A924" s="408"/>
      <c r="B924" s="408"/>
      <c r="C924" s="408"/>
      <c r="D924" s="408"/>
      <c r="E924" s="408"/>
      <c r="F924" s="408"/>
      <c r="G924" s="408"/>
      <c r="H924" s="408"/>
      <c r="I924" s="408"/>
      <c r="J924" s="408"/>
      <c r="K924" s="408"/>
      <c r="L924" s="408"/>
      <c r="M924" s="408"/>
      <c r="N924" s="408"/>
      <c r="O924" s="408"/>
      <c r="P924" s="408"/>
      <c r="Q924" s="408"/>
      <c r="R924" s="408"/>
      <c r="S924" s="408"/>
      <c r="T924" s="408"/>
      <c r="U924" s="408"/>
      <c r="V924" s="408"/>
      <c r="W924" s="408"/>
      <c r="X924" s="408"/>
      <c r="Y924" s="408"/>
      <c r="Z924" s="408"/>
    </row>
    <row r="925" ht="14.25" customHeight="1">
      <c r="A925" s="408"/>
      <c r="B925" s="408"/>
      <c r="C925" s="408"/>
      <c r="D925" s="408"/>
      <c r="E925" s="408"/>
      <c r="F925" s="408"/>
      <c r="G925" s="408"/>
      <c r="H925" s="408"/>
      <c r="I925" s="408"/>
      <c r="J925" s="408"/>
      <c r="K925" s="408"/>
      <c r="L925" s="408"/>
      <c r="M925" s="408"/>
      <c r="N925" s="408"/>
      <c r="O925" s="408"/>
      <c r="P925" s="408"/>
      <c r="Q925" s="408"/>
      <c r="R925" s="408"/>
      <c r="S925" s="408"/>
      <c r="T925" s="408"/>
      <c r="U925" s="408"/>
      <c r="V925" s="408"/>
      <c r="W925" s="408"/>
      <c r="X925" s="408"/>
      <c r="Y925" s="408"/>
      <c r="Z925" s="408"/>
    </row>
    <row r="926" ht="14.25" customHeight="1">
      <c r="A926" s="408"/>
      <c r="B926" s="408"/>
      <c r="C926" s="408"/>
      <c r="D926" s="408"/>
      <c r="E926" s="408"/>
      <c r="F926" s="408"/>
      <c r="G926" s="408"/>
      <c r="H926" s="408"/>
      <c r="I926" s="408"/>
      <c r="J926" s="408"/>
      <c r="K926" s="408"/>
      <c r="L926" s="408"/>
      <c r="M926" s="408"/>
      <c r="N926" s="408"/>
      <c r="O926" s="408"/>
      <c r="P926" s="408"/>
      <c r="Q926" s="408"/>
      <c r="R926" s="408"/>
      <c r="S926" s="408"/>
      <c r="T926" s="408"/>
      <c r="U926" s="408"/>
      <c r="V926" s="408"/>
      <c r="W926" s="408"/>
      <c r="X926" s="408"/>
      <c r="Y926" s="408"/>
      <c r="Z926" s="408"/>
    </row>
    <row r="927" ht="14.25" customHeight="1">
      <c r="A927" s="408"/>
      <c r="B927" s="408"/>
      <c r="C927" s="408"/>
      <c r="D927" s="408"/>
      <c r="E927" s="408"/>
      <c r="F927" s="408"/>
      <c r="G927" s="408"/>
      <c r="H927" s="408"/>
      <c r="I927" s="408"/>
      <c r="J927" s="408"/>
      <c r="K927" s="408"/>
      <c r="L927" s="408"/>
      <c r="M927" s="408"/>
      <c r="N927" s="408"/>
      <c r="O927" s="408"/>
      <c r="P927" s="408"/>
      <c r="Q927" s="408"/>
      <c r="R927" s="408"/>
      <c r="S927" s="408"/>
      <c r="T927" s="408"/>
      <c r="U927" s="408"/>
      <c r="V927" s="408"/>
      <c r="W927" s="408"/>
      <c r="X927" s="408"/>
      <c r="Y927" s="408"/>
      <c r="Z927" s="408"/>
    </row>
    <row r="928" ht="14.25" customHeight="1">
      <c r="A928" s="408"/>
      <c r="B928" s="408"/>
      <c r="C928" s="408"/>
      <c r="D928" s="408"/>
      <c r="E928" s="408"/>
      <c r="F928" s="408"/>
      <c r="G928" s="408"/>
      <c r="H928" s="408"/>
      <c r="I928" s="408"/>
      <c r="J928" s="408"/>
      <c r="K928" s="408"/>
      <c r="L928" s="408"/>
      <c r="M928" s="408"/>
      <c r="N928" s="408"/>
      <c r="O928" s="408"/>
      <c r="P928" s="408"/>
      <c r="Q928" s="408"/>
      <c r="R928" s="408"/>
      <c r="S928" s="408"/>
      <c r="T928" s="408"/>
      <c r="U928" s="408"/>
      <c r="V928" s="408"/>
      <c r="W928" s="408"/>
      <c r="X928" s="408"/>
      <c r="Y928" s="408"/>
      <c r="Z928" s="408"/>
    </row>
    <row r="929" ht="14.25" customHeight="1">
      <c r="A929" s="408"/>
      <c r="B929" s="408"/>
      <c r="C929" s="408"/>
      <c r="D929" s="408"/>
      <c r="E929" s="408"/>
      <c r="F929" s="408"/>
      <c r="G929" s="408"/>
      <c r="H929" s="408"/>
      <c r="I929" s="408"/>
      <c r="J929" s="408"/>
      <c r="K929" s="408"/>
      <c r="L929" s="408"/>
      <c r="M929" s="408"/>
      <c r="N929" s="408"/>
      <c r="O929" s="408"/>
      <c r="P929" s="408"/>
      <c r="Q929" s="408"/>
      <c r="R929" s="408"/>
      <c r="S929" s="408"/>
      <c r="T929" s="408"/>
      <c r="U929" s="408"/>
      <c r="V929" s="408"/>
      <c r="W929" s="408"/>
      <c r="X929" s="408"/>
      <c r="Y929" s="408"/>
      <c r="Z929" s="408"/>
    </row>
    <row r="930" ht="14.25" customHeight="1">
      <c r="A930" s="408"/>
      <c r="B930" s="408"/>
      <c r="C930" s="408"/>
      <c r="D930" s="408"/>
      <c r="E930" s="408"/>
      <c r="F930" s="408"/>
      <c r="G930" s="408"/>
      <c r="H930" s="408"/>
      <c r="I930" s="408"/>
      <c r="J930" s="408"/>
      <c r="K930" s="408"/>
      <c r="L930" s="408"/>
      <c r="M930" s="408"/>
      <c r="N930" s="408"/>
      <c r="O930" s="408"/>
      <c r="P930" s="408"/>
      <c r="Q930" s="408"/>
      <c r="R930" s="408"/>
      <c r="S930" s="408"/>
      <c r="T930" s="408"/>
      <c r="U930" s="408"/>
      <c r="V930" s="408"/>
      <c r="W930" s="408"/>
      <c r="X930" s="408"/>
      <c r="Y930" s="408"/>
      <c r="Z930" s="408"/>
    </row>
    <row r="931" ht="14.25" customHeight="1">
      <c r="A931" s="408"/>
      <c r="B931" s="408"/>
      <c r="C931" s="408"/>
      <c r="D931" s="408"/>
      <c r="E931" s="408"/>
      <c r="F931" s="408"/>
      <c r="G931" s="408"/>
      <c r="H931" s="408"/>
      <c r="I931" s="408"/>
      <c r="J931" s="408"/>
      <c r="K931" s="408"/>
      <c r="L931" s="408"/>
      <c r="M931" s="408"/>
      <c r="N931" s="408"/>
      <c r="O931" s="408"/>
      <c r="P931" s="408"/>
      <c r="Q931" s="408"/>
      <c r="R931" s="408"/>
      <c r="S931" s="408"/>
      <c r="T931" s="408"/>
      <c r="U931" s="408"/>
      <c r="V931" s="408"/>
      <c r="W931" s="408"/>
      <c r="X931" s="408"/>
      <c r="Y931" s="408"/>
      <c r="Z931" s="408"/>
    </row>
    <row r="932" ht="14.25" customHeight="1">
      <c r="A932" s="408"/>
      <c r="B932" s="408"/>
      <c r="C932" s="408"/>
      <c r="D932" s="408"/>
      <c r="E932" s="408"/>
      <c r="F932" s="408"/>
      <c r="G932" s="408"/>
      <c r="H932" s="408"/>
      <c r="I932" s="408"/>
      <c r="J932" s="408"/>
      <c r="K932" s="408"/>
      <c r="L932" s="408"/>
      <c r="M932" s="408"/>
      <c r="N932" s="408"/>
      <c r="O932" s="408"/>
      <c r="P932" s="408"/>
      <c r="Q932" s="408"/>
      <c r="R932" s="408"/>
      <c r="S932" s="408"/>
      <c r="T932" s="408"/>
      <c r="U932" s="408"/>
      <c r="V932" s="408"/>
      <c r="W932" s="408"/>
      <c r="X932" s="408"/>
      <c r="Y932" s="408"/>
      <c r="Z932" s="408"/>
    </row>
    <row r="933" ht="14.25" customHeight="1">
      <c r="A933" s="408"/>
      <c r="B933" s="408"/>
      <c r="C933" s="408"/>
      <c r="D933" s="408"/>
      <c r="E933" s="408"/>
      <c r="F933" s="408"/>
      <c r="G933" s="408"/>
      <c r="H933" s="408"/>
      <c r="I933" s="408"/>
      <c r="J933" s="408"/>
      <c r="K933" s="408"/>
      <c r="L933" s="408"/>
      <c r="M933" s="408"/>
      <c r="N933" s="408"/>
      <c r="O933" s="408"/>
      <c r="P933" s="408"/>
      <c r="Q933" s="408"/>
      <c r="R933" s="408"/>
      <c r="S933" s="408"/>
      <c r="T933" s="408"/>
      <c r="U933" s="408"/>
      <c r="V933" s="408"/>
      <c r="W933" s="408"/>
      <c r="X933" s="408"/>
      <c r="Y933" s="408"/>
      <c r="Z933" s="408"/>
    </row>
    <row r="934" ht="14.25" customHeight="1">
      <c r="A934" s="408"/>
      <c r="B934" s="408"/>
      <c r="C934" s="408"/>
      <c r="D934" s="408"/>
      <c r="E934" s="408"/>
      <c r="F934" s="408"/>
      <c r="G934" s="408"/>
      <c r="H934" s="408"/>
      <c r="I934" s="408"/>
      <c r="J934" s="408"/>
      <c r="K934" s="408"/>
      <c r="L934" s="408"/>
      <c r="M934" s="408"/>
      <c r="N934" s="408"/>
      <c r="O934" s="408"/>
      <c r="P934" s="408"/>
      <c r="Q934" s="408"/>
      <c r="R934" s="408"/>
      <c r="S934" s="408"/>
      <c r="T934" s="408"/>
      <c r="U934" s="408"/>
      <c r="V934" s="408"/>
      <c r="W934" s="408"/>
      <c r="X934" s="408"/>
      <c r="Y934" s="408"/>
      <c r="Z934" s="408"/>
    </row>
    <row r="935" ht="14.25" customHeight="1">
      <c r="A935" s="408"/>
      <c r="B935" s="408"/>
      <c r="C935" s="408"/>
      <c r="D935" s="408"/>
      <c r="E935" s="408"/>
      <c r="F935" s="408"/>
      <c r="G935" s="408"/>
      <c r="H935" s="408"/>
      <c r="I935" s="408"/>
      <c r="J935" s="408"/>
      <c r="K935" s="408"/>
      <c r="L935" s="408"/>
      <c r="M935" s="408"/>
      <c r="N935" s="408"/>
      <c r="O935" s="408"/>
      <c r="P935" s="408"/>
      <c r="Q935" s="408"/>
      <c r="R935" s="408"/>
      <c r="S935" s="408"/>
      <c r="T935" s="408"/>
      <c r="U935" s="408"/>
      <c r="V935" s="408"/>
      <c r="W935" s="408"/>
      <c r="X935" s="408"/>
      <c r="Y935" s="408"/>
      <c r="Z935" s="408"/>
    </row>
    <row r="936" ht="14.25" customHeight="1">
      <c r="A936" s="408"/>
      <c r="B936" s="408"/>
      <c r="C936" s="408"/>
      <c r="D936" s="408"/>
      <c r="E936" s="408"/>
      <c r="F936" s="408"/>
      <c r="G936" s="408"/>
      <c r="H936" s="408"/>
      <c r="I936" s="408"/>
      <c r="J936" s="408"/>
      <c r="K936" s="408"/>
      <c r="L936" s="408"/>
      <c r="M936" s="408"/>
      <c r="N936" s="408"/>
      <c r="O936" s="408"/>
      <c r="P936" s="408"/>
      <c r="Q936" s="408"/>
      <c r="R936" s="408"/>
      <c r="S936" s="408"/>
      <c r="T936" s="408"/>
      <c r="U936" s="408"/>
      <c r="V936" s="408"/>
      <c r="W936" s="408"/>
      <c r="X936" s="408"/>
      <c r="Y936" s="408"/>
      <c r="Z936" s="408"/>
    </row>
    <row r="937" ht="14.25" customHeight="1">
      <c r="A937" s="408"/>
      <c r="B937" s="408"/>
      <c r="C937" s="408"/>
      <c r="D937" s="408"/>
      <c r="E937" s="408"/>
      <c r="F937" s="408"/>
      <c r="G937" s="408"/>
      <c r="H937" s="408"/>
      <c r="I937" s="408"/>
      <c r="J937" s="408"/>
      <c r="K937" s="408"/>
      <c r="L937" s="408"/>
      <c r="M937" s="408"/>
      <c r="N937" s="408"/>
      <c r="O937" s="408"/>
      <c r="P937" s="408"/>
      <c r="Q937" s="408"/>
      <c r="R937" s="408"/>
      <c r="S937" s="408"/>
      <c r="T937" s="408"/>
      <c r="U937" s="408"/>
      <c r="V937" s="408"/>
      <c r="W937" s="408"/>
      <c r="X937" s="408"/>
      <c r="Y937" s="408"/>
      <c r="Z937" s="408"/>
    </row>
    <row r="938" ht="14.25" customHeight="1">
      <c r="A938" s="408"/>
      <c r="B938" s="408"/>
      <c r="C938" s="408"/>
      <c r="D938" s="408"/>
      <c r="E938" s="408"/>
      <c r="F938" s="408"/>
      <c r="G938" s="408"/>
      <c r="H938" s="408"/>
      <c r="I938" s="408"/>
      <c r="J938" s="408"/>
      <c r="K938" s="408"/>
      <c r="L938" s="408"/>
      <c r="M938" s="408"/>
      <c r="N938" s="408"/>
      <c r="O938" s="408"/>
      <c r="P938" s="408"/>
      <c r="Q938" s="408"/>
      <c r="R938" s="408"/>
      <c r="S938" s="408"/>
      <c r="T938" s="408"/>
      <c r="U938" s="408"/>
      <c r="V938" s="408"/>
      <c r="W938" s="408"/>
      <c r="X938" s="408"/>
      <c r="Y938" s="408"/>
      <c r="Z938" s="408"/>
    </row>
    <row r="939" ht="14.25" customHeight="1">
      <c r="A939" s="408"/>
      <c r="B939" s="408"/>
      <c r="C939" s="408"/>
      <c r="D939" s="408"/>
      <c r="E939" s="408"/>
      <c r="F939" s="408"/>
      <c r="G939" s="408"/>
      <c r="H939" s="408"/>
      <c r="I939" s="408"/>
      <c r="J939" s="408"/>
      <c r="K939" s="408"/>
      <c r="L939" s="408"/>
      <c r="M939" s="408"/>
      <c r="N939" s="408"/>
      <c r="O939" s="408"/>
      <c r="P939" s="408"/>
      <c r="Q939" s="408"/>
      <c r="R939" s="408"/>
      <c r="S939" s="408"/>
      <c r="T939" s="408"/>
      <c r="U939" s="408"/>
      <c r="V939" s="408"/>
      <c r="W939" s="408"/>
      <c r="X939" s="408"/>
      <c r="Y939" s="408"/>
      <c r="Z939" s="408"/>
    </row>
    <row r="940" ht="14.25" customHeight="1">
      <c r="A940" s="408"/>
      <c r="B940" s="408"/>
      <c r="C940" s="408"/>
      <c r="D940" s="408"/>
      <c r="E940" s="408"/>
      <c r="F940" s="408"/>
      <c r="G940" s="408"/>
      <c r="H940" s="408"/>
      <c r="I940" s="408"/>
      <c r="J940" s="408"/>
      <c r="K940" s="408"/>
      <c r="L940" s="408"/>
      <c r="M940" s="408"/>
      <c r="N940" s="408"/>
      <c r="O940" s="408"/>
      <c r="P940" s="408"/>
      <c r="Q940" s="408"/>
      <c r="R940" s="408"/>
      <c r="S940" s="408"/>
      <c r="T940" s="408"/>
      <c r="U940" s="408"/>
      <c r="V940" s="408"/>
      <c r="W940" s="408"/>
      <c r="X940" s="408"/>
      <c r="Y940" s="408"/>
      <c r="Z940" s="408"/>
    </row>
    <row r="941" ht="14.25" customHeight="1">
      <c r="A941" s="408"/>
      <c r="B941" s="408"/>
      <c r="C941" s="408"/>
      <c r="D941" s="408"/>
      <c r="E941" s="408"/>
      <c r="F941" s="408"/>
      <c r="G941" s="408"/>
      <c r="H941" s="408"/>
      <c r="I941" s="408"/>
      <c r="J941" s="408"/>
      <c r="K941" s="408"/>
      <c r="L941" s="408"/>
      <c r="M941" s="408"/>
      <c r="N941" s="408"/>
      <c r="O941" s="408"/>
      <c r="P941" s="408"/>
      <c r="Q941" s="408"/>
      <c r="R941" s="408"/>
      <c r="S941" s="408"/>
      <c r="T941" s="408"/>
      <c r="U941" s="408"/>
      <c r="V941" s="408"/>
      <c r="W941" s="408"/>
      <c r="X941" s="408"/>
      <c r="Y941" s="408"/>
      <c r="Z941" s="408"/>
    </row>
    <row r="942" ht="14.25" customHeight="1">
      <c r="A942" s="408"/>
      <c r="B942" s="408"/>
      <c r="C942" s="408"/>
      <c r="D942" s="408"/>
      <c r="E942" s="408"/>
      <c r="F942" s="408"/>
      <c r="G942" s="408"/>
      <c r="H942" s="408"/>
      <c r="I942" s="408"/>
      <c r="J942" s="408"/>
      <c r="K942" s="408"/>
      <c r="L942" s="408"/>
      <c r="M942" s="408"/>
      <c r="N942" s="408"/>
      <c r="O942" s="408"/>
      <c r="P942" s="408"/>
      <c r="Q942" s="408"/>
      <c r="R942" s="408"/>
      <c r="S942" s="408"/>
      <c r="T942" s="408"/>
      <c r="U942" s="408"/>
      <c r="V942" s="408"/>
      <c r="W942" s="408"/>
      <c r="X942" s="408"/>
      <c r="Y942" s="408"/>
      <c r="Z942" s="408"/>
    </row>
    <row r="943" ht="14.25" customHeight="1">
      <c r="A943" s="408"/>
      <c r="B943" s="408"/>
      <c r="C943" s="408"/>
      <c r="D943" s="408"/>
      <c r="E943" s="408"/>
      <c r="F943" s="408"/>
      <c r="G943" s="408"/>
      <c r="H943" s="408"/>
      <c r="I943" s="408"/>
      <c r="J943" s="408"/>
      <c r="K943" s="408"/>
      <c r="L943" s="408"/>
      <c r="M943" s="408"/>
      <c r="N943" s="408"/>
      <c r="O943" s="408"/>
      <c r="P943" s="408"/>
      <c r="Q943" s="408"/>
      <c r="R943" s="408"/>
      <c r="S943" s="408"/>
      <c r="T943" s="408"/>
      <c r="U943" s="408"/>
      <c r="V943" s="408"/>
      <c r="W943" s="408"/>
      <c r="X943" s="408"/>
      <c r="Y943" s="408"/>
      <c r="Z943" s="408"/>
    </row>
    <row r="944" ht="14.25" customHeight="1">
      <c r="A944" s="408"/>
      <c r="B944" s="408"/>
      <c r="C944" s="408"/>
      <c r="D944" s="408"/>
      <c r="E944" s="408"/>
      <c r="F944" s="408"/>
      <c r="G944" s="408"/>
      <c r="H944" s="408"/>
      <c r="I944" s="408"/>
      <c r="J944" s="408"/>
      <c r="K944" s="408"/>
      <c r="L944" s="408"/>
      <c r="M944" s="408"/>
      <c r="N944" s="408"/>
      <c r="O944" s="408"/>
      <c r="P944" s="408"/>
      <c r="Q944" s="408"/>
      <c r="R944" s="408"/>
      <c r="S944" s="408"/>
      <c r="T944" s="408"/>
      <c r="U944" s="408"/>
      <c r="V944" s="408"/>
      <c r="W944" s="408"/>
      <c r="X944" s="408"/>
      <c r="Y944" s="408"/>
      <c r="Z944" s="408"/>
    </row>
    <row r="945" ht="14.25" customHeight="1">
      <c r="A945" s="408"/>
      <c r="B945" s="408"/>
      <c r="C945" s="408"/>
      <c r="D945" s="408"/>
      <c r="E945" s="408"/>
      <c r="F945" s="408"/>
      <c r="G945" s="408"/>
      <c r="H945" s="408"/>
      <c r="I945" s="408"/>
      <c r="J945" s="408"/>
      <c r="K945" s="408"/>
      <c r="L945" s="408"/>
      <c r="M945" s="408"/>
      <c r="N945" s="408"/>
      <c r="O945" s="408"/>
      <c r="P945" s="408"/>
      <c r="Q945" s="408"/>
      <c r="R945" s="408"/>
      <c r="S945" s="408"/>
      <c r="T945" s="408"/>
      <c r="U945" s="408"/>
      <c r="V945" s="408"/>
      <c r="W945" s="408"/>
      <c r="X945" s="408"/>
      <c r="Y945" s="408"/>
      <c r="Z945" s="408"/>
    </row>
    <row r="946" ht="14.25" customHeight="1">
      <c r="A946" s="408"/>
      <c r="B946" s="408"/>
      <c r="C946" s="408"/>
      <c r="D946" s="408"/>
      <c r="E946" s="408"/>
      <c r="F946" s="408"/>
      <c r="G946" s="408"/>
      <c r="H946" s="408"/>
      <c r="I946" s="408"/>
      <c r="J946" s="408"/>
      <c r="K946" s="408"/>
      <c r="L946" s="408"/>
      <c r="M946" s="408"/>
      <c r="N946" s="408"/>
      <c r="O946" s="408"/>
      <c r="P946" s="408"/>
      <c r="Q946" s="408"/>
      <c r="R946" s="408"/>
      <c r="S946" s="408"/>
      <c r="T946" s="408"/>
      <c r="U946" s="408"/>
      <c r="V946" s="408"/>
      <c r="W946" s="408"/>
      <c r="X946" s="408"/>
      <c r="Y946" s="408"/>
      <c r="Z946" s="408"/>
    </row>
    <row r="947" ht="14.25" customHeight="1">
      <c r="A947" s="408"/>
      <c r="B947" s="408"/>
      <c r="C947" s="408"/>
      <c r="D947" s="408"/>
      <c r="E947" s="408"/>
      <c r="F947" s="408"/>
      <c r="G947" s="408"/>
      <c r="H947" s="408"/>
      <c r="I947" s="408"/>
      <c r="J947" s="408"/>
      <c r="K947" s="408"/>
      <c r="L947" s="408"/>
      <c r="M947" s="408"/>
      <c r="N947" s="408"/>
      <c r="O947" s="408"/>
      <c r="P947" s="408"/>
      <c r="Q947" s="408"/>
      <c r="R947" s="408"/>
      <c r="S947" s="408"/>
      <c r="T947" s="408"/>
      <c r="U947" s="408"/>
      <c r="V947" s="408"/>
      <c r="W947" s="408"/>
      <c r="X947" s="408"/>
      <c r="Y947" s="408"/>
      <c r="Z947" s="408"/>
    </row>
    <row r="948" ht="14.25" customHeight="1">
      <c r="A948" s="408"/>
      <c r="B948" s="408"/>
      <c r="C948" s="408"/>
      <c r="D948" s="408"/>
      <c r="E948" s="408"/>
      <c r="F948" s="408"/>
      <c r="G948" s="408"/>
      <c r="H948" s="408"/>
      <c r="I948" s="408"/>
      <c r="J948" s="408"/>
      <c r="K948" s="408"/>
      <c r="L948" s="408"/>
      <c r="M948" s="408"/>
      <c r="N948" s="408"/>
      <c r="O948" s="408"/>
      <c r="P948" s="408"/>
      <c r="Q948" s="408"/>
      <c r="R948" s="408"/>
      <c r="S948" s="408"/>
      <c r="T948" s="408"/>
      <c r="U948" s="408"/>
      <c r="V948" s="408"/>
      <c r="W948" s="408"/>
      <c r="X948" s="408"/>
      <c r="Y948" s="408"/>
      <c r="Z948" s="408"/>
    </row>
    <row r="949" ht="14.25" customHeight="1">
      <c r="A949" s="408"/>
      <c r="B949" s="408"/>
      <c r="C949" s="408"/>
      <c r="D949" s="408"/>
      <c r="E949" s="408"/>
      <c r="F949" s="408"/>
      <c r="G949" s="408"/>
      <c r="H949" s="408"/>
      <c r="I949" s="408"/>
      <c r="J949" s="408"/>
      <c r="K949" s="408"/>
      <c r="L949" s="408"/>
      <c r="M949" s="408"/>
      <c r="N949" s="408"/>
      <c r="O949" s="408"/>
      <c r="P949" s="408"/>
      <c r="Q949" s="408"/>
      <c r="R949" s="408"/>
      <c r="S949" s="408"/>
      <c r="T949" s="408"/>
      <c r="U949" s="408"/>
      <c r="V949" s="408"/>
      <c r="W949" s="408"/>
      <c r="X949" s="408"/>
      <c r="Y949" s="408"/>
      <c r="Z949" s="408"/>
    </row>
    <row r="950" ht="14.25" customHeight="1">
      <c r="A950" s="408"/>
      <c r="B950" s="408"/>
      <c r="C950" s="408"/>
      <c r="D950" s="408"/>
      <c r="E950" s="408"/>
      <c r="F950" s="408"/>
      <c r="G950" s="408"/>
      <c r="H950" s="408"/>
      <c r="I950" s="408"/>
      <c r="J950" s="408"/>
      <c r="K950" s="408"/>
      <c r="L950" s="408"/>
      <c r="M950" s="408"/>
      <c r="N950" s="408"/>
      <c r="O950" s="408"/>
      <c r="P950" s="408"/>
      <c r="Q950" s="408"/>
      <c r="R950" s="408"/>
      <c r="S950" s="408"/>
      <c r="T950" s="408"/>
      <c r="U950" s="408"/>
      <c r="V950" s="408"/>
      <c r="W950" s="408"/>
      <c r="X950" s="408"/>
      <c r="Y950" s="408"/>
      <c r="Z950" s="408"/>
    </row>
    <row r="951" ht="14.25" customHeight="1">
      <c r="A951" s="408"/>
      <c r="B951" s="408"/>
      <c r="C951" s="408"/>
      <c r="D951" s="408"/>
      <c r="E951" s="408"/>
      <c r="F951" s="408"/>
      <c r="G951" s="408"/>
      <c r="H951" s="408"/>
      <c r="I951" s="408"/>
      <c r="J951" s="408"/>
      <c r="K951" s="408"/>
      <c r="L951" s="408"/>
      <c r="M951" s="408"/>
      <c r="N951" s="408"/>
      <c r="O951" s="408"/>
      <c r="P951" s="408"/>
      <c r="Q951" s="408"/>
      <c r="R951" s="408"/>
      <c r="S951" s="408"/>
      <c r="T951" s="408"/>
      <c r="U951" s="408"/>
      <c r="V951" s="408"/>
      <c r="W951" s="408"/>
      <c r="X951" s="408"/>
      <c r="Y951" s="408"/>
      <c r="Z951" s="408"/>
    </row>
    <row r="952" ht="14.25" customHeight="1">
      <c r="A952" s="408"/>
      <c r="B952" s="408"/>
      <c r="C952" s="408"/>
      <c r="D952" s="408"/>
      <c r="E952" s="408"/>
      <c r="F952" s="408"/>
      <c r="G952" s="408"/>
      <c r="H952" s="408"/>
      <c r="I952" s="408"/>
      <c r="J952" s="408"/>
      <c r="K952" s="408"/>
      <c r="L952" s="408"/>
      <c r="M952" s="408"/>
      <c r="N952" s="408"/>
      <c r="O952" s="408"/>
      <c r="P952" s="408"/>
      <c r="Q952" s="408"/>
      <c r="R952" s="408"/>
      <c r="S952" s="408"/>
      <c r="T952" s="408"/>
      <c r="U952" s="408"/>
      <c r="V952" s="408"/>
      <c r="W952" s="408"/>
      <c r="X952" s="408"/>
      <c r="Y952" s="408"/>
      <c r="Z952" s="408"/>
    </row>
    <row r="953" ht="14.25" customHeight="1">
      <c r="A953" s="408"/>
      <c r="B953" s="408"/>
      <c r="C953" s="408"/>
      <c r="D953" s="408"/>
      <c r="E953" s="408"/>
      <c r="F953" s="408"/>
      <c r="G953" s="408"/>
      <c r="H953" s="408"/>
      <c r="I953" s="408"/>
      <c r="J953" s="408"/>
      <c r="K953" s="408"/>
      <c r="L953" s="408"/>
      <c r="M953" s="408"/>
      <c r="N953" s="408"/>
      <c r="O953" s="408"/>
      <c r="P953" s="408"/>
      <c r="Q953" s="408"/>
      <c r="R953" s="408"/>
      <c r="S953" s="408"/>
      <c r="T953" s="408"/>
      <c r="U953" s="408"/>
      <c r="V953" s="408"/>
      <c r="W953" s="408"/>
      <c r="X953" s="408"/>
      <c r="Y953" s="408"/>
      <c r="Z953" s="408"/>
    </row>
    <row r="954" ht="14.25" customHeight="1">
      <c r="A954" s="408"/>
      <c r="B954" s="408"/>
      <c r="C954" s="408"/>
      <c r="D954" s="408"/>
      <c r="E954" s="408"/>
      <c r="F954" s="408"/>
      <c r="G954" s="408"/>
      <c r="H954" s="408"/>
      <c r="I954" s="408"/>
      <c r="J954" s="408"/>
      <c r="K954" s="408"/>
      <c r="L954" s="408"/>
      <c r="M954" s="408"/>
      <c r="N954" s="408"/>
      <c r="O954" s="408"/>
      <c r="P954" s="408"/>
      <c r="Q954" s="408"/>
      <c r="R954" s="408"/>
      <c r="S954" s="408"/>
      <c r="T954" s="408"/>
      <c r="U954" s="408"/>
      <c r="V954" s="408"/>
      <c r="W954" s="408"/>
      <c r="X954" s="408"/>
      <c r="Y954" s="408"/>
      <c r="Z954" s="408"/>
    </row>
    <row r="955" ht="14.25" customHeight="1">
      <c r="A955" s="408"/>
      <c r="B955" s="408"/>
      <c r="C955" s="408"/>
      <c r="D955" s="408"/>
      <c r="E955" s="408"/>
      <c r="F955" s="408"/>
      <c r="G955" s="408"/>
      <c r="H955" s="408"/>
      <c r="I955" s="408"/>
      <c r="J955" s="408"/>
      <c r="K955" s="408"/>
      <c r="L955" s="408"/>
      <c r="M955" s="408"/>
      <c r="N955" s="408"/>
      <c r="O955" s="408"/>
      <c r="P955" s="408"/>
      <c r="Q955" s="408"/>
      <c r="R955" s="408"/>
      <c r="S955" s="408"/>
      <c r="T955" s="408"/>
      <c r="U955" s="408"/>
      <c r="V955" s="408"/>
      <c r="W955" s="408"/>
      <c r="X955" s="408"/>
      <c r="Y955" s="408"/>
      <c r="Z955" s="408"/>
    </row>
    <row r="956" ht="14.25" customHeight="1">
      <c r="A956" s="408"/>
      <c r="B956" s="408"/>
      <c r="C956" s="408"/>
      <c r="D956" s="408"/>
      <c r="E956" s="408"/>
      <c r="F956" s="408"/>
      <c r="G956" s="408"/>
      <c r="H956" s="408"/>
      <c r="I956" s="408"/>
      <c r="J956" s="408"/>
      <c r="K956" s="408"/>
      <c r="L956" s="408"/>
      <c r="M956" s="408"/>
      <c r="N956" s="408"/>
      <c r="O956" s="408"/>
      <c r="P956" s="408"/>
      <c r="Q956" s="408"/>
      <c r="R956" s="408"/>
      <c r="S956" s="408"/>
      <c r="T956" s="408"/>
      <c r="U956" s="408"/>
      <c r="V956" s="408"/>
      <c r="W956" s="408"/>
      <c r="X956" s="408"/>
      <c r="Y956" s="408"/>
      <c r="Z956" s="408"/>
    </row>
    <row r="957" ht="14.25" customHeight="1">
      <c r="A957" s="408"/>
      <c r="B957" s="408"/>
      <c r="C957" s="408"/>
      <c r="D957" s="408"/>
      <c r="E957" s="408"/>
      <c r="F957" s="408"/>
      <c r="G957" s="408"/>
      <c r="H957" s="408"/>
      <c r="I957" s="408"/>
      <c r="J957" s="408"/>
      <c r="K957" s="408"/>
      <c r="L957" s="408"/>
      <c r="M957" s="408"/>
      <c r="N957" s="408"/>
      <c r="O957" s="408"/>
      <c r="P957" s="408"/>
      <c r="Q957" s="408"/>
      <c r="R957" s="408"/>
      <c r="S957" s="408"/>
      <c r="T957" s="408"/>
      <c r="U957" s="408"/>
      <c r="V957" s="408"/>
      <c r="W957" s="408"/>
      <c r="X957" s="408"/>
      <c r="Y957" s="408"/>
      <c r="Z957" s="408"/>
    </row>
    <row r="958" ht="14.25" customHeight="1">
      <c r="A958" s="408"/>
      <c r="B958" s="408"/>
      <c r="C958" s="408"/>
      <c r="D958" s="408"/>
      <c r="E958" s="408"/>
      <c r="F958" s="408"/>
      <c r="G958" s="408"/>
      <c r="H958" s="408"/>
      <c r="I958" s="408"/>
      <c r="J958" s="408"/>
      <c r="K958" s="408"/>
      <c r="L958" s="408"/>
      <c r="M958" s="408"/>
      <c r="N958" s="408"/>
      <c r="O958" s="408"/>
      <c r="P958" s="408"/>
      <c r="Q958" s="408"/>
      <c r="R958" s="408"/>
      <c r="S958" s="408"/>
      <c r="T958" s="408"/>
      <c r="U958" s="408"/>
      <c r="V958" s="408"/>
      <c r="W958" s="408"/>
      <c r="X958" s="408"/>
      <c r="Y958" s="408"/>
      <c r="Z958" s="408"/>
    </row>
    <row r="959" ht="14.25" customHeight="1">
      <c r="A959" s="408"/>
      <c r="B959" s="408"/>
      <c r="C959" s="408"/>
      <c r="D959" s="408"/>
      <c r="E959" s="408"/>
      <c r="F959" s="408"/>
      <c r="G959" s="408"/>
      <c r="H959" s="408"/>
      <c r="I959" s="408"/>
      <c r="J959" s="408"/>
      <c r="K959" s="408"/>
      <c r="L959" s="408"/>
      <c r="M959" s="408"/>
      <c r="N959" s="408"/>
      <c r="O959" s="408"/>
      <c r="P959" s="408"/>
      <c r="Q959" s="408"/>
      <c r="R959" s="408"/>
      <c r="S959" s="408"/>
      <c r="T959" s="408"/>
      <c r="U959" s="408"/>
      <c r="V959" s="408"/>
      <c r="W959" s="408"/>
      <c r="X959" s="408"/>
      <c r="Y959" s="408"/>
      <c r="Z959" s="408"/>
    </row>
    <row r="960" ht="14.25" customHeight="1">
      <c r="A960" s="408"/>
      <c r="B960" s="408"/>
      <c r="C960" s="408"/>
      <c r="D960" s="408"/>
      <c r="E960" s="408"/>
      <c r="F960" s="408"/>
      <c r="G960" s="408"/>
      <c r="H960" s="408"/>
      <c r="I960" s="408"/>
      <c r="J960" s="408"/>
      <c r="K960" s="408"/>
      <c r="L960" s="408"/>
      <c r="M960" s="408"/>
      <c r="N960" s="408"/>
      <c r="O960" s="408"/>
      <c r="P960" s="408"/>
      <c r="Q960" s="408"/>
      <c r="R960" s="408"/>
      <c r="S960" s="408"/>
      <c r="T960" s="408"/>
      <c r="U960" s="408"/>
      <c r="V960" s="408"/>
      <c r="W960" s="408"/>
      <c r="X960" s="408"/>
      <c r="Y960" s="408"/>
      <c r="Z960" s="408"/>
    </row>
    <row r="961" ht="14.25" customHeight="1">
      <c r="A961" s="408"/>
      <c r="B961" s="408"/>
      <c r="C961" s="408"/>
      <c r="D961" s="408"/>
      <c r="E961" s="408"/>
      <c r="F961" s="408"/>
      <c r="G961" s="408"/>
      <c r="H961" s="408"/>
      <c r="I961" s="408"/>
      <c r="J961" s="408"/>
      <c r="K961" s="408"/>
      <c r="L961" s="408"/>
      <c r="M961" s="408"/>
      <c r="N961" s="408"/>
      <c r="O961" s="408"/>
      <c r="P961" s="408"/>
      <c r="Q961" s="408"/>
      <c r="R961" s="408"/>
      <c r="S961" s="408"/>
      <c r="T961" s="408"/>
      <c r="U961" s="408"/>
      <c r="V961" s="408"/>
      <c r="W961" s="408"/>
      <c r="X961" s="408"/>
      <c r="Y961" s="408"/>
      <c r="Z961" s="408"/>
    </row>
    <row r="962" ht="14.25" customHeight="1">
      <c r="A962" s="408"/>
      <c r="B962" s="408"/>
      <c r="C962" s="408"/>
      <c r="D962" s="408"/>
      <c r="E962" s="408"/>
      <c r="F962" s="408"/>
      <c r="G962" s="408"/>
      <c r="H962" s="408"/>
      <c r="I962" s="408"/>
      <c r="J962" s="408"/>
      <c r="K962" s="408"/>
      <c r="L962" s="408"/>
      <c r="M962" s="408"/>
      <c r="N962" s="408"/>
      <c r="O962" s="408"/>
      <c r="P962" s="408"/>
      <c r="Q962" s="408"/>
      <c r="R962" s="408"/>
      <c r="S962" s="408"/>
      <c r="T962" s="408"/>
      <c r="U962" s="408"/>
      <c r="V962" s="408"/>
      <c r="W962" s="408"/>
      <c r="X962" s="408"/>
      <c r="Y962" s="408"/>
      <c r="Z962" s="408"/>
    </row>
    <row r="963" ht="14.25" customHeight="1">
      <c r="A963" s="408"/>
      <c r="B963" s="408"/>
      <c r="C963" s="408"/>
      <c r="D963" s="408"/>
      <c r="E963" s="408"/>
      <c r="F963" s="408"/>
      <c r="G963" s="408"/>
      <c r="H963" s="408"/>
      <c r="I963" s="408"/>
      <c r="J963" s="408"/>
      <c r="K963" s="408"/>
      <c r="L963" s="408"/>
      <c r="M963" s="408"/>
      <c r="N963" s="408"/>
      <c r="O963" s="408"/>
      <c r="P963" s="408"/>
      <c r="Q963" s="408"/>
      <c r="R963" s="408"/>
      <c r="S963" s="408"/>
      <c r="T963" s="408"/>
      <c r="U963" s="408"/>
      <c r="V963" s="408"/>
      <c r="W963" s="408"/>
      <c r="X963" s="408"/>
      <c r="Y963" s="408"/>
      <c r="Z963" s="408"/>
    </row>
    <row r="964" ht="14.25" customHeight="1">
      <c r="A964" s="408"/>
      <c r="B964" s="408"/>
      <c r="C964" s="408"/>
      <c r="D964" s="408"/>
      <c r="E964" s="408"/>
      <c r="F964" s="408"/>
      <c r="G964" s="408"/>
      <c r="H964" s="408"/>
      <c r="I964" s="408"/>
      <c r="J964" s="408"/>
      <c r="K964" s="408"/>
      <c r="L964" s="408"/>
      <c r="M964" s="408"/>
      <c r="N964" s="408"/>
      <c r="O964" s="408"/>
      <c r="P964" s="408"/>
      <c r="Q964" s="408"/>
      <c r="R964" s="408"/>
      <c r="S964" s="408"/>
      <c r="T964" s="408"/>
      <c r="U964" s="408"/>
      <c r="V964" s="408"/>
      <c r="W964" s="408"/>
      <c r="X964" s="408"/>
      <c r="Y964" s="408"/>
      <c r="Z964" s="408"/>
    </row>
    <row r="965" ht="14.25" customHeight="1">
      <c r="A965" s="408"/>
      <c r="B965" s="408"/>
      <c r="C965" s="408"/>
      <c r="D965" s="408"/>
      <c r="E965" s="408"/>
      <c r="F965" s="408"/>
      <c r="G965" s="408"/>
      <c r="H965" s="408"/>
      <c r="I965" s="408"/>
      <c r="J965" s="408"/>
      <c r="K965" s="408"/>
      <c r="L965" s="408"/>
      <c r="M965" s="408"/>
      <c r="N965" s="408"/>
      <c r="O965" s="408"/>
      <c r="P965" s="408"/>
      <c r="Q965" s="408"/>
      <c r="R965" s="408"/>
      <c r="S965" s="408"/>
      <c r="T965" s="408"/>
      <c r="U965" s="408"/>
      <c r="V965" s="408"/>
      <c r="W965" s="408"/>
      <c r="X965" s="408"/>
      <c r="Y965" s="408"/>
      <c r="Z965" s="408"/>
    </row>
    <row r="966" ht="14.25" customHeight="1">
      <c r="A966" s="408"/>
      <c r="B966" s="408"/>
      <c r="C966" s="408"/>
      <c r="D966" s="408"/>
      <c r="E966" s="408"/>
      <c r="F966" s="408"/>
      <c r="G966" s="408"/>
      <c r="H966" s="408"/>
      <c r="I966" s="408"/>
      <c r="J966" s="408"/>
      <c r="K966" s="408"/>
      <c r="L966" s="408"/>
      <c r="M966" s="408"/>
      <c r="N966" s="408"/>
      <c r="O966" s="408"/>
      <c r="P966" s="408"/>
      <c r="Q966" s="408"/>
      <c r="R966" s="408"/>
      <c r="S966" s="408"/>
      <c r="T966" s="408"/>
      <c r="U966" s="408"/>
      <c r="V966" s="408"/>
      <c r="W966" s="408"/>
      <c r="X966" s="408"/>
      <c r="Y966" s="408"/>
      <c r="Z966" s="408"/>
    </row>
    <row r="967" ht="14.25" customHeight="1">
      <c r="A967" s="408"/>
      <c r="B967" s="408"/>
      <c r="C967" s="408"/>
      <c r="D967" s="408"/>
      <c r="E967" s="408"/>
      <c r="F967" s="408"/>
      <c r="G967" s="408"/>
      <c r="H967" s="408"/>
      <c r="I967" s="408"/>
      <c r="J967" s="408"/>
      <c r="K967" s="408"/>
      <c r="L967" s="408"/>
      <c r="M967" s="408"/>
      <c r="N967" s="408"/>
      <c r="O967" s="408"/>
      <c r="P967" s="408"/>
      <c r="Q967" s="408"/>
      <c r="R967" s="408"/>
      <c r="S967" s="408"/>
      <c r="T967" s="408"/>
      <c r="U967" s="408"/>
      <c r="V967" s="408"/>
      <c r="W967" s="408"/>
      <c r="X967" s="408"/>
      <c r="Y967" s="408"/>
      <c r="Z967" s="408"/>
    </row>
    <row r="968" ht="14.25" customHeight="1">
      <c r="A968" s="408"/>
      <c r="B968" s="408"/>
      <c r="C968" s="408"/>
      <c r="D968" s="408"/>
      <c r="E968" s="408"/>
      <c r="F968" s="408"/>
      <c r="G968" s="408"/>
      <c r="H968" s="408"/>
      <c r="I968" s="408"/>
      <c r="J968" s="408"/>
      <c r="K968" s="408"/>
      <c r="L968" s="408"/>
      <c r="M968" s="408"/>
      <c r="N968" s="408"/>
      <c r="O968" s="408"/>
      <c r="P968" s="408"/>
      <c r="Q968" s="408"/>
      <c r="R968" s="408"/>
      <c r="S968" s="408"/>
      <c r="T968" s="408"/>
      <c r="U968" s="408"/>
      <c r="V968" s="408"/>
      <c r="W968" s="408"/>
      <c r="X968" s="408"/>
      <c r="Y968" s="408"/>
      <c r="Z968" s="408"/>
    </row>
    <row r="969" ht="14.25" customHeight="1">
      <c r="A969" s="408"/>
      <c r="B969" s="408"/>
      <c r="C969" s="408"/>
      <c r="D969" s="408"/>
      <c r="E969" s="408"/>
      <c r="F969" s="408"/>
      <c r="G969" s="408"/>
      <c r="H969" s="408"/>
      <c r="I969" s="408"/>
      <c r="J969" s="408"/>
      <c r="K969" s="408"/>
      <c r="L969" s="408"/>
      <c r="M969" s="408"/>
      <c r="N969" s="408"/>
      <c r="O969" s="408"/>
      <c r="P969" s="408"/>
      <c r="Q969" s="408"/>
      <c r="R969" s="408"/>
      <c r="S969" s="408"/>
      <c r="T969" s="408"/>
      <c r="U969" s="408"/>
      <c r="V969" s="408"/>
      <c r="W969" s="408"/>
      <c r="X969" s="408"/>
      <c r="Y969" s="408"/>
      <c r="Z969" s="408"/>
    </row>
    <row r="970" ht="14.25" customHeight="1">
      <c r="A970" s="408"/>
      <c r="B970" s="408"/>
      <c r="C970" s="408"/>
      <c r="D970" s="408"/>
      <c r="E970" s="408"/>
      <c r="F970" s="408"/>
      <c r="G970" s="408"/>
      <c r="H970" s="408"/>
      <c r="I970" s="408"/>
      <c r="J970" s="408"/>
      <c r="K970" s="408"/>
      <c r="L970" s="408"/>
      <c r="M970" s="408"/>
      <c r="N970" s="408"/>
      <c r="O970" s="408"/>
      <c r="P970" s="408"/>
      <c r="Q970" s="408"/>
      <c r="R970" s="408"/>
      <c r="S970" s="408"/>
      <c r="T970" s="408"/>
      <c r="U970" s="408"/>
      <c r="V970" s="408"/>
      <c r="W970" s="408"/>
      <c r="X970" s="408"/>
      <c r="Y970" s="408"/>
      <c r="Z970" s="408"/>
    </row>
    <row r="971" ht="14.25" customHeight="1">
      <c r="A971" s="408"/>
      <c r="B971" s="408"/>
      <c r="C971" s="408"/>
      <c r="D971" s="408"/>
      <c r="E971" s="408"/>
      <c r="F971" s="408"/>
      <c r="G971" s="408"/>
      <c r="H971" s="408"/>
      <c r="I971" s="408"/>
      <c r="J971" s="408"/>
      <c r="K971" s="408"/>
      <c r="L971" s="408"/>
      <c r="M971" s="408"/>
      <c r="N971" s="408"/>
      <c r="O971" s="408"/>
      <c r="P971" s="408"/>
      <c r="Q971" s="408"/>
      <c r="R971" s="408"/>
      <c r="S971" s="408"/>
      <c r="T971" s="408"/>
      <c r="U971" s="408"/>
      <c r="V971" s="408"/>
      <c r="W971" s="408"/>
      <c r="X971" s="408"/>
      <c r="Y971" s="408"/>
      <c r="Z971" s="408"/>
    </row>
    <row r="972" ht="14.25" customHeight="1">
      <c r="A972" s="408"/>
      <c r="B972" s="408"/>
      <c r="C972" s="408"/>
      <c r="D972" s="408"/>
      <c r="E972" s="408"/>
      <c r="F972" s="408"/>
      <c r="G972" s="408"/>
      <c r="H972" s="408"/>
      <c r="I972" s="408"/>
      <c r="J972" s="408"/>
      <c r="K972" s="408"/>
      <c r="L972" s="408"/>
      <c r="M972" s="408"/>
      <c r="N972" s="408"/>
      <c r="O972" s="408"/>
      <c r="P972" s="408"/>
      <c r="Q972" s="408"/>
      <c r="R972" s="408"/>
      <c r="S972" s="408"/>
      <c r="T972" s="408"/>
      <c r="U972" s="408"/>
      <c r="V972" s="408"/>
      <c r="W972" s="408"/>
      <c r="X972" s="408"/>
      <c r="Y972" s="408"/>
      <c r="Z972" s="408"/>
    </row>
    <row r="973" ht="14.25" customHeight="1">
      <c r="A973" s="408"/>
      <c r="B973" s="408"/>
      <c r="C973" s="408"/>
      <c r="D973" s="408"/>
      <c r="E973" s="408"/>
      <c r="F973" s="408"/>
      <c r="G973" s="408"/>
      <c r="H973" s="408"/>
      <c r="I973" s="408"/>
      <c r="J973" s="408"/>
      <c r="K973" s="408"/>
      <c r="L973" s="408"/>
      <c r="M973" s="408"/>
      <c r="N973" s="408"/>
      <c r="O973" s="408"/>
      <c r="P973" s="408"/>
      <c r="Q973" s="408"/>
      <c r="R973" s="408"/>
      <c r="S973" s="408"/>
      <c r="T973" s="408"/>
      <c r="U973" s="408"/>
      <c r="V973" s="408"/>
      <c r="W973" s="408"/>
      <c r="X973" s="408"/>
      <c r="Y973" s="408"/>
      <c r="Z973" s="408"/>
    </row>
    <row r="974" ht="14.25" customHeight="1">
      <c r="A974" s="408"/>
      <c r="B974" s="408"/>
      <c r="C974" s="408"/>
      <c r="D974" s="408"/>
      <c r="E974" s="408"/>
      <c r="F974" s="408"/>
      <c r="G974" s="408"/>
      <c r="H974" s="408"/>
      <c r="I974" s="408"/>
      <c r="J974" s="408"/>
      <c r="K974" s="408"/>
      <c r="L974" s="408"/>
      <c r="M974" s="408"/>
      <c r="N974" s="408"/>
      <c r="O974" s="408"/>
      <c r="P974" s="408"/>
      <c r="Q974" s="408"/>
      <c r="R974" s="408"/>
      <c r="S974" s="408"/>
      <c r="T974" s="408"/>
      <c r="U974" s="408"/>
      <c r="V974" s="408"/>
      <c r="W974" s="408"/>
      <c r="X974" s="408"/>
      <c r="Y974" s="408"/>
      <c r="Z974" s="408"/>
    </row>
    <row r="975" ht="14.25" customHeight="1">
      <c r="A975" s="408"/>
      <c r="B975" s="408"/>
      <c r="C975" s="408"/>
      <c r="D975" s="408"/>
      <c r="E975" s="408"/>
      <c r="F975" s="408"/>
      <c r="G975" s="408"/>
      <c r="H975" s="408"/>
      <c r="I975" s="408"/>
      <c r="J975" s="408"/>
      <c r="K975" s="408"/>
      <c r="L975" s="408"/>
      <c r="M975" s="408"/>
      <c r="N975" s="408"/>
      <c r="O975" s="408"/>
      <c r="P975" s="408"/>
      <c r="Q975" s="408"/>
      <c r="R975" s="408"/>
      <c r="S975" s="408"/>
      <c r="T975" s="408"/>
      <c r="U975" s="408"/>
      <c r="V975" s="408"/>
      <c r="W975" s="408"/>
      <c r="X975" s="408"/>
      <c r="Y975" s="408"/>
      <c r="Z975" s="408"/>
    </row>
    <row r="976" ht="14.25" customHeight="1">
      <c r="A976" s="408"/>
      <c r="B976" s="408"/>
      <c r="C976" s="408"/>
      <c r="D976" s="408"/>
      <c r="E976" s="408"/>
      <c r="F976" s="408"/>
      <c r="G976" s="408"/>
      <c r="H976" s="408"/>
      <c r="I976" s="408"/>
      <c r="J976" s="408"/>
      <c r="K976" s="408"/>
      <c r="L976" s="408"/>
      <c r="M976" s="408"/>
      <c r="N976" s="408"/>
      <c r="O976" s="408"/>
      <c r="P976" s="408"/>
      <c r="Q976" s="408"/>
      <c r="R976" s="408"/>
      <c r="S976" s="408"/>
      <c r="T976" s="408"/>
      <c r="U976" s="408"/>
      <c r="V976" s="408"/>
      <c r="W976" s="408"/>
      <c r="X976" s="408"/>
      <c r="Y976" s="408"/>
      <c r="Z976" s="408"/>
    </row>
    <row r="977" ht="14.25" customHeight="1">
      <c r="A977" s="408"/>
      <c r="B977" s="408"/>
      <c r="C977" s="408"/>
      <c r="D977" s="408"/>
      <c r="E977" s="408"/>
      <c r="F977" s="408"/>
      <c r="G977" s="408"/>
      <c r="H977" s="408"/>
      <c r="I977" s="408"/>
      <c r="J977" s="408"/>
      <c r="K977" s="408"/>
      <c r="L977" s="408"/>
      <c r="M977" s="408"/>
      <c r="N977" s="408"/>
      <c r="O977" s="408"/>
      <c r="P977" s="408"/>
      <c r="Q977" s="408"/>
      <c r="R977" s="408"/>
      <c r="S977" s="408"/>
      <c r="T977" s="408"/>
      <c r="U977" s="408"/>
      <c r="V977" s="408"/>
      <c r="W977" s="408"/>
      <c r="X977" s="408"/>
      <c r="Y977" s="408"/>
      <c r="Z977" s="408"/>
    </row>
    <row r="978" ht="14.25" customHeight="1">
      <c r="A978" s="408"/>
      <c r="B978" s="408"/>
      <c r="C978" s="408"/>
      <c r="D978" s="408"/>
      <c r="E978" s="408"/>
      <c r="F978" s="408"/>
      <c r="G978" s="408"/>
      <c r="H978" s="408"/>
      <c r="I978" s="408"/>
      <c r="J978" s="408"/>
      <c r="K978" s="408"/>
      <c r="L978" s="408"/>
      <c r="M978" s="408"/>
      <c r="N978" s="408"/>
      <c r="O978" s="408"/>
      <c r="P978" s="408"/>
      <c r="Q978" s="408"/>
      <c r="R978" s="408"/>
      <c r="S978" s="408"/>
      <c r="T978" s="408"/>
      <c r="U978" s="408"/>
      <c r="V978" s="408"/>
      <c r="W978" s="408"/>
      <c r="X978" s="408"/>
      <c r="Y978" s="408"/>
      <c r="Z978" s="408"/>
    </row>
    <row r="979" ht="14.25" customHeight="1">
      <c r="A979" s="408"/>
      <c r="B979" s="408"/>
      <c r="C979" s="408"/>
      <c r="D979" s="408"/>
      <c r="E979" s="408"/>
      <c r="F979" s="408"/>
      <c r="G979" s="408"/>
      <c r="H979" s="408"/>
      <c r="I979" s="408"/>
      <c r="J979" s="408"/>
      <c r="K979" s="408"/>
      <c r="L979" s="408"/>
      <c r="M979" s="408"/>
      <c r="N979" s="408"/>
      <c r="O979" s="408"/>
      <c r="P979" s="408"/>
      <c r="Q979" s="408"/>
      <c r="R979" s="408"/>
      <c r="S979" s="408"/>
      <c r="T979" s="408"/>
      <c r="U979" s="408"/>
      <c r="V979" s="408"/>
      <c r="W979" s="408"/>
      <c r="X979" s="408"/>
      <c r="Y979" s="408"/>
      <c r="Z979" s="408"/>
    </row>
    <row r="980" ht="14.25" customHeight="1">
      <c r="A980" s="408"/>
      <c r="B980" s="408"/>
      <c r="C980" s="408"/>
      <c r="D980" s="408"/>
      <c r="E980" s="408"/>
      <c r="F980" s="408"/>
      <c r="G980" s="408"/>
      <c r="H980" s="408"/>
      <c r="I980" s="408"/>
      <c r="J980" s="408"/>
      <c r="K980" s="408"/>
      <c r="L980" s="408"/>
      <c r="M980" s="408"/>
      <c r="N980" s="408"/>
      <c r="O980" s="408"/>
      <c r="P980" s="408"/>
      <c r="Q980" s="408"/>
      <c r="R980" s="408"/>
      <c r="S980" s="408"/>
      <c r="T980" s="408"/>
      <c r="U980" s="408"/>
      <c r="V980" s="408"/>
      <c r="W980" s="408"/>
      <c r="X980" s="408"/>
      <c r="Y980" s="408"/>
      <c r="Z980" s="408"/>
    </row>
    <row r="981" ht="14.25" customHeight="1">
      <c r="A981" s="408"/>
      <c r="B981" s="408"/>
      <c r="C981" s="408"/>
      <c r="D981" s="408"/>
      <c r="E981" s="408"/>
      <c r="F981" s="408"/>
      <c r="G981" s="408"/>
      <c r="H981" s="408"/>
      <c r="I981" s="408"/>
      <c r="J981" s="408"/>
      <c r="K981" s="408"/>
      <c r="L981" s="408"/>
      <c r="M981" s="408"/>
      <c r="N981" s="408"/>
      <c r="O981" s="408"/>
      <c r="P981" s="408"/>
      <c r="Q981" s="408"/>
      <c r="R981" s="408"/>
      <c r="S981" s="408"/>
      <c r="T981" s="408"/>
      <c r="U981" s="408"/>
      <c r="V981" s="408"/>
      <c r="W981" s="408"/>
      <c r="X981" s="408"/>
      <c r="Y981" s="408"/>
      <c r="Z981" s="408"/>
    </row>
    <row r="982" ht="14.25" customHeight="1">
      <c r="A982" s="408"/>
      <c r="B982" s="408"/>
      <c r="C982" s="408"/>
      <c r="D982" s="408"/>
      <c r="E982" s="408"/>
      <c r="F982" s="408"/>
      <c r="G982" s="408"/>
      <c r="H982" s="408"/>
      <c r="I982" s="408"/>
      <c r="J982" s="408"/>
      <c r="K982" s="408"/>
      <c r="L982" s="408"/>
      <c r="M982" s="408"/>
      <c r="N982" s="408"/>
      <c r="O982" s="408"/>
      <c r="P982" s="408"/>
      <c r="Q982" s="408"/>
      <c r="R982" s="408"/>
      <c r="S982" s="408"/>
      <c r="T982" s="408"/>
      <c r="U982" s="408"/>
      <c r="V982" s="408"/>
      <c r="W982" s="408"/>
      <c r="X982" s="408"/>
      <c r="Y982" s="408"/>
      <c r="Z982" s="408"/>
    </row>
    <row r="983" ht="14.25" customHeight="1">
      <c r="A983" s="408"/>
      <c r="B983" s="408"/>
      <c r="C983" s="408"/>
      <c r="D983" s="408"/>
      <c r="E983" s="408"/>
      <c r="F983" s="408"/>
      <c r="G983" s="408"/>
      <c r="H983" s="408"/>
      <c r="I983" s="408"/>
      <c r="J983" s="408"/>
      <c r="K983" s="408"/>
      <c r="L983" s="408"/>
      <c r="M983" s="408"/>
      <c r="N983" s="408"/>
      <c r="O983" s="408"/>
      <c r="P983" s="408"/>
      <c r="Q983" s="408"/>
      <c r="R983" s="408"/>
      <c r="S983" s="408"/>
      <c r="T983" s="408"/>
      <c r="U983" s="408"/>
      <c r="V983" s="408"/>
      <c r="W983" s="408"/>
      <c r="X983" s="408"/>
      <c r="Y983" s="408"/>
      <c r="Z983" s="408"/>
    </row>
    <row r="984" ht="14.25" customHeight="1">
      <c r="A984" s="408"/>
      <c r="B984" s="408"/>
      <c r="C984" s="408"/>
      <c r="D984" s="408"/>
      <c r="E984" s="408"/>
      <c r="F984" s="408"/>
      <c r="G984" s="408"/>
      <c r="H984" s="408"/>
      <c r="I984" s="408"/>
      <c r="J984" s="408"/>
      <c r="K984" s="408"/>
      <c r="L984" s="408"/>
      <c r="M984" s="408"/>
      <c r="N984" s="408"/>
      <c r="O984" s="408"/>
      <c r="P984" s="408"/>
      <c r="Q984" s="408"/>
      <c r="R984" s="408"/>
      <c r="S984" s="408"/>
      <c r="T984" s="408"/>
      <c r="U984" s="408"/>
      <c r="V984" s="408"/>
      <c r="W984" s="408"/>
      <c r="X984" s="408"/>
      <c r="Y984" s="408"/>
      <c r="Z984" s="408"/>
    </row>
    <row r="985" ht="14.25" customHeight="1">
      <c r="A985" s="408"/>
      <c r="B985" s="408"/>
      <c r="C985" s="408"/>
      <c r="D985" s="408"/>
      <c r="E985" s="408"/>
      <c r="F985" s="408"/>
      <c r="G985" s="408"/>
      <c r="H985" s="408"/>
      <c r="I985" s="408"/>
      <c r="J985" s="408"/>
      <c r="K985" s="408"/>
      <c r="L985" s="408"/>
      <c r="M985" s="408"/>
      <c r="N985" s="408"/>
      <c r="O985" s="408"/>
      <c r="P985" s="408"/>
      <c r="Q985" s="408"/>
      <c r="R985" s="408"/>
      <c r="S985" s="408"/>
      <c r="T985" s="408"/>
      <c r="U985" s="408"/>
      <c r="V985" s="408"/>
      <c r="W985" s="408"/>
      <c r="X985" s="408"/>
      <c r="Y985" s="408"/>
      <c r="Z985" s="408"/>
    </row>
    <row r="986" ht="14.25" customHeight="1">
      <c r="A986" s="408"/>
      <c r="B986" s="408"/>
      <c r="C986" s="408"/>
      <c r="D986" s="408"/>
      <c r="E986" s="408"/>
      <c r="F986" s="408"/>
      <c r="G986" s="408"/>
      <c r="H986" s="408"/>
      <c r="I986" s="408"/>
      <c r="J986" s="408"/>
      <c r="K986" s="408"/>
      <c r="L986" s="408"/>
      <c r="M986" s="408"/>
      <c r="N986" s="408"/>
      <c r="O986" s="408"/>
      <c r="P986" s="408"/>
      <c r="Q986" s="408"/>
      <c r="R986" s="408"/>
      <c r="S986" s="408"/>
      <c r="T986" s="408"/>
      <c r="U986" s="408"/>
      <c r="V986" s="408"/>
      <c r="W986" s="408"/>
      <c r="X986" s="408"/>
      <c r="Y986" s="408"/>
      <c r="Z986" s="408"/>
    </row>
    <row r="987" ht="14.25" customHeight="1">
      <c r="A987" s="408"/>
      <c r="B987" s="408"/>
      <c r="C987" s="408"/>
      <c r="D987" s="408"/>
      <c r="E987" s="408"/>
      <c r="F987" s="408"/>
      <c r="G987" s="408"/>
      <c r="H987" s="408"/>
      <c r="I987" s="408"/>
      <c r="J987" s="408"/>
      <c r="K987" s="408"/>
      <c r="L987" s="408"/>
      <c r="M987" s="408"/>
      <c r="N987" s="408"/>
      <c r="O987" s="408"/>
      <c r="P987" s="408"/>
      <c r="Q987" s="408"/>
      <c r="R987" s="408"/>
      <c r="S987" s="408"/>
      <c r="T987" s="408"/>
      <c r="U987" s="408"/>
      <c r="V987" s="408"/>
      <c r="W987" s="408"/>
      <c r="X987" s="408"/>
      <c r="Y987" s="408"/>
      <c r="Z987" s="408"/>
    </row>
    <row r="988" ht="14.25" customHeight="1">
      <c r="A988" s="408"/>
      <c r="B988" s="408"/>
      <c r="C988" s="408"/>
      <c r="D988" s="408"/>
      <c r="E988" s="408"/>
      <c r="F988" s="408"/>
      <c r="G988" s="408"/>
      <c r="H988" s="408"/>
      <c r="I988" s="408"/>
      <c r="J988" s="408"/>
      <c r="K988" s="408"/>
      <c r="L988" s="408"/>
      <c r="M988" s="408"/>
      <c r="N988" s="408"/>
      <c r="O988" s="408"/>
      <c r="P988" s="408"/>
      <c r="Q988" s="408"/>
      <c r="R988" s="408"/>
      <c r="S988" s="408"/>
      <c r="T988" s="408"/>
      <c r="U988" s="408"/>
      <c r="V988" s="408"/>
      <c r="W988" s="408"/>
      <c r="X988" s="408"/>
      <c r="Y988" s="408"/>
      <c r="Z988" s="408"/>
    </row>
    <row r="989" ht="14.25" customHeight="1">
      <c r="A989" s="408"/>
      <c r="B989" s="408"/>
      <c r="C989" s="408"/>
      <c r="D989" s="408"/>
      <c r="E989" s="408"/>
      <c r="F989" s="408"/>
      <c r="G989" s="408"/>
      <c r="H989" s="408"/>
      <c r="I989" s="408"/>
      <c r="J989" s="408"/>
      <c r="K989" s="408"/>
      <c r="L989" s="408"/>
      <c r="M989" s="408"/>
      <c r="N989" s="408"/>
      <c r="O989" s="408"/>
      <c r="P989" s="408"/>
      <c r="Q989" s="408"/>
      <c r="R989" s="408"/>
      <c r="S989" s="408"/>
      <c r="T989" s="408"/>
      <c r="U989" s="408"/>
      <c r="V989" s="408"/>
      <c r="W989" s="408"/>
      <c r="X989" s="408"/>
      <c r="Y989" s="408"/>
      <c r="Z989" s="408"/>
    </row>
    <row r="990" ht="14.25" customHeight="1">
      <c r="A990" s="408"/>
      <c r="B990" s="408"/>
      <c r="C990" s="408"/>
      <c r="D990" s="408"/>
      <c r="E990" s="408"/>
      <c r="F990" s="408"/>
      <c r="G990" s="408"/>
      <c r="H990" s="408"/>
      <c r="I990" s="408"/>
      <c r="J990" s="408"/>
      <c r="K990" s="408"/>
      <c r="L990" s="408"/>
      <c r="M990" s="408"/>
      <c r="N990" s="408"/>
      <c r="O990" s="408"/>
      <c r="P990" s="408"/>
      <c r="Q990" s="408"/>
      <c r="R990" s="408"/>
      <c r="S990" s="408"/>
      <c r="T990" s="408"/>
      <c r="U990" s="408"/>
      <c r="V990" s="408"/>
      <c r="W990" s="408"/>
      <c r="X990" s="408"/>
      <c r="Y990" s="408"/>
      <c r="Z990" s="408"/>
    </row>
    <row r="991" ht="14.25" customHeight="1">
      <c r="A991" s="408"/>
      <c r="B991" s="408"/>
      <c r="C991" s="408"/>
      <c r="D991" s="408"/>
      <c r="E991" s="408"/>
      <c r="F991" s="408"/>
      <c r="G991" s="408"/>
      <c r="H991" s="408"/>
      <c r="I991" s="408"/>
      <c r="J991" s="408"/>
      <c r="K991" s="408"/>
      <c r="L991" s="408"/>
      <c r="M991" s="408"/>
      <c r="N991" s="408"/>
      <c r="O991" s="408"/>
      <c r="P991" s="408"/>
      <c r="Q991" s="408"/>
      <c r="R991" s="408"/>
      <c r="S991" s="408"/>
      <c r="T991" s="408"/>
      <c r="U991" s="408"/>
      <c r="V991" s="408"/>
      <c r="W991" s="408"/>
      <c r="X991" s="408"/>
      <c r="Y991" s="408"/>
      <c r="Z991" s="408"/>
    </row>
    <row r="992" ht="14.25" customHeight="1">
      <c r="A992" s="408"/>
      <c r="B992" s="408"/>
      <c r="C992" s="408"/>
      <c r="D992" s="408"/>
      <c r="E992" s="408"/>
      <c r="F992" s="408"/>
      <c r="G992" s="408"/>
      <c r="H992" s="408"/>
      <c r="I992" s="408"/>
      <c r="J992" s="408"/>
      <c r="K992" s="408"/>
      <c r="L992" s="408"/>
      <c r="M992" s="408"/>
      <c r="N992" s="408"/>
      <c r="O992" s="408"/>
      <c r="P992" s="408"/>
      <c r="Q992" s="408"/>
      <c r="R992" s="408"/>
      <c r="S992" s="408"/>
      <c r="T992" s="408"/>
      <c r="U992" s="408"/>
      <c r="V992" s="408"/>
      <c r="W992" s="408"/>
      <c r="X992" s="408"/>
      <c r="Y992" s="408"/>
      <c r="Z992" s="408"/>
    </row>
    <row r="993" ht="14.25" customHeight="1">
      <c r="A993" s="408"/>
      <c r="B993" s="408"/>
      <c r="C993" s="408"/>
      <c r="D993" s="408"/>
      <c r="E993" s="408"/>
      <c r="F993" s="408"/>
      <c r="G993" s="408"/>
      <c r="H993" s="408"/>
      <c r="I993" s="408"/>
      <c r="J993" s="408"/>
      <c r="K993" s="408"/>
      <c r="L993" s="408"/>
      <c r="M993" s="408"/>
      <c r="N993" s="408"/>
      <c r="O993" s="408"/>
      <c r="P993" s="408"/>
      <c r="Q993" s="408"/>
      <c r="R993" s="408"/>
      <c r="S993" s="408"/>
      <c r="T993" s="408"/>
      <c r="U993" s="408"/>
      <c r="V993" s="408"/>
      <c r="W993" s="408"/>
      <c r="X993" s="408"/>
      <c r="Y993" s="408"/>
      <c r="Z993" s="408"/>
    </row>
    <row r="994" ht="14.25" customHeight="1">
      <c r="A994" s="408"/>
      <c r="B994" s="408"/>
      <c r="C994" s="408"/>
      <c r="D994" s="408"/>
      <c r="E994" s="408"/>
      <c r="F994" s="408"/>
      <c r="G994" s="408"/>
      <c r="H994" s="408"/>
      <c r="I994" s="408"/>
      <c r="J994" s="408"/>
      <c r="K994" s="408"/>
      <c r="L994" s="408"/>
      <c r="M994" s="408"/>
      <c r="N994" s="408"/>
      <c r="O994" s="408"/>
      <c r="P994" s="408"/>
      <c r="Q994" s="408"/>
      <c r="R994" s="408"/>
      <c r="S994" s="408"/>
      <c r="T994" s="408"/>
      <c r="U994" s="408"/>
      <c r="V994" s="408"/>
      <c r="W994" s="408"/>
      <c r="X994" s="408"/>
      <c r="Y994" s="408"/>
      <c r="Z994" s="408"/>
    </row>
    <row r="995" ht="14.25" customHeight="1">
      <c r="A995" s="408"/>
      <c r="B995" s="408"/>
      <c r="C995" s="408"/>
      <c r="D995" s="408"/>
      <c r="E995" s="408"/>
      <c r="F995" s="408"/>
      <c r="G995" s="408"/>
      <c r="H995" s="408"/>
      <c r="I995" s="408"/>
      <c r="J995" s="408"/>
      <c r="K995" s="408"/>
      <c r="L995" s="408"/>
      <c r="M995" s="408"/>
      <c r="N995" s="408"/>
      <c r="O995" s="408"/>
      <c r="P995" s="408"/>
      <c r="Q995" s="408"/>
      <c r="R995" s="408"/>
      <c r="S995" s="408"/>
      <c r="T995" s="408"/>
      <c r="U995" s="408"/>
      <c r="V995" s="408"/>
      <c r="W995" s="408"/>
      <c r="X995" s="408"/>
      <c r="Y995" s="408"/>
      <c r="Z995" s="408"/>
    </row>
    <row r="996" ht="14.25" customHeight="1">
      <c r="A996" s="408"/>
      <c r="B996" s="408"/>
      <c r="C996" s="408"/>
      <c r="D996" s="408"/>
      <c r="E996" s="408"/>
      <c r="F996" s="408"/>
      <c r="G996" s="408"/>
      <c r="H996" s="408"/>
      <c r="I996" s="408"/>
      <c r="J996" s="408"/>
      <c r="K996" s="408"/>
      <c r="L996" s="408"/>
      <c r="M996" s="408"/>
      <c r="N996" s="408"/>
      <c r="O996" s="408"/>
      <c r="P996" s="408"/>
      <c r="Q996" s="408"/>
      <c r="R996" s="408"/>
      <c r="S996" s="408"/>
      <c r="T996" s="408"/>
      <c r="U996" s="408"/>
      <c r="V996" s="408"/>
      <c r="W996" s="408"/>
      <c r="X996" s="408"/>
      <c r="Y996" s="408"/>
      <c r="Z996" s="408"/>
    </row>
    <row r="997" ht="14.25" customHeight="1">
      <c r="A997" s="408"/>
      <c r="B997" s="408"/>
      <c r="C997" s="408"/>
      <c r="D997" s="408"/>
      <c r="E997" s="408"/>
      <c r="F997" s="408"/>
      <c r="G997" s="408"/>
      <c r="H997" s="408"/>
      <c r="I997" s="408"/>
      <c r="J997" s="408"/>
      <c r="K997" s="408"/>
      <c r="L997" s="408"/>
      <c r="M997" s="408"/>
      <c r="N997" s="408"/>
      <c r="O997" s="408"/>
      <c r="P997" s="408"/>
      <c r="Q997" s="408"/>
      <c r="R997" s="408"/>
      <c r="S997" s="408"/>
      <c r="T997" s="408"/>
      <c r="U997" s="408"/>
      <c r="V997" s="408"/>
      <c r="W997" s="408"/>
      <c r="X997" s="408"/>
      <c r="Y997" s="408"/>
      <c r="Z997" s="408"/>
    </row>
    <row r="998" ht="14.25" customHeight="1">
      <c r="A998" s="408"/>
      <c r="B998" s="408"/>
      <c r="C998" s="408"/>
      <c r="D998" s="408"/>
      <c r="E998" s="408"/>
      <c r="F998" s="408"/>
      <c r="G998" s="408"/>
      <c r="H998" s="408"/>
      <c r="I998" s="408"/>
      <c r="J998" s="408"/>
      <c r="K998" s="408"/>
      <c r="L998" s="408"/>
      <c r="M998" s="408"/>
      <c r="N998" s="408"/>
      <c r="O998" s="408"/>
      <c r="P998" s="408"/>
      <c r="Q998" s="408"/>
      <c r="R998" s="408"/>
      <c r="S998" s="408"/>
      <c r="T998" s="408"/>
      <c r="U998" s="408"/>
      <c r="V998" s="408"/>
      <c r="W998" s="408"/>
      <c r="X998" s="408"/>
      <c r="Y998" s="408"/>
      <c r="Z998" s="408"/>
    </row>
    <row r="999" ht="14.25" customHeight="1">
      <c r="A999" s="408"/>
      <c r="B999" s="408"/>
      <c r="C999" s="408"/>
      <c r="D999" s="408"/>
      <c r="E999" s="408"/>
      <c r="F999" s="408"/>
      <c r="G999" s="408"/>
      <c r="H999" s="408"/>
      <c r="I999" s="408"/>
      <c r="J999" s="408"/>
      <c r="K999" s="408"/>
      <c r="L999" s="408"/>
      <c r="M999" s="408"/>
      <c r="N999" s="408"/>
      <c r="O999" s="408"/>
      <c r="P999" s="408"/>
      <c r="Q999" s="408"/>
      <c r="R999" s="408"/>
      <c r="S999" s="408"/>
      <c r="T999" s="408"/>
      <c r="U999" s="408"/>
      <c r="V999" s="408"/>
      <c r="W999" s="408"/>
      <c r="X999" s="408"/>
      <c r="Y999" s="408"/>
      <c r="Z999" s="408"/>
    </row>
    <row r="1000" ht="14.25" customHeight="1">
      <c r="A1000" s="408"/>
      <c r="B1000" s="408"/>
      <c r="C1000" s="408"/>
      <c r="D1000" s="408"/>
      <c r="E1000" s="408"/>
      <c r="F1000" s="408"/>
      <c r="G1000" s="408"/>
      <c r="H1000" s="408"/>
      <c r="I1000" s="408"/>
      <c r="J1000" s="408"/>
      <c r="K1000" s="408"/>
      <c r="L1000" s="408"/>
      <c r="M1000" s="408"/>
      <c r="N1000" s="408"/>
      <c r="O1000" s="408"/>
      <c r="P1000" s="408"/>
      <c r="Q1000" s="408"/>
      <c r="R1000" s="408"/>
      <c r="S1000" s="408"/>
      <c r="T1000" s="408"/>
      <c r="U1000" s="408"/>
      <c r="V1000" s="408"/>
      <c r="W1000" s="408"/>
      <c r="X1000" s="408"/>
      <c r="Y1000" s="408"/>
      <c r="Z1000" s="408"/>
    </row>
  </sheetData>
  <mergeCells count="1">
    <mergeCell ref="C3:E3"/>
  </mergeCells>
  <conditionalFormatting sqref="D5:D21">
    <cfRule type="cellIs" dxfId="2" priority="1" operator="greaterThan">
      <formula>0.15</formula>
    </cfRule>
  </conditionalFormatting>
  <printOptions/>
  <pageMargins bottom="0.75" footer="0.0" header="0.0" left="0.7" right="0.7" top="0.75"/>
  <pageSetup paperSize="9" orientation="portrait"/>
  <headerFooter>
    <oddFooter>&amp;L_x000D_#000000 Data sensitivity - Restricted</oddFooter>
  </headerFooter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6.86"/>
    <col customWidth="1" min="2" max="2" width="40.14"/>
    <col customWidth="1" min="3" max="3" width="7.86"/>
    <col customWidth="1" min="4" max="5" width="10.86"/>
    <col customWidth="1" min="6" max="6" width="11.86"/>
    <col customWidth="1" min="7" max="7" width="4.86"/>
    <col customWidth="1" min="8" max="8" width="10.43"/>
    <col customWidth="1" min="9" max="26" width="11.43"/>
  </cols>
  <sheetData>
    <row r="1" ht="42.75" customHeight="1">
      <c r="A1" s="1" t="s">
        <v>903</v>
      </c>
      <c r="B1" s="2"/>
      <c r="C1" s="2"/>
      <c r="D1" s="2"/>
      <c r="E1" s="2"/>
      <c r="F1" s="2"/>
      <c r="G1" s="322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</row>
    <row r="2" ht="12.75" customHeight="1">
      <c r="A2" s="5"/>
      <c r="B2" s="447" t="s">
        <v>904</v>
      </c>
      <c r="C2" s="415"/>
      <c r="D2" s="218"/>
      <c r="E2" s="7"/>
      <c r="F2" s="8"/>
      <c r="G2" s="9"/>
      <c r="H2" s="9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</row>
    <row r="3" ht="12.75" customHeight="1">
      <c r="A3" s="10"/>
      <c r="B3" s="448" t="s">
        <v>836</v>
      </c>
      <c r="C3" s="57"/>
      <c r="D3" s="58"/>
      <c r="E3" s="13"/>
      <c r="F3" s="14"/>
      <c r="G3" s="449"/>
      <c r="H3" s="15" t="s">
        <v>6</v>
      </c>
      <c r="I3" s="15" t="s">
        <v>7</v>
      </c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</row>
    <row r="4" ht="12.75" customHeight="1">
      <c r="A4" s="16"/>
      <c r="B4" s="450" t="s">
        <v>8</v>
      </c>
      <c r="C4" s="451"/>
      <c r="D4" s="241"/>
      <c r="E4" s="452">
        <v>11850.0</v>
      </c>
      <c r="F4" s="20"/>
      <c r="G4" s="453"/>
      <c r="H4" s="21"/>
      <c r="I4" s="21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</row>
    <row r="5" ht="12.75" customHeight="1">
      <c r="A5" s="22"/>
      <c r="B5" s="454" t="s">
        <v>9</v>
      </c>
      <c r="C5" s="455"/>
      <c r="D5" s="456"/>
      <c r="E5" s="23"/>
      <c r="F5" s="24">
        <f>SUM(F14:F149)</f>
        <v>305040</v>
      </c>
      <c r="G5" s="457"/>
      <c r="H5" s="25">
        <f>SUM(H14:H149)</f>
        <v>0</v>
      </c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</row>
    <row r="6" ht="12.75" customHeight="1">
      <c r="A6" s="10"/>
      <c r="B6" s="458" t="s">
        <v>10</v>
      </c>
      <c r="C6" s="57"/>
      <c r="D6" s="58"/>
      <c r="E6" s="26">
        <v>0.05</v>
      </c>
      <c r="F6" s="27">
        <f t="shared" ref="F6:F8" si="1">$F$5*E6</f>
        <v>15252</v>
      </c>
      <c r="G6" s="459"/>
      <c r="H6" s="28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</row>
    <row r="7" ht="12.75" customHeight="1">
      <c r="A7" s="10"/>
      <c r="B7" s="458" t="s">
        <v>11</v>
      </c>
      <c r="C7" s="57"/>
      <c r="D7" s="58"/>
      <c r="E7" s="26">
        <v>0.06</v>
      </c>
      <c r="F7" s="27">
        <f t="shared" si="1"/>
        <v>18302.4</v>
      </c>
      <c r="G7" s="459"/>
      <c r="H7" s="29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</row>
    <row r="8" ht="12.75" customHeight="1">
      <c r="A8" s="10"/>
      <c r="B8" s="460" t="s">
        <v>12</v>
      </c>
      <c r="C8" s="461"/>
      <c r="D8" s="232"/>
      <c r="E8" s="30">
        <v>0.07</v>
      </c>
      <c r="F8" s="31">
        <f t="shared" si="1"/>
        <v>21352.8</v>
      </c>
      <c r="G8" s="459"/>
      <c r="H8" s="29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</row>
    <row r="9" ht="12.75" customHeight="1">
      <c r="A9" s="32"/>
      <c r="B9" s="251" t="s">
        <v>13</v>
      </c>
      <c r="C9" s="462"/>
      <c r="D9" s="236"/>
      <c r="E9" s="34"/>
      <c r="F9" s="35">
        <f>SUM(F5:F8)</f>
        <v>359947.2</v>
      </c>
      <c r="G9" s="463"/>
      <c r="H9" s="36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</row>
    <row r="10" ht="19.5" customHeight="1">
      <c r="A10" s="37"/>
      <c r="B10" s="38"/>
      <c r="C10" s="39" t="s">
        <v>14</v>
      </c>
      <c r="D10" s="41"/>
      <c r="E10" s="42"/>
      <c r="F10" s="43"/>
      <c r="G10" s="44"/>
      <c r="H10" s="4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</row>
    <row r="11" ht="5.25" customHeight="1">
      <c r="A11" s="37"/>
      <c r="B11" s="38"/>
      <c r="C11" s="38"/>
      <c r="D11" s="38"/>
      <c r="E11" s="38"/>
      <c r="F11" s="38"/>
      <c r="G11" s="44"/>
      <c r="H11" s="4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</row>
    <row r="12" ht="9.75" customHeight="1">
      <c r="A12" s="37" t="s">
        <v>15</v>
      </c>
      <c r="B12" s="38" t="s">
        <v>706</v>
      </c>
      <c r="C12" s="38" t="s">
        <v>17</v>
      </c>
      <c r="D12" s="38" t="s">
        <v>707</v>
      </c>
      <c r="E12" s="351" t="s">
        <v>708</v>
      </c>
      <c r="F12" s="351" t="s">
        <v>709</v>
      </c>
      <c r="G12" s="44"/>
      <c r="H12" s="4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</row>
    <row r="13" ht="12.75" customHeight="1">
      <c r="A13" s="464" t="s">
        <v>905</v>
      </c>
      <c r="B13" s="213"/>
      <c r="C13" s="213"/>
      <c r="D13" s="213"/>
      <c r="E13" s="213"/>
      <c r="F13" s="213"/>
      <c r="G13" s="465"/>
      <c r="H13" s="4"/>
      <c r="I13" s="59">
        <f t="shared" ref="I13:I18" si="2">IFERROR(H13/$H$5,0)</f>
        <v>0</v>
      </c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</row>
    <row r="14" ht="9.75" customHeight="1">
      <c r="A14" s="466"/>
      <c r="B14" s="467" t="s">
        <v>906</v>
      </c>
      <c r="C14" s="468"/>
      <c r="D14" s="8">
        <v>1.0</v>
      </c>
      <c r="E14" s="8">
        <v>45000.0</v>
      </c>
      <c r="F14" s="469">
        <f t="shared" ref="F14:F18" si="3">E14*D14</f>
        <v>45000</v>
      </c>
      <c r="G14" s="470"/>
      <c r="H14" s="4">
        <f t="shared" ref="H14:H18" si="4">IFERROR(IF(FIND("Sous-",B14,1)&lt;&gt;0,F14,1),0)</f>
        <v>0</v>
      </c>
      <c r="I14" s="59">
        <f t="shared" si="2"/>
        <v>0</v>
      </c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</row>
    <row r="15" ht="9.75" customHeight="1">
      <c r="A15" s="466"/>
      <c r="B15" s="467" t="s">
        <v>907</v>
      </c>
      <c r="C15" s="468"/>
      <c r="D15" s="8">
        <v>1.0</v>
      </c>
      <c r="E15" s="8">
        <v>31000.0</v>
      </c>
      <c r="F15" s="469">
        <f t="shared" si="3"/>
        <v>31000</v>
      </c>
      <c r="G15" s="470"/>
      <c r="H15" s="4">
        <f t="shared" si="4"/>
        <v>0</v>
      </c>
      <c r="I15" s="59">
        <f t="shared" si="2"/>
        <v>0</v>
      </c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</row>
    <row r="16" ht="9.75" customHeight="1">
      <c r="A16" s="466"/>
      <c r="B16" s="467" t="s">
        <v>908</v>
      </c>
      <c r="C16" s="468"/>
      <c r="D16" s="8">
        <v>1.0</v>
      </c>
      <c r="E16" s="8">
        <v>93200.0</v>
      </c>
      <c r="F16" s="469">
        <f t="shared" si="3"/>
        <v>93200</v>
      </c>
      <c r="G16" s="470"/>
      <c r="H16" s="4">
        <f t="shared" si="4"/>
        <v>0</v>
      </c>
      <c r="I16" s="59">
        <f t="shared" si="2"/>
        <v>0</v>
      </c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</row>
    <row r="17" ht="9.75" customHeight="1">
      <c r="A17" s="466"/>
      <c r="B17" s="467" t="s">
        <v>909</v>
      </c>
      <c r="C17" s="468"/>
      <c r="D17" s="8">
        <v>1.0</v>
      </c>
      <c r="E17" s="8">
        <v>77300.0</v>
      </c>
      <c r="F17" s="469">
        <f t="shared" si="3"/>
        <v>77300</v>
      </c>
      <c r="G17" s="470"/>
      <c r="H17" s="4">
        <f t="shared" si="4"/>
        <v>0</v>
      </c>
      <c r="I17" s="59">
        <f t="shared" si="2"/>
        <v>0</v>
      </c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</row>
    <row r="18" ht="9.75" customHeight="1">
      <c r="A18" s="466"/>
      <c r="B18" s="467" t="s">
        <v>910</v>
      </c>
      <c r="C18" s="468"/>
      <c r="D18" s="8">
        <v>1.0</v>
      </c>
      <c r="E18" s="8">
        <v>58540.0</v>
      </c>
      <c r="F18" s="469">
        <f t="shared" si="3"/>
        <v>58540</v>
      </c>
      <c r="G18" s="470"/>
      <c r="H18" s="4">
        <f t="shared" si="4"/>
        <v>0</v>
      </c>
      <c r="I18" s="59">
        <f t="shared" si="2"/>
        <v>0</v>
      </c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</row>
    <row r="19" ht="9.75" customHeight="1">
      <c r="A19" s="4"/>
      <c r="B19" s="4"/>
      <c r="C19" s="4"/>
      <c r="D19" s="165"/>
      <c r="E19" s="165"/>
      <c r="F19" s="165"/>
      <c r="G19" s="165"/>
      <c r="H19" s="165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</row>
    <row r="20" ht="9.75" customHeight="1">
      <c r="A20" s="4"/>
      <c r="B20" s="4"/>
      <c r="C20" s="4"/>
      <c r="D20" s="165"/>
      <c r="E20" s="165"/>
      <c r="F20" s="165"/>
      <c r="G20" s="165"/>
      <c r="H20" s="165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</row>
    <row r="21" ht="9.75" customHeight="1">
      <c r="A21" s="4"/>
      <c r="B21" s="4"/>
      <c r="C21" s="4"/>
      <c r="D21" s="165"/>
      <c r="E21" s="165"/>
      <c r="F21" s="165"/>
      <c r="G21" s="165"/>
      <c r="H21" s="165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</row>
    <row r="22" ht="9.75" customHeight="1">
      <c r="A22" s="4"/>
      <c r="B22" s="4"/>
      <c r="C22" s="4"/>
      <c r="D22" s="165"/>
      <c r="E22" s="165"/>
      <c r="F22" s="165"/>
      <c r="G22" s="165"/>
      <c r="H22" s="165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</row>
    <row r="23" ht="9.75" customHeight="1">
      <c r="A23" s="4"/>
      <c r="B23" s="4"/>
      <c r="C23" s="4"/>
      <c r="D23" s="165"/>
      <c r="E23" s="165"/>
      <c r="F23" s="165"/>
      <c r="G23" s="165"/>
      <c r="H23" s="165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</row>
    <row r="24" ht="9.75" customHeight="1">
      <c r="A24" s="4"/>
      <c r="B24" s="4"/>
      <c r="C24" s="4"/>
      <c r="D24" s="165"/>
      <c r="E24" s="165"/>
      <c r="F24" s="165"/>
      <c r="G24" s="165"/>
      <c r="H24" s="165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</row>
    <row r="25" ht="9.75" customHeight="1">
      <c r="A25" s="4"/>
      <c r="B25" s="4"/>
      <c r="C25" s="4"/>
      <c r="D25" s="165"/>
      <c r="E25" s="165"/>
      <c r="F25" s="165"/>
      <c r="G25" s="165"/>
      <c r="H25" s="165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</row>
    <row r="26" ht="9.75" customHeight="1">
      <c r="A26" s="4"/>
      <c r="B26" s="4"/>
      <c r="C26" s="4"/>
      <c r="D26" s="165"/>
      <c r="E26" s="165"/>
      <c r="F26" s="165"/>
      <c r="G26" s="165"/>
      <c r="H26" s="165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</row>
    <row r="27" ht="9.75" customHeight="1">
      <c r="A27" s="4"/>
      <c r="B27" s="4"/>
      <c r="C27" s="4"/>
      <c r="D27" s="165"/>
      <c r="E27" s="165"/>
      <c r="F27" s="165"/>
      <c r="G27" s="165"/>
      <c r="H27" s="165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</row>
    <row r="28" ht="9.75" customHeight="1">
      <c r="A28" s="4"/>
      <c r="B28" s="4"/>
      <c r="C28" s="4"/>
      <c r="D28" s="165"/>
      <c r="E28" s="165"/>
      <c r="F28" s="165"/>
      <c r="G28" s="165"/>
      <c r="H28" s="165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</row>
    <row r="29" ht="9.75" customHeight="1">
      <c r="A29" s="4"/>
      <c r="B29" s="4"/>
      <c r="C29" s="4"/>
      <c r="D29" s="165"/>
      <c r="E29" s="165"/>
      <c r="F29" s="165"/>
      <c r="G29" s="165"/>
      <c r="H29" s="165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</row>
    <row r="30" ht="9.75" customHeight="1">
      <c r="A30" s="4"/>
      <c r="B30" s="4"/>
      <c r="C30" s="4"/>
      <c r="D30" s="165"/>
      <c r="E30" s="165"/>
      <c r="F30" s="165"/>
      <c r="G30" s="165"/>
      <c r="H30" s="165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</row>
    <row r="31" ht="9.75" customHeight="1">
      <c r="A31" s="4"/>
      <c r="B31" s="4"/>
      <c r="C31" s="4"/>
      <c r="D31" s="165"/>
      <c r="E31" s="165"/>
      <c r="F31" s="165"/>
      <c r="G31" s="165"/>
      <c r="H31" s="165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</row>
    <row r="32" ht="9.75" customHeight="1">
      <c r="A32" s="4"/>
      <c r="B32" s="4"/>
      <c r="C32" s="4"/>
      <c r="D32" s="165"/>
      <c r="E32" s="165"/>
      <c r="F32" s="165"/>
      <c r="G32" s="165"/>
      <c r="H32" s="165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</row>
    <row r="33" ht="9.75" customHeight="1">
      <c r="A33" s="4"/>
      <c r="B33" s="4"/>
      <c r="C33" s="4"/>
      <c r="D33" s="165"/>
      <c r="E33" s="165"/>
      <c r="F33" s="165"/>
      <c r="G33" s="165"/>
      <c r="H33" s="165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</row>
    <row r="34" ht="9.75" customHeight="1">
      <c r="A34" s="4"/>
      <c r="B34" s="4"/>
      <c r="C34" s="4"/>
      <c r="D34" s="165"/>
      <c r="E34" s="165"/>
      <c r="F34" s="165"/>
      <c r="G34" s="165"/>
      <c r="H34" s="165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</row>
    <row r="35" ht="9.75" customHeight="1">
      <c r="A35" s="4"/>
      <c r="B35" s="4"/>
      <c r="C35" s="4"/>
      <c r="D35" s="165"/>
      <c r="E35" s="165"/>
      <c r="F35" s="165"/>
      <c r="G35" s="165"/>
      <c r="H35" s="165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</row>
    <row r="36" ht="9.75" customHeight="1">
      <c r="A36" s="4"/>
      <c r="B36" s="4"/>
      <c r="C36" s="4"/>
      <c r="D36" s="165"/>
      <c r="E36" s="165"/>
      <c r="F36" s="165"/>
      <c r="G36" s="165"/>
      <c r="H36" s="165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</row>
    <row r="37" ht="9.75" customHeight="1">
      <c r="A37" s="4"/>
      <c r="B37" s="4"/>
      <c r="C37" s="4"/>
      <c r="D37" s="165"/>
      <c r="E37" s="165"/>
      <c r="F37" s="165"/>
      <c r="G37" s="165"/>
      <c r="H37" s="165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</row>
    <row r="38" ht="9.75" customHeight="1">
      <c r="A38" s="4"/>
      <c r="B38" s="4"/>
      <c r="C38" s="4"/>
      <c r="D38" s="165"/>
      <c r="E38" s="165"/>
      <c r="F38" s="165"/>
      <c r="G38" s="165"/>
      <c r="H38" s="165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</row>
    <row r="39" ht="9.75" customHeight="1">
      <c r="A39" s="4"/>
      <c r="B39" s="4"/>
      <c r="C39" s="4"/>
      <c r="D39" s="165"/>
      <c r="E39" s="165"/>
      <c r="F39" s="165"/>
      <c r="G39" s="165"/>
      <c r="H39" s="165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</row>
    <row r="40" ht="9.75" customHeight="1">
      <c r="A40" s="4"/>
      <c r="B40" s="4"/>
      <c r="C40" s="4"/>
      <c r="D40" s="165"/>
      <c r="E40" s="165"/>
      <c r="F40" s="165"/>
      <c r="G40" s="165"/>
      <c r="H40" s="165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</row>
    <row r="41" ht="9.75" customHeight="1">
      <c r="A41" s="4"/>
      <c r="B41" s="4"/>
      <c r="C41" s="4"/>
      <c r="D41" s="165"/>
      <c r="E41" s="165"/>
      <c r="F41" s="165"/>
      <c r="G41" s="165"/>
      <c r="H41" s="165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</row>
    <row r="42" ht="9.75" customHeight="1">
      <c r="A42" s="4"/>
      <c r="B42" s="4"/>
      <c r="C42" s="4"/>
      <c r="D42" s="165"/>
      <c r="E42" s="165"/>
      <c r="F42" s="165"/>
      <c r="G42" s="165"/>
      <c r="H42" s="165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</row>
    <row r="43" ht="9.75" customHeight="1">
      <c r="A43" s="4"/>
      <c r="B43" s="4"/>
      <c r="C43" s="4"/>
      <c r="D43" s="165"/>
      <c r="E43" s="165"/>
      <c r="F43" s="165"/>
      <c r="G43" s="165"/>
      <c r="H43" s="165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</row>
    <row r="44" ht="9.75" customHeight="1">
      <c r="A44" s="4"/>
      <c r="B44" s="4"/>
      <c r="C44" s="4"/>
      <c r="D44" s="165"/>
      <c r="E44" s="165"/>
      <c r="F44" s="165"/>
      <c r="G44" s="165"/>
      <c r="H44" s="165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</row>
    <row r="45" ht="9.75" customHeight="1">
      <c r="A45" s="4"/>
      <c r="B45" s="4"/>
      <c r="C45" s="4"/>
      <c r="D45" s="165"/>
      <c r="E45" s="165"/>
      <c r="F45" s="165"/>
      <c r="G45" s="165"/>
      <c r="H45" s="165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</row>
    <row r="46" ht="9.75" customHeight="1">
      <c r="A46" s="4"/>
      <c r="B46" s="4"/>
      <c r="C46" s="4"/>
      <c r="D46" s="165"/>
      <c r="E46" s="165"/>
      <c r="F46" s="165"/>
      <c r="G46" s="165"/>
      <c r="H46" s="165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</row>
    <row r="47" ht="9.75" customHeight="1">
      <c r="A47" s="4"/>
      <c r="B47" s="4"/>
      <c r="C47" s="4"/>
      <c r="D47" s="165"/>
      <c r="E47" s="165"/>
      <c r="F47" s="165"/>
      <c r="G47" s="165"/>
      <c r="H47" s="165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</row>
    <row r="48" ht="9.75" customHeight="1">
      <c r="A48" s="4"/>
      <c r="B48" s="4"/>
      <c r="C48" s="4"/>
      <c r="D48" s="165"/>
      <c r="E48" s="165"/>
      <c r="F48" s="165"/>
      <c r="G48" s="165"/>
      <c r="H48" s="165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</row>
    <row r="49" ht="9.75" customHeight="1">
      <c r="A49" s="4"/>
      <c r="B49" s="4"/>
      <c r="C49" s="4"/>
      <c r="D49" s="165"/>
      <c r="E49" s="165"/>
      <c r="F49" s="165"/>
      <c r="G49" s="165"/>
      <c r="H49" s="165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</row>
    <row r="50" ht="9.75" customHeight="1">
      <c r="A50" s="4"/>
      <c r="B50" s="4"/>
      <c r="C50" s="4"/>
      <c r="D50" s="165"/>
      <c r="E50" s="165"/>
      <c r="F50" s="165"/>
      <c r="G50" s="165"/>
      <c r="H50" s="165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</row>
    <row r="51" ht="9.75" customHeight="1">
      <c r="A51" s="4"/>
      <c r="B51" s="4"/>
      <c r="C51" s="4"/>
      <c r="D51" s="165"/>
      <c r="E51" s="165"/>
      <c r="F51" s="165"/>
      <c r="G51" s="165"/>
      <c r="H51" s="165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</row>
    <row r="52" ht="9.75" customHeight="1">
      <c r="A52" s="4"/>
      <c r="B52" s="4"/>
      <c r="C52" s="4"/>
      <c r="D52" s="165"/>
      <c r="E52" s="165"/>
      <c r="F52" s="165"/>
      <c r="G52" s="165"/>
      <c r="H52" s="165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</row>
    <row r="53" ht="9.75" customHeight="1">
      <c r="A53" s="4"/>
      <c r="B53" s="4"/>
      <c r="C53" s="4"/>
      <c r="D53" s="165"/>
      <c r="E53" s="165"/>
      <c r="F53" s="165"/>
      <c r="G53" s="165"/>
      <c r="H53" s="165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</row>
    <row r="54" ht="9.75" customHeight="1">
      <c r="A54" s="4"/>
      <c r="B54" s="4"/>
      <c r="C54" s="4"/>
      <c r="D54" s="165"/>
      <c r="E54" s="165"/>
      <c r="F54" s="165"/>
      <c r="G54" s="165"/>
      <c r="H54" s="165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</row>
    <row r="55" ht="9.75" customHeight="1">
      <c r="A55" s="4"/>
      <c r="B55" s="4"/>
      <c r="C55" s="4"/>
      <c r="D55" s="165"/>
      <c r="E55" s="165"/>
      <c r="F55" s="165"/>
      <c r="G55" s="165"/>
      <c r="H55" s="165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</row>
    <row r="56" ht="9.75" customHeight="1">
      <c r="A56" s="4"/>
      <c r="B56" s="4"/>
      <c r="C56" s="4"/>
      <c r="D56" s="165"/>
      <c r="E56" s="165"/>
      <c r="F56" s="165"/>
      <c r="G56" s="165"/>
      <c r="H56" s="165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</row>
    <row r="57" ht="9.75" customHeight="1">
      <c r="A57" s="4"/>
      <c r="B57" s="4"/>
      <c r="C57" s="4"/>
      <c r="D57" s="165"/>
      <c r="E57" s="165"/>
      <c r="F57" s="165"/>
      <c r="G57" s="165"/>
      <c r="H57" s="165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</row>
    <row r="58" ht="9.75" customHeight="1">
      <c r="A58" s="4"/>
      <c r="B58" s="4"/>
      <c r="C58" s="4"/>
      <c r="D58" s="165"/>
      <c r="E58" s="165"/>
      <c r="F58" s="165"/>
      <c r="G58" s="165"/>
      <c r="H58" s="165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</row>
    <row r="59" ht="9.75" customHeight="1">
      <c r="A59" s="4"/>
      <c r="B59" s="4"/>
      <c r="C59" s="4"/>
      <c r="D59" s="165"/>
      <c r="E59" s="165"/>
      <c r="F59" s="165"/>
      <c r="G59" s="165"/>
      <c r="H59" s="165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</row>
    <row r="60" ht="9.75" customHeight="1">
      <c r="A60" s="4"/>
      <c r="B60" s="4"/>
      <c r="C60" s="4"/>
      <c r="D60" s="165"/>
      <c r="E60" s="165"/>
      <c r="F60" s="165"/>
      <c r="G60" s="165"/>
      <c r="H60" s="165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</row>
    <row r="61" ht="9.75" customHeight="1">
      <c r="A61" s="4"/>
      <c r="B61" s="4"/>
      <c r="C61" s="4"/>
      <c r="D61" s="165"/>
      <c r="E61" s="165"/>
      <c r="F61" s="165"/>
      <c r="G61" s="165"/>
      <c r="H61" s="165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</row>
    <row r="62" ht="9.75" customHeight="1">
      <c r="A62" s="4"/>
      <c r="B62" s="4"/>
      <c r="C62" s="4"/>
      <c r="D62" s="165"/>
      <c r="E62" s="165"/>
      <c r="F62" s="165"/>
      <c r="G62" s="165"/>
      <c r="H62" s="165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</row>
    <row r="63" ht="9.75" customHeight="1">
      <c r="A63" s="4"/>
      <c r="B63" s="4"/>
      <c r="C63" s="4"/>
      <c r="D63" s="165"/>
      <c r="E63" s="165"/>
      <c r="F63" s="165"/>
      <c r="G63" s="165"/>
      <c r="H63" s="165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</row>
    <row r="64" ht="9.75" customHeight="1">
      <c r="A64" s="4"/>
      <c r="B64" s="4"/>
      <c r="C64" s="4"/>
      <c r="D64" s="165"/>
      <c r="E64" s="165"/>
      <c r="F64" s="165"/>
      <c r="G64" s="165"/>
      <c r="H64" s="165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</row>
    <row r="65" ht="9.75" customHeight="1">
      <c r="A65" s="4"/>
      <c r="B65" s="4"/>
      <c r="C65" s="4"/>
      <c r="D65" s="165"/>
      <c r="E65" s="165"/>
      <c r="F65" s="165"/>
      <c r="G65" s="165"/>
      <c r="H65" s="165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</row>
    <row r="66" ht="9.75" customHeight="1">
      <c r="A66" s="4"/>
      <c r="B66" s="4"/>
      <c r="C66" s="4"/>
      <c r="D66" s="165"/>
      <c r="E66" s="165"/>
      <c r="F66" s="165"/>
      <c r="G66" s="165"/>
      <c r="H66" s="165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</row>
    <row r="67" ht="9.75" customHeight="1">
      <c r="A67" s="4"/>
      <c r="B67" s="4"/>
      <c r="C67" s="4"/>
      <c r="D67" s="165"/>
      <c r="E67" s="165"/>
      <c r="F67" s="165"/>
      <c r="G67" s="165"/>
      <c r="H67" s="165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</row>
    <row r="68" ht="9.75" customHeight="1">
      <c r="A68" s="4"/>
      <c r="B68" s="4"/>
      <c r="C68" s="4"/>
      <c r="D68" s="165"/>
      <c r="E68" s="165"/>
      <c r="F68" s="165"/>
      <c r="G68" s="165"/>
      <c r="H68" s="165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</row>
    <row r="69" ht="9.75" customHeight="1">
      <c r="A69" s="4"/>
      <c r="B69" s="4"/>
      <c r="C69" s="4"/>
      <c r="D69" s="165"/>
      <c r="E69" s="165"/>
      <c r="F69" s="165"/>
      <c r="G69" s="165"/>
      <c r="H69" s="165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</row>
    <row r="70" ht="9.75" customHeight="1">
      <c r="A70" s="4"/>
      <c r="B70" s="4"/>
      <c r="C70" s="4"/>
      <c r="D70" s="165"/>
      <c r="E70" s="165"/>
      <c r="F70" s="165"/>
      <c r="G70" s="165"/>
      <c r="H70" s="165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</row>
    <row r="71" ht="9.75" customHeight="1">
      <c r="A71" s="4"/>
      <c r="B71" s="4"/>
      <c r="C71" s="4"/>
      <c r="D71" s="165"/>
      <c r="E71" s="165"/>
      <c r="F71" s="165"/>
      <c r="G71" s="165"/>
      <c r="H71" s="165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</row>
    <row r="72" ht="9.75" customHeight="1">
      <c r="A72" s="4"/>
      <c r="B72" s="4"/>
      <c r="C72" s="4"/>
      <c r="D72" s="165"/>
      <c r="E72" s="165"/>
      <c r="F72" s="165"/>
      <c r="G72" s="165"/>
      <c r="H72" s="165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</row>
    <row r="73" ht="9.75" customHeight="1">
      <c r="A73" s="4"/>
      <c r="B73" s="4"/>
      <c r="C73" s="4"/>
      <c r="D73" s="165"/>
      <c r="E73" s="165"/>
      <c r="F73" s="165"/>
      <c r="G73" s="165"/>
      <c r="H73" s="165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</row>
    <row r="74" ht="9.75" customHeight="1">
      <c r="A74" s="4"/>
      <c r="B74" s="4"/>
      <c r="C74" s="4"/>
      <c r="D74" s="165"/>
      <c r="E74" s="165"/>
      <c r="F74" s="165"/>
      <c r="G74" s="165"/>
      <c r="H74" s="165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</row>
    <row r="75" ht="9.75" customHeight="1">
      <c r="A75" s="4"/>
      <c r="B75" s="4"/>
      <c r="C75" s="4"/>
      <c r="D75" s="165"/>
      <c r="E75" s="165"/>
      <c r="F75" s="165"/>
      <c r="G75" s="165"/>
      <c r="H75" s="165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</row>
    <row r="76" ht="9.75" customHeight="1">
      <c r="A76" s="4"/>
      <c r="B76" s="4"/>
      <c r="C76" s="4"/>
      <c r="D76" s="165"/>
      <c r="E76" s="165"/>
      <c r="F76" s="165"/>
      <c r="G76" s="165"/>
      <c r="H76" s="165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</row>
    <row r="77" ht="9.75" customHeight="1">
      <c r="A77" s="4"/>
      <c r="B77" s="4"/>
      <c r="C77" s="4"/>
      <c r="D77" s="165"/>
      <c r="E77" s="165"/>
      <c r="F77" s="165"/>
      <c r="G77" s="165"/>
      <c r="H77" s="165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</row>
    <row r="78" ht="9.75" customHeight="1">
      <c r="A78" s="4"/>
      <c r="B78" s="4"/>
      <c r="C78" s="4"/>
      <c r="D78" s="165"/>
      <c r="E78" s="165"/>
      <c r="F78" s="165"/>
      <c r="G78" s="165"/>
      <c r="H78" s="165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</row>
    <row r="79" ht="9.75" customHeight="1">
      <c r="A79" s="4"/>
      <c r="B79" s="4"/>
      <c r="C79" s="4"/>
      <c r="D79" s="165"/>
      <c r="E79" s="165"/>
      <c r="F79" s="165"/>
      <c r="G79" s="165"/>
      <c r="H79" s="165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</row>
    <row r="80" ht="9.75" customHeight="1">
      <c r="A80" s="4"/>
      <c r="B80" s="4"/>
      <c r="C80" s="4"/>
      <c r="D80" s="165"/>
      <c r="E80" s="165"/>
      <c r="F80" s="165"/>
      <c r="G80" s="165"/>
      <c r="H80" s="165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</row>
    <row r="81" ht="9.75" customHeight="1">
      <c r="A81" s="4"/>
      <c r="B81" s="4"/>
      <c r="C81" s="4"/>
      <c r="D81" s="165"/>
      <c r="E81" s="165"/>
      <c r="F81" s="165"/>
      <c r="G81" s="165"/>
      <c r="H81" s="165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</row>
    <row r="82" ht="9.75" customHeight="1">
      <c r="A82" s="4"/>
      <c r="B82" s="4"/>
      <c r="C82" s="4"/>
      <c r="D82" s="165"/>
      <c r="E82" s="165"/>
      <c r="F82" s="165"/>
      <c r="G82" s="165"/>
      <c r="H82" s="165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</row>
    <row r="83" ht="9.75" customHeight="1">
      <c r="A83" s="4"/>
      <c r="B83" s="4"/>
      <c r="C83" s="4"/>
      <c r="D83" s="165"/>
      <c r="E83" s="165"/>
      <c r="F83" s="165"/>
      <c r="G83" s="165"/>
      <c r="H83" s="165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</row>
    <row r="84" ht="9.75" customHeight="1">
      <c r="A84" s="4"/>
      <c r="B84" s="4"/>
      <c r="C84" s="4"/>
      <c r="D84" s="165"/>
      <c r="E84" s="165"/>
      <c r="F84" s="165"/>
      <c r="G84" s="165"/>
      <c r="H84" s="165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</row>
    <row r="85" ht="9.75" customHeight="1">
      <c r="A85" s="4"/>
      <c r="B85" s="4"/>
      <c r="C85" s="4"/>
      <c r="D85" s="165"/>
      <c r="E85" s="165"/>
      <c r="F85" s="165"/>
      <c r="G85" s="165"/>
      <c r="H85" s="165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</row>
    <row r="86" ht="9.75" customHeight="1">
      <c r="A86" s="4"/>
      <c r="B86" s="4"/>
      <c r="C86" s="4"/>
      <c r="D86" s="165"/>
      <c r="E86" s="165"/>
      <c r="F86" s="165"/>
      <c r="G86" s="165"/>
      <c r="H86" s="165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</row>
    <row r="87" ht="9.75" customHeight="1">
      <c r="A87" s="4"/>
      <c r="B87" s="4"/>
      <c r="C87" s="4"/>
      <c r="D87" s="165"/>
      <c r="E87" s="165"/>
      <c r="F87" s="165"/>
      <c r="G87" s="165"/>
      <c r="H87" s="165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</row>
    <row r="88" ht="9.75" customHeight="1">
      <c r="A88" s="4"/>
      <c r="B88" s="4"/>
      <c r="C88" s="4"/>
      <c r="D88" s="165"/>
      <c r="E88" s="165"/>
      <c r="F88" s="165"/>
      <c r="G88" s="165"/>
      <c r="H88" s="165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</row>
    <row r="89" ht="9.75" customHeight="1">
      <c r="A89" s="4"/>
      <c r="B89" s="4"/>
      <c r="C89" s="4"/>
      <c r="D89" s="165"/>
      <c r="E89" s="165"/>
      <c r="F89" s="165"/>
      <c r="G89" s="165"/>
      <c r="H89" s="165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</row>
    <row r="90" ht="9.75" customHeight="1">
      <c r="A90" s="4"/>
      <c r="B90" s="4"/>
      <c r="C90" s="4"/>
      <c r="D90" s="165"/>
      <c r="E90" s="165"/>
      <c r="F90" s="165"/>
      <c r="G90" s="165"/>
      <c r="H90" s="165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</row>
    <row r="91" ht="9.75" customHeight="1">
      <c r="A91" s="4"/>
      <c r="B91" s="4"/>
      <c r="C91" s="4"/>
      <c r="D91" s="165"/>
      <c r="E91" s="165"/>
      <c r="F91" s="165"/>
      <c r="G91" s="165"/>
      <c r="H91" s="165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</row>
    <row r="92" ht="9.75" customHeight="1">
      <c r="A92" s="4"/>
      <c r="B92" s="4"/>
      <c r="C92" s="4"/>
      <c r="D92" s="165"/>
      <c r="E92" s="165"/>
      <c r="F92" s="165"/>
      <c r="G92" s="165"/>
      <c r="H92" s="165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</row>
    <row r="93" ht="9.75" customHeight="1">
      <c r="A93" s="4"/>
      <c r="B93" s="4"/>
      <c r="C93" s="4"/>
      <c r="D93" s="165"/>
      <c r="E93" s="165"/>
      <c r="F93" s="165"/>
      <c r="G93" s="165"/>
      <c r="H93" s="165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</row>
    <row r="94" ht="9.75" customHeight="1">
      <c r="A94" s="4"/>
      <c r="B94" s="4"/>
      <c r="C94" s="4"/>
      <c r="D94" s="165"/>
      <c r="E94" s="165"/>
      <c r="F94" s="165"/>
      <c r="G94" s="165"/>
      <c r="H94" s="165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</row>
    <row r="95" ht="9.75" customHeight="1">
      <c r="A95" s="4"/>
      <c r="B95" s="4"/>
      <c r="C95" s="4"/>
      <c r="D95" s="165"/>
      <c r="E95" s="165"/>
      <c r="F95" s="165"/>
      <c r="G95" s="165"/>
      <c r="H95" s="165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</row>
    <row r="96" ht="9.75" customHeight="1">
      <c r="A96" s="4"/>
      <c r="B96" s="4"/>
      <c r="C96" s="4"/>
      <c r="D96" s="165"/>
      <c r="E96" s="165"/>
      <c r="F96" s="165"/>
      <c r="G96" s="165"/>
      <c r="H96" s="165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</row>
    <row r="97" ht="9.75" customHeight="1">
      <c r="A97" s="4"/>
      <c r="B97" s="4"/>
      <c r="C97" s="4"/>
      <c r="D97" s="165"/>
      <c r="E97" s="165"/>
      <c r="F97" s="165"/>
      <c r="G97" s="165"/>
      <c r="H97" s="165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</row>
    <row r="98" ht="9.75" customHeight="1">
      <c r="A98" s="4"/>
      <c r="B98" s="4"/>
      <c r="C98" s="4"/>
      <c r="D98" s="165"/>
      <c r="E98" s="165"/>
      <c r="F98" s="165"/>
      <c r="G98" s="165"/>
      <c r="H98" s="165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</row>
    <row r="99" ht="9.75" customHeight="1">
      <c r="A99" s="4"/>
      <c r="B99" s="4"/>
      <c r="C99" s="4"/>
      <c r="D99" s="165"/>
      <c r="E99" s="165"/>
      <c r="F99" s="165"/>
      <c r="G99" s="165"/>
      <c r="H99" s="165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</row>
    <row r="100" ht="9.75" customHeight="1">
      <c r="A100" s="4"/>
      <c r="B100" s="4"/>
      <c r="C100" s="4"/>
      <c r="D100" s="165"/>
      <c r="E100" s="165"/>
      <c r="F100" s="165"/>
      <c r="G100" s="165"/>
      <c r="H100" s="165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</row>
    <row r="101" ht="9.75" customHeight="1">
      <c r="A101" s="4"/>
      <c r="B101" s="4"/>
      <c r="C101" s="4"/>
      <c r="D101" s="165"/>
      <c r="E101" s="165"/>
      <c r="F101" s="165"/>
      <c r="G101" s="165"/>
      <c r="H101" s="165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</row>
    <row r="102" ht="9.75" customHeight="1">
      <c r="A102" s="4"/>
      <c r="B102" s="4"/>
      <c r="C102" s="4"/>
      <c r="D102" s="165"/>
      <c r="E102" s="165"/>
      <c r="F102" s="165"/>
      <c r="G102" s="165"/>
      <c r="H102" s="165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</row>
    <row r="103" ht="9.75" customHeight="1">
      <c r="A103" s="4"/>
      <c r="B103" s="4"/>
      <c r="C103" s="4"/>
      <c r="D103" s="165"/>
      <c r="E103" s="165"/>
      <c r="F103" s="165"/>
      <c r="G103" s="165"/>
      <c r="H103" s="165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</row>
    <row r="104" ht="9.75" customHeight="1">
      <c r="A104" s="4"/>
      <c r="B104" s="4"/>
      <c r="C104" s="4"/>
      <c r="D104" s="165"/>
      <c r="E104" s="165"/>
      <c r="F104" s="165"/>
      <c r="G104" s="165"/>
      <c r="H104" s="165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</row>
    <row r="105" ht="9.75" customHeight="1">
      <c r="A105" s="4"/>
      <c r="B105" s="4"/>
      <c r="C105" s="4"/>
      <c r="D105" s="165"/>
      <c r="E105" s="165"/>
      <c r="F105" s="165"/>
      <c r="G105" s="165"/>
      <c r="H105" s="165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</row>
    <row r="106" ht="9.75" customHeight="1">
      <c r="A106" s="4"/>
      <c r="B106" s="4"/>
      <c r="C106" s="4"/>
      <c r="D106" s="165"/>
      <c r="E106" s="165"/>
      <c r="F106" s="165"/>
      <c r="G106" s="165"/>
      <c r="H106" s="165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</row>
    <row r="107" ht="9.75" customHeight="1">
      <c r="A107" s="4"/>
      <c r="B107" s="4"/>
      <c r="C107" s="4"/>
      <c r="D107" s="165"/>
      <c r="E107" s="165"/>
      <c r="F107" s="165"/>
      <c r="G107" s="165"/>
      <c r="H107" s="165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</row>
    <row r="108" ht="9.75" customHeight="1">
      <c r="A108" s="4"/>
      <c r="B108" s="4"/>
      <c r="C108" s="4"/>
      <c r="D108" s="165"/>
      <c r="E108" s="165"/>
      <c r="F108" s="165"/>
      <c r="G108" s="165"/>
      <c r="H108" s="165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</row>
    <row r="109" ht="9.75" customHeight="1">
      <c r="A109" s="4"/>
      <c r="B109" s="4"/>
      <c r="C109" s="4"/>
      <c r="D109" s="165"/>
      <c r="E109" s="165"/>
      <c r="F109" s="165"/>
      <c r="G109" s="165"/>
      <c r="H109" s="165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</row>
    <row r="110" ht="9.75" customHeight="1">
      <c r="A110" s="4"/>
      <c r="B110" s="4"/>
      <c r="C110" s="4"/>
      <c r="D110" s="165"/>
      <c r="E110" s="165"/>
      <c r="F110" s="165"/>
      <c r="G110" s="165"/>
      <c r="H110" s="165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</row>
    <row r="111" ht="9.75" customHeight="1">
      <c r="A111" s="4"/>
      <c r="B111" s="4"/>
      <c r="C111" s="4"/>
      <c r="D111" s="165"/>
      <c r="E111" s="165"/>
      <c r="F111" s="165"/>
      <c r="G111" s="165"/>
      <c r="H111" s="165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</row>
    <row r="112" ht="9.75" customHeight="1">
      <c r="A112" s="4"/>
      <c r="B112" s="4"/>
      <c r="C112" s="4"/>
      <c r="D112" s="165"/>
      <c r="E112" s="165"/>
      <c r="F112" s="165"/>
      <c r="G112" s="165"/>
      <c r="H112" s="165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</row>
    <row r="113" ht="9.75" customHeight="1">
      <c r="A113" s="4"/>
      <c r="B113" s="4"/>
      <c r="C113" s="4"/>
      <c r="D113" s="165"/>
      <c r="E113" s="165"/>
      <c r="F113" s="165"/>
      <c r="G113" s="165"/>
      <c r="H113" s="165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</row>
    <row r="114" ht="9.75" customHeight="1">
      <c r="A114" s="4"/>
      <c r="B114" s="4"/>
      <c r="C114" s="4"/>
      <c r="D114" s="165"/>
      <c r="E114" s="165"/>
      <c r="F114" s="165"/>
      <c r="G114" s="165"/>
      <c r="H114" s="165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</row>
    <row r="115" ht="9.75" customHeight="1">
      <c r="A115" s="4"/>
      <c r="B115" s="4"/>
      <c r="C115" s="4"/>
      <c r="D115" s="165"/>
      <c r="E115" s="165"/>
      <c r="F115" s="165"/>
      <c r="G115" s="165"/>
      <c r="H115" s="165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</row>
    <row r="116" ht="9.75" customHeight="1">
      <c r="A116" s="4"/>
      <c r="B116" s="4"/>
      <c r="C116" s="4"/>
      <c r="D116" s="165"/>
      <c r="E116" s="165"/>
      <c r="F116" s="165"/>
      <c r="G116" s="165"/>
      <c r="H116" s="165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</row>
    <row r="117" ht="9.75" customHeight="1">
      <c r="A117" s="4"/>
      <c r="B117" s="4"/>
      <c r="C117" s="4"/>
      <c r="D117" s="165"/>
      <c r="E117" s="165"/>
      <c r="F117" s="165"/>
      <c r="G117" s="165"/>
      <c r="H117" s="165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</row>
    <row r="118" ht="9.75" customHeight="1">
      <c r="A118" s="4"/>
      <c r="B118" s="4"/>
      <c r="C118" s="4"/>
      <c r="D118" s="165"/>
      <c r="E118" s="165"/>
      <c r="F118" s="165"/>
      <c r="G118" s="165"/>
      <c r="H118" s="165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</row>
    <row r="119" ht="9.75" customHeight="1">
      <c r="A119" s="4"/>
      <c r="B119" s="4"/>
      <c r="C119" s="4"/>
      <c r="D119" s="165"/>
      <c r="E119" s="165"/>
      <c r="F119" s="165"/>
      <c r="G119" s="165"/>
      <c r="H119" s="165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</row>
    <row r="120" ht="9.75" customHeight="1">
      <c r="A120" s="4"/>
      <c r="B120" s="4"/>
      <c r="C120" s="4"/>
      <c r="D120" s="165"/>
      <c r="E120" s="165"/>
      <c r="F120" s="165"/>
      <c r="G120" s="165"/>
      <c r="H120" s="165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</row>
    <row r="121" ht="9.75" customHeight="1">
      <c r="A121" s="4"/>
      <c r="B121" s="4"/>
      <c r="C121" s="4"/>
      <c r="D121" s="165"/>
      <c r="E121" s="165"/>
      <c r="F121" s="165"/>
      <c r="G121" s="165"/>
      <c r="H121" s="165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</row>
    <row r="122" ht="9.75" customHeight="1">
      <c r="A122" s="4"/>
      <c r="B122" s="4"/>
      <c r="C122" s="4"/>
      <c r="D122" s="165"/>
      <c r="E122" s="165"/>
      <c r="F122" s="165"/>
      <c r="G122" s="165"/>
      <c r="H122" s="165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</row>
    <row r="123" ht="9.75" customHeight="1">
      <c r="A123" s="4"/>
      <c r="B123" s="4"/>
      <c r="C123" s="4"/>
      <c r="D123" s="165"/>
      <c r="E123" s="165"/>
      <c r="F123" s="165"/>
      <c r="G123" s="165"/>
      <c r="H123" s="165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</row>
    <row r="124" ht="9.75" customHeight="1">
      <c r="A124" s="4"/>
      <c r="B124" s="4"/>
      <c r="C124" s="4"/>
      <c r="D124" s="165"/>
      <c r="E124" s="165"/>
      <c r="F124" s="165"/>
      <c r="G124" s="165"/>
      <c r="H124" s="165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</row>
    <row r="125" ht="9.75" customHeight="1">
      <c r="A125" s="4"/>
      <c r="B125" s="4"/>
      <c r="C125" s="4"/>
      <c r="D125" s="165"/>
      <c r="E125" s="165"/>
      <c r="F125" s="165"/>
      <c r="G125" s="165"/>
      <c r="H125" s="165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</row>
    <row r="126" ht="9.75" customHeight="1">
      <c r="A126" s="4"/>
      <c r="B126" s="4"/>
      <c r="C126" s="4"/>
      <c r="D126" s="165"/>
      <c r="E126" s="165"/>
      <c r="F126" s="165"/>
      <c r="G126" s="165"/>
      <c r="H126" s="165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  <c r="Z126" s="4"/>
    </row>
    <row r="127" ht="9.75" customHeight="1">
      <c r="A127" s="4"/>
      <c r="B127" s="4"/>
      <c r="C127" s="4"/>
      <c r="D127" s="165"/>
      <c r="E127" s="165"/>
      <c r="F127" s="165"/>
      <c r="G127" s="165"/>
      <c r="H127" s="165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</row>
    <row r="128" ht="9.75" customHeight="1">
      <c r="A128" s="4"/>
      <c r="B128" s="4"/>
      <c r="C128" s="4"/>
      <c r="D128" s="165"/>
      <c r="E128" s="165"/>
      <c r="F128" s="165"/>
      <c r="G128" s="165"/>
      <c r="H128" s="165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</row>
    <row r="129" ht="9.75" customHeight="1">
      <c r="A129" s="4"/>
      <c r="B129" s="4"/>
      <c r="C129" s="4"/>
      <c r="D129" s="165"/>
      <c r="E129" s="165"/>
      <c r="F129" s="165"/>
      <c r="G129" s="165"/>
      <c r="H129" s="165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</row>
    <row r="130" ht="9.75" customHeight="1">
      <c r="A130" s="4"/>
      <c r="B130" s="4"/>
      <c r="C130" s="4"/>
      <c r="D130" s="165"/>
      <c r="E130" s="165"/>
      <c r="F130" s="165"/>
      <c r="G130" s="165"/>
      <c r="H130" s="165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</row>
    <row r="131" ht="9.75" customHeight="1">
      <c r="A131" s="4"/>
      <c r="B131" s="4"/>
      <c r="C131" s="4"/>
      <c r="D131" s="165"/>
      <c r="E131" s="165"/>
      <c r="F131" s="165"/>
      <c r="G131" s="165"/>
      <c r="H131" s="165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</row>
    <row r="132" ht="9.75" customHeight="1">
      <c r="A132" s="4"/>
      <c r="B132" s="4"/>
      <c r="C132" s="4"/>
      <c r="D132" s="165"/>
      <c r="E132" s="165"/>
      <c r="F132" s="165"/>
      <c r="G132" s="165"/>
      <c r="H132" s="165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</row>
    <row r="133" ht="9.75" customHeight="1">
      <c r="A133" s="4"/>
      <c r="B133" s="4"/>
      <c r="C133" s="4"/>
      <c r="D133" s="165"/>
      <c r="E133" s="165"/>
      <c r="F133" s="165"/>
      <c r="G133" s="165"/>
      <c r="H133" s="165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</row>
    <row r="134" ht="9.75" customHeight="1">
      <c r="A134" s="4"/>
      <c r="B134" s="4"/>
      <c r="C134" s="4"/>
      <c r="D134" s="165"/>
      <c r="E134" s="165"/>
      <c r="F134" s="165"/>
      <c r="G134" s="165"/>
      <c r="H134" s="165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</row>
    <row r="135" ht="9.75" customHeight="1">
      <c r="A135" s="4"/>
      <c r="B135" s="4"/>
      <c r="C135" s="4"/>
      <c r="D135" s="165"/>
      <c r="E135" s="165"/>
      <c r="F135" s="165"/>
      <c r="G135" s="165"/>
      <c r="H135" s="165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</row>
    <row r="136" ht="9.75" customHeight="1">
      <c r="A136" s="4"/>
      <c r="B136" s="4"/>
      <c r="C136" s="4"/>
      <c r="D136" s="165"/>
      <c r="E136" s="165"/>
      <c r="F136" s="165"/>
      <c r="G136" s="165"/>
      <c r="H136" s="165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</row>
    <row r="137" ht="9.75" customHeight="1">
      <c r="A137" s="4"/>
      <c r="B137" s="4"/>
      <c r="C137" s="4"/>
      <c r="D137" s="165"/>
      <c r="E137" s="165"/>
      <c r="F137" s="165"/>
      <c r="G137" s="165"/>
      <c r="H137" s="165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</row>
    <row r="138" ht="9.75" customHeight="1">
      <c r="A138" s="4"/>
      <c r="B138" s="4"/>
      <c r="C138" s="4"/>
      <c r="D138" s="165"/>
      <c r="E138" s="165"/>
      <c r="F138" s="165"/>
      <c r="G138" s="165"/>
      <c r="H138" s="165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</row>
    <row r="139" ht="9.75" customHeight="1">
      <c r="A139" s="4"/>
      <c r="B139" s="4"/>
      <c r="C139" s="4"/>
      <c r="D139" s="165"/>
      <c r="E139" s="165"/>
      <c r="F139" s="165"/>
      <c r="G139" s="165"/>
      <c r="H139" s="165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</row>
    <row r="140" ht="9.75" customHeight="1">
      <c r="A140" s="4"/>
      <c r="B140" s="4"/>
      <c r="C140" s="4"/>
      <c r="D140" s="165"/>
      <c r="E140" s="165"/>
      <c r="F140" s="165"/>
      <c r="G140" s="165"/>
      <c r="H140" s="165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</row>
    <row r="141" ht="9.75" customHeight="1">
      <c r="A141" s="4"/>
      <c r="B141" s="4"/>
      <c r="C141" s="4"/>
      <c r="D141" s="165"/>
      <c r="E141" s="165"/>
      <c r="F141" s="165"/>
      <c r="G141" s="165"/>
      <c r="H141" s="165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</row>
    <row r="142" ht="9.75" customHeight="1">
      <c r="A142" s="4"/>
      <c r="B142" s="4"/>
      <c r="C142" s="4"/>
      <c r="D142" s="165"/>
      <c r="E142" s="165"/>
      <c r="F142" s="165"/>
      <c r="G142" s="165"/>
      <c r="H142" s="165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</row>
    <row r="143" ht="9.75" customHeight="1">
      <c r="A143" s="4"/>
      <c r="B143" s="4"/>
      <c r="C143" s="4"/>
      <c r="D143" s="165"/>
      <c r="E143" s="165"/>
      <c r="F143" s="165"/>
      <c r="G143" s="165"/>
      <c r="H143" s="165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</row>
    <row r="144" ht="9.75" customHeight="1">
      <c r="A144" s="4"/>
      <c r="B144" s="4"/>
      <c r="C144" s="4"/>
      <c r="D144" s="165"/>
      <c r="E144" s="165"/>
      <c r="F144" s="165"/>
      <c r="G144" s="165"/>
      <c r="H144" s="165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</row>
    <row r="145" ht="9.75" customHeight="1">
      <c r="A145" s="4"/>
      <c r="B145" s="4"/>
      <c r="C145" s="4"/>
      <c r="D145" s="165"/>
      <c r="E145" s="165"/>
      <c r="F145" s="165"/>
      <c r="G145" s="165"/>
      <c r="H145" s="165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</row>
    <row r="146" ht="9.75" customHeight="1">
      <c r="A146" s="4"/>
      <c r="B146" s="4"/>
      <c r="C146" s="4"/>
      <c r="D146" s="165"/>
      <c r="E146" s="165"/>
      <c r="F146" s="165"/>
      <c r="G146" s="165"/>
      <c r="H146" s="165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</row>
    <row r="147" ht="9.75" customHeight="1">
      <c r="A147" s="4"/>
      <c r="B147" s="4"/>
      <c r="C147" s="4"/>
      <c r="D147" s="165"/>
      <c r="E147" s="165"/>
      <c r="F147" s="165"/>
      <c r="G147" s="165"/>
      <c r="H147" s="165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</row>
    <row r="148" ht="9.75" customHeight="1">
      <c r="A148" s="4"/>
      <c r="B148" s="4"/>
      <c r="C148" s="4"/>
      <c r="D148" s="165"/>
      <c r="E148" s="165"/>
      <c r="F148" s="165"/>
      <c r="G148" s="165"/>
      <c r="H148" s="165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</row>
    <row r="149" ht="9.75" customHeight="1">
      <c r="A149" s="4"/>
      <c r="B149" s="4"/>
      <c r="C149" s="4"/>
      <c r="D149" s="165"/>
      <c r="E149" s="165"/>
      <c r="F149" s="165"/>
      <c r="G149" s="165"/>
      <c r="H149" s="165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4"/>
    </row>
    <row r="150" ht="9.75" customHeight="1">
      <c r="A150" s="4"/>
      <c r="B150" s="4"/>
      <c r="C150" s="4"/>
      <c r="D150" s="165"/>
      <c r="E150" s="165"/>
      <c r="F150" s="165"/>
      <c r="G150" s="165"/>
      <c r="H150" s="165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</row>
    <row r="151" ht="9.75" customHeight="1">
      <c r="A151" s="4"/>
      <c r="B151" s="4"/>
      <c r="C151" s="4"/>
      <c r="D151" s="165"/>
      <c r="E151" s="165"/>
      <c r="F151" s="165"/>
      <c r="G151" s="165"/>
      <c r="H151" s="165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</row>
    <row r="152" ht="9.75" customHeight="1">
      <c r="A152" s="4"/>
      <c r="B152" s="4"/>
      <c r="C152" s="4"/>
      <c r="D152" s="165"/>
      <c r="E152" s="165"/>
      <c r="F152" s="165"/>
      <c r="G152" s="165"/>
      <c r="H152" s="165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</row>
    <row r="153" ht="9.75" customHeight="1">
      <c r="A153" s="4"/>
      <c r="B153" s="4"/>
      <c r="C153" s="4"/>
      <c r="D153" s="165"/>
      <c r="E153" s="165"/>
      <c r="F153" s="165"/>
      <c r="G153" s="165"/>
      <c r="H153" s="165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</row>
    <row r="154" ht="9.75" customHeight="1">
      <c r="A154" s="4"/>
      <c r="B154" s="4"/>
      <c r="C154" s="4"/>
      <c r="D154" s="165"/>
      <c r="E154" s="165"/>
      <c r="F154" s="165"/>
      <c r="G154" s="165"/>
      <c r="H154" s="165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</row>
    <row r="155" ht="9.75" customHeight="1">
      <c r="A155" s="4"/>
      <c r="B155" s="4"/>
      <c r="C155" s="4"/>
      <c r="D155" s="165"/>
      <c r="E155" s="165"/>
      <c r="F155" s="165"/>
      <c r="G155" s="165"/>
      <c r="H155" s="165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/>
    </row>
    <row r="156" ht="9.75" customHeight="1">
      <c r="A156" s="4"/>
      <c r="B156" s="4"/>
      <c r="C156" s="4"/>
      <c r="D156" s="165"/>
      <c r="E156" s="165"/>
      <c r="F156" s="165"/>
      <c r="G156" s="165"/>
      <c r="H156" s="165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</row>
    <row r="157" ht="9.75" customHeight="1">
      <c r="A157" s="4"/>
      <c r="B157" s="4"/>
      <c r="C157" s="4"/>
      <c r="D157" s="165"/>
      <c r="E157" s="165"/>
      <c r="F157" s="165"/>
      <c r="G157" s="165"/>
      <c r="H157" s="165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</row>
    <row r="158" ht="9.75" customHeight="1">
      <c r="A158" s="4"/>
      <c r="B158" s="4"/>
      <c r="C158" s="4"/>
      <c r="D158" s="165"/>
      <c r="E158" s="165"/>
      <c r="F158" s="165"/>
      <c r="G158" s="165"/>
      <c r="H158" s="165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</row>
    <row r="159" ht="9.75" customHeight="1">
      <c r="A159" s="4"/>
      <c r="B159" s="4"/>
      <c r="C159" s="4"/>
      <c r="D159" s="165"/>
      <c r="E159" s="165"/>
      <c r="F159" s="165"/>
      <c r="G159" s="165"/>
      <c r="H159" s="165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</row>
    <row r="160" ht="9.75" customHeight="1">
      <c r="A160" s="4"/>
      <c r="B160" s="4"/>
      <c r="C160" s="4"/>
      <c r="D160" s="165"/>
      <c r="E160" s="165"/>
      <c r="F160" s="165"/>
      <c r="G160" s="165"/>
      <c r="H160" s="165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</row>
    <row r="161" ht="9.75" customHeight="1">
      <c r="A161" s="4"/>
      <c r="B161" s="4"/>
      <c r="C161" s="4"/>
      <c r="D161" s="165"/>
      <c r="E161" s="165"/>
      <c r="F161" s="165"/>
      <c r="G161" s="165"/>
      <c r="H161" s="165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  <c r="Z161" s="4"/>
    </row>
    <row r="162" ht="9.75" customHeight="1">
      <c r="A162" s="4"/>
      <c r="B162" s="4"/>
      <c r="C162" s="4"/>
      <c r="D162" s="165"/>
      <c r="E162" s="165"/>
      <c r="F162" s="165"/>
      <c r="G162" s="165"/>
      <c r="H162" s="165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</row>
    <row r="163" ht="9.75" customHeight="1">
      <c r="A163" s="4"/>
      <c r="B163" s="4"/>
      <c r="C163" s="4"/>
      <c r="D163" s="165"/>
      <c r="E163" s="165"/>
      <c r="F163" s="165"/>
      <c r="G163" s="165"/>
      <c r="H163" s="165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</row>
    <row r="164" ht="9.75" customHeight="1">
      <c r="A164" s="4"/>
      <c r="B164" s="4"/>
      <c r="C164" s="4"/>
      <c r="D164" s="165"/>
      <c r="E164" s="165"/>
      <c r="F164" s="165"/>
      <c r="G164" s="165"/>
      <c r="H164" s="165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</row>
    <row r="165" ht="9.75" customHeight="1">
      <c r="A165" s="4"/>
      <c r="B165" s="4"/>
      <c r="C165" s="4"/>
      <c r="D165" s="165"/>
      <c r="E165" s="165"/>
      <c r="F165" s="165"/>
      <c r="G165" s="165"/>
      <c r="H165" s="165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</row>
    <row r="166" ht="9.75" customHeight="1">
      <c r="A166" s="4"/>
      <c r="B166" s="4"/>
      <c r="C166" s="4"/>
      <c r="D166" s="165"/>
      <c r="E166" s="165"/>
      <c r="F166" s="165"/>
      <c r="G166" s="165"/>
      <c r="H166" s="165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</row>
    <row r="167" ht="9.75" customHeight="1">
      <c r="A167" s="4"/>
      <c r="B167" s="4"/>
      <c r="C167" s="4"/>
      <c r="D167" s="165"/>
      <c r="E167" s="165"/>
      <c r="F167" s="165"/>
      <c r="G167" s="165"/>
      <c r="H167" s="165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  <c r="Z167" s="4"/>
    </row>
    <row r="168" ht="9.75" customHeight="1">
      <c r="A168" s="4"/>
      <c r="B168" s="4"/>
      <c r="C168" s="4"/>
      <c r="D168" s="165"/>
      <c r="E168" s="165"/>
      <c r="F168" s="165"/>
      <c r="G168" s="165"/>
      <c r="H168" s="165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</row>
    <row r="169" ht="9.75" customHeight="1">
      <c r="A169" s="4"/>
      <c r="B169" s="4"/>
      <c r="C169" s="4"/>
      <c r="D169" s="165"/>
      <c r="E169" s="165"/>
      <c r="F169" s="165"/>
      <c r="G169" s="165"/>
      <c r="H169" s="165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</row>
    <row r="170" ht="9.75" customHeight="1">
      <c r="A170" s="4"/>
      <c r="B170" s="4"/>
      <c r="C170" s="4"/>
      <c r="D170" s="165"/>
      <c r="E170" s="165"/>
      <c r="F170" s="165"/>
      <c r="G170" s="165"/>
      <c r="H170" s="165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</row>
    <row r="171" ht="9.75" customHeight="1">
      <c r="A171" s="4"/>
      <c r="B171" s="4"/>
      <c r="C171" s="4"/>
      <c r="D171" s="165"/>
      <c r="E171" s="165"/>
      <c r="F171" s="165"/>
      <c r="G171" s="165"/>
      <c r="H171" s="165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</row>
    <row r="172" ht="9.75" customHeight="1">
      <c r="A172" s="4"/>
      <c r="B172" s="4"/>
      <c r="C172" s="4"/>
      <c r="D172" s="165"/>
      <c r="E172" s="165"/>
      <c r="F172" s="165"/>
      <c r="G172" s="165"/>
      <c r="H172" s="165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</row>
    <row r="173" ht="9.75" customHeight="1">
      <c r="A173" s="4"/>
      <c r="B173" s="4"/>
      <c r="C173" s="4"/>
      <c r="D173" s="165"/>
      <c r="E173" s="165"/>
      <c r="F173" s="165"/>
      <c r="G173" s="165"/>
      <c r="H173" s="165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4"/>
      <c r="Y173" s="4"/>
      <c r="Z173" s="4"/>
    </row>
    <row r="174" ht="9.75" customHeight="1">
      <c r="A174" s="4"/>
      <c r="B174" s="4"/>
      <c r="C174" s="4"/>
      <c r="D174" s="165"/>
      <c r="E174" s="165"/>
      <c r="F174" s="165"/>
      <c r="G174" s="165"/>
      <c r="H174" s="165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  <c r="Z174" s="4"/>
    </row>
    <row r="175" ht="9.75" customHeight="1">
      <c r="A175" s="4"/>
      <c r="B175" s="4"/>
      <c r="C175" s="4"/>
      <c r="D175" s="165"/>
      <c r="E175" s="165"/>
      <c r="F175" s="165"/>
      <c r="G175" s="165"/>
      <c r="H175" s="165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</row>
    <row r="176" ht="9.75" customHeight="1">
      <c r="A176" s="4"/>
      <c r="B176" s="4"/>
      <c r="C176" s="4"/>
      <c r="D176" s="165"/>
      <c r="E176" s="165"/>
      <c r="F176" s="165"/>
      <c r="G176" s="165"/>
      <c r="H176" s="165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</row>
    <row r="177" ht="9.75" customHeight="1">
      <c r="A177" s="4"/>
      <c r="B177" s="4"/>
      <c r="C177" s="4"/>
      <c r="D177" s="165"/>
      <c r="E177" s="165"/>
      <c r="F177" s="165"/>
      <c r="G177" s="165"/>
      <c r="H177" s="165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</row>
    <row r="178" ht="9.75" customHeight="1">
      <c r="A178" s="4"/>
      <c r="B178" s="4"/>
      <c r="C178" s="4"/>
      <c r="D178" s="165"/>
      <c r="E178" s="165"/>
      <c r="F178" s="165"/>
      <c r="G178" s="165"/>
      <c r="H178" s="165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</row>
    <row r="179" ht="9.75" customHeight="1">
      <c r="A179" s="4"/>
      <c r="B179" s="4"/>
      <c r="C179" s="4"/>
      <c r="D179" s="165"/>
      <c r="E179" s="165"/>
      <c r="F179" s="165"/>
      <c r="G179" s="165"/>
      <c r="H179" s="165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4"/>
      <c r="Y179" s="4"/>
      <c r="Z179" s="4"/>
    </row>
    <row r="180" ht="9.75" customHeight="1">
      <c r="A180" s="4"/>
      <c r="B180" s="4"/>
      <c r="C180" s="4"/>
      <c r="D180" s="165"/>
      <c r="E180" s="165"/>
      <c r="F180" s="165"/>
      <c r="G180" s="165"/>
      <c r="H180" s="165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</row>
    <row r="181" ht="9.75" customHeight="1">
      <c r="A181" s="4"/>
      <c r="B181" s="4"/>
      <c r="C181" s="4"/>
      <c r="D181" s="165"/>
      <c r="E181" s="165"/>
      <c r="F181" s="165"/>
      <c r="G181" s="165"/>
      <c r="H181" s="165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</row>
    <row r="182" ht="9.75" customHeight="1">
      <c r="A182" s="4"/>
      <c r="B182" s="4"/>
      <c r="C182" s="4"/>
      <c r="D182" s="165"/>
      <c r="E182" s="165"/>
      <c r="F182" s="165"/>
      <c r="G182" s="165"/>
      <c r="H182" s="165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</row>
    <row r="183" ht="9.75" customHeight="1">
      <c r="A183" s="4"/>
      <c r="B183" s="4"/>
      <c r="C183" s="4"/>
      <c r="D183" s="165"/>
      <c r="E183" s="165"/>
      <c r="F183" s="165"/>
      <c r="G183" s="165"/>
      <c r="H183" s="165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</row>
    <row r="184" ht="9.75" customHeight="1">
      <c r="A184" s="4"/>
      <c r="B184" s="4"/>
      <c r="C184" s="4"/>
      <c r="D184" s="165"/>
      <c r="E184" s="165"/>
      <c r="F184" s="165"/>
      <c r="G184" s="165"/>
      <c r="H184" s="165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</row>
    <row r="185" ht="9.75" customHeight="1">
      <c r="A185" s="4"/>
      <c r="B185" s="4"/>
      <c r="C185" s="4"/>
      <c r="D185" s="165"/>
      <c r="E185" s="165"/>
      <c r="F185" s="165"/>
      <c r="G185" s="165"/>
      <c r="H185" s="165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4"/>
      <c r="Y185" s="4"/>
      <c r="Z185" s="4"/>
    </row>
    <row r="186" ht="9.75" customHeight="1">
      <c r="A186" s="4"/>
      <c r="B186" s="4"/>
      <c r="C186" s="4"/>
      <c r="D186" s="165"/>
      <c r="E186" s="165"/>
      <c r="F186" s="165"/>
      <c r="G186" s="165"/>
      <c r="H186" s="165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</row>
    <row r="187" ht="9.75" customHeight="1">
      <c r="A187" s="4"/>
      <c r="B187" s="4"/>
      <c r="C187" s="4"/>
      <c r="D187" s="165"/>
      <c r="E187" s="165"/>
      <c r="F187" s="165"/>
      <c r="G187" s="165"/>
      <c r="H187" s="165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</row>
    <row r="188" ht="9.75" customHeight="1">
      <c r="A188" s="4"/>
      <c r="B188" s="4"/>
      <c r="C188" s="4"/>
      <c r="D188" s="165"/>
      <c r="E188" s="165"/>
      <c r="F188" s="165"/>
      <c r="G188" s="165"/>
      <c r="H188" s="165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</row>
    <row r="189" ht="9.75" customHeight="1">
      <c r="A189" s="4"/>
      <c r="B189" s="4"/>
      <c r="C189" s="4"/>
      <c r="D189" s="165"/>
      <c r="E189" s="165"/>
      <c r="F189" s="165"/>
      <c r="G189" s="165"/>
      <c r="H189" s="165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</row>
    <row r="190" ht="9.75" customHeight="1">
      <c r="A190" s="4"/>
      <c r="B190" s="4"/>
      <c r="C190" s="4"/>
      <c r="D190" s="165"/>
      <c r="E190" s="165"/>
      <c r="F190" s="165"/>
      <c r="G190" s="165"/>
      <c r="H190" s="165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</row>
    <row r="191" ht="9.75" customHeight="1">
      <c r="A191" s="4"/>
      <c r="B191" s="4"/>
      <c r="C191" s="4"/>
      <c r="D191" s="165"/>
      <c r="E191" s="165"/>
      <c r="F191" s="165"/>
      <c r="G191" s="165"/>
      <c r="H191" s="165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4"/>
      <c r="Y191" s="4"/>
      <c r="Z191" s="4"/>
    </row>
    <row r="192" ht="9.75" customHeight="1">
      <c r="A192" s="4"/>
      <c r="B192" s="4"/>
      <c r="C192" s="4"/>
      <c r="D192" s="165"/>
      <c r="E192" s="165"/>
      <c r="F192" s="165"/>
      <c r="G192" s="165"/>
      <c r="H192" s="165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</row>
    <row r="193" ht="9.75" customHeight="1">
      <c r="A193" s="4"/>
      <c r="B193" s="4"/>
      <c r="C193" s="4"/>
      <c r="D193" s="165"/>
      <c r="E193" s="165"/>
      <c r="F193" s="165"/>
      <c r="G193" s="165"/>
      <c r="H193" s="165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</row>
    <row r="194" ht="9.75" customHeight="1">
      <c r="A194" s="4"/>
      <c r="B194" s="4"/>
      <c r="C194" s="4"/>
      <c r="D194" s="165"/>
      <c r="E194" s="165"/>
      <c r="F194" s="165"/>
      <c r="G194" s="165"/>
      <c r="H194" s="165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</row>
    <row r="195" ht="9.75" customHeight="1">
      <c r="A195" s="4"/>
      <c r="B195" s="4"/>
      <c r="C195" s="4"/>
      <c r="D195" s="165"/>
      <c r="E195" s="165"/>
      <c r="F195" s="165"/>
      <c r="G195" s="165"/>
      <c r="H195" s="165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</row>
    <row r="196" ht="9.75" customHeight="1">
      <c r="A196" s="4"/>
      <c r="B196" s="4"/>
      <c r="C196" s="4"/>
      <c r="D196" s="165"/>
      <c r="E196" s="165"/>
      <c r="F196" s="165"/>
      <c r="G196" s="165"/>
      <c r="H196" s="165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</row>
    <row r="197" ht="9.75" customHeight="1">
      <c r="A197" s="4"/>
      <c r="B197" s="4"/>
      <c r="C197" s="4"/>
      <c r="D197" s="165"/>
      <c r="E197" s="165"/>
      <c r="F197" s="165"/>
      <c r="G197" s="165"/>
      <c r="H197" s="165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  <c r="Z197" s="4"/>
    </row>
    <row r="198" ht="9.75" customHeight="1">
      <c r="A198" s="4"/>
      <c r="B198" s="4"/>
      <c r="C198" s="4"/>
      <c r="D198" s="165"/>
      <c r="E198" s="165"/>
      <c r="F198" s="165"/>
      <c r="G198" s="165"/>
      <c r="H198" s="165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</row>
    <row r="199" ht="9.75" customHeight="1">
      <c r="A199" s="4"/>
      <c r="B199" s="4"/>
      <c r="C199" s="4"/>
      <c r="D199" s="165"/>
      <c r="E199" s="165"/>
      <c r="F199" s="165"/>
      <c r="G199" s="165"/>
      <c r="H199" s="165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</row>
    <row r="200" ht="9.75" customHeight="1">
      <c r="A200" s="4"/>
      <c r="B200" s="4"/>
      <c r="C200" s="4"/>
      <c r="D200" s="165"/>
      <c r="E200" s="165"/>
      <c r="F200" s="165"/>
      <c r="G200" s="165"/>
      <c r="H200" s="165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</row>
    <row r="201" ht="9.75" customHeight="1">
      <c r="A201" s="4"/>
      <c r="B201" s="4"/>
      <c r="C201" s="4"/>
      <c r="D201" s="165"/>
      <c r="E201" s="165"/>
      <c r="F201" s="165"/>
      <c r="G201" s="165"/>
      <c r="H201" s="165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</row>
    <row r="202" ht="9.75" customHeight="1">
      <c r="A202" s="4"/>
      <c r="B202" s="4"/>
      <c r="C202" s="4"/>
      <c r="D202" s="165"/>
      <c r="E202" s="165"/>
      <c r="F202" s="165"/>
      <c r="G202" s="165"/>
      <c r="H202" s="165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4"/>
      <c r="Y202" s="4"/>
      <c r="Z202" s="4"/>
    </row>
    <row r="203" ht="9.75" customHeight="1">
      <c r="A203" s="4"/>
      <c r="B203" s="4"/>
      <c r="C203" s="4"/>
      <c r="D203" s="165"/>
      <c r="E203" s="165"/>
      <c r="F203" s="165"/>
      <c r="G203" s="165"/>
      <c r="H203" s="165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</row>
    <row r="204" ht="9.75" customHeight="1">
      <c r="A204" s="4"/>
      <c r="B204" s="4"/>
      <c r="C204" s="4"/>
      <c r="D204" s="165"/>
      <c r="E204" s="165"/>
      <c r="F204" s="165"/>
      <c r="G204" s="165"/>
      <c r="H204" s="165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</row>
    <row r="205" ht="9.75" customHeight="1">
      <c r="A205" s="4"/>
      <c r="B205" s="4"/>
      <c r="C205" s="4"/>
      <c r="D205" s="165"/>
      <c r="E205" s="165"/>
      <c r="F205" s="165"/>
      <c r="G205" s="165"/>
      <c r="H205" s="165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</row>
    <row r="206" ht="9.75" customHeight="1">
      <c r="A206" s="4"/>
      <c r="B206" s="4"/>
      <c r="C206" s="4"/>
      <c r="D206" s="165"/>
      <c r="E206" s="165"/>
      <c r="F206" s="165"/>
      <c r="G206" s="165"/>
      <c r="H206" s="165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</row>
    <row r="207" ht="9.75" customHeight="1">
      <c r="A207" s="4"/>
      <c r="B207" s="4"/>
      <c r="C207" s="4"/>
      <c r="D207" s="165"/>
      <c r="E207" s="165"/>
      <c r="F207" s="165"/>
      <c r="G207" s="165"/>
      <c r="H207" s="165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</row>
    <row r="208" ht="9.75" customHeight="1">
      <c r="A208" s="4"/>
      <c r="B208" s="4"/>
      <c r="C208" s="4"/>
      <c r="D208" s="165"/>
      <c r="E208" s="165"/>
      <c r="F208" s="165"/>
      <c r="G208" s="165"/>
      <c r="H208" s="165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  <c r="Z208" s="4"/>
    </row>
    <row r="209" ht="9.75" customHeight="1">
      <c r="A209" s="4"/>
      <c r="B209" s="4"/>
      <c r="C209" s="4"/>
      <c r="D209" s="165"/>
      <c r="E209" s="165"/>
      <c r="F209" s="165"/>
      <c r="G209" s="165"/>
      <c r="H209" s="165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</row>
    <row r="210" ht="9.75" customHeight="1">
      <c r="A210" s="4"/>
      <c r="B210" s="4"/>
      <c r="C210" s="4"/>
      <c r="D210" s="165"/>
      <c r="E210" s="165"/>
      <c r="F210" s="165"/>
      <c r="G210" s="165"/>
      <c r="H210" s="165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</row>
    <row r="211" ht="9.75" customHeight="1">
      <c r="A211" s="4"/>
      <c r="B211" s="4"/>
      <c r="C211" s="4"/>
      <c r="D211" s="165"/>
      <c r="E211" s="165"/>
      <c r="F211" s="165"/>
      <c r="G211" s="165"/>
      <c r="H211" s="165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</row>
    <row r="212" ht="9.75" customHeight="1">
      <c r="A212" s="4"/>
      <c r="B212" s="4"/>
      <c r="C212" s="4"/>
      <c r="D212" s="165"/>
      <c r="E212" s="165"/>
      <c r="F212" s="165"/>
      <c r="G212" s="165"/>
      <c r="H212" s="165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</row>
    <row r="213" ht="9.75" customHeight="1">
      <c r="A213" s="4"/>
      <c r="B213" s="4"/>
      <c r="C213" s="4"/>
      <c r="D213" s="165"/>
      <c r="E213" s="165"/>
      <c r="F213" s="165"/>
      <c r="G213" s="165"/>
      <c r="H213" s="165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</row>
    <row r="214" ht="9.75" customHeight="1">
      <c r="A214" s="4"/>
      <c r="B214" s="4"/>
      <c r="C214" s="4"/>
      <c r="D214" s="165"/>
      <c r="E214" s="165"/>
      <c r="F214" s="165"/>
      <c r="G214" s="165"/>
      <c r="H214" s="165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4"/>
      <c r="Y214" s="4"/>
      <c r="Z214" s="4"/>
    </row>
    <row r="215" ht="9.75" customHeight="1">
      <c r="A215" s="4"/>
      <c r="B215" s="4"/>
      <c r="C215" s="4"/>
      <c r="D215" s="165"/>
      <c r="E215" s="165"/>
      <c r="F215" s="165"/>
      <c r="G215" s="165"/>
      <c r="H215" s="165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4"/>
    </row>
    <row r="216" ht="9.75" customHeight="1">
      <c r="A216" s="4"/>
      <c r="B216" s="4"/>
      <c r="C216" s="4"/>
      <c r="D216" s="165"/>
      <c r="E216" s="165"/>
      <c r="F216" s="165"/>
      <c r="G216" s="165"/>
      <c r="H216" s="165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</row>
    <row r="217" ht="9.75" customHeight="1">
      <c r="A217" s="4"/>
      <c r="B217" s="4"/>
      <c r="C217" s="4"/>
      <c r="D217" s="165"/>
      <c r="E217" s="165"/>
      <c r="F217" s="165"/>
      <c r="G217" s="165"/>
      <c r="H217" s="165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</row>
    <row r="218" ht="9.75" customHeight="1">
      <c r="A218" s="4"/>
      <c r="B218" s="4"/>
      <c r="C218" s="4"/>
      <c r="D218" s="165"/>
      <c r="E218" s="165"/>
      <c r="F218" s="165"/>
      <c r="G218" s="165"/>
      <c r="H218" s="165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</row>
    <row r="219" ht="9.75" customHeight="1">
      <c r="A219" s="4"/>
      <c r="B219" s="4"/>
      <c r="C219" s="4"/>
      <c r="D219" s="165"/>
      <c r="E219" s="165"/>
      <c r="F219" s="165"/>
      <c r="G219" s="165"/>
      <c r="H219" s="165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</row>
    <row r="220" ht="9.75" customHeight="1">
      <c r="A220" s="4"/>
      <c r="B220" s="4"/>
      <c r="C220" s="4"/>
      <c r="D220" s="165"/>
      <c r="E220" s="165"/>
      <c r="F220" s="165"/>
      <c r="G220" s="165"/>
      <c r="H220" s="165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4"/>
      <c r="Y220" s="4"/>
      <c r="Z220" s="4"/>
    </row>
    <row r="221" ht="9.75" customHeight="1">
      <c r="A221" s="4"/>
      <c r="B221" s="4"/>
      <c r="C221" s="4"/>
      <c r="D221" s="165"/>
      <c r="E221" s="165"/>
      <c r="F221" s="165"/>
      <c r="G221" s="165"/>
      <c r="H221" s="165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</row>
    <row r="222" ht="9.75" customHeight="1">
      <c r="A222" s="4"/>
      <c r="B222" s="4"/>
      <c r="C222" s="4"/>
      <c r="D222" s="165"/>
      <c r="E222" s="165"/>
      <c r="F222" s="165"/>
      <c r="G222" s="165"/>
      <c r="H222" s="165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</row>
    <row r="223" ht="9.75" customHeight="1">
      <c r="A223" s="4"/>
      <c r="B223" s="4"/>
      <c r="C223" s="4"/>
      <c r="D223" s="165"/>
      <c r="E223" s="165"/>
      <c r="F223" s="165"/>
      <c r="G223" s="165"/>
      <c r="H223" s="165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</row>
    <row r="224" ht="9.75" customHeight="1">
      <c r="A224" s="4"/>
      <c r="B224" s="4"/>
      <c r="C224" s="4"/>
      <c r="D224" s="165"/>
      <c r="E224" s="165"/>
      <c r="F224" s="165"/>
      <c r="G224" s="165"/>
      <c r="H224" s="165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</row>
    <row r="225" ht="9.75" customHeight="1">
      <c r="A225" s="4"/>
      <c r="B225" s="4"/>
      <c r="C225" s="4"/>
      <c r="D225" s="165"/>
      <c r="E225" s="165"/>
      <c r="F225" s="165"/>
      <c r="G225" s="165"/>
      <c r="H225" s="165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</row>
    <row r="226" ht="9.75" customHeight="1">
      <c r="A226" s="4"/>
      <c r="B226" s="4"/>
      <c r="C226" s="4"/>
      <c r="D226" s="165"/>
      <c r="E226" s="165"/>
      <c r="F226" s="165"/>
      <c r="G226" s="165"/>
      <c r="H226" s="165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4"/>
      <c r="Y226" s="4"/>
      <c r="Z226" s="4"/>
    </row>
    <row r="227" ht="9.75" customHeight="1">
      <c r="A227" s="4"/>
      <c r="B227" s="4"/>
      <c r="C227" s="4"/>
      <c r="D227" s="165"/>
      <c r="E227" s="165"/>
      <c r="F227" s="165"/>
      <c r="G227" s="165"/>
      <c r="H227" s="165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</row>
    <row r="228" ht="9.75" customHeight="1">
      <c r="A228" s="4"/>
      <c r="B228" s="4"/>
      <c r="C228" s="4"/>
      <c r="D228" s="165"/>
      <c r="E228" s="165"/>
      <c r="F228" s="165"/>
      <c r="G228" s="165"/>
      <c r="H228" s="165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4"/>
    </row>
    <row r="229" ht="9.75" customHeight="1">
      <c r="A229" s="4"/>
      <c r="B229" s="4"/>
      <c r="C229" s="4"/>
      <c r="D229" s="165"/>
      <c r="E229" s="165"/>
      <c r="F229" s="165"/>
      <c r="G229" s="165"/>
      <c r="H229" s="165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  <c r="Z229" s="4"/>
    </row>
    <row r="230" ht="9.75" customHeight="1">
      <c r="A230" s="4"/>
      <c r="B230" s="4"/>
      <c r="C230" s="4"/>
      <c r="D230" s="165"/>
      <c r="E230" s="165"/>
      <c r="F230" s="165"/>
      <c r="G230" s="165"/>
      <c r="H230" s="165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</row>
    <row r="231" ht="9.75" customHeight="1">
      <c r="A231" s="4"/>
      <c r="B231" s="4"/>
      <c r="C231" s="4"/>
      <c r="D231" s="165"/>
      <c r="E231" s="165"/>
      <c r="F231" s="165"/>
      <c r="G231" s="165"/>
      <c r="H231" s="165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</row>
    <row r="232" ht="9.75" customHeight="1">
      <c r="A232" s="4"/>
      <c r="B232" s="4"/>
      <c r="C232" s="4"/>
      <c r="D232" s="165"/>
      <c r="E232" s="165"/>
      <c r="F232" s="165"/>
      <c r="G232" s="165"/>
      <c r="H232" s="165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/>
      <c r="X232" s="4"/>
      <c r="Y232" s="4"/>
      <c r="Z232" s="4"/>
    </row>
    <row r="233" ht="9.75" customHeight="1">
      <c r="A233" s="4"/>
      <c r="B233" s="4"/>
      <c r="C233" s="4"/>
      <c r="D233" s="165"/>
      <c r="E233" s="165"/>
      <c r="F233" s="165"/>
      <c r="G233" s="165"/>
      <c r="H233" s="165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</row>
    <row r="234" ht="9.75" customHeight="1">
      <c r="A234" s="4"/>
      <c r="B234" s="4"/>
      <c r="C234" s="4"/>
      <c r="D234" s="165"/>
      <c r="E234" s="165"/>
      <c r="F234" s="165"/>
      <c r="G234" s="165"/>
      <c r="H234" s="165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</row>
    <row r="235" ht="9.75" customHeight="1">
      <c r="A235" s="4"/>
      <c r="B235" s="4"/>
      <c r="C235" s="4"/>
      <c r="D235" s="165"/>
      <c r="E235" s="165"/>
      <c r="F235" s="165"/>
      <c r="G235" s="165"/>
      <c r="H235" s="165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4"/>
    </row>
    <row r="236" ht="9.75" customHeight="1">
      <c r="A236" s="4"/>
      <c r="B236" s="4"/>
      <c r="C236" s="4"/>
      <c r="D236" s="165"/>
      <c r="E236" s="165"/>
      <c r="F236" s="165"/>
      <c r="G236" s="165"/>
      <c r="H236" s="165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/>
    </row>
    <row r="237" ht="9.75" customHeight="1">
      <c r="A237" s="4"/>
      <c r="B237" s="4"/>
      <c r="C237" s="4"/>
      <c r="D237" s="165"/>
      <c r="E237" s="165"/>
      <c r="F237" s="165"/>
      <c r="G237" s="165"/>
      <c r="H237" s="165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</row>
    <row r="238" ht="9.75" customHeight="1">
      <c r="A238" s="4"/>
      <c r="B238" s="4"/>
      <c r="C238" s="4"/>
      <c r="D238" s="165"/>
      <c r="E238" s="165"/>
      <c r="F238" s="165"/>
      <c r="G238" s="165"/>
      <c r="H238" s="165"/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4"/>
      <c r="X238" s="4"/>
      <c r="Y238" s="4"/>
      <c r="Z238" s="4"/>
    </row>
    <row r="239" ht="9.75" customHeight="1">
      <c r="A239" s="4"/>
      <c r="B239" s="4"/>
      <c r="C239" s="4"/>
      <c r="D239" s="165"/>
      <c r="E239" s="165"/>
      <c r="F239" s="165"/>
      <c r="G239" s="165"/>
      <c r="H239" s="165"/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4"/>
      <c r="Y239" s="4"/>
      <c r="Z239" s="4"/>
    </row>
    <row r="240" ht="9.75" customHeight="1">
      <c r="A240" s="4"/>
      <c r="B240" s="4"/>
      <c r="C240" s="4"/>
      <c r="D240" s="165"/>
      <c r="E240" s="165"/>
      <c r="F240" s="165"/>
      <c r="G240" s="165"/>
      <c r="H240" s="165"/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4"/>
      <c r="Y240" s="4"/>
      <c r="Z240" s="4"/>
    </row>
    <row r="241" ht="9.75" customHeight="1">
      <c r="A241" s="4"/>
      <c r="B241" s="4"/>
      <c r="C241" s="4"/>
      <c r="D241" s="165"/>
      <c r="E241" s="165"/>
      <c r="F241" s="165"/>
      <c r="G241" s="165"/>
      <c r="H241" s="165"/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4"/>
      <c r="Y241" s="4"/>
      <c r="Z241" s="4"/>
    </row>
    <row r="242" ht="9.75" customHeight="1">
      <c r="A242" s="4"/>
      <c r="B242" s="4"/>
      <c r="C242" s="4"/>
      <c r="D242" s="165"/>
      <c r="E242" s="165"/>
      <c r="F242" s="165"/>
      <c r="G242" s="165"/>
      <c r="H242" s="165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</row>
    <row r="243" ht="9.75" customHeight="1">
      <c r="A243" s="4"/>
      <c r="B243" s="4"/>
      <c r="C243" s="4"/>
      <c r="D243" s="165"/>
      <c r="E243" s="165"/>
      <c r="F243" s="165"/>
      <c r="G243" s="165"/>
      <c r="H243" s="165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  <c r="Z243" s="4"/>
    </row>
    <row r="244" ht="9.75" customHeight="1">
      <c r="A244" s="4"/>
      <c r="B244" s="4"/>
      <c r="C244" s="4"/>
      <c r="D244" s="165"/>
      <c r="E244" s="165"/>
      <c r="F244" s="165"/>
      <c r="G244" s="165"/>
      <c r="H244" s="165"/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4"/>
      <c r="V244" s="4"/>
      <c r="W244" s="4"/>
      <c r="X244" s="4"/>
      <c r="Y244" s="4"/>
      <c r="Z244" s="4"/>
    </row>
    <row r="245" ht="9.75" customHeight="1">
      <c r="A245" s="4"/>
      <c r="B245" s="4"/>
      <c r="C245" s="4"/>
      <c r="D245" s="165"/>
      <c r="E245" s="165"/>
      <c r="F245" s="165"/>
      <c r="G245" s="165"/>
      <c r="H245" s="165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4"/>
      <c r="Z245" s="4"/>
    </row>
    <row r="246" ht="9.75" customHeight="1">
      <c r="A246" s="4"/>
      <c r="B246" s="4"/>
      <c r="C246" s="4"/>
      <c r="D246" s="165"/>
      <c r="E246" s="165"/>
      <c r="F246" s="165"/>
      <c r="G246" s="165"/>
      <c r="H246" s="165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  <c r="Z246" s="4"/>
    </row>
    <row r="247" ht="9.75" customHeight="1">
      <c r="A247" s="4"/>
      <c r="B247" s="4"/>
      <c r="C247" s="4"/>
      <c r="D247" s="165"/>
      <c r="E247" s="165"/>
      <c r="F247" s="165"/>
      <c r="G247" s="165"/>
      <c r="H247" s="165"/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  <c r="Z247" s="4"/>
    </row>
    <row r="248" ht="9.75" customHeight="1">
      <c r="A248" s="4"/>
      <c r="B248" s="4"/>
      <c r="C248" s="4"/>
      <c r="D248" s="165"/>
      <c r="E248" s="165"/>
      <c r="F248" s="165"/>
      <c r="G248" s="165"/>
      <c r="H248" s="165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  <c r="Z248" s="4"/>
    </row>
    <row r="249" ht="9.75" customHeight="1">
      <c r="A249" s="4"/>
      <c r="B249" s="4"/>
      <c r="C249" s="4"/>
      <c r="D249" s="165"/>
      <c r="E249" s="165"/>
      <c r="F249" s="165"/>
      <c r="G249" s="165"/>
      <c r="H249" s="165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  <c r="Z249" s="4"/>
    </row>
    <row r="250" ht="9.75" customHeight="1">
      <c r="A250" s="4"/>
      <c r="B250" s="4"/>
      <c r="C250" s="4"/>
      <c r="D250" s="165"/>
      <c r="E250" s="165"/>
      <c r="F250" s="165"/>
      <c r="G250" s="165"/>
      <c r="H250" s="165"/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4"/>
      <c r="U250" s="4"/>
      <c r="V250" s="4"/>
      <c r="W250" s="4"/>
      <c r="X250" s="4"/>
      <c r="Y250" s="4"/>
      <c r="Z250" s="4"/>
    </row>
    <row r="251" ht="9.75" customHeight="1">
      <c r="A251" s="4"/>
      <c r="B251" s="4"/>
      <c r="C251" s="4"/>
      <c r="D251" s="165"/>
      <c r="E251" s="165"/>
      <c r="F251" s="165"/>
      <c r="G251" s="165"/>
      <c r="H251" s="165"/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4"/>
      <c r="Y251" s="4"/>
      <c r="Z251" s="4"/>
    </row>
    <row r="252" ht="9.75" customHeight="1">
      <c r="A252" s="4"/>
      <c r="B252" s="4"/>
      <c r="C252" s="4"/>
      <c r="D252" s="165"/>
      <c r="E252" s="165"/>
      <c r="F252" s="165"/>
      <c r="G252" s="165"/>
      <c r="H252" s="165"/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4"/>
      <c r="Y252" s="4"/>
      <c r="Z252" s="4"/>
    </row>
    <row r="253" ht="9.75" customHeight="1">
      <c r="A253" s="4"/>
      <c r="B253" s="4"/>
      <c r="C253" s="4"/>
      <c r="D253" s="165"/>
      <c r="E253" s="165"/>
      <c r="F253" s="165"/>
      <c r="G253" s="165"/>
      <c r="H253" s="165"/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4"/>
      <c r="Y253" s="4"/>
      <c r="Z253" s="4"/>
    </row>
    <row r="254" ht="9.75" customHeight="1">
      <c r="A254" s="4"/>
      <c r="B254" s="4"/>
      <c r="C254" s="4"/>
      <c r="D254" s="165"/>
      <c r="E254" s="165"/>
      <c r="F254" s="165"/>
      <c r="G254" s="165"/>
      <c r="H254" s="165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  <c r="Z254" s="4"/>
    </row>
    <row r="255" ht="9.75" customHeight="1">
      <c r="A255" s="4"/>
      <c r="B255" s="4"/>
      <c r="C255" s="4"/>
      <c r="D255" s="165"/>
      <c r="E255" s="165"/>
      <c r="F255" s="165"/>
      <c r="G255" s="165"/>
      <c r="H255" s="165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4"/>
      <c r="Y255" s="4"/>
      <c r="Z255" s="4"/>
    </row>
    <row r="256" ht="9.75" customHeight="1">
      <c r="A256" s="4"/>
      <c r="B256" s="4"/>
      <c r="C256" s="4"/>
      <c r="D256" s="165"/>
      <c r="E256" s="165"/>
      <c r="F256" s="165"/>
      <c r="G256" s="165"/>
      <c r="H256" s="165"/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4"/>
      <c r="U256" s="4"/>
      <c r="V256" s="4"/>
      <c r="W256" s="4"/>
      <c r="X256" s="4"/>
      <c r="Y256" s="4"/>
      <c r="Z256" s="4"/>
    </row>
    <row r="257" ht="9.75" customHeight="1">
      <c r="A257" s="4"/>
      <c r="B257" s="4"/>
      <c r="C257" s="4"/>
      <c r="D257" s="165"/>
      <c r="E257" s="165"/>
      <c r="F257" s="165"/>
      <c r="G257" s="165"/>
      <c r="H257" s="165"/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4"/>
      <c r="Y257" s="4"/>
      <c r="Z257" s="4"/>
    </row>
    <row r="258" ht="9.75" customHeight="1">
      <c r="A258" s="4"/>
      <c r="B258" s="4"/>
      <c r="C258" s="4"/>
      <c r="D258" s="165"/>
      <c r="E258" s="165"/>
      <c r="F258" s="165"/>
      <c r="G258" s="165"/>
      <c r="H258" s="165"/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  <c r="Z258" s="4"/>
    </row>
    <row r="259" ht="9.75" customHeight="1">
      <c r="A259" s="4"/>
      <c r="B259" s="4"/>
      <c r="C259" s="4"/>
      <c r="D259" s="165"/>
      <c r="E259" s="165"/>
      <c r="F259" s="165"/>
      <c r="G259" s="165"/>
      <c r="H259" s="165"/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4"/>
      <c r="Y259" s="4"/>
      <c r="Z259" s="4"/>
    </row>
    <row r="260" ht="9.75" customHeight="1">
      <c r="A260" s="4"/>
      <c r="B260" s="4"/>
      <c r="C260" s="4"/>
      <c r="D260" s="165"/>
      <c r="E260" s="165"/>
      <c r="F260" s="165"/>
      <c r="G260" s="165"/>
      <c r="H260" s="165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4"/>
      <c r="Y260" s="4"/>
      <c r="Z260" s="4"/>
    </row>
    <row r="261" ht="9.75" customHeight="1">
      <c r="A261" s="4"/>
      <c r="B261" s="4"/>
      <c r="C261" s="4"/>
      <c r="D261" s="165"/>
      <c r="E261" s="165"/>
      <c r="F261" s="165"/>
      <c r="G261" s="165"/>
      <c r="H261" s="165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4"/>
      <c r="Y261" s="4"/>
      <c r="Z261" s="4"/>
    </row>
    <row r="262" ht="9.75" customHeight="1">
      <c r="A262" s="4"/>
      <c r="B262" s="4"/>
      <c r="C262" s="4"/>
      <c r="D262" s="165"/>
      <c r="E262" s="165"/>
      <c r="F262" s="165"/>
      <c r="G262" s="165"/>
      <c r="H262" s="165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4"/>
      <c r="Y262" s="4"/>
      <c r="Z262" s="4"/>
    </row>
    <row r="263" ht="9.75" customHeight="1">
      <c r="A263" s="4"/>
      <c r="B263" s="4"/>
      <c r="C263" s="4"/>
      <c r="D263" s="165"/>
      <c r="E263" s="165"/>
      <c r="F263" s="165"/>
      <c r="G263" s="165"/>
      <c r="H263" s="165"/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4"/>
      <c r="Y263" s="4"/>
      <c r="Z263" s="4"/>
    </row>
    <row r="264" ht="9.75" customHeight="1">
      <c r="A264" s="4"/>
      <c r="B264" s="4"/>
      <c r="C264" s="4"/>
      <c r="D264" s="165"/>
      <c r="E264" s="165"/>
      <c r="F264" s="165"/>
      <c r="G264" s="165"/>
      <c r="H264" s="165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4"/>
      <c r="Y264" s="4"/>
      <c r="Z264" s="4"/>
    </row>
    <row r="265" ht="9.75" customHeight="1">
      <c r="A265" s="4"/>
      <c r="B265" s="4"/>
      <c r="C265" s="4"/>
      <c r="D265" s="165"/>
      <c r="E265" s="165"/>
      <c r="F265" s="165"/>
      <c r="G265" s="165"/>
      <c r="H265" s="165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4"/>
      <c r="Y265" s="4"/>
      <c r="Z265" s="4"/>
    </row>
    <row r="266" ht="9.75" customHeight="1">
      <c r="A266" s="4"/>
      <c r="B266" s="4"/>
      <c r="C266" s="4"/>
      <c r="D266" s="165"/>
      <c r="E266" s="165"/>
      <c r="F266" s="165"/>
      <c r="G266" s="165"/>
      <c r="H266" s="165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  <c r="V266" s="4"/>
      <c r="W266" s="4"/>
      <c r="X266" s="4"/>
      <c r="Y266" s="4"/>
      <c r="Z266" s="4"/>
    </row>
    <row r="267" ht="9.75" customHeight="1">
      <c r="A267" s="4"/>
      <c r="B267" s="4"/>
      <c r="C267" s="4"/>
      <c r="D267" s="165"/>
      <c r="E267" s="165"/>
      <c r="F267" s="165"/>
      <c r="G267" s="165"/>
      <c r="H267" s="165"/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4"/>
      <c r="U267" s="4"/>
      <c r="V267" s="4"/>
      <c r="W267" s="4"/>
      <c r="X267" s="4"/>
      <c r="Y267" s="4"/>
      <c r="Z267" s="4"/>
    </row>
    <row r="268" ht="9.75" customHeight="1">
      <c r="A268" s="4"/>
      <c r="B268" s="4"/>
      <c r="C268" s="4"/>
      <c r="D268" s="165"/>
      <c r="E268" s="165"/>
      <c r="F268" s="165"/>
      <c r="G268" s="165"/>
      <c r="H268" s="165"/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4"/>
      <c r="U268" s="4"/>
      <c r="V268" s="4"/>
      <c r="W268" s="4"/>
      <c r="X268" s="4"/>
      <c r="Y268" s="4"/>
      <c r="Z268" s="4"/>
    </row>
    <row r="269" ht="9.75" customHeight="1">
      <c r="A269" s="4"/>
      <c r="B269" s="4"/>
      <c r="C269" s="4"/>
      <c r="D269" s="165"/>
      <c r="E269" s="165"/>
      <c r="F269" s="165"/>
      <c r="G269" s="165"/>
      <c r="H269" s="165"/>
      <c r="I269" s="4"/>
      <c r="J269" s="4"/>
      <c r="K269" s="4"/>
      <c r="L269" s="4"/>
      <c r="M269" s="4"/>
      <c r="N269" s="4"/>
      <c r="O269" s="4"/>
      <c r="P269" s="4"/>
      <c r="Q269" s="4"/>
      <c r="R269" s="4"/>
      <c r="S269" s="4"/>
      <c r="T269" s="4"/>
      <c r="U269" s="4"/>
      <c r="V269" s="4"/>
      <c r="W269" s="4"/>
      <c r="X269" s="4"/>
      <c r="Y269" s="4"/>
      <c r="Z269" s="4"/>
    </row>
    <row r="270" ht="9.75" customHeight="1">
      <c r="A270" s="4"/>
      <c r="B270" s="4"/>
      <c r="C270" s="4"/>
      <c r="D270" s="165"/>
      <c r="E270" s="165"/>
      <c r="F270" s="165"/>
      <c r="G270" s="165"/>
      <c r="H270" s="165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  <c r="Y270" s="4"/>
      <c r="Z270" s="4"/>
    </row>
    <row r="271" ht="9.75" customHeight="1">
      <c r="A271" s="4"/>
      <c r="B271" s="4"/>
      <c r="C271" s="4"/>
      <c r="D271" s="165"/>
      <c r="E271" s="165"/>
      <c r="F271" s="165"/>
      <c r="G271" s="165"/>
      <c r="H271" s="165"/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4"/>
      <c r="Y271" s="4"/>
      <c r="Z271" s="4"/>
    </row>
    <row r="272" ht="9.75" customHeight="1">
      <c r="A272" s="4"/>
      <c r="B272" s="4"/>
      <c r="C272" s="4"/>
      <c r="D272" s="165"/>
      <c r="E272" s="165"/>
      <c r="F272" s="165"/>
      <c r="G272" s="165"/>
      <c r="H272" s="165"/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4"/>
      <c r="Y272" s="4"/>
      <c r="Z272" s="4"/>
    </row>
    <row r="273" ht="9.75" customHeight="1">
      <c r="A273" s="4"/>
      <c r="B273" s="4"/>
      <c r="C273" s="4"/>
      <c r="D273" s="165"/>
      <c r="E273" s="165"/>
      <c r="F273" s="165"/>
      <c r="G273" s="165"/>
      <c r="H273" s="165"/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4"/>
      <c r="Y273" s="4"/>
      <c r="Z273" s="4"/>
    </row>
    <row r="274" ht="9.75" customHeight="1">
      <c r="A274" s="4"/>
      <c r="B274" s="4"/>
      <c r="C274" s="4"/>
      <c r="D274" s="165"/>
      <c r="E274" s="165"/>
      <c r="F274" s="165"/>
      <c r="G274" s="165"/>
      <c r="H274" s="165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4"/>
      <c r="Y274" s="4"/>
      <c r="Z274" s="4"/>
    </row>
    <row r="275" ht="9.75" customHeight="1">
      <c r="A275" s="4"/>
      <c r="B275" s="4"/>
      <c r="C275" s="4"/>
      <c r="D275" s="165"/>
      <c r="E275" s="165"/>
      <c r="F275" s="165"/>
      <c r="G275" s="165"/>
      <c r="H275" s="165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4"/>
      <c r="Y275" s="4"/>
      <c r="Z275" s="4"/>
    </row>
    <row r="276" ht="9.75" customHeight="1">
      <c r="A276" s="4"/>
      <c r="B276" s="4"/>
      <c r="C276" s="4"/>
      <c r="D276" s="165"/>
      <c r="E276" s="165"/>
      <c r="F276" s="165"/>
      <c r="G276" s="165"/>
      <c r="H276" s="165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4"/>
      <c r="Y276" s="4"/>
      <c r="Z276" s="4"/>
    </row>
    <row r="277" ht="9.75" customHeight="1">
      <c r="A277" s="4"/>
      <c r="B277" s="4"/>
      <c r="C277" s="4"/>
      <c r="D277" s="165"/>
      <c r="E277" s="165"/>
      <c r="F277" s="165"/>
      <c r="G277" s="165"/>
      <c r="H277" s="165"/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4"/>
      <c r="U277" s="4"/>
      <c r="V277" s="4"/>
      <c r="W277" s="4"/>
      <c r="X277" s="4"/>
      <c r="Y277" s="4"/>
      <c r="Z277" s="4"/>
    </row>
    <row r="278" ht="9.75" customHeight="1">
      <c r="A278" s="4"/>
      <c r="B278" s="4"/>
      <c r="C278" s="4"/>
      <c r="D278" s="165"/>
      <c r="E278" s="165"/>
      <c r="F278" s="165"/>
      <c r="G278" s="165"/>
      <c r="H278" s="165"/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4"/>
      <c r="Y278" s="4"/>
      <c r="Z278" s="4"/>
    </row>
    <row r="279" ht="9.75" customHeight="1">
      <c r="A279" s="4"/>
      <c r="B279" s="4"/>
      <c r="C279" s="4"/>
      <c r="D279" s="165"/>
      <c r="E279" s="165"/>
      <c r="F279" s="165"/>
      <c r="G279" s="165"/>
      <c r="H279" s="165"/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4"/>
      <c r="X279" s="4"/>
      <c r="Y279" s="4"/>
      <c r="Z279" s="4"/>
    </row>
    <row r="280" ht="9.75" customHeight="1">
      <c r="A280" s="4"/>
      <c r="B280" s="4"/>
      <c r="C280" s="4"/>
      <c r="D280" s="165"/>
      <c r="E280" s="165"/>
      <c r="F280" s="165"/>
      <c r="G280" s="165"/>
      <c r="H280" s="165"/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4"/>
      <c r="Y280" s="4"/>
      <c r="Z280" s="4"/>
    </row>
    <row r="281" ht="9.75" customHeight="1">
      <c r="A281" s="4"/>
      <c r="B281" s="4"/>
      <c r="C281" s="4"/>
      <c r="D281" s="165"/>
      <c r="E281" s="165"/>
      <c r="F281" s="165"/>
      <c r="G281" s="165"/>
      <c r="H281" s="165"/>
      <c r="I281" s="4"/>
      <c r="J281" s="4"/>
      <c r="K281" s="4"/>
      <c r="L281" s="4"/>
      <c r="M281" s="4"/>
      <c r="N281" s="4"/>
      <c r="O281" s="4"/>
      <c r="P281" s="4"/>
      <c r="Q281" s="4"/>
      <c r="R281" s="4"/>
      <c r="S281" s="4"/>
      <c r="T281" s="4"/>
      <c r="U281" s="4"/>
      <c r="V281" s="4"/>
      <c r="W281" s="4"/>
      <c r="X281" s="4"/>
      <c r="Y281" s="4"/>
      <c r="Z281" s="4"/>
    </row>
    <row r="282" ht="9.75" customHeight="1">
      <c r="A282" s="4"/>
      <c r="B282" s="4"/>
      <c r="C282" s="4"/>
      <c r="D282" s="165"/>
      <c r="E282" s="165"/>
      <c r="F282" s="165"/>
      <c r="G282" s="165"/>
      <c r="H282" s="165"/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4"/>
      <c r="U282" s="4"/>
      <c r="V282" s="4"/>
      <c r="W282" s="4"/>
      <c r="X282" s="4"/>
      <c r="Y282" s="4"/>
      <c r="Z282" s="4"/>
    </row>
    <row r="283" ht="9.75" customHeight="1">
      <c r="A283" s="4"/>
      <c r="B283" s="4"/>
      <c r="C283" s="4"/>
      <c r="D283" s="165"/>
      <c r="E283" s="165"/>
      <c r="F283" s="165"/>
      <c r="G283" s="165"/>
      <c r="H283" s="165"/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4"/>
      <c r="U283" s="4"/>
      <c r="V283" s="4"/>
      <c r="W283" s="4"/>
      <c r="X283" s="4"/>
      <c r="Y283" s="4"/>
      <c r="Z283" s="4"/>
    </row>
    <row r="284" ht="9.75" customHeight="1">
      <c r="A284" s="4"/>
      <c r="B284" s="4"/>
      <c r="C284" s="4"/>
      <c r="D284" s="165"/>
      <c r="E284" s="165"/>
      <c r="F284" s="165"/>
      <c r="G284" s="165"/>
      <c r="H284" s="165"/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4"/>
      <c r="Y284" s="4"/>
      <c r="Z284" s="4"/>
    </row>
    <row r="285" ht="9.75" customHeight="1">
      <c r="A285" s="4"/>
      <c r="B285" s="4"/>
      <c r="C285" s="4"/>
      <c r="D285" s="165"/>
      <c r="E285" s="165"/>
      <c r="F285" s="165"/>
      <c r="G285" s="165"/>
      <c r="H285" s="165"/>
      <c r="I285" s="4"/>
      <c r="J285" s="4"/>
      <c r="K285" s="4"/>
      <c r="L285" s="4"/>
      <c r="M285" s="4"/>
      <c r="N285" s="4"/>
      <c r="O285" s="4"/>
      <c r="P285" s="4"/>
      <c r="Q285" s="4"/>
      <c r="R285" s="4"/>
      <c r="S285" s="4"/>
      <c r="T285" s="4"/>
      <c r="U285" s="4"/>
      <c r="V285" s="4"/>
      <c r="W285" s="4"/>
      <c r="X285" s="4"/>
      <c r="Y285" s="4"/>
      <c r="Z285" s="4"/>
    </row>
    <row r="286" ht="9.75" customHeight="1">
      <c r="A286" s="4"/>
      <c r="B286" s="4"/>
      <c r="C286" s="4"/>
      <c r="D286" s="165"/>
      <c r="E286" s="165"/>
      <c r="F286" s="165"/>
      <c r="G286" s="165"/>
      <c r="H286" s="165"/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4"/>
      <c r="Y286" s="4"/>
      <c r="Z286" s="4"/>
    </row>
    <row r="287" ht="9.75" customHeight="1">
      <c r="A287" s="4"/>
      <c r="B287" s="4"/>
      <c r="C287" s="4"/>
      <c r="D287" s="165"/>
      <c r="E287" s="165"/>
      <c r="F287" s="165"/>
      <c r="G287" s="165"/>
      <c r="H287" s="165"/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4"/>
      <c r="U287" s="4"/>
      <c r="V287" s="4"/>
      <c r="W287" s="4"/>
      <c r="X287" s="4"/>
      <c r="Y287" s="4"/>
      <c r="Z287" s="4"/>
    </row>
    <row r="288" ht="9.75" customHeight="1">
      <c r="A288" s="4"/>
      <c r="B288" s="4"/>
      <c r="C288" s="4"/>
      <c r="D288" s="165"/>
      <c r="E288" s="165"/>
      <c r="F288" s="165"/>
      <c r="G288" s="165"/>
      <c r="H288" s="165"/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4"/>
      <c r="T288" s="4"/>
      <c r="U288" s="4"/>
      <c r="V288" s="4"/>
      <c r="W288" s="4"/>
      <c r="X288" s="4"/>
      <c r="Y288" s="4"/>
      <c r="Z288" s="4"/>
    </row>
    <row r="289" ht="9.75" customHeight="1">
      <c r="A289" s="4"/>
      <c r="B289" s="4"/>
      <c r="C289" s="4"/>
      <c r="D289" s="165"/>
      <c r="E289" s="165"/>
      <c r="F289" s="165"/>
      <c r="G289" s="165"/>
      <c r="H289" s="165"/>
      <c r="I289" s="4"/>
      <c r="J289" s="4"/>
      <c r="K289" s="4"/>
      <c r="L289" s="4"/>
      <c r="M289" s="4"/>
      <c r="N289" s="4"/>
      <c r="O289" s="4"/>
      <c r="P289" s="4"/>
      <c r="Q289" s="4"/>
      <c r="R289" s="4"/>
      <c r="S289" s="4"/>
      <c r="T289" s="4"/>
      <c r="U289" s="4"/>
      <c r="V289" s="4"/>
      <c r="W289" s="4"/>
      <c r="X289" s="4"/>
      <c r="Y289" s="4"/>
      <c r="Z289" s="4"/>
    </row>
    <row r="290" ht="9.75" customHeight="1">
      <c r="A290" s="4"/>
      <c r="B290" s="4"/>
      <c r="C290" s="4"/>
      <c r="D290" s="165"/>
      <c r="E290" s="165"/>
      <c r="F290" s="165"/>
      <c r="G290" s="165"/>
      <c r="H290" s="165"/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  <c r="Y290" s="4"/>
      <c r="Z290" s="4"/>
    </row>
    <row r="291" ht="9.75" customHeight="1">
      <c r="A291" s="4"/>
      <c r="B291" s="4"/>
      <c r="C291" s="4"/>
      <c r="D291" s="165"/>
      <c r="E291" s="165"/>
      <c r="F291" s="165"/>
      <c r="G291" s="165"/>
      <c r="H291" s="165"/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4"/>
      <c r="T291" s="4"/>
      <c r="U291" s="4"/>
      <c r="V291" s="4"/>
      <c r="W291" s="4"/>
      <c r="X291" s="4"/>
      <c r="Y291" s="4"/>
      <c r="Z291" s="4"/>
    </row>
    <row r="292" ht="9.75" customHeight="1">
      <c r="A292" s="4"/>
      <c r="B292" s="4"/>
      <c r="C292" s="4"/>
      <c r="D292" s="165"/>
      <c r="E292" s="165"/>
      <c r="F292" s="165"/>
      <c r="G292" s="165"/>
      <c r="H292" s="165"/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4"/>
      <c r="Y292" s="4"/>
      <c r="Z292" s="4"/>
    </row>
    <row r="293" ht="9.75" customHeight="1">
      <c r="A293" s="4"/>
      <c r="B293" s="4"/>
      <c r="C293" s="4"/>
      <c r="D293" s="165"/>
      <c r="E293" s="165"/>
      <c r="F293" s="165"/>
      <c r="G293" s="165"/>
      <c r="H293" s="165"/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4"/>
      <c r="U293" s="4"/>
      <c r="V293" s="4"/>
      <c r="W293" s="4"/>
      <c r="X293" s="4"/>
      <c r="Y293" s="4"/>
      <c r="Z293" s="4"/>
    </row>
    <row r="294" ht="9.75" customHeight="1">
      <c r="A294" s="4"/>
      <c r="B294" s="4"/>
      <c r="C294" s="4"/>
      <c r="D294" s="165"/>
      <c r="E294" s="165"/>
      <c r="F294" s="165"/>
      <c r="G294" s="165"/>
      <c r="H294" s="165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</row>
    <row r="295" ht="9.75" customHeight="1">
      <c r="A295" s="4"/>
      <c r="B295" s="4"/>
      <c r="C295" s="4"/>
      <c r="D295" s="165"/>
      <c r="E295" s="165"/>
      <c r="F295" s="165"/>
      <c r="G295" s="165"/>
      <c r="H295" s="165"/>
      <c r="I295" s="4"/>
      <c r="J295" s="4"/>
      <c r="K295" s="4"/>
      <c r="L295" s="4"/>
      <c r="M295" s="4"/>
      <c r="N295" s="4"/>
      <c r="O295" s="4"/>
      <c r="P295" s="4"/>
      <c r="Q295" s="4"/>
      <c r="R295" s="4"/>
      <c r="S295" s="4"/>
      <c r="T295" s="4"/>
      <c r="U295" s="4"/>
      <c r="V295" s="4"/>
      <c r="W295" s="4"/>
      <c r="X295" s="4"/>
      <c r="Y295" s="4"/>
      <c r="Z295" s="4"/>
    </row>
    <row r="296" ht="9.75" customHeight="1">
      <c r="A296" s="4"/>
      <c r="B296" s="4"/>
      <c r="C296" s="4"/>
      <c r="D296" s="165"/>
      <c r="E296" s="165"/>
      <c r="F296" s="165"/>
      <c r="G296" s="165"/>
      <c r="H296" s="165"/>
      <c r="I296" s="4"/>
      <c r="J296" s="4"/>
      <c r="K296" s="4"/>
      <c r="L296" s="4"/>
      <c r="M296" s="4"/>
      <c r="N296" s="4"/>
      <c r="O296" s="4"/>
      <c r="P296" s="4"/>
      <c r="Q296" s="4"/>
      <c r="R296" s="4"/>
      <c r="S296" s="4"/>
      <c r="T296" s="4"/>
      <c r="U296" s="4"/>
      <c r="V296" s="4"/>
      <c r="W296" s="4"/>
      <c r="X296" s="4"/>
      <c r="Y296" s="4"/>
      <c r="Z296" s="4"/>
    </row>
    <row r="297" ht="9.75" customHeight="1">
      <c r="A297" s="4"/>
      <c r="B297" s="4"/>
      <c r="C297" s="4"/>
      <c r="D297" s="165"/>
      <c r="E297" s="165"/>
      <c r="F297" s="165"/>
      <c r="G297" s="165"/>
      <c r="H297" s="165"/>
      <c r="I297" s="4"/>
      <c r="J297" s="4"/>
      <c r="K297" s="4"/>
      <c r="L297" s="4"/>
      <c r="M297" s="4"/>
      <c r="N297" s="4"/>
      <c r="O297" s="4"/>
      <c r="P297" s="4"/>
      <c r="Q297" s="4"/>
      <c r="R297" s="4"/>
      <c r="S297" s="4"/>
      <c r="T297" s="4"/>
      <c r="U297" s="4"/>
      <c r="V297" s="4"/>
      <c r="W297" s="4"/>
      <c r="X297" s="4"/>
      <c r="Y297" s="4"/>
      <c r="Z297" s="4"/>
    </row>
    <row r="298" ht="9.75" customHeight="1">
      <c r="A298" s="4"/>
      <c r="B298" s="4"/>
      <c r="C298" s="4"/>
      <c r="D298" s="165"/>
      <c r="E298" s="165"/>
      <c r="F298" s="165"/>
      <c r="G298" s="165"/>
      <c r="H298" s="165"/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4"/>
      <c r="V298" s="4"/>
      <c r="W298" s="4"/>
      <c r="X298" s="4"/>
      <c r="Y298" s="4"/>
      <c r="Z298" s="4"/>
    </row>
    <row r="299" ht="9.75" customHeight="1">
      <c r="A299" s="4"/>
      <c r="B299" s="4"/>
      <c r="C299" s="4"/>
      <c r="D299" s="165"/>
      <c r="E299" s="165"/>
      <c r="F299" s="165"/>
      <c r="G299" s="165"/>
      <c r="H299" s="165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4"/>
      <c r="V299" s="4"/>
      <c r="W299" s="4"/>
      <c r="X299" s="4"/>
      <c r="Y299" s="4"/>
      <c r="Z299" s="4"/>
    </row>
    <row r="300" ht="9.75" customHeight="1">
      <c r="A300" s="4"/>
      <c r="B300" s="4"/>
      <c r="C300" s="4"/>
      <c r="D300" s="165"/>
      <c r="E300" s="165"/>
      <c r="F300" s="165"/>
      <c r="G300" s="165"/>
      <c r="H300" s="165"/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  <c r="V300" s="4"/>
      <c r="W300" s="4"/>
      <c r="X300" s="4"/>
      <c r="Y300" s="4"/>
      <c r="Z300" s="4"/>
    </row>
    <row r="301" ht="9.75" customHeight="1">
      <c r="A301" s="4"/>
      <c r="B301" s="4"/>
      <c r="C301" s="4"/>
      <c r="D301" s="165"/>
      <c r="E301" s="165"/>
      <c r="F301" s="165"/>
      <c r="G301" s="165"/>
      <c r="H301" s="165"/>
      <c r="I301" s="4"/>
      <c r="J301" s="4"/>
      <c r="K301" s="4"/>
      <c r="L301" s="4"/>
      <c r="M301" s="4"/>
      <c r="N301" s="4"/>
      <c r="O301" s="4"/>
      <c r="P301" s="4"/>
      <c r="Q301" s="4"/>
      <c r="R301" s="4"/>
      <c r="S301" s="4"/>
      <c r="T301" s="4"/>
      <c r="U301" s="4"/>
      <c r="V301" s="4"/>
      <c r="W301" s="4"/>
      <c r="X301" s="4"/>
      <c r="Y301" s="4"/>
      <c r="Z301" s="4"/>
    </row>
    <row r="302" ht="9.75" customHeight="1">
      <c r="A302" s="4"/>
      <c r="B302" s="4"/>
      <c r="C302" s="4"/>
      <c r="D302" s="165"/>
      <c r="E302" s="165"/>
      <c r="F302" s="165"/>
      <c r="G302" s="165"/>
      <c r="H302" s="165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</row>
    <row r="303" ht="9.75" customHeight="1">
      <c r="A303" s="4"/>
      <c r="B303" s="4"/>
      <c r="C303" s="4"/>
      <c r="D303" s="165"/>
      <c r="E303" s="165"/>
      <c r="F303" s="165"/>
      <c r="G303" s="165"/>
      <c r="H303" s="165"/>
      <c r="I303" s="4"/>
      <c r="J303" s="4"/>
      <c r="K303" s="4"/>
      <c r="L303" s="4"/>
      <c r="M303" s="4"/>
      <c r="N303" s="4"/>
      <c r="O303" s="4"/>
      <c r="P303" s="4"/>
      <c r="Q303" s="4"/>
      <c r="R303" s="4"/>
      <c r="S303" s="4"/>
      <c r="T303" s="4"/>
      <c r="U303" s="4"/>
      <c r="V303" s="4"/>
      <c r="W303" s="4"/>
      <c r="X303" s="4"/>
      <c r="Y303" s="4"/>
      <c r="Z303" s="4"/>
    </row>
    <row r="304" ht="9.75" customHeight="1">
      <c r="A304" s="4"/>
      <c r="B304" s="4"/>
      <c r="C304" s="4"/>
      <c r="D304" s="165"/>
      <c r="E304" s="165"/>
      <c r="F304" s="165"/>
      <c r="G304" s="165"/>
      <c r="H304" s="165"/>
      <c r="I304" s="4"/>
      <c r="J304" s="4"/>
      <c r="K304" s="4"/>
      <c r="L304" s="4"/>
      <c r="M304" s="4"/>
      <c r="N304" s="4"/>
      <c r="O304" s="4"/>
      <c r="P304" s="4"/>
      <c r="Q304" s="4"/>
      <c r="R304" s="4"/>
      <c r="S304" s="4"/>
      <c r="T304" s="4"/>
      <c r="U304" s="4"/>
      <c r="V304" s="4"/>
      <c r="W304" s="4"/>
      <c r="X304" s="4"/>
      <c r="Y304" s="4"/>
      <c r="Z304" s="4"/>
    </row>
    <row r="305" ht="9.75" customHeight="1">
      <c r="A305" s="4"/>
      <c r="B305" s="4"/>
      <c r="C305" s="4"/>
      <c r="D305" s="165"/>
      <c r="E305" s="165"/>
      <c r="F305" s="165"/>
      <c r="G305" s="165"/>
      <c r="H305" s="165"/>
      <c r="I305" s="4"/>
      <c r="J305" s="4"/>
      <c r="K305" s="4"/>
      <c r="L305" s="4"/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4"/>
      <c r="X305" s="4"/>
      <c r="Y305" s="4"/>
      <c r="Z305" s="4"/>
    </row>
    <row r="306" ht="9.75" customHeight="1">
      <c r="A306" s="4"/>
      <c r="B306" s="4"/>
      <c r="C306" s="4"/>
      <c r="D306" s="165"/>
      <c r="E306" s="165"/>
      <c r="F306" s="165"/>
      <c r="G306" s="165"/>
      <c r="H306" s="165"/>
      <c r="I306" s="4"/>
      <c r="J306" s="4"/>
      <c r="K306" s="4"/>
      <c r="L306" s="4"/>
      <c r="M306" s="4"/>
      <c r="N306" s="4"/>
      <c r="O306" s="4"/>
      <c r="P306" s="4"/>
      <c r="Q306" s="4"/>
      <c r="R306" s="4"/>
      <c r="S306" s="4"/>
      <c r="T306" s="4"/>
      <c r="U306" s="4"/>
      <c r="V306" s="4"/>
      <c r="W306" s="4"/>
      <c r="X306" s="4"/>
      <c r="Y306" s="4"/>
      <c r="Z306" s="4"/>
    </row>
    <row r="307" ht="9.75" customHeight="1">
      <c r="A307" s="4"/>
      <c r="B307" s="4"/>
      <c r="C307" s="4"/>
      <c r="D307" s="165"/>
      <c r="E307" s="165"/>
      <c r="F307" s="165"/>
      <c r="G307" s="165"/>
      <c r="H307" s="165"/>
      <c r="I307" s="4"/>
      <c r="J307" s="4"/>
      <c r="K307" s="4"/>
      <c r="L307" s="4"/>
      <c r="M307" s="4"/>
      <c r="N307" s="4"/>
      <c r="O307" s="4"/>
      <c r="P307" s="4"/>
      <c r="Q307" s="4"/>
      <c r="R307" s="4"/>
      <c r="S307" s="4"/>
      <c r="T307" s="4"/>
      <c r="U307" s="4"/>
      <c r="V307" s="4"/>
      <c r="W307" s="4"/>
      <c r="X307" s="4"/>
      <c r="Y307" s="4"/>
      <c r="Z307" s="4"/>
    </row>
    <row r="308" ht="9.75" customHeight="1">
      <c r="A308" s="4"/>
      <c r="B308" s="4"/>
      <c r="C308" s="4"/>
      <c r="D308" s="165"/>
      <c r="E308" s="165"/>
      <c r="F308" s="165"/>
      <c r="G308" s="165"/>
      <c r="H308" s="165"/>
      <c r="I308" s="4"/>
      <c r="J308" s="4"/>
      <c r="K308" s="4"/>
      <c r="L308" s="4"/>
      <c r="M308" s="4"/>
      <c r="N308" s="4"/>
      <c r="O308" s="4"/>
      <c r="P308" s="4"/>
      <c r="Q308" s="4"/>
      <c r="R308" s="4"/>
      <c r="S308" s="4"/>
      <c r="T308" s="4"/>
      <c r="U308" s="4"/>
      <c r="V308" s="4"/>
      <c r="W308" s="4"/>
      <c r="X308" s="4"/>
      <c r="Y308" s="4"/>
      <c r="Z308" s="4"/>
    </row>
    <row r="309" ht="9.75" customHeight="1">
      <c r="A309" s="4"/>
      <c r="B309" s="4"/>
      <c r="C309" s="4"/>
      <c r="D309" s="165"/>
      <c r="E309" s="165"/>
      <c r="F309" s="165"/>
      <c r="G309" s="165"/>
      <c r="H309" s="165"/>
      <c r="I309" s="4"/>
      <c r="J309" s="4"/>
      <c r="K309" s="4"/>
      <c r="L309" s="4"/>
      <c r="M309" s="4"/>
      <c r="N309" s="4"/>
      <c r="O309" s="4"/>
      <c r="P309" s="4"/>
      <c r="Q309" s="4"/>
      <c r="R309" s="4"/>
      <c r="S309" s="4"/>
      <c r="T309" s="4"/>
      <c r="U309" s="4"/>
      <c r="V309" s="4"/>
      <c r="W309" s="4"/>
      <c r="X309" s="4"/>
      <c r="Y309" s="4"/>
      <c r="Z309" s="4"/>
    </row>
    <row r="310" ht="9.75" customHeight="1">
      <c r="A310" s="4"/>
      <c r="B310" s="4"/>
      <c r="C310" s="4"/>
      <c r="D310" s="165"/>
      <c r="E310" s="165"/>
      <c r="F310" s="165"/>
      <c r="G310" s="165"/>
      <c r="H310" s="165"/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4"/>
      <c r="X310" s="4"/>
      <c r="Y310" s="4"/>
      <c r="Z310" s="4"/>
    </row>
    <row r="311" ht="9.75" customHeight="1">
      <c r="A311" s="4"/>
      <c r="B311" s="4"/>
      <c r="C311" s="4"/>
      <c r="D311" s="165"/>
      <c r="E311" s="165"/>
      <c r="F311" s="165"/>
      <c r="G311" s="165"/>
      <c r="H311" s="165"/>
      <c r="I311" s="4"/>
      <c r="J311" s="4"/>
      <c r="K311" s="4"/>
      <c r="L311" s="4"/>
      <c r="M311" s="4"/>
      <c r="N311" s="4"/>
      <c r="O311" s="4"/>
      <c r="P311" s="4"/>
      <c r="Q311" s="4"/>
      <c r="R311" s="4"/>
      <c r="S311" s="4"/>
      <c r="T311" s="4"/>
      <c r="U311" s="4"/>
      <c r="V311" s="4"/>
      <c r="W311" s="4"/>
      <c r="X311" s="4"/>
      <c r="Y311" s="4"/>
      <c r="Z311" s="4"/>
    </row>
    <row r="312" ht="9.75" customHeight="1">
      <c r="A312" s="4"/>
      <c r="B312" s="4"/>
      <c r="C312" s="4"/>
      <c r="D312" s="165"/>
      <c r="E312" s="165"/>
      <c r="F312" s="165"/>
      <c r="G312" s="165"/>
      <c r="H312" s="165"/>
      <c r="I312" s="4"/>
      <c r="J312" s="4"/>
      <c r="K312" s="4"/>
      <c r="L312" s="4"/>
      <c r="M312" s="4"/>
      <c r="N312" s="4"/>
      <c r="O312" s="4"/>
      <c r="P312" s="4"/>
      <c r="Q312" s="4"/>
      <c r="R312" s="4"/>
      <c r="S312" s="4"/>
      <c r="T312" s="4"/>
      <c r="U312" s="4"/>
      <c r="V312" s="4"/>
      <c r="W312" s="4"/>
      <c r="X312" s="4"/>
      <c r="Y312" s="4"/>
      <c r="Z312" s="4"/>
    </row>
    <row r="313" ht="9.75" customHeight="1">
      <c r="A313" s="4"/>
      <c r="B313" s="4"/>
      <c r="C313" s="4"/>
      <c r="D313" s="165"/>
      <c r="E313" s="165"/>
      <c r="F313" s="165"/>
      <c r="G313" s="165"/>
      <c r="H313" s="165"/>
      <c r="I313" s="4"/>
      <c r="J313" s="4"/>
      <c r="K313" s="4"/>
      <c r="L313" s="4"/>
      <c r="M313" s="4"/>
      <c r="N313" s="4"/>
      <c r="O313" s="4"/>
      <c r="P313" s="4"/>
      <c r="Q313" s="4"/>
      <c r="R313" s="4"/>
      <c r="S313" s="4"/>
      <c r="T313" s="4"/>
      <c r="U313" s="4"/>
      <c r="V313" s="4"/>
      <c r="W313" s="4"/>
      <c r="X313" s="4"/>
      <c r="Y313" s="4"/>
      <c r="Z313" s="4"/>
    </row>
    <row r="314" ht="9.75" customHeight="1">
      <c r="A314" s="4"/>
      <c r="B314" s="4"/>
      <c r="C314" s="4"/>
      <c r="D314" s="165"/>
      <c r="E314" s="165"/>
      <c r="F314" s="165"/>
      <c r="G314" s="165"/>
      <c r="H314" s="165"/>
      <c r="I314" s="4"/>
      <c r="J314" s="4"/>
      <c r="K314" s="4"/>
      <c r="L314" s="4"/>
      <c r="M314" s="4"/>
      <c r="N314" s="4"/>
      <c r="O314" s="4"/>
      <c r="P314" s="4"/>
      <c r="Q314" s="4"/>
      <c r="R314" s="4"/>
      <c r="S314" s="4"/>
      <c r="T314" s="4"/>
      <c r="U314" s="4"/>
      <c r="V314" s="4"/>
      <c r="W314" s="4"/>
      <c r="X314" s="4"/>
      <c r="Y314" s="4"/>
      <c r="Z314" s="4"/>
    </row>
    <row r="315" ht="9.75" customHeight="1">
      <c r="A315" s="4"/>
      <c r="B315" s="4"/>
      <c r="C315" s="4"/>
      <c r="D315" s="165"/>
      <c r="E315" s="165"/>
      <c r="F315" s="165"/>
      <c r="G315" s="165"/>
      <c r="H315" s="165"/>
      <c r="I315" s="4"/>
      <c r="J315" s="4"/>
      <c r="K315" s="4"/>
      <c r="L315" s="4"/>
      <c r="M315" s="4"/>
      <c r="N315" s="4"/>
      <c r="O315" s="4"/>
      <c r="P315" s="4"/>
      <c r="Q315" s="4"/>
      <c r="R315" s="4"/>
      <c r="S315" s="4"/>
      <c r="T315" s="4"/>
      <c r="U315" s="4"/>
      <c r="V315" s="4"/>
      <c r="W315" s="4"/>
      <c r="X315" s="4"/>
      <c r="Y315" s="4"/>
      <c r="Z315" s="4"/>
    </row>
    <row r="316" ht="9.75" customHeight="1">
      <c r="A316" s="4"/>
      <c r="B316" s="4"/>
      <c r="C316" s="4"/>
      <c r="D316" s="165"/>
      <c r="E316" s="165"/>
      <c r="F316" s="165"/>
      <c r="G316" s="165"/>
      <c r="H316" s="165"/>
      <c r="I316" s="4"/>
      <c r="J316" s="4"/>
      <c r="K316" s="4"/>
      <c r="L316" s="4"/>
      <c r="M316" s="4"/>
      <c r="N316" s="4"/>
      <c r="O316" s="4"/>
      <c r="P316" s="4"/>
      <c r="Q316" s="4"/>
      <c r="R316" s="4"/>
      <c r="S316" s="4"/>
      <c r="T316" s="4"/>
      <c r="U316" s="4"/>
      <c r="V316" s="4"/>
      <c r="W316" s="4"/>
      <c r="X316" s="4"/>
      <c r="Y316" s="4"/>
      <c r="Z316" s="4"/>
    </row>
    <row r="317" ht="9.75" customHeight="1">
      <c r="A317" s="4"/>
      <c r="B317" s="4"/>
      <c r="C317" s="4"/>
      <c r="D317" s="165"/>
      <c r="E317" s="165"/>
      <c r="F317" s="165"/>
      <c r="G317" s="165"/>
      <c r="H317" s="165"/>
      <c r="I317" s="4"/>
      <c r="J317" s="4"/>
      <c r="K317" s="4"/>
      <c r="L317" s="4"/>
      <c r="M317" s="4"/>
      <c r="N317" s="4"/>
      <c r="O317" s="4"/>
      <c r="P317" s="4"/>
      <c r="Q317" s="4"/>
      <c r="R317" s="4"/>
      <c r="S317" s="4"/>
      <c r="T317" s="4"/>
      <c r="U317" s="4"/>
      <c r="V317" s="4"/>
      <c r="W317" s="4"/>
      <c r="X317" s="4"/>
      <c r="Y317" s="4"/>
      <c r="Z317" s="4"/>
    </row>
    <row r="318" ht="9.75" customHeight="1">
      <c r="A318" s="4"/>
      <c r="B318" s="4"/>
      <c r="C318" s="4"/>
      <c r="D318" s="165"/>
      <c r="E318" s="165"/>
      <c r="F318" s="165"/>
      <c r="G318" s="165"/>
      <c r="H318" s="165"/>
      <c r="I318" s="4"/>
      <c r="J318" s="4"/>
      <c r="K318" s="4"/>
      <c r="L318" s="4"/>
      <c r="M318" s="4"/>
      <c r="N318" s="4"/>
      <c r="O318" s="4"/>
      <c r="P318" s="4"/>
      <c r="Q318" s="4"/>
      <c r="R318" s="4"/>
      <c r="S318" s="4"/>
      <c r="T318" s="4"/>
      <c r="U318" s="4"/>
      <c r="V318" s="4"/>
      <c r="W318" s="4"/>
      <c r="X318" s="4"/>
      <c r="Y318" s="4"/>
      <c r="Z318" s="4"/>
    </row>
    <row r="319" ht="9.75" customHeight="1">
      <c r="A319" s="4"/>
      <c r="B319" s="4"/>
      <c r="C319" s="4"/>
      <c r="D319" s="165"/>
      <c r="E319" s="165"/>
      <c r="F319" s="165"/>
      <c r="G319" s="165"/>
      <c r="H319" s="165"/>
      <c r="I319" s="4"/>
      <c r="J319" s="4"/>
      <c r="K319" s="4"/>
      <c r="L319" s="4"/>
      <c r="M319" s="4"/>
      <c r="N319" s="4"/>
      <c r="O319" s="4"/>
      <c r="P319" s="4"/>
      <c r="Q319" s="4"/>
      <c r="R319" s="4"/>
      <c r="S319" s="4"/>
      <c r="T319" s="4"/>
      <c r="U319" s="4"/>
      <c r="V319" s="4"/>
      <c r="W319" s="4"/>
      <c r="X319" s="4"/>
      <c r="Y319" s="4"/>
      <c r="Z319" s="4"/>
    </row>
    <row r="320" ht="9.75" customHeight="1">
      <c r="A320" s="4"/>
      <c r="B320" s="4"/>
      <c r="C320" s="4"/>
      <c r="D320" s="165"/>
      <c r="E320" s="165"/>
      <c r="F320" s="165"/>
      <c r="G320" s="165"/>
      <c r="H320" s="165"/>
      <c r="I320" s="4"/>
      <c r="J320" s="4"/>
      <c r="K320" s="4"/>
      <c r="L320" s="4"/>
      <c r="M320" s="4"/>
      <c r="N320" s="4"/>
      <c r="O320" s="4"/>
      <c r="P320" s="4"/>
      <c r="Q320" s="4"/>
      <c r="R320" s="4"/>
      <c r="S320" s="4"/>
      <c r="T320" s="4"/>
      <c r="U320" s="4"/>
      <c r="V320" s="4"/>
      <c r="W320" s="4"/>
      <c r="X320" s="4"/>
      <c r="Y320" s="4"/>
      <c r="Z320" s="4"/>
    </row>
    <row r="321" ht="9.75" customHeight="1">
      <c r="A321" s="4"/>
      <c r="B321" s="4"/>
      <c r="C321" s="4"/>
      <c r="D321" s="165"/>
      <c r="E321" s="165"/>
      <c r="F321" s="165"/>
      <c r="G321" s="165"/>
      <c r="H321" s="165"/>
      <c r="I321" s="4"/>
      <c r="J321" s="4"/>
      <c r="K321" s="4"/>
      <c r="L321" s="4"/>
      <c r="M321" s="4"/>
      <c r="N321" s="4"/>
      <c r="O321" s="4"/>
      <c r="P321" s="4"/>
      <c r="Q321" s="4"/>
      <c r="R321" s="4"/>
      <c r="S321" s="4"/>
      <c r="T321" s="4"/>
      <c r="U321" s="4"/>
      <c r="V321" s="4"/>
      <c r="W321" s="4"/>
      <c r="X321" s="4"/>
      <c r="Y321" s="4"/>
      <c r="Z321" s="4"/>
    </row>
    <row r="322" ht="9.75" customHeight="1">
      <c r="A322" s="4"/>
      <c r="B322" s="4"/>
      <c r="C322" s="4"/>
      <c r="D322" s="165"/>
      <c r="E322" s="165"/>
      <c r="F322" s="165"/>
      <c r="G322" s="165"/>
      <c r="H322" s="165"/>
      <c r="I322" s="4"/>
      <c r="J322" s="4"/>
      <c r="K322" s="4"/>
      <c r="L322" s="4"/>
      <c r="M322" s="4"/>
      <c r="N322" s="4"/>
      <c r="O322" s="4"/>
      <c r="P322" s="4"/>
      <c r="Q322" s="4"/>
      <c r="R322" s="4"/>
      <c r="S322" s="4"/>
      <c r="T322" s="4"/>
      <c r="U322" s="4"/>
      <c r="V322" s="4"/>
      <c r="W322" s="4"/>
      <c r="X322" s="4"/>
      <c r="Y322" s="4"/>
      <c r="Z322" s="4"/>
    </row>
    <row r="323" ht="9.75" customHeight="1">
      <c r="A323" s="4"/>
      <c r="B323" s="4"/>
      <c r="C323" s="4"/>
      <c r="D323" s="165"/>
      <c r="E323" s="165"/>
      <c r="F323" s="165"/>
      <c r="G323" s="165"/>
      <c r="H323" s="165"/>
      <c r="I323" s="4"/>
      <c r="J323" s="4"/>
      <c r="K323" s="4"/>
      <c r="L323" s="4"/>
      <c r="M323" s="4"/>
      <c r="N323" s="4"/>
      <c r="O323" s="4"/>
      <c r="P323" s="4"/>
      <c r="Q323" s="4"/>
      <c r="R323" s="4"/>
      <c r="S323" s="4"/>
      <c r="T323" s="4"/>
      <c r="U323" s="4"/>
      <c r="V323" s="4"/>
      <c r="W323" s="4"/>
      <c r="X323" s="4"/>
      <c r="Y323" s="4"/>
      <c r="Z323" s="4"/>
    </row>
    <row r="324" ht="9.75" customHeight="1">
      <c r="A324" s="4"/>
      <c r="B324" s="4"/>
      <c r="C324" s="4"/>
      <c r="D324" s="165"/>
      <c r="E324" s="165"/>
      <c r="F324" s="165"/>
      <c r="G324" s="165"/>
      <c r="H324" s="165"/>
      <c r="I324" s="4"/>
      <c r="J324" s="4"/>
      <c r="K324" s="4"/>
      <c r="L324" s="4"/>
      <c r="M324" s="4"/>
      <c r="N324" s="4"/>
      <c r="O324" s="4"/>
      <c r="P324" s="4"/>
      <c r="Q324" s="4"/>
      <c r="R324" s="4"/>
      <c r="S324" s="4"/>
      <c r="T324" s="4"/>
      <c r="U324" s="4"/>
      <c r="V324" s="4"/>
      <c r="W324" s="4"/>
      <c r="X324" s="4"/>
      <c r="Y324" s="4"/>
      <c r="Z324" s="4"/>
    </row>
    <row r="325" ht="9.75" customHeight="1">
      <c r="A325" s="4"/>
      <c r="B325" s="4"/>
      <c r="C325" s="4"/>
      <c r="D325" s="165"/>
      <c r="E325" s="165"/>
      <c r="F325" s="165"/>
      <c r="G325" s="165"/>
      <c r="H325" s="165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</row>
    <row r="326" ht="9.75" customHeight="1">
      <c r="A326" s="4"/>
      <c r="B326" s="4"/>
      <c r="C326" s="4"/>
      <c r="D326" s="165"/>
      <c r="E326" s="165"/>
      <c r="F326" s="165"/>
      <c r="G326" s="165"/>
      <c r="H326" s="165"/>
      <c r="I326" s="4"/>
      <c r="J326" s="4"/>
      <c r="K326" s="4"/>
      <c r="L326" s="4"/>
      <c r="M326" s="4"/>
      <c r="N326" s="4"/>
      <c r="O326" s="4"/>
      <c r="P326" s="4"/>
      <c r="Q326" s="4"/>
      <c r="R326" s="4"/>
      <c r="S326" s="4"/>
      <c r="T326" s="4"/>
      <c r="U326" s="4"/>
      <c r="V326" s="4"/>
      <c r="W326" s="4"/>
      <c r="X326" s="4"/>
      <c r="Y326" s="4"/>
      <c r="Z326" s="4"/>
    </row>
    <row r="327" ht="9.75" customHeight="1">
      <c r="A327" s="4"/>
      <c r="B327" s="4"/>
      <c r="C327" s="4"/>
      <c r="D327" s="165"/>
      <c r="E327" s="165"/>
      <c r="F327" s="165"/>
      <c r="G327" s="165"/>
      <c r="H327" s="165"/>
      <c r="I327" s="4"/>
      <c r="J327" s="4"/>
      <c r="K327" s="4"/>
      <c r="L327" s="4"/>
      <c r="M327" s="4"/>
      <c r="N327" s="4"/>
      <c r="O327" s="4"/>
      <c r="P327" s="4"/>
      <c r="Q327" s="4"/>
      <c r="R327" s="4"/>
      <c r="S327" s="4"/>
      <c r="T327" s="4"/>
      <c r="U327" s="4"/>
      <c r="V327" s="4"/>
      <c r="W327" s="4"/>
      <c r="X327" s="4"/>
      <c r="Y327" s="4"/>
      <c r="Z327" s="4"/>
    </row>
    <row r="328" ht="9.75" customHeight="1">
      <c r="A328" s="4"/>
      <c r="B328" s="4"/>
      <c r="C328" s="4"/>
      <c r="D328" s="165"/>
      <c r="E328" s="165"/>
      <c r="F328" s="165"/>
      <c r="G328" s="165"/>
      <c r="H328" s="165"/>
      <c r="I328" s="4"/>
      <c r="J328" s="4"/>
      <c r="K328" s="4"/>
      <c r="L328" s="4"/>
      <c r="M328" s="4"/>
      <c r="N328" s="4"/>
      <c r="O328" s="4"/>
      <c r="P328" s="4"/>
      <c r="Q328" s="4"/>
      <c r="R328" s="4"/>
      <c r="S328" s="4"/>
      <c r="T328" s="4"/>
      <c r="U328" s="4"/>
      <c r="V328" s="4"/>
      <c r="W328" s="4"/>
      <c r="X328" s="4"/>
      <c r="Y328" s="4"/>
      <c r="Z328" s="4"/>
    </row>
    <row r="329" ht="9.75" customHeight="1">
      <c r="A329" s="4"/>
      <c r="B329" s="4"/>
      <c r="C329" s="4"/>
      <c r="D329" s="165"/>
      <c r="E329" s="165"/>
      <c r="F329" s="165"/>
      <c r="G329" s="165"/>
      <c r="H329" s="165"/>
      <c r="I329" s="4"/>
      <c r="J329" s="4"/>
      <c r="K329" s="4"/>
      <c r="L329" s="4"/>
      <c r="M329" s="4"/>
      <c r="N329" s="4"/>
      <c r="O329" s="4"/>
      <c r="P329" s="4"/>
      <c r="Q329" s="4"/>
      <c r="R329" s="4"/>
      <c r="S329" s="4"/>
      <c r="T329" s="4"/>
      <c r="U329" s="4"/>
      <c r="V329" s="4"/>
      <c r="W329" s="4"/>
      <c r="X329" s="4"/>
      <c r="Y329" s="4"/>
      <c r="Z329" s="4"/>
    </row>
    <row r="330" ht="9.75" customHeight="1">
      <c r="A330" s="4"/>
      <c r="B330" s="4"/>
      <c r="C330" s="4"/>
      <c r="D330" s="165"/>
      <c r="E330" s="165"/>
      <c r="F330" s="165"/>
      <c r="G330" s="165"/>
      <c r="H330" s="165"/>
      <c r="I330" s="4"/>
      <c r="J330" s="4"/>
      <c r="K330" s="4"/>
      <c r="L330" s="4"/>
      <c r="M330" s="4"/>
      <c r="N330" s="4"/>
      <c r="O330" s="4"/>
      <c r="P330" s="4"/>
      <c r="Q330" s="4"/>
      <c r="R330" s="4"/>
      <c r="S330" s="4"/>
      <c r="T330" s="4"/>
      <c r="U330" s="4"/>
      <c r="V330" s="4"/>
      <c r="W330" s="4"/>
      <c r="X330" s="4"/>
      <c r="Y330" s="4"/>
      <c r="Z330" s="4"/>
    </row>
    <row r="331" ht="9.75" customHeight="1">
      <c r="A331" s="4"/>
      <c r="B331" s="4"/>
      <c r="C331" s="4"/>
      <c r="D331" s="165"/>
      <c r="E331" s="165"/>
      <c r="F331" s="165"/>
      <c r="G331" s="165"/>
      <c r="H331" s="165"/>
      <c r="I331" s="4"/>
      <c r="J331" s="4"/>
      <c r="K331" s="4"/>
      <c r="L331" s="4"/>
      <c r="M331" s="4"/>
      <c r="N331" s="4"/>
      <c r="O331" s="4"/>
      <c r="P331" s="4"/>
      <c r="Q331" s="4"/>
      <c r="R331" s="4"/>
      <c r="S331" s="4"/>
      <c r="T331" s="4"/>
      <c r="U331" s="4"/>
      <c r="V331" s="4"/>
      <c r="W331" s="4"/>
      <c r="X331" s="4"/>
      <c r="Y331" s="4"/>
      <c r="Z331" s="4"/>
    </row>
    <row r="332" ht="9.75" customHeight="1">
      <c r="A332" s="4"/>
      <c r="B332" s="4"/>
      <c r="C332" s="4"/>
      <c r="D332" s="165"/>
      <c r="E332" s="165"/>
      <c r="F332" s="165"/>
      <c r="G332" s="165"/>
      <c r="H332" s="165"/>
      <c r="I332" s="4"/>
      <c r="J332" s="4"/>
      <c r="K332" s="4"/>
      <c r="L332" s="4"/>
      <c r="M332" s="4"/>
      <c r="N332" s="4"/>
      <c r="O332" s="4"/>
      <c r="P332" s="4"/>
      <c r="Q332" s="4"/>
      <c r="R332" s="4"/>
      <c r="S332" s="4"/>
      <c r="T332" s="4"/>
      <c r="U332" s="4"/>
      <c r="V332" s="4"/>
      <c r="W332" s="4"/>
      <c r="X332" s="4"/>
      <c r="Y332" s="4"/>
      <c r="Z332" s="4"/>
    </row>
    <row r="333" ht="9.75" customHeight="1">
      <c r="A333" s="4"/>
      <c r="B333" s="4"/>
      <c r="C333" s="4"/>
      <c r="D333" s="165"/>
      <c r="E333" s="165"/>
      <c r="F333" s="165"/>
      <c r="G333" s="165"/>
      <c r="H333" s="165"/>
      <c r="I333" s="4"/>
      <c r="J333" s="4"/>
      <c r="K333" s="4"/>
      <c r="L333" s="4"/>
      <c r="M333" s="4"/>
      <c r="N333" s="4"/>
      <c r="O333" s="4"/>
      <c r="P333" s="4"/>
      <c r="Q333" s="4"/>
      <c r="R333" s="4"/>
      <c r="S333" s="4"/>
      <c r="T333" s="4"/>
      <c r="U333" s="4"/>
      <c r="V333" s="4"/>
      <c r="W333" s="4"/>
      <c r="X333" s="4"/>
      <c r="Y333" s="4"/>
      <c r="Z333" s="4"/>
    </row>
    <row r="334" ht="9.75" customHeight="1">
      <c r="A334" s="4"/>
      <c r="B334" s="4"/>
      <c r="C334" s="4"/>
      <c r="D334" s="165"/>
      <c r="E334" s="165"/>
      <c r="F334" s="165"/>
      <c r="G334" s="165"/>
      <c r="H334" s="165"/>
      <c r="I334" s="4"/>
      <c r="J334" s="4"/>
      <c r="K334" s="4"/>
      <c r="L334" s="4"/>
      <c r="M334" s="4"/>
      <c r="N334" s="4"/>
      <c r="O334" s="4"/>
      <c r="P334" s="4"/>
      <c r="Q334" s="4"/>
      <c r="R334" s="4"/>
      <c r="S334" s="4"/>
      <c r="T334" s="4"/>
      <c r="U334" s="4"/>
      <c r="V334" s="4"/>
      <c r="W334" s="4"/>
      <c r="X334" s="4"/>
      <c r="Y334" s="4"/>
      <c r="Z334" s="4"/>
    </row>
    <row r="335" ht="9.75" customHeight="1">
      <c r="A335" s="4"/>
      <c r="B335" s="4"/>
      <c r="C335" s="4"/>
      <c r="D335" s="165"/>
      <c r="E335" s="165"/>
      <c r="F335" s="165"/>
      <c r="G335" s="165"/>
      <c r="H335" s="165"/>
      <c r="I335" s="4"/>
      <c r="J335" s="4"/>
      <c r="K335" s="4"/>
      <c r="L335" s="4"/>
      <c r="M335" s="4"/>
      <c r="N335" s="4"/>
      <c r="O335" s="4"/>
      <c r="P335" s="4"/>
      <c r="Q335" s="4"/>
      <c r="R335" s="4"/>
      <c r="S335" s="4"/>
      <c r="T335" s="4"/>
      <c r="U335" s="4"/>
      <c r="V335" s="4"/>
      <c r="W335" s="4"/>
      <c r="X335" s="4"/>
      <c r="Y335" s="4"/>
      <c r="Z335" s="4"/>
    </row>
    <row r="336" ht="9.75" customHeight="1">
      <c r="A336" s="4"/>
      <c r="B336" s="4"/>
      <c r="C336" s="4"/>
      <c r="D336" s="165"/>
      <c r="E336" s="165"/>
      <c r="F336" s="165"/>
      <c r="G336" s="165"/>
      <c r="H336" s="165"/>
      <c r="I336" s="4"/>
      <c r="J336" s="4"/>
      <c r="K336" s="4"/>
      <c r="L336" s="4"/>
      <c r="M336" s="4"/>
      <c r="N336" s="4"/>
      <c r="O336" s="4"/>
      <c r="P336" s="4"/>
      <c r="Q336" s="4"/>
      <c r="R336" s="4"/>
      <c r="S336" s="4"/>
      <c r="T336" s="4"/>
      <c r="U336" s="4"/>
      <c r="V336" s="4"/>
      <c r="W336" s="4"/>
      <c r="X336" s="4"/>
      <c r="Y336" s="4"/>
      <c r="Z336" s="4"/>
    </row>
    <row r="337" ht="9.75" customHeight="1">
      <c r="A337" s="4"/>
      <c r="B337" s="4"/>
      <c r="C337" s="4"/>
      <c r="D337" s="165"/>
      <c r="E337" s="165"/>
      <c r="F337" s="165"/>
      <c r="G337" s="165"/>
      <c r="H337" s="165"/>
      <c r="I337" s="4"/>
      <c r="J337" s="4"/>
      <c r="K337" s="4"/>
      <c r="L337" s="4"/>
      <c r="M337" s="4"/>
      <c r="N337" s="4"/>
      <c r="O337" s="4"/>
      <c r="P337" s="4"/>
      <c r="Q337" s="4"/>
      <c r="R337" s="4"/>
      <c r="S337" s="4"/>
      <c r="T337" s="4"/>
      <c r="U337" s="4"/>
      <c r="V337" s="4"/>
      <c r="W337" s="4"/>
      <c r="X337" s="4"/>
      <c r="Y337" s="4"/>
      <c r="Z337" s="4"/>
    </row>
    <row r="338" ht="9.75" customHeight="1">
      <c r="A338" s="4"/>
      <c r="B338" s="4"/>
      <c r="C338" s="4"/>
      <c r="D338" s="165"/>
      <c r="E338" s="165"/>
      <c r="F338" s="165"/>
      <c r="G338" s="165"/>
      <c r="H338" s="165"/>
      <c r="I338" s="4"/>
      <c r="J338" s="4"/>
      <c r="K338" s="4"/>
      <c r="L338" s="4"/>
      <c r="M338" s="4"/>
      <c r="N338" s="4"/>
      <c r="O338" s="4"/>
      <c r="P338" s="4"/>
      <c r="Q338" s="4"/>
      <c r="R338" s="4"/>
      <c r="S338" s="4"/>
      <c r="T338" s="4"/>
      <c r="U338" s="4"/>
      <c r="V338" s="4"/>
      <c r="W338" s="4"/>
      <c r="X338" s="4"/>
      <c r="Y338" s="4"/>
      <c r="Z338" s="4"/>
    </row>
    <row r="339" ht="9.75" customHeight="1">
      <c r="A339" s="4"/>
      <c r="B339" s="4"/>
      <c r="C339" s="4"/>
      <c r="D339" s="165"/>
      <c r="E339" s="165"/>
      <c r="F339" s="165"/>
      <c r="G339" s="165"/>
      <c r="H339" s="165"/>
      <c r="I339" s="4"/>
      <c r="J339" s="4"/>
      <c r="K339" s="4"/>
      <c r="L339" s="4"/>
      <c r="M339" s="4"/>
      <c r="N339" s="4"/>
      <c r="O339" s="4"/>
      <c r="P339" s="4"/>
      <c r="Q339" s="4"/>
      <c r="R339" s="4"/>
      <c r="S339" s="4"/>
      <c r="T339" s="4"/>
      <c r="U339" s="4"/>
      <c r="V339" s="4"/>
      <c r="W339" s="4"/>
      <c r="X339" s="4"/>
      <c r="Y339" s="4"/>
      <c r="Z339" s="4"/>
    </row>
    <row r="340" ht="9.75" customHeight="1">
      <c r="A340" s="4"/>
      <c r="B340" s="4"/>
      <c r="C340" s="4"/>
      <c r="D340" s="165"/>
      <c r="E340" s="165"/>
      <c r="F340" s="165"/>
      <c r="G340" s="165"/>
      <c r="H340" s="165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</row>
    <row r="341" ht="9.75" customHeight="1">
      <c r="A341" s="4"/>
      <c r="B341" s="4"/>
      <c r="C341" s="4"/>
      <c r="D341" s="165"/>
      <c r="E341" s="165"/>
      <c r="F341" s="165"/>
      <c r="G341" s="165"/>
      <c r="H341" s="165"/>
      <c r="I341" s="4"/>
      <c r="J341" s="4"/>
      <c r="K341" s="4"/>
      <c r="L341" s="4"/>
      <c r="M341" s="4"/>
      <c r="N341" s="4"/>
      <c r="O341" s="4"/>
      <c r="P341" s="4"/>
      <c r="Q341" s="4"/>
      <c r="R341" s="4"/>
      <c r="S341" s="4"/>
      <c r="T341" s="4"/>
      <c r="U341" s="4"/>
      <c r="V341" s="4"/>
      <c r="W341" s="4"/>
      <c r="X341" s="4"/>
      <c r="Y341" s="4"/>
      <c r="Z341" s="4"/>
    </row>
    <row r="342" ht="9.75" customHeight="1">
      <c r="A342" s="4"/>
      <c r="B342" s="4"/>
      <c r="C342" s="4"/>
      <c r="D342" s="165"/>
      <c r="E342" s="165"/>
      <c r="F342" s="165"/>
      <c r="G342" s="165"/>
      <c r="H342" s="165"/>
      <c r="I342" s="4"/>
      <c r="J342" s="4"/>
      <c r="K342" s="4"/>
      <c r="L342" s="4"/>
      <c r="M342" s="4"/>
      <c r="N342" s="4"/>
      <c r="O342" s="4"/>
      <c r="P342" s="4"/>
      <c r="Q342" s="4"/>
      <c r="R342" s="4"/>
      <c r="S342" s="4"/>
      <c r="T342" s="4"/>
      <c r="U342" s="4"/>
      <c r="V342" s="4"/>
      <c r="W342" s="4"/>
      <c r="X342" s="4"/>
      <c r="Y342" s="4"/>
      <c r="Z342" s="4"/>
    </row>
    <row r="343" ht="9.75" customHeight="1">
      <c r="A343" s="4"/>
      <c r="B343" s="4"/>
      <c r="C343" s="4"/>
      <c r="D343" s="165"/>
      <c r="E343" s="165"/>
      <c r="F343" s="165"/>
      <c r="G343" s="165"/>
      <c r="H343" s="165"/>
      <c r="I343" s="4"/>
      <c r="J343" s="4"/>
      <c r="K343" s="4"/>
      <c r="L343" s="4"/>
      <c r="M343" s="4"/>
      <c r="N343" s="4"/>
      <c r="O343" s="4"/>
      <c r="P343" s="4"/>
      <c r="Q343" s="4"/>
      <c r="R343" s="4"/>
      <c r="S343" s="4"/>
      <c r="T343" s="4"/>
      <c r="U343" s="4"/>
      <c r="V343" s="4"/>
      <c r="W343" s="4"/>
      <c r="X343" s="4"/>
      <c r="Y343" s="4"/>
      <c r="Z343" s="4"/>
    </row>
    <row r="344" ht="9.75" customHeight="1">
      <c r="A344" s="4"/>
      <c r="B344" s="4"/>
      <c r="C344" s="4"/>
      <c r="D344" s="165"/>
      <c r="E344" s="165"/>
      <c r="F344" s="165"/>
      <c r="G344" s="165"/>
      <c r="H344" s="165"/>
      <c r="I344" s="4"/>
      <c r="J344" s="4"/>
      <c r="K344" s="4"/>
      <c r="L344" s="4"/>
      <c r="M344" s="4"/>
      <c r="N344" s="4"/>
      <c r="O344" s="4"/>
      <c r="P344" s="4"/>
      <c r="Q344" s="4"/>
      <c r="R344" s="4"/>
      <c r="S344" s="4"/>
      <c r="T344" s="4"/>
      <c r="U344" s="4"/>
      <c r="V344" s="4"/>
      <c r="W344" s="4"/>
      <c r="X344" s="4"/>
      <c r="Y344" s="4"/>
      <c r="Z344" s="4"/>
    </row>
    <row r="345" ht="9.75" customHeight="1">
      <c r="A345" s="4"/>
      <c r="B345" s="4"/>
      <c r="C345" s="4"/>
      <c r="D345" s="165"/>
      <c r="E345" s="165"/>
      <c r="F345" s="165"/>
      <c r="G345" s="165"/>
      <c r="H345" s="165"/>
      <c r="I345" s="4"/>
      <c r="J345" s="4"/>
      <c r="K345" s="4"/>
      <c r="L345" s="4"/>
      <c r="M345" s="4"/>
      <c r="N345" s="4"/>
      <c r="O345" s="4"/>
      <c r="P345" s="4"/>
      <c r="Q345" s="4"/>
      <c r="R345" s="4"/>
      <c r="S345" s="4"/>
      <c r="T345" s="4"/>
      <c r="U345" s="4"/>
      <c r="V345" s="4"/>
      <c r="W345" s="4"/>
      <c r="X345" s="4"/>
      <c r="Y345" s="4"/>
      <c r="Z345" s="4"/>
    </row>
    <row r="346" ht="9.75" customHeight="1">
      <c r="A346" s="4"/>
      <c r="B346" s="4"/>
      <c r="C346" s="4"/>
      <c r="D346" s="165"/>
      <c r="E346" s="165"/>
      <c r="F346" s="165"/>
      <c r="G346" s="165"/>
      <c r="H346" s="165"/>
      <c r="I346" s="4"/>
      <c r="J346" s="4"/>
      <c r="K346" s="4"/>
      <c r="L346" s="4"/>
      <c r="M346" s="4"/>
      <c r="N346" s="4"/>
      <c r="O346" s="4"/>
      <c r="P346" s="4"/>
      <c r="Q346" s="4"/>
      <c r="R346" s="4"/>
      <c r="S346" s="4"/>
      <c r="T346" s="4"/>
      <c r="U346" s="4"/>
      <c r="V346" s="4"/>
      <c r="W346" s="4"/>
      <c r="X346" s="4"/>
      <c r="Y346" s="4"/>
      <c r="Z346" s="4"/>
    </row>
    <row r="347" ht="9.75" customHeight="1">
      <c r="A347" s="4"/>
      <c r="B347" s="4"/>
      <c r="C347" s="4"/>
      <c r="D347" s="165"/>
      <c r="E347" s="165"/>
      <c r="F347" s="165"/>
      <c r="G347" s="165"/>
      <c r="H347" s="165"/>
      <c r="I347" s="4"/>
      <c r="J347" s="4"/>
      <c r="K347" s="4"/>
      <c r="L347" s="4"/>
      <c r="M347" s="4"/>
      <c r="N347" s="4"/>
      <c r="O347" s="4"/>
      <c r="P347" s="4"/>
      <c r="Q347" s="4"/>
      <c r="R347" s="4"/>
      <c r="S347" s="4"/>
      <c r="T347" s="4"/>
      <c r="U347" s="4"/>
      <c r="V347" s="4"/>
      <c r="W347" s="4"/>
      <c r="X347" s="4"/>
      <c r="Y347" s="4"/>
      <c r="Z347" s="4"/>
    </row>
    <row r="348" ht="9.75" customHeight="1">
      <c r="A348" s="4"/>
      <c r="B348" s="4"/>
      <c r="C348" s="4"/>
      <c r="D348" s="165"/>
      <c r="E348" s="165"/>
      <c r="F348" s="165"/>
      <c r="G348" s="165"/>
      <c r="H348" s="165"/>
      <c r="I348" s="4"/>
      <c r="J348" s="4"/>
      <c r="K348" s="4"/>
      <c r="L348" s="4"/>
      <c r="M348" s="4"/>
      <c r="N348" s="4"/>
      <c r="O348" s="4"/>
      <c r="P348" s="4"/>
      <c r="Q348" s="4"/>
      <c r="R348" s="4"/>
      <c r="S348" s="4"/>
      <c r="T348" s="4"/>
      <c r="U348" s="4"/>
      <c r="V348" s="4"/>
      <c r="W348" s="4"/>
      <c r="X348" s="4"/>
      <c r="Y348" s="4"/>
      <c r="Z348" s="4"/>
    </row>
    <row r="349" ht="9.75" customHeight="1">
      <c r="A349" s="4"/>
      <c r="B349" s="4"/>
      <c r="C349" s="4"/>
      <c r="D349" s="165"/>
      <c r="E349" s="165"/>
      <c r="F349" s="165"/>
      <c r="G349" s="165"/>
      <c r="H349" s="165"/>
      <c r="I349" s="4"/>
      <c r="J349" s="4"/>
      <c r="K349" s="4"/>
      <c r="L349" s="4"/>
      <c r="M349" s="4"/>
      <c r="N349" s="4"/>
      <c r="O349" s="4"/>
      <c r="P349" s="4"/>
      <c r="Q349" s="4"/>
      <c r="R349" s="4"/>
      <c r="S349" s="4"/>
      <c r="T349" s="4"/>
      <c r="U349" s="4"/>
      <c r="V349" s="4"/>
      <c r="W349" s="4"/>
      <c r="X349" s="4"/>
      <c r="Y349" s="4"/>
      <c r="Z349" s="4"/>
    </row>
    <row r="350" ht="9.75" customHeight="1">
      <c r="A350" s="4"/>
      <c r="B350" s="4"/>
      <c r="C350" s="4"/>
      <c r="D350" s="165"/>
      <c r="E350" s="165"/>
      <c r="F350" s="165"/>
      <c r="G350" s="165"/>
      <c r="H350" s="165"/>
      <c r="I350" s="4"/>
      <c r="J350" s="4"/>
      <c r="K350" s="4"/>
      <c r="L350" s="4"/>
      <c r="M350" s="4"/>
      <c r="N350" s="4"/>
      <c r="O350" s="4"/>
      <c r="P350" s="4"/>
      <c r="Q350" s="4"/>
      <c r="R350" s="4"/>
      <c r="S350" s="4"/>
      <c r="T350" s="4"/>
      <c r="U350" s="4"/>
      <c r="V350" s="4"/>
      <c r="W350" s="4"/>
      <c r="X350" s="4"/>
      <c r="Y350" s="4"/>
      <c r="Z350" s="4"/>
    </row>
    <row r="351" ht="9.75" customHeight="1">
      <c r="A351" s="4"/>
      <c r="B351" s="4"/>
      <c r="C351" s="4"/>
      <c r="D351" s="165"/>
      <c r="E351" s="165"/>
      <c r="F351" s="165"/>
      <c r="G351" s="165"/>
      <c r="H351" s="165"/>
      <c r="I351" s="4"/>
      <c r="J351" s="4"/>
      <c r="K351" s="4"/>
      <c r="L351" s="4"/>
      <c r="M351" s="4"/>
      <c r="N351" s="4"/>
      <c r="O351" s="4"/>
      <c r="P351" s="4"/>
      <c r="Q351" s="4"/>
      <c r="R351" s="4"/>
      <c r="S351" s="4"/>
      <c r="T351" s="4"/>
      <c r="U351" s="4"/>
      <c r="V351" s="4"/>
      <c r="W351" s="4"/>
      <c r="X351" s="4"/>
      <c r="Y351" s="4"/>
      <c r="Z351" s="4"/>
    </row>
    <row r="352" ht="9.75" customHeight="1">
      <c r="A352" s="4"/>
      <c r="B352" s="4"/>
      <c r="C352" s="4"/>
      <c r="D352" s="165"/>
      <c r="E352" s="165"/>
      <c r="F352" s="165"/>
      <c r="G352" s="165"/>
      <c r="H352" s="165"/>
      <c r="I352" s="4"/>
      <c r="J352" s="4"/>
      <c r="K352" s="4"/>
      <c r="L352" s="4"/>
      <c r="M352" s="4"/>
      <c r="N352" s="4"/>
      <c r="O352" s="4"/>
      <c r="P352" s="4"/>
      <c r="Q352" s="4"/>
      <c r="R352" s="4"/>
      <c r="S352" s="4"/>
      <c r="T352" s="4"/>
      <c r="U352" s="4"/>
      <c r="V352" s="4"/>
      <c r="W352" s="4"/>
      <c r="X352" s="4"/>
      <c r="Y352" s="4"/>
      <c r="Z352" s="4"/>
    </row>
    <row r="353" ht="9.75" customHeight="1">
      <c r="A353" s="4"/>
      <c r="B353" s="4"/>
      <c r="C353" s="4"/>
      <c r="D353" s="165"/>
      <c r="E353" s="165"/>
      <c r="F353" s="165"/>
      <c r="G353" s="165"/>
      <c r="H353" s="165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</row>
    <row r="354" ht="9.75" customHeight="1">
      <c r="A354" s="4"/>
      <c r="B354" s="4"/>
      <c r="C354" s="4"/>
      <c r="D354" s="165"/>
      <c r="E354" s="165"/>
      <c r="F354" s="165"/>
      <c r="G354" s="165"/>
      <c r="H354" s="165"/>
      <c r="I354" s="4"/>
      <c r="J354" s="4"/>
      <c r="K354" s="4"/>
      <c r="L354" s="4"/>
      <c r="M354" s="4"/>
      <c r="N354" s="4"/>
      <c r="O354" s="4"/>
      <c r="P354" s="4"/>
      <c r="Q354" s="4"/>
      <c r="R354" s="4"/>
      <c r="S354" s="4"/>
      <c r="T354" s="4"/>
      <c r="U354" s="4"/>
      <c r="V354" s="4"/>
      <c r="W354" s="4"/>
      <c r="X354" s="4"/>
      <c r="Y354" s="4"/>
      <c r="Z354" s="4"/>
    </row>
    <row r="355" ht="9.75" customHeight="1">
      <c r="A355" s="4"/>
      <c r="B355" s="4"/>
      <c r="C355" s="4"/>
      <c r="D355" s="165"/>
      <c r="E355" s="165"/>
      <c r="F355" s="165"/>
      <c r="G355" s="165"/>
      <c r="H355" s="165"/>
      <c r="I355" s="4"/>
      <c r="J355" s="4"/>
      <c r="K355" s="4"/>
      <c r="L355" s="4"/>
      <c r="M355" s="4"/>
      <c r="N355" s="4"/>
      <c r="O355" s="4"/>
      <c r="P355" s="4"/>
      <c r="Q355" s="4"/>
      <c r="R355" s="4"/>
      <c r="S355" s="4"/>
      <c r="T355" s="4"/>
      <c r="U355" s="4"/>
      <c r="V355" s="4"/>
      <c r="W355" s="4"/>
      <c r="X355" s="4"/>
      <c r="Y355" s="4"/>
      <c r="Z355" s="4"/>
    </row>
    <row r="356" ht="9.75" customHeight="1">
      <c r="A356" s="4"/>
      <c r="B356" s="4"/>
      <c r="C356" s="4"/>
      <c r="D356" s="165"/>
      <c r="E356" s="165"/>
      <c r="F356" s="165"/>
      <c r="G356" s="165"/>
      <c r="H356" s="165"/>
      <c r="I356" s="4"/>
      <c r="J356" s="4"/>
      <c r="K356" s="4"/>
      <c r="L356" s="4"/>
      <c r="M356" s="4"/>
      <c r="N356" s="4"/>
      <c r="O356" s="4"/>
      <c r="P356" s="4"/>
      <c r="Q356" s="4"/>
      <c r="R356" s="4"/>
      <c r="S356" s="4"/>
      <c r="T356" s="4"/>
      <c r="U356" s="4"/>
      <c r="V356" s="4"/>
      <c r="W356" s="4"/>
      <c r="X356" s="4"/>
      <c r="Y356" s="4"/>
      <c r="Z356" s="4"/>
    </row>
    <row r="357" ht="9.75" customHeight="1">
      <c r="A357" s="4"/>
      <c r="B357" s="4"/>
      <c r="C357" s="4"/>
      <c r="D357" s="165"/>
      <c r="E357" s="165"/>
      <c r="F357" s="165"/>
      <c r="G357" s="165"/>
      <c r="H357" s="165"/>
      <c r="I357" s="4"/>
      <c r="J357" s="4"/>
      <c r="K357" s="4"/>
      <c r="L357" s="4"/>
      <c r="M357" s="4"/>
      <c r="N357" s="4"/>
      <c r="O357" s="4"/>
      <c r="P357" s="4"/>
      <c r="Q357" s="4"/>
      <c r="R357" s="4"/>
      <c r="S357" s="4"/>
      <c r="T357" s="4"/>
      <c r="U357" s="4"/>
      <c r="V357" s="4"/>
      <c r="W357" s="4"/>
      <c r="X357" s="4"/>
      <c r="Y357" s="4"/>
      <c r="Z357" s="4"/>
    </row>
    <row r="358" ht="9.75" customHeight="1">
      <c r="A358" s="4"/>
      <c r="B358" s="4"/>
      <c r="C358" s="4"/>
      <c r="D358" s="165"/>
      <c r="E358" s="165"/>
      <c r="F358" s="165"/>
      <c r="G358" s="165"/>
      <c r="H358" s="165"/>
      <c r="I358" s="4"/>
      <c r="J358" s="4"/>
      <c r="K358" s="4"/>
      <c r="L358" s="4"/>
      <c r="M358" s="4"/>
      <c r="N358" s="4"/>
      <c r="O358" s="4"/>
      <c r="P358" s="4"/>
      <c r="Q358" s="4"/>
      <c r="R358" s="4"/>
      <c r="S358" s="4"/>
      <c r="T358" s="4"/>
      <c r="U358" s="4"/>
      <c r="V358" s="4"/>
      <c r="W358" s="4"/>
      <c r="X358" s="4"/>
      <c r="Y358" s="4"/>
      <c r="Z358" s="4"/>
    </row>
    <row r="359" ht="9.75" customHeight="1">
      <c r="A359" s="4"/>
      <c r="B359" s="4"/>
      <c r="C359" s="4"/>
      <c r="D359" s="165"/>
      <c r="E359" s="165"/>
      <c r="F359" s="165"/>
      <c r="G359" s="165"/>
      <c r="H359" s="165"/>
      <c r="I359" s="4"/>
      <c r="J359" s="4"/>
      <c r="K359" s="4"/>
      <c r="L359" s="4"/>
      <c r="M359" s="4"/>
      <c r="N359" s="4"/>
      <c r="O359" s="4"/>
      <c r="P359" s="4"/>
      <c r="Q359" s="4"/>
      <c r="R359" s="4"/>
      <c r="S359" s="4"/>
      <c r="T359" s="4"/>
      <c r="U359" s="4"/>
      <c r="V359" s="4"/>
      <c r="W359" s="4"/>
      <c r="X359" s="4"/>
      <c r="Y359" s="4"/>
      <c r="Z359" s="4"/>
    </row>
    <row r="360" ht="9.75" customHeight="1">
      <c r="A360" s="4"/>
      <c r="B360" s="4"/>
      <c r="C360" s="4"/>
      <c r="D360" s="165"/>
      <c r="E360" s="165"/>
      <c r="F360" s="165"/>
      <c r="G360" s="165"/>
      <c r="H360" s="165"/>
      <c r="I360" s="4"/>
      <c r="J360" s="4"/>
      <c r="K360" s="4"/>
      <c r="L360" s="4"/>
      <c r="M360" s="4"/>
      <c r="N360" s="4"/>
      <c r="O360" s="4"/>
      <c r="P360" s="4"/>
      <c r="Q360" s="4"/>
      <c r="R360" s="4"/>
      <c r="S360" s="4"/>
      <c r="T360" s="4"/>
      <c r="U360" s="4"/>
      <c r="V360" s="4"/>
      <c r="W360" s="4"/>
      <c r="X360" s="4"/>
      <c r="Y360" s="4"/>
      <c r="Z360" s="4"/>
    </row>
    <row r="361" ht="9.75" customHeight="1">
      <c r="A361" s="4"/>
      <c r="B361" s="4"/>
      <c r="C361" s="4"/>
      <c r="D361" s="165"/>
      <c r="E361" s="165"/>
      <c r="F361" s="165"/>
      <c r="G361" s="165"/>
      <c r="H361" s="165"/>
      <c r="I361" s="4"/>
      <c r="J361" s="4"/>
      <c r="K361" s="4"/>
      <c r="L361" s="4"/>
      <c r="M361" s="4"/>
      <c r="N361" s="4"/>
      <c r="O361" s="4"/>
      <c r="P361" s="4"/>
      <c r="Q361" s="4"/>
      <c r="R361" s="4"/>
      <c r="S361" s="4"/>
      <c r="T361" s="4"/>
      <c r="U361" s="4"/>
      <c r="V361" s="4"/>
      <c r="W361" s="4"/>
      <c r="X361" s="4"/>
      <c r="Y361" s="4"/>
      <c r="Z361" s="4"/>
    </row>
    <row r="362" ht="9.75" customHeight="1">
      <c r="A362" s="4"/>
      <c r="B362" s="4"/>
      <c r="C362" s="4"/>
      <c r="D362" s="165"/>
      <c r="E362" s="165"/>
      <c r="F362" s="165"/>
      <c r="G362" s="165"/>
      <c r="H362" s="165"/>
      <c r="I362" s="4"/>
      <c r="J362" s="4"/>
      <c r="K362" s="4"/>
      <c r="L362" s="4"/>
      <c r="M362" s="4"/>
      <c r="N362" s="4"/>
      <c r="O362" s="4"/>
      <c r="P362" s="4"/>
      <c r="Q362" s="4"/>
      <c r="R362" s="4"/>
      <c r="S362" s="4"/>
      <c r="T362" s="4"/>
      <c r="U362" s="4"/>
      <c r="V362" s="4"/>
      <c r="W362" s="4"/>
      <c r="X362" s="4"/>
      <c r="Y362" s="4"/>
      <c r="Z362" s="4"/>
    </row>
    <row r="363" ht="9.75" customHeight="1">
      <c r="A363" s="4"/>
      <c r="B363" s="4"/>
      <c r="C363" s="4"/>
      <c r="D363" s="165"/>
      <c r="E363" s="165"/>
      <c r="F363" s="165"/>
      <c r="G363" s="165"/>
      <c r="H363" s="165"/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4"/>
    </row>
    <row r="364" ht="9.75" customHeight="1">
      <c r="A364" s="4"/>
      <c r="B364" s="4"/>
      <c r="C364" s="4"/>
      <c r="D364" s="165"/>
      <c r="E364" s="165"/>
      <c r="F364" s="165"/>
      <c r="G364" s="165"/>
      <c r="H364" s="165"/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  <c r="Y364" s="4"/>
      <c r="Z364" s="4"/>
    </row>
    <row r="365" ht="9.75" customHeight="1">
      <c r="A365" s="4"/>
      <c r="B365" s="4"/>
      <c r="C365" s="4"/>
      <c r="D365" s="165"/>
      <c r="E365" s="165"/>
      <c r="F365" s="165"/>
      <c r="G365" s="165"/>
      <c r="H365" s="165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</row>
    <row r="366" ht="9.75" customHeight="1">
      <c r="A366" s="4"/>
      <c r="B366" s="4"/>
      <c r="C366" s="4"/>
      <c r="D366" s="165"/>
      <c r="E366" s="165"/>
      <c r="F366" s="165"/>
      <c r="G366" s="165"/>
      <c r="H366" s="165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</row>
    <row r="367" ht="9.75" customHeight="1">
      <c r="A367" s="4"/>
      <c r="B367" s="4"/>
      <c r="C367" s="4"/>
      <c r="D367" s="165"/>
      <c r="E367" s="165"/>
      <c r="F367" s="165"/>
      <c r="G367" s="165"/>
      <c r="H367" s="165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4"/>
      <c r="X367" s="4"/>
      <c r="Y367" s="4"/>
      <c r="Z367" s="4"/>
    </row>
    <row r="368" ht="9.75" customHeight="1">
      <c r="A368" s="4"/>
      <c r="B368" s="4"/>
      <c r="C368" s="4"/>
      <c r="D368" s="165"/>
      <c r="E368" s="165"/>
      <c r="F368" s="165"/>
      <c r="G368" s="165"/>
      <c r="H368" s="165"/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</row>
    <row r="369" ht="9.75" customHeight="1">
      <c r="A369" s="4"/>
      <c r="B369" s="4"/>
      <c r="C369" s="4"/>
      <c r="D369" s="165"/>
      <c r="E369" s="165"/>
      <c r="F369" s="165"/>
      <c r="G369" s="165"/>
      <c r="H369" s="165"/>
      <c r="I369" s="4"/>
      <c r="J369" s="4"/>
      <c r="K369" s="4"/>
      <c r="L369" s="4"/>
      <c r="M369" s="4"/>
      <c r="N369" s="4"/>
      <c r="O369" s="4"/>
      <c r="P369" s="4"/>
      <c r="Q369" s="4"/>
      <c r="R369" s="4"/>
      <c r="S369" s="4"/>
      <c r="T369" s="4"/>
      <c r="U369" s="4"/>
      <c r="V369" s="4"/>
      <c r="W369" s="4"/>
      <c r="X369" s="4"/>
      <c r="Y369" s="4"/>
      <c r="Z369" s="4"/>
    </row>
    <row r="370" ht="9.75" customHeight="1">
      <c r="A370" s="4"/>
      <c r="B370" s="4"/>
      <c r="C370" s="4"/>
      <c r="D370" s="165"/>
      <c r="E370" s="165"/>
      <c r="F370" s="165"/>
      <c r="G370" s="165"/>
      <c r="H370" s="165"/>
      <c r="I370" s="4"/>
      <c r="J370" s="4"/>
      <c r="K370" s="4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  <c r="Z370" s="4"/>
    </row>
    <row r="371" ht="9.75" customHeight="1">
      <c r="A371" s="4"/>
      <c r="B371" s="4"/>
      <c r="C371" s="4"/>
      <c r="D371" s="165"/>
      <c r="E371" s="165"/>
      <c r="F371" s="165"/>
      <c r="G371" s="165"/>
      <c r="H371" s="165"/>
      <c r="I371" s="4"/>
      <c r="J371" s="4"/>
      <c r="K371" s="4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  <c r="Z371" s="4"/>
    </row>
    <row r="372" ht="9.75" customHeight="1">
      <c r="A372" s="4"/>
      <c r="B372" s="4"/>
      <c r="C372" s="4"/>
      <c r="D372" s="165"/>
      <c r="E372" s="165"/>
      <c r="F372" s="165"/>
      <c r="G372" s="165"/>
      <c r="H372" s="165"/>
      <c r="I372" s="4"/>
      <c r="J372" s="4"/>
      <c r="K372" s="4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</row>
    <row r="373" ht="9.75" customHeight="1">
      <c r="A373" s="4"/>
      <c r="B373" s="4"/>
      <c r="C373" s="4"/>
      <c r="D373" s="165"/>
      <c r="E373" s="165"/>
      <c r="F373" s="165"/>
      <c r="G373" s="165"/>
      <c r="H373" s="165"/>
      <c r="I373" s="4"/>
      <c r="J373" s="4"/>
      <c r="K373" s="4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4"/>
      <c r="Y373" s="4"/>
      <c r="Z373" s="4"/>
    </row>
    <row r="374" ht="9.75" customHeight="1">
      <c r="A374" s="4"/>
      <c r="B374" s="4"/>
      <c r="C374" s="4"/>
      <c r="D374" s="165"/>
      <c r="E374" s="165"/>
      <c r="F374" s="165"/>
      <c r="G374" s="165"/>
      <c r="H374" s="165"/>
      <c r="I374" s="4"/>
      <c r="J374" s="4"/>
      <c r="K374" s="4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  <c r="Z374" s="4"/>
    </row>
    <row r="375" ht="9.75" customHeight="1">
      <c r="A375" s="4"/>
      <c r="B375" s="4"/>
      <c r="C375" s="4"/>
      <c r="D375" s="165"/>
      <c r="E375" s="165"/>
      <c r="F375" s="165"/>
      <c r="G375" s="165"/>
      <c r="H375" s="165"/>
      <c r="I375" s="4"/>
      <c r="J375" s="4"/>
      <c r="K375" s="4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</row>
    <row r="376" ht="9.75" customHeight="1">
      <c r="A376" s="4"/>
      <c r="B376" s="4"/>
      <c r="C376" s="4"/>
      <c r="D376" s="165"/>
      <c r="E376" s="165"/>
      <c r="F376" s="165"/>
      <c r="G376" s="165"/>
      <c r="H376" s="165"/>
      <c r="I376" s="4"/>
      <c r="J376" s="4"/>
      <c r="K376" s="4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</row>
    <row r="377" ht="9.75" customHeight="1">
      <c r="A377" s="4"/>
      <c r="B377" s="4"/>
      <c r="C377" s="4"/>
      <c r="D377" s="165"/>
      <c r="E377" s="165"/>
      <c r="F377" s="165"/>
      <c r="G377" s="165"/>
      <c r="H377" s="165"/>
      <c r="I377" s="4"/>
      <c r="J377" s="4"/>
      <c r="K377" s="4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</row>
    <row r="378" ht="9.75" customHeight="1">
      <c r="A378" s="4"/>
      <c r="B378" s="4"/>
      <c r="C378" s="4"/>
      <c r="D378" s="165"/>
      <c r="E378" s="165"/>
      <c r="F378" s="165"/>
      <c r="G378" s="165"/>
      <c r="H378" s="165"/>
      <c r="I378" s="4"/>
      <c r="J378" s="4"/>
      <c r="K378" s="4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</row>
    <row r="379" ht="9.75" customHeight="1">
      <c r="A379" s="4"/>
      <c r="B379" s="4"/>
      <c r="C379" s="4"/>
      <c r="D379" s="165"/>
      <c r="E379" s="165"/>
      <c r="F379" s="165"/>
      <c r="G379" s="165"/>
      <c r="H379" s="165"/>
      <c r="I379" s="4"/>
      <c r="J379" s="4"/>
      <c r="K379" s="4"/>
      <c r="L379" s="4"/>
      <c r="M379" s="4"/>
      <c r="N379" s="4"/>
      <c r="O379" s="4"/>
      <c r="P379" s="4"/>
      <c r="Q379" s="4"/>
      <c r="R379" s="4"/>
      <c r="S379" s="4"/>
      <c r="T379" s="4"/>
      <c r="U379" s="4"/>
      <c r="V379" s="4"/>
      <c r="W379" s="4"/>
      <c r="X379" s="4"/>
      <c r="Y379" s="4"/>
      <c r="Z379" s="4"/>
    </row>
    <row r="380" ht="9.75" customHeight="1">
      <c r="A380" s="4"/>
      <c r="B380" s="4"/>
      <c r="C380" s="4"/>
      <c r="D380" s="165"/>
      <c r="E380" s="165"/>
      <c r="F380" s="165"/>
      <c r="G380" s="165"/>
      <c r="H380" s="165"/>
      <c r="I380" s="4"/>
      <c r="J380" s="4"/>
      <c r="K380" s="4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  <c r="Z380" s="4"/>
    </row>
    <row r="381" ht="9.75" customHeight="1">
      <c r="A381" s="4"/>
      <c r="B381" s="4"/>
      <c r="C381" s="4"/>
      <c r="D381" s="165"/>
      <c r="E381" s="165"/>
      <c r="F381" s="165"/>
      <c r="G381" s="165"/>
      <c r="H381" s="165"/>
      <c r="I381" s="4"/>
      <c r="J381" s="4"/>
      <c r="K381" s="4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  <c r="Z381" s="4"/>
    </row>
    <row r="382" ht="9.75" customHeight="1">
      <c r="A382" s="4"/>
      <c r="B382" s="4"/>
      <c r="C382" s="4"/>
      <c r="D382" s="165"/>
      <c r="E382" s="165"/>
      <c r="F382" s="165"/>
      <c r="G382" s="165"/>
      <c r="H382" s="165"/>
      <c r="I382" s="4"/>
      <c r="J382" s="4"/>
      <c r="K382" s="4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</row>
    <row r="383" ht="9.75" customHeight="1">
      <c r="A383" s="4"/>
      <c r="B383" s="4"/>
      <c r="C383" s="4"/>
      <c r="D383" s="165"/>
      <c r="E383" s="165"/>
      <c r="F383" s="165"/>
      <c r="G383" s="165"/>
      <c r="H383" s="165"/>
      <c r="I383" s="4"/>
      <c r="J383" s="4"/>
      <c r="K383" s="4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</row>
    <row r="384" ht="9.75" customHeight="1">
      <c r="A384" s="4"/>
      <c r="B384" s="4"/>
      <c r="C384" s="4"/>
      <c r="D384" s="165"/>
      <c r="E384" s="165"/>
      <c r="F384" s="165"/>
      <c r="G384" s="165"/>
      <c r="H384" s="165"/>
      <c r="I384" s="4"/>
      <c r="J384" s="4"/>
      <c r="K384" s="4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</row>
    <row r="385" ht="9.75" customHeight="1">
      <c r="A385" s="4"/>
      <c r="B385" s="4"/>
      <c r="C385" s="4"/>
      <c r="D385" s="165"/>
      <c r="E385" s="165"/>
      <c r="F385" s="165"/>
      <c r="G385" s="165"/>
      <c r="H385" s="165"/>
      <c r="I385" s="4"/>
      <c r="J385" s="4"/>
      <c r="K385" s="4"/>
      <c r="L385" s="4"/>
      <c r="M385" s="4"/>
      <c r="N385" s="4"/>
      <c r="O385" s="4"/>
      <c r="P385" s="4"/>
      <c r="Q385" s="4"/>
      <c r="R385" s="4"/>
      <c r="S385" s="4"/>
      <c r="T385" s="4"/>
      <c r="U385" s="4"/>
      <c r="V385" s="4"/>
      <c r="W385" s="4"/>
      <c r="X385" s="4"/>
      <c r="Y385" s="4"/>
      <c r="Z385" s="4"/>
    </row>
    <row r="386" ht="9.75" customHeight="1">
      <c r="A386" s="4"/>
      <c r="B386" s="4"/>
      <c r="C386" s="4"/>
      <c r="D386" s="165"/>
      <c r="E386" s="165"/>
      <c r="F386" s="165"/>
      <c r="G386" s="165"/>
      <c r="H386" s="165"/>
      <c r="I386" s="4"/>
      <c r="J386" s="4"/>
      <c r="K386" s="4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</row>
    <row r="387" ht="9.75" customHeight="1">
      <c r="A387" s="4"/>
      <c r="B387" s="4"/>
      <c r="C387" s="4"/>
      <c r="D387" s="165"/>
      <c r="E387" s="165"/>
      <c r="F387" s="165"/>
      <c r="G387" s="165"/>
      <c r="H387" s="165"/>
      <c r="I387" s="4"/>
      <c r="J387" s="4"/>
      <c r="K387" s="4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Y387" s="4"/>
      <c r="Z387" s="4"/>
    </row>
    <row r="388" ht="9.75" customHeight="1">
      <c r="A388" s="4"/>
      <c r="B388" s="4"/>
      <c r="C388" s="4"/>
      <c r="D388" s="165"/>
      <c r="E388" s="165"/>
      <c r="F388" s="165"/>
      <c r="G388" s="165"/>
      <c r="H388" s="165"/>
      <c r="I388" s="4"/>
      <c r="J388" s="4"/>
      <c r="K388" s="4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</row>
    <row r="389" ht="9.75" customHeight="1">
      <c r="A389" s="4"/>
      <c r="B389" s="4"/>
      <c r="C389" s="4"/>
      <c r="D389" s="165"/>
      <c r="E389" s="165"/>
      <c r="F389" s="165"/>
      <c r="G389" s="165"/>
      <c r="H389" s="165"/>
      <c r="I389" s="4"/>
      <c r="J389" s="4"/>
      <c r="K389" s="4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  <c r="Z389" s="4"/>
    </row>
    <row r="390" ht="9.75" customHeight="1">
      <c r="A390" s="4"/>
      <c r="B390" s="4"/>
      <c r="C390" s="4"/>
      <c r="D390" s="165"/>
      <c r="E390" s="165"/>
      <c r="F390" s="165"/>
      <c r="G390" s="165"/>
      <c r="H390" s="165"/>
      <c r="I390" s="4"/>
      <c r="J390" s="4"/>
      <c r="K390" s="4"/>
      <c r="L390" s="4"/>
      <c r="M390" s="4"/>
      <c r="N390" s="4"/>
      <c r="O390" s="4"/>
      <c r="P390" s="4"/>
      <c r="Q390" s="4"/>
      <c r="R390" s="4"/>
      <c r="S390" s="4"/>
      <c r="T390" s="4"/>
      <c r="U390" s="4"/>
      <c r="V390" s="4"/>
      <c r="W390" s="4"/>
      <c r="X390" s="4"/>
      <c r="Y390" s="4"/>
      <c r="Z390" s="4"/>
    </row>
    <row r="391" ht="9.75" customHeight="1">
      <c r="A391" s="4"/>
      <c r="B391" s="4"/>
      <c r="C391" s="4"/>
      <c r="D391" s="165"/>
      <c r="E391" s="165"/>
      <c r="F391" s="165"/>
      <c r="G391" s="165"/>
      <c r="H391" s="165"/>
      <c r="I391" s="4"/>
      <c r="J391" s="4"/>
      <c r="K391" s="4"/>
      <c r="L391" s="4"/>
      <c r="M391" s="4"/>
      <c r="N391" s="4"/>
      <c r="O391" s="4"/>
      <c r="P391" s="4"/>
      <c r="Q391" s="4"/>
      <c r="R391" s="4"/>
      <c r="S391" s="4"/>
      <c r="T391" s="4"/>
      <c r="U391" s="4"/>
      <c r="V391" s="4"/>
      <c r="W391" s="4"/>
      <c r="X391" s="4"/>
      <c r="Y391" s="4"/>
      <c r="Z391" s="4"/>
    </row>
    <row r="392" ht="9.75" customHeight="1">
      <c r="A392" s="4"/>
      <c r="B392" s="4"/>
      <c r="C392" s="4"/>
      <c r="D392" s="165"/>
      <c r="E392" s="165"/>
      <c r="F392" s="165"/>
      <c r="G392" s="165"/>
      <c r="H392" s="165"/>
      <c r="I392" s="4"/>
      <c r="J392" s="4"/>
      <c r="K392" s="4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  <c r="Z392" s="4"/>
    </row>
    <row r="393" ht="9.75" customHeight="1">
      <c r="A393" s="4"/>
      <c r="B393" s="4"/>
      <c r="C393" s="4"/>
      <c r="D393" s="165"/>
      <c r="E393" s="165"/>
      <c r="F393" s="165"/>
      <c r="G393" s="165"/>
      <c r="H393" s="165"/>
      <c r="I393" s="4"/>
      <c r="J393" s="4"/>
      <c r="K393" s="4"/>
      <c r="L393" s="4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4"/>
      <c r="X393" s="4"/>
      <c r="Y393" s="4"/>
      <c r="Z393" s="4"/>
    </row>
    <row r="394" ht="9.75" customHeight="1">
      <c r="A394" s="4"/>
      <c r="B394" s="4"/>
      <c r="C394" s="4"/>
      <c r="D394" s="165"/>
      <c r="E394" s="165"/>
      <c r="F394" s="165"/>
      <c r="G394" s="165"/>
      <c r="H394" s="165"/>
      <c r="I394" s="4"/>
      <c r="J394" s="4"/>
      <c r="K394" s="4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  <c r="Z394" s="4"/>
    </row>
    <row r="395" ht="9.75" customHeight="1">
      <c r="A395" s="4"/>
      <c r="B395" s="4"/>
      <c r="C395" s="4"/>
      <c r="D395" s="165"/>
      <c r="E395" s="165"/>
      <c r="F395" s="165"/>
      <c r="G395" s="165"/>
      <c r="H395" s="165"/>
      <c r="I395" s="4"/>
      <c r="J395" s="4"/>
      <c r="K395" s="4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  <c r="Z395" s="4"/>
    </row>
    <row r="396" ht="9.75" customHeight="1">
      <c r="A396" s="4"/>
      <c r="B396" s="4"/>
      <c r="C396" s="4"/>
      <c r="D396" s="165"/>
      <c r="E396" s="165"/>
      <c r="F396" s="165"/>
      <c r="G396" s="165"/>
      <c r="H396" s="165"/>
      <c r="I396" s="4"/>
      <c r="J396" s="4"/>
      <c r="K396" s="4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  <c r="Z396" s="4"/>
    </row>
    <row r="397" ht="9.75" customHeight="1">
      <c r="A397" s="4"/>
      <c r="B397" s="4"/>
      <c r="C397" s="4"/>
      <c r="D397" s="165"/>
      <c r="E397" s="165"/>
      <c r="F397" s="165"/>
      <c r="G397" s="165"/>
      <c r="H397" s="165"/>
      <c r="I397" s="4"/>
      <c r="J397" s="4"/>
      <c r="K397" s="4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  <c r="Z397" s="4"/>
    </row>
    <row r="398" ht="9.75" customHeight="1">
      <c r="A398" s="4"/>
      <c r="B398" s="4"/>
      <c r="C398" s="4"/>
      <c r="D398" s="165"/>
      <c r="E398" s="165"/>
      <c r="F398" s="165"/>
      <c r="G398" s="165"/>
      <c r="H398" s="165"/>
      <c r="I398" s="4"/>
      <c r="J398" s="4"/>
      <c r="K398" s="4"/>
      <c r="L398" s="4"/>
      <c r="M398" s="4"/>
      <c r="N398" s="4"/>
      <c r="O398" s="4"/>
      <c r="P398" s="4"/>
      <c r="Q398" s="4"/>
      <c r="R398" s="4"/>
      <c r="S398" s="4"/>
      <c r="T398" s="4"/>
      <c r="U398" s="4"/>
      <c r="V398" s="4"/>
      <c r="W398" s="4"/>
      <c r="X398" s="4"/>
      <c r="Y398" s="4"/>
      <c r="Z398" s="4"/>
    </row>
    <row r="399" ht="9.75" customHeight="1">
      <c r="A399" s="4"/>
      <c r="B399" s="4"/>
      <c r="C399" s="4"/>
      <c r="D399" s="165"/>
      <c r="E399" s="165"/>
      <c r="F399" s="165"/>
      <c r="G399" s="165"/>
      <c r="H399" s="165"/>
      <c r="I399" s="4"/>
      <c r="J399" s="4"/>
      <c r="K399" s="4"/>
      <c r="L399" s="4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4"/>
      <c r="X399" s="4"/>
      <c r="Y399" s="4"/>
      <c r="Z399" s="4"/>
    </row>
    <row r="400" ht="9.75" customHeight="1">
      <c r="A400" s="4"/>
      <c r="B400" s="4"/>
      <c r="C400" s="4"/>
      <c r="D400" s="165"/>
      <c r="E400" s="165"/>
      <c r="F400" s="165"/>
      <c r="G400" s="165"/>
      <c r="H400" s="165"/>
      <c r="I400" s="4"/>
      <c r="J400" s="4"/>
      <c r="K400" s="4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  <c r="Z400" s="4"/>
    </row>
    <row r="401" ht="9.75" customHeight="1">
      <c r="A401" s="4"/>
      <c r="B401" s="4"/>
      <c r="C401" s="4"/>
      <c r="D401" s="165"/>
      <c r="E401" s="165"/>
      <c r="F401" s="165"/>
      <c r="G401" s="165"/>
      <c r="H401" s="165"/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</row>
    <row r="402" ht="9.75" customHeight="1">
      <c r="A402" s="4"/>
      <c r="B402" s="4"/>
      <c r="C402" s="4"/>
      <c r="D402" s="165"/>
      <c r="E402" s="165"/>
      <c r="F402" s="165"/>
      <c r="G402" s="165"/>
      <c r="H402" s="165"/>
      <c r="I402" s="4"/>
      <c r="J402" s="4"/>
      <c r="K402" s="4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</row>
    <row r="403" ht="9.75" customHeight="1">
      <c r="A403" s="4"/>
      <c r="B403" s="4"/>
      <c r="C403" s="4"/>
      <c r="D403" s="165"/>
      <c r="E403" s="165"/>
      <c r="F403" s="165"/>
      <c r="G403" s="165"/>
      <c r="H403" s="165"/>
      <c r="I403" s="4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</row>
    <row r="404" ht="9.75" customHeight="1">
      <c r="A404" s="4"/>
      <c r="B404" s="4"/>
      <c r="C404" s="4"/>
      <c r="D404" s="165"/>
      <c r="E404" s="165"/>
      <c r="F404" s="165"/>
      <c r="G404" s="165"/>
      <c r="H404" s="165"/>
      <c r="I404" s="4"/>
      <c r="J404" s="4"/>
      <c r="K404" s="4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</row>
    <row r="405" ht="9.75" customHeight="1">
      <c r="A405" s="4"/>
      <c r="B405" s="4"/>
      <c r="C405" s="4"/>
      <c r="D405" s="165"/>
      <c r="E405" s="165"/>
      <c r="F405" s="165"/>
      <c r="G405" s="165"/>
      <c r="H405" s="165"/>
      <c r="I405" s="4"/>
      <c r="J405" s="4"/>
      <c r="K405" s="4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</row>
    <row r="406" ht="9.75" customHeight="1">
      <c r="A406" s="4"/>
      <c r="B406" s="4"/>
      <c r="C406" s="4"/>
      <c r="D406" s="165"/>
      <c r="E406" s="165"/>
      <c r="F406" s="165"/>
      <c r="G406" s="165"/>
      <c r="H406" s="165"/>
      <c r="I406" s="4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</row>
    <row r="407" ht="9.75" customHeight="1">
      <c r="A407" s="4"/>
      <c r="B407" s="4"/>
      <c r="C407" s="4"/>
      <c r="D407" s="165"/>
      <c r="E407" s="165"/>
      <c r="F407" s="165"/>
      <c r="G407" s="165"/>
      <c r="H407" s="165"/>
      <c r="I407" s="4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</row>
    <row r="408" ht="9.75" customHeight="1">
      <c r="A408" s="4"/>
      <c r="B408" s="4"/>
      <c r="C408" s="4"/>
      <c r="D408" s="165"/>
      <c r="E408" s="165"/>
      <c r="F408" s="165"/>
      <c r="G408" s="165"/>
      <c r="H408" s="165"/>
      <c r="I408" s="4"/>
      <c r="J408" s="4"/>
      <c r="K408" s="4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</row>
    <row r="409" ht="9.75" customHeight="1">
      <c r="A409" s="4"/>
      <c r="B409" s="4"/>
      <c r="C409" s="4"/>
      <c r="D409" s="165"/>
      <c r="E409" s="165"/>
      <c r="F409" s="165"/>
      <c r="G409" s="165"/>
      <c r="H409" s="165"/>
      <c r="I409" s="4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</row>
    <row r="410" ht="9.75" customHeight="1">
      <c r="A410" s="4"/>
      <c r="B410" s="4"/>
      <c r="C410" s="4"/>
      <c r="D410" s="165"/>
      <c r="E410" s="165"/>
      <c r="F410" s="165"/>
      <c r="G410" s="165"/>
      <c r="H410" s="165"/>
      <c r="I410" s="4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</row>
    <row r="411" ht="9.75" customHeight="1">
      <c r="A411" s="4"/>
      <c r="B411" s="4"/>
      <c r="C411" s="4"/>
      <c r="D411" s="165"/>
      <c r="E411" s="165"/>
      <c r="F411" s="165"/>
      <c r="G411" s="165"/>
      <c r="H411" s="165"/>
      <c r="I411" s="4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</row>
    <row r="412" ht="9.75" customHeight="1">
      <c r="A412" s="4"/>
      <c r="B412" s="4"/>
      <c r="C412" s="4"/>
      <c r="D412" s="165"/>
      <c r="E412" s="165"/>
      <c r="F412" s="165"/>
      <c r="G412" s="165"/>
      <c r="H412" s="165"/>
      <c r="I412" s="4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</row>
    <row r="413" ht="9.75" customHeight="1">
      <c r="A413" s="4"/>
      <c r="B413" s="4"/>
      <c r="C413" s="4"/>
      <c r="D413" s="165"/>
      <c r="E413" s="165"/>
      <c r="F413" s="165"/>
      <c r="G413" s="165"/>
      <c r="H413" s="165"/>
      <c r="I413" s="4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</row>
    <row r="414" ht="9.75" customHeight="1">
      <c r="A414" s="4"/>
      <c r="B414" s="4"/>
      <c r="C414" s="4"/>
      <c r="D414" s="165"/>
      <c r="E414" s="165"/>
      <c r="F414" s="165"/>
      <c r="G414" s="165"/>
      <c r="H414" s="165"/>
      <c r="I414" s="4"/>
      <c r="J414" s="4"/>
      <c r="K414" s="4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</row>
    <row r="415" ht="9.75" customHeight="1">
      <c r="A415" s="4"/>
      <c r="B415" s="4"/>
      <c r="C415" s="4"/>
      <c r="D415" s="165"/>
      <c r="E415" s="165"/>
      <c r="F415" s="165"/>
      <c r="G415" s="165"/>
      <c r="H415" s="165"/>
      <c r="I415" s="4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</row>
    <row r="416" ht="9.75" customHeight="1">
      <c r="A416" s="4"/>
      <c r="B416" s="4"/>
      <c r="C416" s="4"/>
      <c r="D416" s="165"/>
      <c r="E416" s="165"/>
      <c r="F416" s="165"/>
      <c r="G416" s="165"/>
      <c r="H416" s="165"/>
      <c r="I416" s="4"/>
      <c r="J416" s="4"/>
      <c r="K416" s="4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</row>
    <row r="417" ht="9.75" customHeight="1">
      <c r="A417" s="4"/>
      <c r="B417" s="4"/>
      <c r="C417" s="4"/>
      <c r="D417" s="165"/>
      <c r="E417" s="165"/>
      <c r="F417" s="165"/>
      <c r="G417" s="165"/>
      <c r="H417" s="165"/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</row>
    <row r="418" ht="9.75" customHeight="1">
      <c r="A418" s="4"/>
      <c r="B418" s="4"/>
      <c r="C418" s="4"/>
      <c r="D418" s="165"/>
      <c r="E418" s="165"/>
      <c r="F418" s="165"/>
      <c r="G418" s="165"/>
      <c r="H418" s="165"/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</row>
    <row r="419" ht="9.75" customHeight="1">
      <c r="A419" s="4"/>
      <c r="B419" s="4"/>
      <c r="C419" s="4"/>
      <c r="D419" s="165"/>
      <c r="E419" s="165"/>
      <c r="F419" s="165"/>
      <c r="G419" s="165"/>
      <c r="H419" s="165"/>
      <c r="I419" s="4"/>
      <c r="J419" s="4"/>
      <c r="K419" s="4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  <c r="Z419" s="4"/>
    </row>
    <row r="420" ht="9.75" customHeight="1">
      <c r="A420" s="4"/>
      <c r="B420" s="4"/>
      <c r="C420" s="4"/>
      <c r="D420" s="165"/>
      <c r="E420" s="165"/>
      <c r="F420" s="165"/>
      <c r="G420" s="165"/>
      <c r="H420" s="165"/>
      <c r="I420" s="4"/>
      <c r="J420" s="4"/>
      <c r="K420" s="4"/>
      <c r="L420" s="4"/>
      <c r="M420" s="4"/>
      <c r="N420" s="4"/>
      <c r="O420" s="4"/>
      <c r="P420" s="4"/>
      <c r="Q420" s="4"/>
      <c r="R420" s="4"/>
      <c r="S420" s="4"/>
      <c r="T420" s="4"/>
      <c r="U420" s="4"/>
      <c r="V420" s="4"/>
      <c r="W420" s="4"/>
      <c r="X420" s="4"/>
      <c r="Y420" s="4"/>
      <c r="Z420" s="4"/>
    </row>
    <row r="421" ht="9.75" customHeight="1">
      <c r="A421" s="4"/>
      <c r="B421" s="4"/>
      <c r="C421" s="4"/>
      <c r="D421" s="165"/>
      <c r="E421" s="165"/>
      <c r="F421" s="165"/>
      <c r="G421" s="165"/>
      <c r="H421" s="165"/>
      <c r="I421" s="4"/>
      <c r="J421" s="4"/>
      <c r="K421" s="4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  <c r="X421" s="4"/>
      <c r="Y421" s="4"/>
      <c r="Z421" s="4"/>
    </row>
    <row r="422" ht="9.75" customHeight="1">
      <c r="A422" s="4"/>
      <c r="B422" s="4"/>
      <c r="C422" s="4"/>
      <c r="D422" s="165"/>
      <c r="E422" s="165"/>
      <c r="F422" s="165"/>
      <c r="G422" s="165"/>
      <c r="H422" s="165"/>
      <c r="I422" s="4"/>
      <c r="J422" s="4"/>
      <c r="K422" s="4"/>
      <c r="L422" s="4"/>
      <c r="M422" s="4"/>
      <c r="N422" s="4"/>
      <c r="O422" s="4"/>
      <c r="P422" s="4"/>
      <c r="Q422" s="4"/>
      <c r="R422" s="4"/>
      <c r="S422" s="4"/>
      <c r="T422" s="4"/>
      <c r="U422" s="4"/>
      <c r="V422" s="4"/>
      <c r="W422" s="4"/>
      <c r="X422" s="4"/>
      <c r="Y422" s="4"/>
      <c r="Z422" s="4"/>
    </row>
    <row r="423" ht="9.75" customHeight="1">
      <c r="A423" s="4"/>
      <c r="B423" s="4"/>
      <c r="C423" s="4"/>
      <c r="D423" s="165"/>
      <c r="E423" s="165"/>
      <c r="F423" s="165"/>
      <c r="G423" s="165"/>
      <c r="H423" s="165"/>
      <c r="I423" s="4"/>
      <c r="J423" s="4"/>
      <c r="K423" s="4"/>
      <c r="L423" s="4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4"/>
      <c r="X423" s="4"/>
      <c r="Y423" s="4"/>
      <c r="Z423" s="4"/>
    </row>
    <row r="424" ht="9.75" customHeight="1">
      <c r="A424" s="4"/>
      <c r="B424" s="4"/>
      <c r="C424" s="4"/>
      <c r="D424" s="165"/>
      <c r="E424" s="165"/>
      <c r="F424" s="165"/>
      <c r="G424" s="165"/>
      <c r="H424" s="165"/>
      <c r="I424" s="4"/>
      <c r="J424" s="4"/>
      <c r="K424" s="4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  <c r="Z424" s="4"/>
    </row>
    <row r="425" ht="9.75" customHeight="1">
      <c r="A425" s="4"/>
      <c r="B425" s="4"/>
      <c r="C425" s="4"/>
      <c r="D425" s="165"/>
      <c r="E425" s="165"/>
      <c r="F425" s="165"/>
      <c r="G425" s="165"/>
      <c r="H425" s="165"/>
      <c r="I425" s="4"/>
      <c r="J425" s="4"/>
      <c r="K425" s="4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  <c r="Z425" s="4"/>
    </row>
    <row r="426" ht="9.75" customHeight="1">
      <c r="A426" s="4"/>
      <c r="B426" s="4"/>
      <c r="C426" s="4"/>
      <c r="D426" s="165"/>
      <c r="E426" s="165"/>
      <c r="F426" s="165"/>
      <c r="G426" s="165"/>
      <c r="H426" s="165"/>
      <c r="I426" s="4"/>
      <c r="J426" s="4"/>
      <c r="K426" s="4"/>
      <c r="L426" s="4"/>
      <c r="M426" s="4"/>
      <c r="N426" s="4"/>
      <c r="O426" s="4"/>
      <c r="P426" s="4"/>
      <c r="Q426" s="4"/>
      <c r="R426" s="4"/>
      <c r="S426" s="4"/>
      <c r="T426" s="4"/>
      <c r="U426" s="4"/>
      <c r="V426" s="4"/>
      <c r="W426" s="4"/>
      <c r="X426" s="4"/>
      <c r="Y426" s="4"/>
      <c r="Z426" s="4"/>
    </row>
    <row r="427" ht="9.75" customHeight="1">
      <c r="A427" s="4"/>
      <c r="B427" s="4"/>
      <c r="C427" s="4"/>
      <c r="D427" s="165"/>
      <c r="E427" s="165"/>
      <c r="F427" s="165"/>
      <c r="G427" s="165"/>
      <c r="H427" s="165"/>
      <c r="I427" s="4"/>
      <c r="J427" s="4"/>
      <c r="K427" s="4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  <c r="X427" s="4"/>
      <c r="Y427" s="4"/>
      <c r="Z427" s="4"/>
    </row>
    <row r="428" ht="9.75" customHeight="1">
      <c r="A428" s="4"/>
      <c r="B428" s="4"/>
      <c r="C428" s="4"/>
      <c r="D428" s="165"/>
      <c r="E428" s="165"/>
      <c r="F428" s="165"/>
      <c r="G428" s="165"/>
      <c r="H428" s="165"/>
      <c r="I428" s="4"/>
      <c r="J428" s="4"/>
      <c r="K428" s="4"/>
      <c r="L428" s="4"/>
      <c r="M428" s="4"/>
      <c r="N428" s="4"/>
      <c r="O428" s="4"/>
      <c r="P428" s="4"/>
      <c r="Q428" s="4"/>
      <c r="R428" s="4"/>
      <c r="S428" s="4"/>
      <c r="T428" s="4"/>
      <c r="U428" s="4"/>
      <c r="V428" s="4"/>
      <c r="W428" s="4"/>
      <c r="X428" s="4"/>
      <c r="Y428" s="4"/>
      <c r="Z428" s="4"/>
    </row>
    <row r="429" ht="9.75" customHeight="1">
      <c r="A429" s="4"/>
      <c r="B429" s="4"/>
      <c r="C429" s="4"/>
      <c r="D429" s="165"/>
      <c r="E429" s="165"/>
      <c r="F429" s="165"/>
      <c r="G429" s="165"/>
      <c r="H429" s="165"/>
      <c r="I429" s="4"/>
      <c r="J429" s="4"/>
      <c r="K429" s="4"/>
      <c r="L429" s="4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4"/>
      <c r="X429" s="4"/>
      <c r="Y429" s="4"/>
      <c r="Z429" s="4"/>
    </row>
    <row r="430" ht="9.75" customHeight="1">
      <c r="A430" s="4"/>
      <c r="B430" s="4"/>
      <c r="C430" s="4"/>
      <c r="D430" s="165"/>
      <c r="E430" s="165"/>
      <c r="F430" s="165"/>
      <c r="G430" s="165"/>
      <c r="H430" s="165"/>
      <c r="I430" s="4"/>
      <c r="J430" s="4"/>
      <c r="K430" s="4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  <c r="Z430" s="4"/>
    </row>
    <row r="431" ht="9.75" customHeight="1">
      <c r="A431" s="4"/>
      <c r="B431" s="4"/>
      <c r="C431" s="4"/>
      <c r="D431" s="165"/>
      <c r="E431" s="165"/>
      <c r="F431" s="165"/>
      <c r="G431" s="165"/>
      <c r="H431" s="165"/>
      <c r="I431" s="4"/>
      <c r="J431" s="4"/>
      <c r="K431" s="4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  <c r="Z431" s="4"/>
    </row>
    <row r="432" ht="9.75" customHeight="1">
      <c r="A432" s="4"/>
      <c r="B432" s="4"/>
      <c r="C432" s="4"/>
      <c r="D432" s="165"/>
      <c r="E432" s="165"/>
      <c r="F432" s="165"/>
      <c r="G432" s="165"/>
      <c r="H432" s="165"/>
      <c r="I432" s="4"/>
      <c r="J432" s="4"/>
      <c r="K432" s="4"/>
      <c r="L432" s="4"/>
      <c r="M432" s="4"/>
      <c r="N432" s="4"/>
      <c r="O432" s="4"/>
      <c r="P432" s="4"/>
      <c r="Q432" s="4"/>
      <c r="R432" s="4"/>
      <c r="S432" s="4"/>
      <c r="T432" s="4"/>
      <c r="U432" s="4"/>
      <c r="V432" s="4"/>
      <c r="W432" s="4"/>
      <c r="X432" s="4"/>
      <c r="Y432" s="4"/>
      <c r="Z432" s="4"/>
    </row>
    <row r="433" ht="9.75" customHeight="1">
      <c r="A433" s="4"/>
      <c r="B433" s="4"/>
      <c r="C433" s="4"/>
      <c r="D433" s="165"/>
      <c r="E433" s="165"/>
      <c r="F433" s="165"/>
      <c r="G433" s="165"/>
      <c r="H433" s="165"/>
      <c r="I433" s="4"/>
      <c r="J433" s="4"/>
      <c r="K433" s="4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  <c r="Z433" s="4"/>
    </row>
    <row r="434" ht="9.75" customHeight="1">
      <c r="A434" s="4"/>
      <c r="B434" s="4"/>
      <c r="C434" s="4"/>
      <c r="D434" s="165"/>
      <c r="E434" s="165"/>
      <c r="F434" s="165"/>
      <c r="G434" s="165"/>
      <c r="H434" s="165"/>
      <c r="I434" s="4"/>
      <c r="J434" s="4"/>
      <c r="K434" s="4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  <c r="X434" s="4"/>
      <c r="Y434" s="4"/>
      <c r="Z434" s="4"/>
    </row>
    <row r="435" ht="9.75" customHeight="1">
      <c r="A435" s="4"/>
      <c r="B435" s="4"/>
      <c r="C435" s="4"/>
      <c r="D435" s="165"/>
      <c r="E435" s="165"/>
      <c r="F435" s="165"/>
      <c r="G435" s="165"/>
      <c r="H435" s="165"/>
      <c r="I435" s="4"/>
      <c r="J435" s="4"/>
      <c r="K435" s="4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4"/>
      <c r="Y435" s="4"/>
      <c r="Z435" s="4"/>
    </row>
    <row r="436" ht="9.75" customHeight="1">
      <c r="A436" s="4"/>
      <c r="B436" s="4"/>
      <c r="C436" s="4"/>
      <c r="D436" s="165"/>
      <c r="E436" s="165"/>
      <c r="F436" s="165"/>
      <c r="G436" s="165"/>
      <c r="H436" s="165"/>
      <c r="I436" s="4"/>
      <c r="J436" s="4"/>
      <c r="K436" s="4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</row>
    <row r="437" ht="9.75" customHeight="1">
      <c r="A437" s="4"/>
      <c r="B437" s="4"/>
      <c r="C437" s="4"/>
      <c r="D437" s="165"/>
      <c r="E437" s="165"/>
      <c r="F437" s="165"/>
      <c r="G437" s="165"/>
      <c r="H437" s="165"/>
      <c r="I437" s="4"/>
      <c r="J437" s="4"/>
      <c r="K437" s="4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  <c r="Z437" s="4"/>
    </row>
    <row r="438" ht="9.75" customHeight="1">
      <c r="A438" s="4"/>
      <c r="B438" s="4"/>
      <c r="C438" s="4"/>
      <c r="D438" s="165"/>
      <c r="E438" s="165"/>
      <c r="F438" s="165"/>
      <c r="G438" s="165"/>
      <c r="H438" s="165"/>
      <c r="I438" s="4"/>
      <c r="J438" s="4"/>
      <c r="K438" s="4"/>
      <c r="L438" s="4"/>
      <c r="M438" s="4"/>
      <c r="N438" s="4"/>
      <c r="O438" s="4"/>
      <c r="P438" s="4"/>
      <c r="Q438" s="4"/>
      <c r="R438" s="4"/>
      <c r="S438" s="4"/>
      <c r="T438" s="4"/>
      <c r="U438" s="4"/>
      <c r="V438" s="4"/>
      <c r="W438" s="4"/>
      <c r="X438" s="4"/>
      <c r="Y438" s="4"/>
      <c r="Z438" s="4"/>
    </row>
    <row r="439" ht="9.75" customHeight="1">
      <c r="A439" s="4"/>
      <c r="B439" s="4"/>
      <c r="C439" s="4"/>
      <c r="D439" s="165"/>
      <c r="E439" s="165"/>
      <c r="F439" s="165"/>
      <c r="G439" s="165"/>
      <c r="H439" s="165"/>
      <c r="I439" s="4"/>
      <c r="J439" s="4"/>
      <c r="K439" s="4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  <c r="Z439" s="4"/>
    </row>
    <row r="440" ht="9.75" customHeight="1">
      <c r="A440" s="4"/>
      <c r="B440" s="4"/>
      <c r="C440" s="4"/>
      <c r="D440" s="165"/>
      <c r="E440" s="165"/>
      <c r="F440" s="165"/>
      <c r="G440" s="165"/>
      <c r="H440" s="165"/>
      <c r="I440" s="4"/>
      <c r="J440" s="4"/>
      <c r="K440" s="4"/>
      <c r="L440" s="4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4"/>
      <c r="X440" s="4"/>
      <c r="Y440" s="4"/>
      <c r="Z440" s="4"/>
    </row>
    <row r="441" ht="9.75" customHeight="1">
      <c r="A441" s="4"/>
      <c r="B441" s="4"/>
      <c r="C441" s="4"/>
      <c r="D441" s="165"/>
      <c r="E441" s="165"/>
      <c r="F441" s="165"/>
      <c r="G441" s="165"/>
      <c r="H441" s="165"/>
      <c r="I441" s="4"/>
      <c r="J441" s="4"/>
      <c r="K441" s="4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4"/>
      <c r="Y441" s="4"/>
      <c r="Z441" s="4"/>
    </row>
    <row r="442" ht="9.75" customHeight="1">
      <c r="A442" s="4"/>
      <c r="B442" s="4"/>
      <c r="C442" s="4"/>
      <c r="D442" s="165"/>
      <c r="E442" s="165"/>
      <c r="F442" s="165"/>
      <c r="G442" s="165"/>
      <c r="H442" s="165"/>
      <c r="I442" s="4"/>
      <c r="J442" s="4"/>
      <c r="K442" s="4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  <c r="Z442" s="4"/>
    </row>
    <row r="443" ht="9.75" customHeight="1">
      <c r="A443" s="4"/>
      <c r="B443" s="4"/>
      <c r="C443" s="4"/>
      <c r="D443" s="165"/>
      <c r="E443" s="165"/>
      <c r="F443" s="165"/>
      <c r="G443" s="165"/>
      <c r="H443" s="165"/>
      <c r="I443" s="4"/>
      <c r="J443" s="4"/>
      <c r="K443" s="4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  <c r="Z443" s="4"/>
    </row>
    <row r="444" ht="9.75" customHeight="1">
      <c r="A444" s="4"/>
      <c r="B444" s="4"/>
      <c r="C444" s="4"/>
      <c r="D444" s="165"/>
      <c r="E444" s="165"/>
      <c r="F444" s="165"/>
      <c r="G444" s="165"/>
      <c r="H444" s="165"/>
      <c r="I444" s="4"/>
      <c r="J444" s="4"/>
      <c r="K444" s="4"/>
      <c r="L444" s="4"/>
      <c r="M444" s="4"/>
      <c r="N444" s="4"/>
      <c r="O444" s="4"/>
      <c r="P444" s="4"/>
      <c r="Q444" s="4"/>
      <c r="R444" s="4"/>
      <c r="S444" s="4"/>
      <c r="T444" s="4"/>
      <c r="U444" s="4"/>
      <c r="V444" s="4"/>
      <c r="W444" s="4"/>
      <c r="X444" s="4"/>
      <c r="Y444" s="4"/>
      <c r="Z444" s="4"/>
    </row>
    <row r="445" ht="9.75" customHeight="1">
      <c r="A445" s="4"/>
      <c r="B445" s="4"/>
      <c r="C445" s="4"/>
      <c r="D445" s="165"/>
      <c r="E445" s="165"/>
      <c r="F445" s="165"/>
      <c r="G445" s="165"/>
      <c r="H445" s="165"/>
      <c r="I445" s="4"/>
      <c r="J445" s="4"/>
      <c r="K445" s="4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  <c r="Z445" s="4"/>
    </row>
    <row r="446" ht="9.75" customHeight="1">
      <c r="A446" s="4"/>
      <c r="B446" s="4"/>
      <c r="C446" s="4"/>
      <c r="D446" s="165"/>
      <c r="E446" s="165"/>
      <c r="F446" s="165"/>
      <c r="G446" s="165"/>
      <c r="H446" s="165"/>
      <c r="I446" s="4"/>
      <c r="J446" s="4"/>
      <c r="K446" s="4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  <c r="X446" s="4"/>
      <c r="Y446" s="4"/>
      <c r="Z446" s="4"/>
    </row>
    <row r="447" ht="9.75" customHeight="1">
      <c r="A447" s="4"/>
      <c r="B447" s="4"/>
      <c r="C447" s="4"/>
      <c r="D447" s="165"/>
      <c r="E447" s="165"/>
      <c r="F447" s="165"/>
      <c r="G447" s="165"/>
      <c r="H447" s="165"/>
      <c r="I447" s="4"/>
      <c r="J447" s="4"/>
      <c r="K447" s="4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  <c r="Z447" s="4"/>
    </row>
    <row r="448" ht="9.75" customHeight="1">
      <c r="A448" s="4"/>
      <c r="B448" s="4"/>
      <c r="C448" s="4"/>
      <c r="D448" s="165"/>
      <c r="E448" s="165"/>
      <c r="F448" s="165"/>
      <c r="G448" s="165"/>
      <c r="H448" s="165"/>
      <c r="I448" s="4"/>
      <c r="J448" s="4"/>
      <c r="K448" s="4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  <c r="Z448" s="4"/>
    </row>
    <row r="449" ht="9.75" customHeight="1">
      <c r="A449" s="4"/>
      <c r="B449" s="4"/>
      <c r="C449" s="4"/>
      <c r="D449" s="165"/>
      <c r="E449" s="165"/>
      <c r="F449" s="165"/>
      <c r="G449" s="165"/>
      <c r="H449" s="165"/>
      <c r="I449" s="4"/>
      <c r="J449" s="4"/>
      <c r="K449" s="4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  <c r="Z449" s="4"/>
    </row>
    <row r="450" ht="9.75" customHeight="1">
      <c r="A450" s="4"/>
      <c r="B450" s="4"/>
      <c r="C450" s="4"/>
      <c r="D450" s="165"/>
      <c r="E450" s="165"/>
      <c r="F450" s="165"/>
      <c r="G450" s="165"/>
      <c r="H450" s="165"/>
      <c r="I450" s="4"/>
      <c r="J450" s="4"/>
      <c r="K450" s="4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  <c r="X450" s="4"/>
      <c r="Y450" s="4"/>
      <c r="Z450" s="4"/>
    </row>
    <row r="451" ht="9.75" customHeight="1">
      <c r="A451" s="4"/>
      <c r="B451" s="4"/>
      <c r="C451" s="4"/>
      <c r="D451" s="165"/>
      <c r="E451" s="165"/>
      <c r="F451" s="165"/>
      <c r="G451" s="165"/>
      <c r="H451" s="165"/>
      <c r="I451" s="4"/>
      <c r="J451" s="4"/>
      <c r="K451" s="4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  <c r="X451" s="4"/>
      <c r="Y451" s="4"/>
      <c r="Z451" s="4"/>
    </row>
    <row r="452" ht="9.75" customHeight="1">
      <c r="A452" s="4"/>
      <c r="B452" s="4"/>
      <c r="C452" s="4"/>
      <c r="D452" s="165"/>
      <c r="E452" s="165"/>
      <c r="F452" s="165"/>
      <c r="G452" s="165"/>
      <c r="H452" s="165"/>
      <c r="I452" s="4"/>
      <c r="J452" s="4"/>
      <c r="K452" s="4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  <c r="X452" s="4"/>
      <c r="Y452" s="4"/>
      <c r="Z452" s="4"/>
    </row>
    <row r="453" ht="9.75" customHeight="1">
      <c r="A453" s="4"/>
      <c r="B453" s="4"/>
      <c r="C453" s="4"/>
      <c r="D453" s="165"/>
      <c r="E453" s="165"/>
      <c r="F453" s="165"/>
      <c r="G453" s="165"/>
      <c r="H453" s="165"/>
      <c r="I453" s="4"/>
      <c r="J453" s="4"/>
      <c r="K453" s="4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  <c r="Z453" s="4"/>
    </row>
    <row r="454" ht="9.75" customHeight="1">
      <c r="A454" s="4"/>
      <c r="B454" s="4"/>
      <c r="C454" s="4"/>
      <c r="D454" s="165"/>
      <c r="E454" s="165"/>
      <c r="F454" s="165"/>
      <c r="G454" s="165"/>
      <c r="H454" s="165"/>
      <c r="I454" s="4"/>
      <c r="J454" s="4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</row>
    <row r="455" ht="9.75" customHeight="1">
      <c r="A455" s="4"/>
      <c r="B455" s="4"/>
      <c r="C455" s="4"/>
      <c r="D455" s="165"/>
      <c r="E455" s="165"/>
      <c r="F455" s="165"/>
      <c r="G455" s="165"/>
      <c r="H455" s="165"/>
      <c r="I455" s="4"/>
      <c r="J455" s="4"/>
      <c r="K455" s="4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  <c r="Z455" s="4"/>
    </row>
    <row r="456" ht="9.75" customHeight="1">
      <c r="A456" s="4"/>
      <c r="B456" s="4"/>
      <c r="C456" s="4"/>
      <c r="D456" s="165"/>
      <c r="E456" s="165"/>
      <c r="F456" s="165"/>
      <c r="G456" s="165"/>
      <c r="H456" s="165"/>
      <c r="I456" s="4"/>
      <c r="J456" s="4"/>
      <c r="K456" s="4"/>
      <c r="L456" s="4"/>
      <c r="M456" s="4"/>
      <c r="N456" s="4"/>
      <c r="O456" s="4"/>
      <c r="P456" s="4"/>
      <c r="Q456" s="4"/>
      <c r="R456" s="4"/>
      <c r="S456" s="4"/>
      <c r="T456" s="4"/>
      <c r="U456" s="4"/>
      <c r="V456" s="4"/>
      <c r="W456" s="4"/>
      <c r="X456" s="4"/>
      <c r="Y456" s="4"/>
      <c r="Z456" s="4"/>
    </row>
    <row r="457" ht="9.75" customHeight="1">
      <c r="A457" s="4"/>
      <c r="B457" s="4"/>
      <c r="C457" s="4"/>
      <c r="D457" s="165"/>
      <c r="E457" s="165"/>
      <c r="F457" s="165"/>
      <c r="G457" s="165"/>
      <c r="H457" s="165"/>
      <c r="I457" s="4"/>
      <c r="J457" s="4"/>
      <c r="K457" s="4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  <c r="Z457" s="4"/>
    </row>
    <row r="458" ht="9.75" customHeight="1">
      <c r="A458" s="4"/>
      <c r="B458" s="4"/>
      <c r="C458" s="4"/>
      <c r="D458" s="165"/>
      <c r="E458" s="165"/>
      <c r="F458" s="165"/>
      <c r="G458" s="165"/>
      <c r="H458" s="165"/>
      <c r="I458" s="4"/>
      <c r="J458" s="4"/>
      <c r="K458" s="4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  <c r="Z458" s="4"/>
    </row>
    <row r="459" ht="9.75" customHeight="1">
      <c r="A459" s="4"/>
      <c r="B459" s="4"/>
      <c r="C459" s="4"/>
      <c r="D459" s="165"/>
      <c r="E459" s="165"/>
      <c r="F459" s="165"/>
      <c r="G459" s="165"/>
      <c r="H459" s="165"/>
      <c r="I459" s="4"/>
      <c r="J459" s="4"/>
      <c r="K459" s="4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  <c r="Z459" s="4"/>
    </row>
    <row r="460" ht="9.75" customHeight="1">
      <c r="A460" s="4"/>
      <c r="B460" s="4"/>
      <c r="C460" s="4"/>
      <c r="D460" s="165"/>
      <c r="E460" s="165"/>
      <c r="F460" s="165"/>
      <c r="G460" s="165"/>
      <c r="H460" s="165"/>
      <c r="I460" s="4"/>
      <c r="J460" s="4"/>
      <c r="K460" s="4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  <c r="Z460" s="4"/>
    </row>
    <row r="461" ht="9.75" customHeight="1">
      <c r="A461" s="4"/>
      <c r="B461" s="4"/>
      <c r="C461" s="4"/>
      <c r="D461" s="165"/>
      <c r="E461" s="165"/>
      <c r="F461" s="165"/>
      <c r="G461" s="165"/>
      <c r="H461" s="165"/>
      <c r="I461" s="4"/>
      <c r="J461" s="4"/>
      <c r="K461" s="4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  <c r="Z461" s="4"/>
    </row>
    <row r="462" ht="9.75" customHeight="1">
      <c r="A462" s="4"/>
      <c r="B462" s="4"/>
      <c r="C462" s="4"/>
      <c r="D462" s="165"/>
      <c r="E462" s="165"/>
      <c r="F462" s="165"/>
      <c r="G462" s="165"/>
      <c r="H462" s="165"/>
      <c r="I462" s="4"/>
      <c r="J462" s="4"/>
      <c r="K462" s="4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  <c r="Z462" s="4"/>
    </row>
    <row r="463" ht="9.75" customHeight="1">
      <c r="A463" s="4"/>
      <c r="B463" s="4"/>
      <c r="C463" s="4"/>
      <c r="D463" s="165"/>
      <c r="E463" s="165"/>
      <c r="F463" s="165"/>
      <c r="G463" s="165"/>
      <c r="H463" s="165"/>
      <c r="I463" s="4"/>
      <c r="J463" s="4"/>
      <c r="K463" s="4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  <c r="X463" s="4"/>
      <c r="Y463" s="4"/>
      <c r="Z463" s="4"/>
    </row>
    <row r="464" ht="9.75" customHeight="1">
      <c r="A464" s="4"/>
      <c r="B464" s="4"/>
      <c r="C464" s="4"/>
      <c r="D464" s="165"/>
      <c r="E464" s="165"/>
      <c r="F464" s="165"/>
      <c r="G464" s="165"/>
      <c r="H464" s="165"/>
      <c r="I464" s="4"/>
      <c r="J464" s="4"/>
      <c r="K464" s="4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  <c r="X464" s="4"/>
      <c r="Y464" s="4"/>
      <c r="Z464" s="4"/>
    </row>
    <row r="465" ht="9.75" customHeight="1">
      <c r="A465" s="4"/>
      <c r="B465" s="4"/>
      <c r="C465" s="4"/>
      <c r="D465" s="165"/>
      <c r="E465" s="165"/>
      <c r="F465" s="165"/>
      <c r="G465" s="165"/>
      <c r="H465" s="165"/>
      <c r="I465" s="4"/>
      <c r="J465" s="4"/>
      <c r="K465" s="4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  <c r="Z465" s="4"/>
    </row>
    <row r="466" ht="9.75" customHeight="1">
      <c r="A466" s="4"/>
      <c r="B466" s="4"/>
      <c r="C466" s="4"/>
      <c r="D466" s="165"/>
      <c r="E466" s="165"/>
      <c r="F466" s="165"/>
      <c r="G466" s="165"/>
      <c r="H466" s="165"/>
      <c r="I466" s="4"/>
      <c r="J466" s="4"/>
      <c r="K466" s="4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4"/>
      <c r="Y466" s="4"/>
      <c r="Z466" s="4"/>
    </row>
    <row r="467" ht="9.75" customHeight="1">
      <c r="A467" s="4"/>
      <c r="B467" s="4"/>
      <c r="C467" s="4"/>
      <c r="D467" s="165"/>
      <c r="E467" s="165"/>
      <c r="F467" s="165"/>
      <c r="G467" s="165"/>
      <c r="H467" s="165"/>
      <c r="I467" s="4"/>
      <c r="J467" s="4"/>
      <c r="K467" s="4"/>
      <c r="L467" s="4"/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/>
      <c r="X467" s="4"/>
      <c r="Y467" s="4"/>
      <c r="Z467" s="4"/>
    </row>
    <row r="468" ht="9.75" customHeight="1">
      <c r="A468" s="4"/>
      <c r="B468" s="4"/>
      <c r="C468" s="4"/>
      <c r="D468" s="165"/>
      <c r="E468" s="165"/>
      <c r="F468" s="165"/>
      <c r="G468" s="165"/>
      <c r="H468" s="165"/>
      <c r="I468" s="4"/>
      <c r="J468" s="4"/>
      <c r="K468" s="4"/>
      <c r="L468" s="4"/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/>
      <c r="X468" s="4"/>
      <c r="Y468" s="4"/>
      <c r="Z468" s="4"/>
    </row>
    <row r="469" ht="9.75" customHeight="1">
      <c r="A469" s="4"/>
      <c r="B469" s="4"/>
      <c r="C469" s="4"/>
      <c r="D469" s="165"/>
      <c r="E469" s="165"/>
      <c r="F469" s="165"/>
      <c r="G469" s="165"/>
      <c r="H469" s="165"/>
      <c r="I469" s="4"/>
      <c r="J469" s="4"/>
      <c r="K469" s="4"/>
      <c r="L469" s="4"/>
      <c r="M469" s="4"/>
      <c r="N469" s="4"/>
      <c r="O469" s="4"/>
      <c r="P469" s="4"/>
      <c r="Q469" s="4"/>
      <c r="R469" s="4"/>
      <c r="S469" s="4"/>
      <c r="T469" s="4"/>
      <c r="U469" s="4"/>
      <c r="V469" s="4"/>
      <c r="W469" s="4"/>
      <c r="X469" s="4"/>
      <c r="Y469" s="4"/>
      <c r="Z469" s="4"/>
    </row>
    <row r="470" ht="9.75" customHeight="1">
      <c r="A470" s="4"/>
      <c r="B470" s="4"/>
      <c r="C470" s="4"/>
      <c r="D470" s="165"/>
      <c r="E470" s="165"/>
      <c r="F470" s="165"/>
      <c r="G470" s="165"/>
      <c r="H470" s="165"/>
      <c r="I470" s="4"/>
      <c r="J470" s="4"/>
      <c r="K470" s="4"/>
      <c r="L470" s="4"/>
      <c r="M470" s="4"/>
      <c r="N470" s="4"/>
      <c r="O470" s="4"/>
      <c r="P470" s="4"/>
      <c r="Q470" s="4"/>
      <c r="R470" s="4"/>
      <c r="S470" s="4"/>
      <c r="T470" s="4"/>
      <c r="U470" s="4"/>
      <c r="V470" s="4"/>
      <c r="W470" s="4"/>
      <c r="X470" s="4"/>
      <c r="Y470" s="4"/>
      <c r="Z470" s="4"/>
    </row>
    <row r="471" ht="9.75" customHeight="1">
      <c r="A471" s="4"/>
      <c r="B471" s="4"/>
      <c r="C471" s="4"/>
      <c r="D471" s="165"/>
      <c r="E471" s="165"/>
      <c r="F471" s="165"/>
      <c r="G471" s="165"/>
      <c r="H471" s="165"/>
      <c r="I471" s="4"/>
      <c r="J471" s="4"/>
      <c r="K471" s="4"/>
      <c r="L471" s="4"/>
      <c r="M471" s="4"/>
      <c r="N471" s="4"/>
      <c r="O471" s="4"/>
      <c r="P471" s="4"/>
      <c r="Q471" s="4"/>
      <c r="R471" s="4"/>
      <c r="S471" s="4"/>
      <c r="T471" s="4"/>
      <c r="U471" s="4"/>
      <c r="V471" s="4"/>
      <c r="W471" s="4"/>
      <c r="X471" s="4"/>
      <c r="Y471" s="4"/>
      <c r="Z471" s="4"/>
    </row>
    <row r="472" ht="9.75" customHeight="1">
      <c r="A472" s="4"/>
      <c r="B472" s="4"/>
      <c r="C472" s="4"/>
      <c r="D472" s="165"/>
      <c r="E472" s="165"/>
      <c r="F472" s="165"/>
      <c r="G472" s="165"/>
      <c r="H472" s="165"/>
      <c r="I472" s="4"/>
      <c r="J472" s="4"/>
      <c r="K472" s="4"/>
      <c r="L472" s="4"/>
      <c r="M472" s="4"/>
      <c r="N472" s="4"/>
      <c r="O472" s="4"/>
      <c r="P472" s="4"/>
      <c r="Q472" s="4"/>
      <c r="R472" s="4"/>
      <c r="S472" s="4"/>
      <c r="T472" s="4"/>
      <c r="U472" s="4"/>
      <c r="V472" s="4"/>
      <c r="W472" s="4"/>
      <c r="X472" s="4"/>
      <c r="Y472" s="4"/>
      <c r="Z472" s="4"/>
    </row>
    <row r="473" ht="9.75" customHeight="1">
      <c r="A473" s="4"/>
      <c r="B473" s="4"/>
      <c r="C473" s="4"/>
      <c r="D473" s="165"/>
      <c r="E473" s="165"/>
      <c r="F473" s="165"/>
      <c r="G473" s="165"/>
      <c r="H473" s="165"/>
      <c r="I473" s="4"/>
      <c r="J473" s="4"/>
      <c r="K473" s="4"/>
      <c r="L473" s="4"/>
      <c r="M473" s="4"/>
      <c r="N473" s="4"/>
      <c r="O473" s="4"/>
      <c r="P473" s="4"/>
      <c r="Q473" s="4"/>
      <c r="R473" s="4"/>
      <c r="S473" s="4"/>
      <c r="T473" s="4"/>
      <c r="U473" s="4"/>
      <c r="V473" s="4"/>
      <c r="W473" s="4"/>
      <c r="X473" s="4"/>
      <c r="Y473" s="4"/>
      <c r="Z473" s="4"/>
    </row>
    <row r="474" ht="9.75" customHeight="1">
      <c r="A474" s="4"/>
      <c r="B474" s="4"/>
      <c r="C474" s="4"/>
      <c r="D474" s="165"/>
      <c r="E474" s="165"/>
      <c r="F474" s="165"/>
      <c r="G474" s="165"/>
      <c r="H474" s="165"/>
      <c r="I474" s="4"/>
      <c r="J474" s="4"/>
      <c r="K474" s="4"/>
      <c r="L474" s="4"/>
      <c r="M474" s="4"/>
      <c r="N474" s="4"/>
      <c r="O474" s="4"/>
      <c r="P474" s="4"/>
      <c r="Q474" s="4"/>
      <c r="R474" s="4"/>
      <c r="S474" s="4"/>
      <c r="T474" s="4"/>
      <c r="U474" s="4"/>
      <c r="V474" s="4"/>
      <c r="W474" s="4"/>
      <c r="X474" s="4"/>
      <c r="Y474" s="4"/>
      <c r="Z474" s="4"/>
    </row>
    <row r="475" ht="9.75" customHeight="1">
      <c r="A475" s="4"/>
      <c r="B475" s="4"/>
      <c r="C475" s="4"/>
      <c r="D475" s="165"/>
      <c r="E475" s="165"/>
      <c r="F475" s="165"/>
      <c r="G475" s="165"/>
      <c r="H475" s="165"/>
      <c r="I475" s="4"/>
      <c r="J475" s="4"/>
      <c r="K475" s="4"/>
      <c r="L475" s="4"/>
      <c r="M475" s="4"/>
      <c r="N475" s="4"/>
      <c r="O475" s="4"/>
      <c r="P475" s="4"/>
      <c r="Q475" s="4"/>
      <c r="R475" s="4"/>
      <c r="S475" s="4"/>
      <c r="T475" s="4"/>
      <c r="U475" s="4"/>
      <c r="V475" s="4"/>
      <c r="W475" s="4"/>
      <c r="X475" s="4"/>
      <c r="Y475" s="4"/>
      <c r="Z475" s="4"/>
    </row>
    <row r="476" ht="9.75" customHeight="1">
      <c r="A476" s="4"/>
      <c r="B476" s="4"/>
      <c r="C476" s="4"/>
      <c r="D476" s="165"/>
      <c r="E476" s="165"/>
      <c r="F476" s="165"/>
      <c r="G476" s="165"/>
      <c r="H476" s="165"/>
      <c r="I476" s="4"/>
      <c r="J476" s="4"/>
      <c r="K476" s="4"/>
      <c r="L476" s="4"/>
      <c r="M476" s="4"/>
      <c r="N476" s="4"/>
      <c r="O476" s="4"/>
      <c r="P476" s="4"/>
      <c r="Q476" s="4"/>
      <c r="R476" s="4"/>
      <c r="S476" s="4"/>
      <c r="T476" s="4"/>
      <c r="U476" s="4"/>
      <c r="V476" s="4"/>
      <c r="W476" s="4"/>
      <c r="X476" s="4"/>
      <c r="Y476" s="4"/>
      <c r="Z476" s="4"/>
    </row>
    <row r="477" ht="9.75" customHeight="1">
      <c r="A477" s="4"/>
      <c r="B477" s="4"/>
      <c r="C477" s="4"/>
      <c r="D477" s="165"/>
      <c r="E477" s="165"/>
      <c r="F477" s="165"/>
      <c r="G477" s="165"/>
      <c r="H477" s="165"/>
      <c r="I477" s="4"/>
      <c r="J477" s="4"/>
      <c r="K477" s="4"/>
      <c r="L477" s="4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4"/>
      <c r="X477" s="4"/>
      <c r="Y477" s="4"/>
      <c r="Z477" s="4"/>
    </row>
    <row r="478" ht="9.75" customHeight="1">
      <c r="A478" s="4"/>
      <c r="B478" s="4"/>
      <c r="C478" s="4"/>
      <c r="D478" s="165"/>
      <c r="E478" s="165"/>
      <c r="F478" s="165"/>
      <c r="G478" s="165"/>
      <c r="H478" s="165"/>
      <c r="I478" s="4"/>
      <c r="J478" s="4"/>
      <c r="K478" s="4"/>
      <c r="L478" s="4"/>
      <c r="M478" s="4"/>
      <c r="N478" s="4"/>
      <c r="O478" s="4"/>
      <c r="P478" s="4"/>
      <c r="Q478" s="4"/>
      <c r="R478" s="4"/>
      <c r="S478" s="4"/>
      <c r="T478" s="4"/>
      <c r="U478" s="4"/>
      <c r="V478" s="4"/>
      <c r="W478" s="4"/>
      <c r="X478" s="4"/>
      <c r="Y478" s="4"/>
      <c r="Z478" s="4"/>
    </row>
    <row r="479" ht="9.75" customHeight="1">
      <c r="A479" s="4"/>
      <c r="B479" s="4"/>
      <c r="C479" s="4"/>
      <c r="D479" s="165"/>
      <c r="E479" s="165"/>
      <c r="F479" s="165"/>
      <c r="G479" s="165"/>
      <c r="H479" s="165"/>
      <c r="I479" s="4"/>
      <c r="J479" s="4"/>
      <c r="K479" s="4"/>
      <c r="L479" s="4"/>
      <c r="M479" s="4"/>
      <c r="N479" s="4"/>
      <c r="O479" s="4"/>
      <c r="P479" s="4"/>
      <c r="Q479" s="4"/>
      <c r="R479" s="4"/>
      <c r="S479" s="4"/>
      <c r="T479" s="4"/>
      <c r="U479" s="4"/>
      <c r="V479" s="4"/>
      <c r="W479" s="4"/>
      <c r="X479" s="4"/>
      <c r="Y479" s="4"/>
      <c r="Z479" s="4"/>
    </row>
    <row r="480" ht="9.75" customHeight="1">
      <c r="A480" s="4"/>
      <c r="B480" s="4"/>
      <c r="C480" s="4"/>
      <c r="D480" s="165"/>
      <c r="E480" s="165"/>
      <c r="F480" s="165"/>
      <c r="G480" s="165"/>
      <c r="H480" s="165"/>
      <c r="I480" s="4"/>
      <c r="J480" s="4"/>
      <c r="K480" s="4"/>
      <c r="L480" s="4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4"/>
      <c r="X480" s="4"/>
      <c r="Y480" s="4"/>
      <c r="Z480" s="4"/>
    </row>
    <row r="481" ht="9.75" customHeight="1">
      <c r="A481" s="4"/>
      <c r="B481" s="4"/>
      <c r="C481" s="4"/>
      <c r="D481" s="165"/>
      <c r="E481" s="165"/>
      <c r="F481" s="165"/>
      <c r="G481" s="165"/>
      <c r="H481" s="165"/>
      <c r="I481" s="4"/>
      <c r="J481" s="4"/>
      <c r="K481" s="4"/>
      <c r="L481" s="4"/>
      <c r="M481" s="4"/>
      <c r="N481" s="4"/>
      <c r="O481" s="4"/>
      <c r="P481" s="4"/>
      <c r="Q481" s="4"/>
      <c r="R481" s="4"/>
      <c r="S481" s="4"/>
      <c r="T481" s="4"/>
      <c r="U481" s="4"/>
      <c r="V481" s="4"/>
      <c r="W481" s="4"/>
      <c r="X481" s="4"/>
      <c r="Y481" s="4"/>
      <c r="Z481" s="4"/>
    </row>
    <row r="482" ht="9.75" customHeight="1">
      <c r="A482" s="4"/>
      <c r="B482" s="4"/>
      <c r="C482" s="4"/>
      <c r="D482" s="165"/>
      <c r="E482" s="165"/>
      <c r="F482" s="165"/>
      <c r="G482" s="165"/>
      <c r="H482" s="165"/>
      <c r="I482" s="4"/>
      <c r="J482" s="4"/>
      <c r="K482" s="4"/>
      <c r="L482" s="4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4"/>
      <c r="X482" s="4"/>
      <c r="Y482" s="4"/>
      <c r="Z482" s="4"/>
    </row>
    <row r="483" ht="9.75" customHeight="1">
      <c r="A483" s="4"/>
      <c r="B483" s="4"/>
      <c r="C483" s="4"/>
      <c r="D483" s="165"/>
      <c r="E483" s="165"/>
      <c r="F483" s="165"/>
      <c r="G483" s="165"/>
      <c r="H483" s="165"/>
      <c r="I483" s="4"/>
      <c r="J483" s="4"/>
      <c r="K483" s="4"/>
      <c r="L483" s="4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4"/>
      <c r="X483" s="4"/>
      <c r="Y483" s="4"/>
      <c r="Z483" s="4"/>
    </row>
    <row r="484" ht="9.75" customHeight="1">
      <c r="A484" s="4"/>
      <c r="B484" s="4"/>
      <c r="C484" s="4"/>
      <c r="D484" s="165"/>
      <c r="E484" s="165"/>
      <c r="F484" s="165"/>
      <c r="G484" s="165"/>
      <c r="H484" s="165"/>
      <c r="I484" s="4"/>
      <c r="J484" s="4"/>
      <c r="K484" s="4"/>
      <c r="L484" s="4"/>
      <c r="M484" s="4"/>
      <c r="N484" s="4"/>
      <c r="O484" s="4"/>
      <c r="P484" s="4"/>
      <c r="Q484" s="4"/>
      <c r="R484" s="4"/>
      <c r="S484" s="4"/>
      <c r="T484" s="4"/>
      <c r="U484" s="4"/>
      <c r="V484" s="4"/>
      <c r="W484" s="4"/>
      <c r="X484" s="4"/>
      <c r="Y484" s="4"/>
      <c r="Z484" s="4"/>
    </row>
    <row r="485" ht="9.75" customHeight="1">
      <c r="A485" s="4"/>
      <c r="B485" s="4"/>
      <c r="C485" s="4"/>
      <c r="D485" s="165"/>
      <c r="E485" s="165"/>
      <c r="F485" s="165"/>
      <c r="G485" s="165"/>
      <c r="H485" s="165"/>
      <c r="I485" s="4"/>
      <c r="J485" s="4"/>
      <c r="K485" s="4"/>
      <c r="L485" s="4"/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  <c r="X485" s="4"/>
      <c r="Y485" s="4"/>
      <c r="Z485" s="4"/>
    </row>
    <row r="486" ht="9.75" customHeight="1">
      <c r="A486" s="4"/>
      <c r="B486" s="4"/>
      <c r="C486" s="4"/>
      <c r="D486" s="165"/>
      <c r="E486" s="165"/>
      <c r="F486" s="165"/>
      <c r="G486" s="165"/>
      <c r="H486" s="165"/>
      <c r="I486" s="4"/>
      <c r="J486" s="4"/>
      <c r="K486" s="4"/>
      <c r="L486" s="4"/>
      <c r="M486" s="4"/>
      <c r="N486" s="4"/>
      <c r="O486" s="4"/>
      <c r="P486" s="4"/>
      <c r="Q486" s="4"/>
      <c r="R486" s="4"/>
      <c r="S486" s="4"/>
      <c r="T486" s="4"/>
      <c r="U486" s="4"/>
      <c r="V486" s="4"/>
      <c r="W486" s="4"/>
      <c r="X486" s="4"/>
      <c r="Y486" s="4"/>
      <c r="Z486" s="4"/>
    </row>
    <row r="487" ht="9.75" customHeight="1">
      <c r="A487" s="4"/>
      <c r="B487" s="4"/>
      <c r="C487" s="4"/>
      <c r="D487" s="165"/>
      <c r="E487" s="165"/>
      <c r="F487" s="165"/>
      <c r="G487" s="165"/>
      <c r="H487" s="165"/>
      <c r="I487" s="4"/>
      <c r="J487" s="4"/>
      <c r="K487" s="4"/>
      <c r="L487" s="4"/>
      <c r="M487" s="4"/>
      <c r="N487" s="4"/>
      <c r="O487" s="4"/>
      <c r="P487" s="4"/>
      <c r="Q487" s="4"/>
      <c r="R487" s="4"/>
      <c r="S487" s="4"/>
      <c r="T487" s="4"/>
      <c r="U487" s="4"/>
      <c r="V487" s="4"/>
      <c r="W487" s="4"/>
      <c r="X487" s="4"/>
      <c r="Y487" s="4"/>
      <c r="Z487" s="4"/>
    </row>
    <row r="488" ht="9.75" customHeight="1">
      <c r="A488" s="4"/>
      <c r="B488" s="4"/>
      <c r="C488" s="4"/>
      <c r="D488" s="165"/>
      <c r="E488" s="165"/>
      <c r="F488" s="165"/>
      <c r="G488" s="165"/>
      <c r="H488" s="165"/>
      <c r="I488" s="4"/>
      <c r="J488" s="4"/>
      <c r="K488" s="4"/>
      <c r="L488" s="4"/>
      <c r="M488" s="4"/>
      <c r="N488" s="4"/>
      <c r="O488" s="4"/>
      <c r="P488" s="4"/>
      <c r="Q488" s="4"/>
      <c r="R488" s="4"/>
      <c r="S488" s="4"/>
      <c r="T488" s="4"/>
      <c r="U488" s="4"/>
      <c r="V488" s="4"/>
      <c r="W488" s="4"/>
      <c r="X488" s="4"/>
      <c r="Y488" s="4"/>
      <c r="Z488" s="4"/>
    </row>
    <row r="489" ht="9.75" customHeight="1">
      <c r="A489" s="4"/>
      <c r="B489" s="4"/>
      <c r="C489" s="4"/>
      <c r="D489" s="165"/>
      <c r="E489" s="165"/>
      <c r="F489" s="165"/>
      <c r="G489" s="165"/>
      <c r="H489" s="165"/>
      <c r="I489" s="4"/>
      <c r="J489" s="4"/>
      <c r="K489" s="4"/>
      <c r="L489" s="4"/>
      <c r="M489" s="4"/>
      <c r="N489" s="4"/>
      <c r="O489" s="4"/>
      <c r="P489" s="4"/>
      <c r="Q489" s="4"/>
      <c r="R489" s="4"/>
      <c r="S489" s="4"/>
      <c r="T489" s="4"/>
      <c r="U489" s="4"/>
      <c r="V489" s="4"/>
      <c r="W489" s="4"/>
      <c r="X489" s="4"/>
      <c r="Y489" s="4"/>
      <c r="Z489" s="4"/>
    </row>
    <row r="490" ht="9.75" customHeight="1">
      <c r="A490" s="4"/>
      <c r="B490" s="4"/>
      <c r="C490" s="4"/>
      <c r="D490" s="165"/>
      <c r="E490" s="165"/>
      <c r="F490" s="165"/>
      <c r="G490" s="165"/>
      <c r="H490" s="165"/>
      <c r="I490" s="4"/>
      <c r="J490" s="4"/>
      <c r="K490" s="4"/>
      <c r="L490" s="4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4"/>
      <c r="X490" s="4"/>
      <c r="Y490" s="4"/>
      <c r="Z490" s="4"/>
    </row>
    <row r="491" ht="9.75" customHeight="1">
      <c r="A491" s="4"/>
      <c r="B491" s="4"/>
      <c r="C491" s="4"/>
      <c r="D491" s="165"/>
      <c r="E491" s="165"/>
      <c r="F491" s="165"/>
      <c r="G491" s="165"/>
      <c r="H491" s="165"/>
      <c r="I491" s="4"/>
      <c r="J491" s="4"/>
      <c r="K491" s="4"/>
      <c r="L491" s="4"/>
      <c r="M491" s="4"/>
      <c r="N491" s="4"/>
      <c r="O491" s="4"/>
      <c r="P491" s="4"/>
      <c r="Q491" s="4"/>
      <c r="R491" s="4"/>
      <c r="S491" s="4"/>
      <c r="T491" s="4"/>
      <c r="U491" s="4"/>
      <c r="V491" s="4"/>
      <c r="W491" s="4"/>
      <c r="X491" s="4"/>
      <c r="Y491" s="4"/>
      <c r="Z491" s="4"/>
    </row>
    <row r="492" ht="9.75" customHeight="1">
      <c r="A492" s="4"/>
      <c r="B492" s="4"/>
      <c r="C492" s="4"/>
      <c r="D492" s="165"/>
      <c r="E492" s="165"/>
      <c r="F492" s="165"/>
      <c r="G492" s="165"/>
      <c r="H492" s="165"/>
      <c r="I492" s="4"/>
      <c r="J492" s="4"/>
      <c r="K492" s="4"/>
      <c r="L492" s="4"/>
      <c r="M492" s="4"/>
      <c r="N492" s="4"/>
      <c r="O492" s="4"/>
      <c r="P492" s="4"/>
      <c r="Q492" s="4"/>
      <c r="R492" s="4"/>
      <c r="S492" s="4"/>
      <c r="T492" s="4"/>
      <c r="U492" s="4"/>
      <c r="V492" s="4"/>
      <c r="W492" s="4"/>
      <c r="X492" s="4"/>
      <c r="Y492" s="4"/>
      <c r="Z492" s="4"/>
    </row>
    <row r="493" ht="9.75" customHeight="1">
      <c r="A493" s="4"/>
      <c r="B493" s="4"/>
      <c r="C493" s="4"/>
      <c r="D493" s="165"/>
      <c r="E493" s="165"/>
      <c r="F493" s="165"/>
      <c r="G493" s="165"/>
      <c r="H493" s="165"/>
      <c r="I493" s="4"/>
      <c r="J493" s="4"/>
      <c r="K493" s="4"/>
      <c r="L493" s="4"/>
      <c r="M493" s="4"/>
      <c r="N493" s="4"/>
      <c r="O493" s="4"/>
      <c r="P493" s="4"/>
      <c r="Q493" s="4"/>
      <c r="R493" s="4"/>
      <c r="S493" s="4"/>
      <c r="T493" s="4"/>
      <c r="U493" s="4"/>
      <c r="V493" s="4"/>
      <c r="W493" s="4"/>
      <c r="X493" s="4"/>
      <c r="Y493" s="4"/>
      <c r="Z493" s="4"/>
    </row>
    <row r="494" ht="9.75" customHeight="1">
      <c r="A494" s="4"/>
      <c r="B494" s="4"/>
      <c r="C494" s="4"/>
      <c r="D494" s="165"/>
      <c r="E494" s="165"/>
      <c r="F494" s="165"/>
      <c r="G494" s="165"/>
      <c r="H494" s="165"/>
      <c r="I494" s="4"/>
      <c r="J494" s="4"/>
      <c r="K494" s="4"/>
      <c r="L494" s="4"/>
      <c r="M494" s="4"/>
      <c r="N494" s="4"/>
      <c r="O494" s="4"/>
      <c r="P494" s="4"/>
      <c r="Q494" s="4"/>
      <c r="R494" s="4"/>
      <c r="S494" s="4"/>
      <c r="T494" s="4"/>
      <c r="U494" s="4"/>
      <c r="V494" s="4"/>
      <c r="W494" s="4"/>
      <c r="X494" s="4"/>
      <c r="Y494" s="4"/>
      <c r="Z494" s="4"/>
    </row>
    <row r="495" ht="9.75" customHeight="1">
      <c r="A495" s="4"/>
      <c r="B495" s="4"/>
      <c r="C495" s="4"/>
      <c r="D495" s="165"/>
      <c r="E495" s="165"/>
      <c r="F495" s="165"/>
      <c r="G495" s="165"/>
      <c r="H495" s="165"/>
      <c r="I495" s="4"/>
      <c r="J495" s="4"/>
      <c r="K495" s="4"/>
      <c r="L495" s="4"/>
      <c r="M495" s="4"/>
      <c r="N495" s="4"/>
      <c r="O495" s="4"/>
      <c r="P495" s="4"/>
      <c r="Q495" s="4"/>
      <c r="R495" s="4"/>
      <c r="S495" s="4"/>
      <c r="T495" s="4"/>
      <c r="U495" s="4"/>
      <c r="V495" s="4"/>
      <c r="W495" s="4"/>
      <c r="X495" s="4"/>
      <c r="Y495" s="4"/>
      <c r="Z495" s="4"/>
    </row>
    <row r="496" ht="9.75" customHeight="1">
      <c r="A496" s="4"/>
      <c r="B496" s="4"/>
      <c r="C496" s="4"/>
      <c r="D496" s="165"/>
      <c r="E496" s="165"/>
      <c r="F496" s="165"/>
      <c r="G496" s="165"/>
      <c r="H496" s="165"/>
      <c r="I496" s="4"/>
      <c r="J496" s="4"/>
      <c r="K496" s="4"/>
      <c r="L496" s="4"/>
      <c r="M496" s="4"/>
      <c r="N496" s="4"/>
      <c r="O496" s="4"/>
      <c r="P496" s="4"/>
      <c r="Q496" s="4"/>
      <c r="R496" s="4"/>
      <c r="S496" s="4"/>
      <c r="T496" s="4"/>
      <c r="U496" s="4"/>
      <c r="V496" s="4"/>
      <c r="W496" s="4"/>
      <c r="X496" s="4"/>
      <c r="Y496" s="4"/>
      <c r="Z496" s="4"/>
    </row>
    <row r="497" ht="9.75" customHeight="1">
      <c r="A497" s="4"/>
      <c r="B497" s="4"/>
      <c r="C497" s="4"/>
      <c r="D497" s="165"/>
      <c r="E497" s="165"/>
      <c r="F497" s="165"/>
      <c r="G497" s="165"/>
      <c r="H497" s="165"/>
      <c r="I497" s="4"/>
      <c r="J497" s="4"/>
      <c r="K497" s="4"/>
      <c r="L497" s="4"/>
      <c r="M497" s="4"/>
      <c r="N497" s="4"/>
      <c r="O497" s="4"/>
      <c r="P497" s="4"/>
      <c r="Q497" s="4"/>
      <c r="R497" s="4"/>
      <c r="S497" s="4"/>
      <c r="T497" s="4"/>
      <c r="U497" s="4"/>
      <c r="V497" s="4"/>
      <c r="W497" s="4"/>
      <c r="X497" s="4"/>
      <c r="Y497" s="4"/>
      <c r="Z497" s="4"/>
    </row>
    <row r="498" ht="9.75" customHeight="1">
      <c r="A498" s="4"/>
      <c r="B498" s="4"/>
      <c r="C498" s="4"/>
      <c r="D498" s="165"/>
      <c r="E498" s="165"/>
      <c r="F498" s="165"/>
      <c r="G498" s="165"/>
      <c r="H498" s="165"/>
      <c r="I498" s="4"/>
      <c r="J498" s="4"/>
      <c r="K498" s="4"/>
      <c r="L498" s="4"/>
      <c r="M498" s="4"/>
      <c r="N498" s="4"/>
      <c r="O498" s="4"/>
      <c r="P498" s="4"/>
      <c r="Q498" s="4"/>
      <c r="R498" s="4"/>
      <c r="S498" s="4"/>
      <c r="T498" s="4"/>
      <c r="U498" s="4"/>
      <c r="V498" s="4"/>
      <c r="W498" s="4"/>
      <c r="X498" s="4"/>
      <c r="Y498" s="4"/>
      <c r="Z498" s="4"/>
    </row>
    <row r="499" ht="9.75" customHeight="1">
      <c r="A499" s="4"/>
      <c r="B499" s="4"/>
      <c r="C499" s="4"/>
      <c r="D499" s="165"/>
      <c r="E499" s="165"/>
      <c r="F499" s="165"/>
      <c r="G499" s="165"/>
      <c r="H499" s="165"/>
      <c r="I499" s="4"/>
      <c r="J499" s="4"/>
      <c r="K499" s="4"/>
      <c r="L499" s="4"/>
      <c r="M499" s="4"/>
      <c r="N499" s="4"/>
      <c r="O499" s="4"/>
      <c r="P499" s="4"/>
      <c r="Q499" s="4"/>
      <c r="R499" s="4"/>
      <c r="S499" s="4"/>
      <c r="T499" s="4"/>
      <c r="U499" s="4"/>
      <c r="V499" s="4"/>
      <c r="W499" s="4"/>
      <c r="X499" s="4"/>
      <c r="Y499" s="4"/>
      <c r="Z499" s="4"/>
    </row>
    <row r="500" ht="9.75" customHeight="1">
      <c r="A500" s="4"/>
      <c r="B500" s="4"/>
      <c r="C500" s="4"/>
      <c r="D500" s="165"/>
      <c r="E500" s="165"/>
      <c r="F500" s="165"/>
      <c r="G500" s="165"/>
      <c r="H500" s="165"/>
      <c r="I500" s="4"/>
      <c r="J500" s="4"/>
      <c r="K500" s="4"/>
      <c r="L500" s="4"/>
      <c r="M500" s="4"/>
      <c r="N500" s="4"/>
      <c r="O500" s="4"/>
      <c r="P500" s="4"/>
      <c r="Q500" s="4"/>
      <c r="R500" s="4"/>
      <c r="S500" s="4"/>
      <c r="T500" s="4"/>
      <c r="U500" s="4"/>
      <c r="V500" s="4"/>
      <c r="W500" s="4"/>
      <c r="X500" s="4"/>
      <c r="Y500" s="4"/>
      <c r="Z500" s="4"/>
    </row>
    <row r="501" ht="9.75" customHeight="1">
      <c r="A501" s="4"/>
      <c r="B501" s="4"/>
      <c r="C501" s="4"/>
      <c r="D501" s="165"/>
      <c r="E501" s="165"/>
      <c r="F501" s="165"/>
      <c r="G501" s="165"/>
      <c r="H501" s="165"/>
      <c r="I501" s="4"/>
      <c r="J501" s="4"/>
      <c r="K501" s="4"/>
      <c r="L501" s="4"/>
      <c r="M501" s="4"/>
      <c r="N501" s="4"/>
      <c r="O501" s="4"/>
      <c r="P501" s="4"/>
      <c r="Q501" s="4"/>
      <c r="R501" s="4"/>
      <c r="S501" s="4"/>
      <c r="T501" s="4"/>
      <c r="U501" s="4"/>
      <c r="V501" s="4"/>
      <c r="W501" s="4"/>
      <c r="X501" s="4"/>
      <c r="Y501" s="4"/>
      <c r="Z501" s="4"/>
    </row>
    <row r="502" ht="9.75" customHeight="1">
      <c r="A502" s="4"/>
      <c r="B502" s="4"/>
      <c r="C502" s="4"/>
      <c r="D502" s="165"/>
      <c r="E502" s="165"/>
      <c r="F502" s="165"/>
      <c r="G502" s="165"/>
      <c r="H502" s="165"/>
      <c r="I502" s="4"/>
      <c r="J502" s="4"/>
      <c r="K502" s="4"/>
      <c r="L502" s="4"/>
      <c r="M502" s="4"/>
      <c r="N502" s="4"/>
      <c r="O502" s="4"/>
      <c r="P502" s="4"/>
      <c r="Q502" s="4"/>
      <c r="R502" s="4"/>
      <c r="S502" s="4"/>
      <c r="T502" s="4"/>
      <c r="U502" s="4"/>
      <c r="V502" s="4"/>
      <c r="W502" s="4"/>
      <c r="X502" s="4"/>
      <c r="Y502" s="4"/>
      <c r="Z502" s="4"/>
    </row>
    <row r="503" ht="9.75" customHeight="1">
      <c r="A503" s="4"/>
      <c r="B503" s="4"/>
      <c r="C503" s="4"/>
      <c r="D503" s="165"/>
      <c r="E503" s="165"/>
      <c r="F503" s="165"/>
      <c r="G503" s="165"/>
      <c r="H503" s="165"/>
      <c r="I503" s="4"/>
      <c r="J503" s="4"/>
      <c r="K503" s="4"/>
      <c r="L503" s="4"/>
      <c r="M503" s="4"/>
      <c r="N503" s="4"/>
      <c r="O503" s="4"/>
      <c r="P503" s="4"/>
      <c r="Q503" s="4"/>
      <c r="R503" s="4"/>
      <c r="S503" s="4"/>
      <c r="T503" s="4"/>
      <c r="U503" s="4"/>
      <c r="V503" s="4"/>
      <c r="W503" s="4"/>
      <c r="X503" s="4"/>
      <c r="Y503" s="4"/>
      <c r="Z503" s="4"/>
    </row>
    <row r="504" ht="9.75" customHeight="1">
      <c r="A504" s="4"/>
      <c r="B504" s="4"/>
      <c r="C504" s="4"/>
      <c r="D504" s="165"/>
      <c r="E504" s="165"/>
      <c r="F504" s="165"/>
      <c r="G504" s="165"/>
      <c r="H504" s="165"/>
      <c r="I504" s="4"/>
      <c r="J504" s="4"/>
      <c r="K504" s="4"/>
      <c r="L504" s="4"/>
      <c r="M504" s="4"/>
      <c r="N504" s="4"/>
      <c r="O504" s="4"/>
      <c r="P504" s="4"/>
      <c r="Q504" s="4"/>
      <c r="R504" s="4"/>
      <c r="S504" s="4"/>
      <c r="T504" s="4"/>
      <c r="U504" s="4"/>
      <c r="V504" s="4"/>
      <c r="W504" s="4"/>
      <c r="X504" s="4"/>
      <c r="Y504" s="4"/>
      <c r="Z504" s="4"/>
    </row>
    <row r="505" ht="9.75" customHeight="1">
      <c r="A505" s="4"/>
      <c r="B505" s="4"/>
      <c r="C505" s="4"/>
      <c r="D505" s="165"/>
      <c r="E505" s="165"/>
      <c r="F505" s="165"/>
      <c r="G505" s="165"/>
      <c r="H505" s="165"/>
      <c r="I505" s="4"/>
      <c r="J505" s="4"/>
      <c r="K505" s="4"/>
      <c r="L505" s="4"/>
      <c r="M505" s="4"/>
      <c r="N505" s="4"/>
      <c r="O505" s="4"/>
      <c r="P505" s="4"/>
      <c r="Q505" s="4"/>
      <c r="R505" s="4"/>
      <c r="S505" s="4"/>
      <c r="T505" s="4"/>
      <c r="U505" s="4"/>
      <c r="V505" s="4"/>
      <c r="W505" s="4"/>
      <c r="X505" s="4"/>
      <c r="Y505" s="4"/>
      <c r="Z505" s="4"/>
    </row>
    <row r="506" ht="9.75" customHeight="1">
      <c r="A506" s="4"/>
      <c r="B506" s="4"/>
      <c r="C506" s="4"/>
      <c r="D506" s="165"/>
      <c r="E506" s="165"/>
      <c r="F506" s="165"/>
      <c r="G506" s="165"/>
      <c r="H506" s="165"/>
      <c r="I506" s="4"/>
      <c r="J506" s="4"/>
      <c r="K506" s="4"/>
      <c r="L506" s="4"/>
      <c r="M506" s="4"/>
      <c r="N506" s="4"/>
      <c r="O506" s="4"/>
      <c r="P506" s="4"/>
      <c r="Q506" s="4"/>
      <c r="R506" s="4"/>
      <c r="S506" s="4"/>
      <c r="T506" s="4"/>
      <c r="U506" s="4"/>
      <c r="V506" s="4"/>
      <c r="W506" s="4"/>
      <c r="X506" s="4"/>
      <c r="Y506" s="4"/>
      <c r="Z506" s="4"/>
    </row>
    <row r="507" ht="9.75" customHeight="1">
      <c r="A507" s="4"/>
      <c r="B507" s="4"/>
      <c r="C507" s="4"/>
      <c r="D507" s="165"/>
      <c r="E507" s="165"/>
      <c r="F507" s="165"/>
      <c r="G507" s="165"/>
      <c r="H507" s="165"/>
      <c r="I507" s="4"/>
      <c r="J507" s="4"/>
      <c r="K507" s="4"/>
      <c r="L507" s="4"/>
      <c r="M507" s="4"/>
      <c r="N507" s="4"/>
      <c r="O507" s="4"/>
      <c r="P507" s="4"/>
      <c r="Q507" s="4"/>
      <c r="R507" s="4"/>
      <c r="S507" s="4"/>
      <c r="T507" s="4"/>
      <c r="U507" s="4"/>
      <c r="V507" s="4"/>
      <c r="W507" s="4"/>
      <c r="X507" s="4"/>
      <c r="Y507" s="4"/>
      <c r="Z507" s="4"/>
    </row>
    <row r="508" ht="9.75" customHeight="1">
      <c r="A508" s="4"/>
      <c r="B508" s="4"/>
      <c r="C508" s="4"/>
      <c r="D508" s="165"/>
      <c r="E508" s="165"/>
      <c r="F508" s="165"/>
      <c r="G508" s="165"/>
      <c r="H508" s="165"/>
      <c r="I508" s="4"/>
      <c r="J508" s="4"/>
      <c r="K508" s="4"/>
      <c r="L508" s="4"/>
      <c r="M508" s="4"/>
      <c r="N508" s="4"/>
      <c r="O508" s="4"/>
      <c r="P508" s="4"/>
      <c r="Q508" s="4"/>
      <c r="R508" s="4"/>
      <c r="S508" s="4"/>
      <c r="T508" s="4"/>
      <c r="U508" s="4"/>
      <c r="V508" s="4"/>
      <c r="W508" s="4"/>
      <c r="X508" s="4"/>
      <c r="Y508" s="4"/>
      <c r="Z508" s="4"/>
    </row>
    <row r="509" ht="9.75" customHeight="1">
      <c r="A509" s="4"/>
      <c r="B509" s="4"/>
      <c r="C509" s="4"/>
      <c r="D509" s="165"/>
      <c r="E509" s="165"/>
      <c r="F509" s="165"/>
      <c r="G509" s="165"/>
      <c r="H509" s="165"/>
      <c r="I509" s="4"/>
      <c r="J509" s="4"/>
      <c r="K509" s="4"/>
      <c r="L509" s="4"/>
      <c r="M509" s="4"/>
      <c r="N509" s="4"/>
      <c r="O509" s="4"/>
      <c r="P509" s="4"/>
      <c r="Q509" s="4"/>
      <c r="R509" s="4"/>
      <c r="S509" s="4"/>
      <c r="T509" s="4"/>
      <c r="U509" s="4"/>
      <c r="V509" s="4"/>
      <c r="W509" s="4"/>
      <c r="X509" s="4"/>
      <c r="Y509" s="4"/>
      <c r="Z509" s="4"/>
    </row>
    <row r="510" ht="9.75" customHeight="1">
      <c r="A510" s="4"/>
      <c r="B510" s="4"/>
      <c r="C510" s="4"/>
      <c r="D510" s="165"/>
      <c r="E510" s="165"/>
      <c r="F510" s="165"/>
      <c r="G510" s="165"/>
      <c r="H510" s="165"/>
      <c r="I510" s="4"/>
      <c r="J510" s="4"/>
      <c r="K510" s="4"/>
      <c r="L510" s="4"/>
      <c r="M510" s="4"/>
      <c r="N510" s="4"/>
      <c r="O510" s="4"/>
      <c r="P510" s="4"/>
      <c r="Q510" s="4"/>
      <c r="R510" s="4"/>
      <c r="S510" s="4"/>
      <c r="T510" s="4"/>
      <c r="U510" s="4"/>
      <c r="V510" s="4"/>
      <c r="W510" s="4"/>
      <c r="X510" s="4"/>
      <c r="Y510" s="4"/>
      <c r="Z510" s="4"/>
    </row>
    <row r="511" ht="9.75" customHeight="1">
      <c r="A511" s="4"/>
      <c r="B511" s="4"/>
      <c r="C511" s="4"/>
      <c r="D511" s="165"/>
      <c r="E511" s="165"/>
      <c r="F511" s="165"/>
      <c r="G511" s="165"/>
      <c r="H511" s="165"/>
      <c r="I511" s="4"/>
      <c r="J511" s="4"/>
      <c r="K511" s="4"/>
      <c r="L511" s="4"/>
      <c r="M511" s="4"/>
      <c r="N511" s="4"/>
      <c r="O511" s="4"/>
      <c r="P511" s="4"/>
      <c r="Q511" s="4"/>
      <c r="R511" s="4"/>
      <c r="S511" s="4"/>
      <c r="T511" s="4"/>
      <c r="U511" s="4"/>
      <c r="V511" s="4"/>
      <c r="W511" s="4"/>
      <c r="X511" s="4"/>
      <c r="Y511" s="4"/>
      <c r="Z511" s="4"/>
    </row>
    <row r="512" ht="9.75" customHeight="1">
      <c r="A512" s="4"/>
      <c r="B512" s="4"/>
      <c r="C512" s="4"/>
      <c r="D512" s="165"/>
      <c r="E512" s="165"/>
      <c r="F512" s="165"/>
      <c r="G512" s="165"/>
      <c r="H512" s="165"/>
      <c r="I512" s="4"/>
      <c r="J512" s="4"/>
      <c r="K512" s="4"/>
      <c r="L512" s="4"/>
      <c r="M512" s="4"/>
      <c r="N512" s="4"/>
      <c r="O512" s="4"/>
      <c r="P512" s="4"/>
      <c r="Q512" s="4"/>
      <c r="R512" s="4"/>
      <c r="S512" s="4"/>
      <c r="T512" s="4"/>
      <c r="U512" s="4"/>
      <c r="V512" s="4"/>
      <c r="W512" s="4"/>
      <c r="X512" s="4"/>
      <c r="Y512" s="4"/>
      <c r="Z512" s="4"/>
    </row>
    <row r="513" ht="9.75" customHeight="1">
      <c r="A513" s="4"/>
      <c r="B513" s="4"/>
      <c r="C513" s="4"/>
      <c r="D513" s="165"/>
      <c r="E513" s="165"/>
      <c r="F513" s="165"/>
      <c r="G513" s="165"/>
      <c r="H513" s="165"/>
      <c r="I513" s="4"/>
      <c r="J513" s="4"/>
      <c r="K513" s="4"/>
      <c r="L513" s="4"/>
      <c r="M513" s="4"/>
      <c r="N513" s="4"/>
      <c r="O513" s="4"/>
      <c r="P513" s="4"/>
      <c r="Q513" s="4"/>
      <c r="R513" s="4"/>
      <c r="S513" s="4"/>
      <c r="T513" s="4"/>
      <c r="U513" s="4"/>
      <c r="V513" s="4"/>
      <c r="W513" s="4"/>
      <c r="X513" s="4"/>
      <c r="Y513" s="4"/>
      <c r="Z513" s="4"/>
    </row>
    <row r="514" ht="9.75" customHeight="1">
      <c r="A514" s="4"/>
      <c r="B514" s="4"/>
      <c r="C514" s="4"/>
      <c r="D514" s="165"/>
      <c r="E514" s="165"/>
      <c r="F514" s="165"/>
      <c r="G514" s="165"/>
      <c r="H514" s="165"/>
      <c r="I514" s="4"/>
      <c r="J514" s="4"/>
      <c r="K514" s="4"/>
      <c r="L514" s="4"/>
      <c r="M514" s="4"/>
      <c r="N514" s="4"/>
      <c r="O514" s="4"/>
      <c r="P514" s="4"/>
      <c r="Q514" s="4"/>
      <c r="R514" s="4"/>
      <c r="S514" s="4"/>
      <c r="T514" s="4"/>
      <c r="U514" s="4"/>
      <c r="V514" s="4"/>
      <c r="W514" s="4"/>
      <c r="X514" s="4"/>
      <c r="Y514" s="4"/>
      <c r="Z514" s="4"/>
    </row>
    <row r="515" ht="9.75" customHeight="1">
      <c r="A515" s="4"/>
      <c r="B515" s="4"/>
      <c r="C515" s="4"/>
      <c r="D515" s="165"/>
      <c r="E515" s="165"/>
      <c r="F515" s="165"/>
      <c r="G515" s="165"/>
      <c r="H515" s="165"/>
      <c r="I515" s="4"/>
      <c r="J515" s="4"/>
      <c r="K515" s="4"/>
      <c r="L515" s="4"/>
      <c r="M515" s="4"/>
      <c r="N515" s="4"/>
      <c r="O515" s="4"/>
      <c r="P515" s="4"/>
      <c r="Q515" s="4"/>
      <c r="R515" s="4"/>
      <c r="S515" s="4"/>
      <c r="T515" s="4"/>
      <c r="U515" s="4"/>
      <c r="V515" s="4"/>
      <c r="W515" s="4"/>
      <c r="X515" s="4"/>
      <c r="Y515" s="4"/>
      <c r="Z515" s="4"/>
    </row>
    <row r="516" ht="9.75" customHeight="1">
      <c r="A516" s="4"/>
      <c r="B516" s="4"/>
      <c r="C516" s="4"/>
      <c r="D516" s="165"/>
      <c r="E516" s="165"/>
      <c r="F516" s="165"/>
      <c r="G516" s="165"/>
      <c r="H516" s="165"/>
      <c r="I516" s="4"/>
      <c r="J516" s="4"/>
      <c r="K516" s="4"/>
      <c r="L516" s="4"/>
      <c r="M516" s="4"/>
      <c r="N516" s="4"/>
      <c r="O516" s="4"/>
      <c r="P516" s="4"/>
      <c r="Q516" s="4"/>
      <c r="R516" s="4"/>
      <c r="S516" s="4"/>
      <c r="T516" s="4"/>
      <c r="U516" s="4"/>
      <c r="V516" s="4"/>
      <c r="W516" s="4"/>
      <c r="X516" s="4"/>
      <c r="Y516" s="4"/>
      <c r="Z516" s="4"/>
    </row>
    <row r="517" ht="9.75" customHeight="1">
      <c r="A517" s="4"/>
      <c r="B517" s="4"/>
      <c r="C517" s="4"/>
      <c r="D517" s="165"/>
      <c r="E517" s="165"/>
      <c r="F517" s="165"/>
      <c r="G517" s="165"/>
      <c r="H517" s="165"/>
      <c r="I517" s="4"/>
      <c r="J517" s="4"/>
      <c r="K517" s="4"/>
      <c r="L517" s="4"/>
      <c r="M517" s="4"/>
      <c r="N517" s="4"/>
      <c r="O517" s="4"/>
      <c r="P517" s="4"/>
      <c r="Q517" s="4"/>
      <c r="R517" s="4"/>
      <c r="S517" s="4"/>
      <c r="T517" s="4"/>
      <c r="U517" s="4"/>
      <c r="V517" s="4"/>
      <c r="W517" s="4"/>
      <c r="X517" s="4"/>
      <c r="Y517" s="4"/>
      <c r="Z517" s="4"/>
    </row>
    <row r="518" ht="9.75" customHeight="1">
      <c r="A518" s="4"/>
      <c r="B518" s="4"/>
      <c r="C518" s="4"/>
      <c r="D518" s="165"/>
      <c r="E518" s="165"/>
      <c r="F518" s="165"/>
      <c r="G518" s="165"/>
      <c r="H518" s="165"/>
      <c r="I518" s="4"/>
      <c r="J518" s="4"/>
      <c r="K518" s="4"/>
      <c r="L518" s="4"/>
      <c r="M518" s="4"/>
      <c r="N518" s="4"/>
      <c r="O518" s="4"/>
      <c r="P518" s="4"/>
      <c r="Q518" s="4"/>
      <c r="R518" s="4"/>
      <c r="S518" s="4"/>
      <c r="T518" s="4"/>
      <c r="U518" s="4"/>
      <c r="V518" s="4"/>
      <c r="W518" s="4"/>
      <c r="X518" s="4"/>
      <c r="Y518" s="4"/>
      <c r="Z518" s="4"/>
    </row>
    <row r="519" ht="9.75" customHeight="1">
      <c r="A519" s="4"/>
      <c r="B519" s="4"/>
      <c r="C519" s="4"/>
      <c r="D519" s="165"/>
      <c r="E519" s="165"/>
      <c r="F519" s="165"/>
      <c r="G519" s="165"/>
      <c r="H519" s="165"/>
      <c r="I519" s="4"/>
      <c r="J519" s="4"/>
      <c r="K519" s="4"/>
      <c r="L519" s="4"/>
      <c r="M519" s="4"/>
      <c r="N519" s="4"/>
      <c r="O519" s="4"/>
      <c r="P519" s="4"/>
      <c r="Q519" s="4"/>
      <c r="R519" s="4"/>
      <c r="S519" s="4"/>
      <c r="T519" s="4"/>
      <c r="U519" s="4"/>
      <c r="V519" s="4"/>
      <c r="W519" s="4"/>
      <c r="X519" s="4"/>
      <c r="Y519" s="4"/>
      <c r="Z519" s="4"/>
    </row>
    <row r="520" ht="9.75" customHeight="1">
      <c r="A520" s="4"/>
      <c r="B520" s="4"/>
      <c r="C520" s="4"/>
      <c r="D520" s="165"/>
      <c r="E520" s="165"/>
      <c r="F520" s="165"/>
      <c r="G520" s="165"/>
      <c r="H520" s="165"/>
      <c r="I520" s="4"/>
      <c r="J520" s="4"/>
      <c r="K520" s="4"/>
      <c r="L520" s="4"/>
      <c r="M520" s="4"/>
      <c r="N520" s="4"/>
      <c r="O520" s="4"/>
      <c r="P520" s="4"/>
      <c r="Q520" s="4"/>
      <c r="R520" s="4"/>
      <c r="S520" s="4"/>
      <c r="T520" s="4"/>
      <c r="U520" s="4"/>
      <c r="V520" s="4"/>
      <c r="W520" s="4"/>
      <c r="X520" s="4"/>
      <c r="Y520" s="4"/>
      <c r="Z520" s="4"/>
    </row>
    <row r="521" ht="9.75" customHeight="1">
      <c r="A521" s="4"/>
      <c r="B521" s="4"/>
      <c r="C521" s="4"/>
      <c r="D521" s="165"/>
      <c r="E521" s="165"/>
      <c r="F521" s="165"/>
      <c r="G521" s="165"/>
      <c r="H521" s="165"/>
      <c r="I521" s="4"/>
      <c r="J521" s="4"/>
      <c r="K521" s="4"/>
      <c r="L521" s="4"/>
      <c r="M521" s="4"/>
      <c r="N521" s="4"/>
      <c r="O521" s="4"/>
      <c r="P521" s="4"/>
      <c r="Q521" s="4"/>
      <c r="R521" s="4"/>
      <c r="S521" s="4"/>
      <c r="T521" s="4"/>
      <c r="U521" s="4"/>
      <c r="V521" s="4"/>
      <c r="W521" s="4"/>
      <c r="X521" s="4"/>
      <c r="Y521" s="4"/>
      <c r="Z521" s="4"/>
    </row>
    <row r="522" ht="9.75" customHeight="1">
      <c r="A522" s="4"/>
      <c r="B522" s="4"/>
      <c r="C522" s="4"/>
      <c r="D522" s="165"/>
      <c r="E522" s="165"/>
      <c r="F522" s="165"/>
      <c r="G522" s="165"/>
      <c r="H522" s="165"/>
      <c r="I522" s="4"/>
      <c r="J522" s="4"/>
      <c r="K522" s="4"/>
      <c r="L522" s="4"/>
      <c r="M522" s="4"/>
      <c r="N522" s="4"/>
      <c r="O522" s="4"/>
      <c r="P522" s="4"/>
      <c r="Q522" s="4"/>
      <c r="R522" s="4"/>
      <c r="S522" s="4"/>
      <c r="T522" s="4"/>
      <c r="U522" s="4"/>
      <c r="V522" s="4"/>
      <c r="W522" s="4"/>
      <c r="X522" s="4"/>
      <c r="Y522" s="4"/>
      <c r="Z522" s="4"/>
    </row>
    <row r="523" ht="9.75" customHeight="1">
      <c r="A523" s="4"/>
      <c r="B523" s="4"/>
      <c r="C523" s="4"/>
      <c r="D523" s="165"/>
      <c r="E523" s="165"/>
      <c r="F523" s="165"/>
      <c r="G523" s="165"/>
      <c r="H523" s="165"/>
      <c r="I523" s="4"/>
      <c r="J523" s="4"/>
      <c r="K523" s="4"/>
      <c r="L523" s="4"/>
      <c r="M523" s="4"/>
      <c r="N523" s="4"/>
      <c r="O523" s="4"/>
      <c r="P523" s="4"/>
      <c r="Q523" s="4"/>
      <c r="R523" s="4"/>
      <c r="S523" s="4"/>
      <c r="T523" s="4"/>
      <c r="U523" s="4"/>
      <c r="V523" s="4"/>
      <c r="W523" s="4"/>
      <c r="X523" s="4"/>
      <c r="Y523" s="4"/>
      <c r="Z523" s="4"/>
    </row>
    <row r="524" ht="9.75" customHeight="1">
      <c r="A524" s="4"/>
      <c r="B524" s="4"/>
      <c r="C524" s="4"/>
      <c r="D524" s="165"/>
      <c r="E524" s="165"/>
      <c r="F524" s="165"/>
      <c r="G524" s="165"/>
      <c r="H524" s="165"/>
      <c r="I524" s="4"/>
      <c r="J524" s="4"/>
      <c r="K524" s="4"/>
      <c r="L524" s="4"/>
      <c r="M524" s="4"/>
      <c r="N524" s="4"/>
      <c r="O524" s="4"/>
      <c r="P524" s="4"/>
      <c r="Q524" s="4"/>
      <c r="R524" s="4"/>
      <c r="S524" s="4"/>
      <c r="T524" s="4"/>
      <c r="U524" s="4"/>
      <c r="V524" s="4"/>
      <c r="W524" s="4"/>
      <c r="X524" s="4"/>
      <c r="Y524" s="4"/>
      <c r="Z524" s="4"/>
    </row>
    <row r="525" ht="9.75" customHeight="1">
      <c r="A525" s="4"/>
      <c r="B525" s="4"/>
      <c r="C525" s="4"/>
      <c r="D525" s="165"/>
      <c r="E525" s="165"/>
      <c r="F525" s="165"/>
      <c r="G525" s="165"/>
      <c r="H525" s="165"/>
      <c r="I525" s="4"/>
      <c r="J525" s="4"/>
      <c r="K525" s="4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Y525" s="4"/>
      <c r="Z525" s="4"/>
    </row>
    <row r="526" ht="9.75" customHeight="1">
      <c r="A526" s="4"/>
      <c r="B526" s="4"/>
      <c r="C526" s="4"/>
      <c r="D526" s="165"/>
      <c r="E526" s="165"/>
      <c r="F526" s="165"/>
      <c r="G526" s="165"/>
      <c r="H526" s="165"/>
      <c r="I526" s="4"/>
      <c r="J526" s="4"/>
      <c r="K526" s="4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  <c r="Z526" s="4"/>
    </row>
    <row r="527" ht="9.75" customHeight="1">
      <c r="A527" s="4"/>
      <c r="B527" s="4"/>
      <c r="C527" s="4"/>
      <c r="D527" s="165"/>
      <c r="E527" s="165"/>
      <c r="F527" s="165"/>
      <c r="G527" s="165"/>
      <c r="H527" s="165"/>
      <c r="I527" s="4"/>
      <c r="J527" s="4"/>
      <c r="K527" s="4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  <c r="X527" s="4"/>
      <c r="Y527" s="4"/>
      <c r="Z527" s="4"/>
    </row>
    <row r="528" ht="9.75" customHeight="1">
      <c r="A528" s="4"/>
      <c r="B528" s="4"/>
      <c r="C528" s="4"/>
      <c r="D528" s="165"/>
      <c r="E528" s="165"/>
      <c r="F528" s="165"/>
      <c r="G528" s="165"/>
      <c r="H528" s="165"/>
      <c r="I528" s="4"/>
      <c r="J528" s="4"/>
      <c r="K528" s="4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  <c r="X528" s="4"/>
      <c r="Y528" s="4"/>
      <c r="Z528" s="4"/>
    </row>
    <row r="529" ht="9.75" customHeight="1">
      <c r="A529" s="4"/>
      <c r="B529" s="4"/>
      <c r="C529" s="4"/>
      <c r="D529" s="165"/>
      <c r="E529" s="165"/>
      <c r="F529" s="165"/>
      <c r="G529" s="165"/>
      <c r="H529" s="165"/>
      <c r="I529" s="4"/>
      <c r="J529" s="4"/>
      <c r="K529" s="4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  <c r="X529" s="4"/>
      <c r="Y529" s="4"/>
      <c r="Z529" s="4"/>
    </row>
    <row r="530" ht="9.75" customHeight="1">
      <c r="A530" s="4"/>
      <c r="B530" s="4"/>
      <c r="C530" s="4"/>
      <c r="D530" s="165"/>
      <c r="E530" s="165"/>
      <c r="F530" s="165"/>
      <c r="G530" s="165"/>
      <c r="H530" s="165"/>
      <c r="I530" s="4"/>
      <c r="J530" s="4"/>
      <c r="K530" s="4"/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  <c r="X530" s="4"/>
      <c r="Y530" s="4"/>
      <c r="Z530" s="4"/>
    </row>
    <row r="531" ht="9.75" customHeight="1">
      <c r="A531" s="4"/>
      <c r="B531" s="4"/>
      <c r="C531" s="4"/>
      <c r="D531" s="165"/>
      <c r="E531" s="165"/>
      <c r="F531" s="165"/>
      <c r="G531" s="165"/>
      <c r="H531" s="165"/>
      <c r="I531" s="4"/>
      <c r="J531" s="4"/>
      <c r="K531" s="4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  <c r="X531" s="4"/>
      <c r="Y531" s="4"/>
      <c r="Z531" s="4"/>
    </row>
    <row r="532" ht="9.75" customHeight="1">
      <c r="A532" s="4"/>
      <c r="B532" s="4"/>
      <c r="C532" s="4"/>
      <c r="D532" s="165"/>
      <c r="E532" s="165"/>
      <c r="F532" s="165"/>
      <c r="G532" s="165"/>
      <c r="H532" s="165"/>
      <c r="I532" s="4"/>
      <c r="J532" s="4"/>
      <c r="K532" s="4"/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4"/>
      <c r="X532" s="4"/>
      <c r="Y532" s="4"/>
      <c r="Z532" s="4"/>
    </row>
    <row r="533" ht="9.75" customHeight="1">
      <c r="A533" s="4"/>
      <c r="B533" s="4"/>
      <c r="C533" s="4"/>
      <c r="D533" s="165"/>
      <c r="E533" s="165"/>
      <c r="F533" s="165"/>
      <c r="G533" s="165"/>
      <c r="H533" s="165"/>
      <c r="I533" s="4"/>
      <c r="J533" s="4"/>
      <c r="K533" s="4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  <c r="X533" s="4"/>
      <c r="Y533" s="4"/>
      <c r="Z533" s="4"/>
    </row>
    <row r="534" ht="9.75" customHeight="1">
      <c r="A534" s="4"/>
      <c r="B534" s="4"/>
      <c r="C534" s="4"/>
      <c r="D534" s="165"/>
      <c r="E534" s="165"/>
      <c r="F534" s="165"/>
      <c r="G534" s="165"/>
      <c r="H534" s="165"/>
      <c r="I534" s="4"/>
      <c r="J534" s="4"/>
      <c r="K534" s="4"/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  <c r="X534" s="4"/>
      <c r="Y534" s="4"/>
      <c r="Z534" s="4"/>
    </row>
    <row r="535" ht="9.75" customHeight="1">
      <c r="A535" s="4"/>
      <c r="B535" s="4"/>
      <c r="C535" s="4"/>
      <c r="D535" s="165"/>
      <c r="E535" s="165"/>
      <c r="F535" s="165"/>
      <c r="G535" s="165"/>
      <c r="H535" s="165"/>
      <c r="I535" s="4"/>
      <c r="J535" s="4"/>
      <c r="K535" s="4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  <c r="X535" s="4"/>
      <c r="Y535" s="4"/>
      <c r="Z535" s="4"/>
    </row>
    <row r="536" ht="9.75" customHeight="1">
      <c r="A536" s="4"/>
      <c r="B536" s="4"/>
      <c r="C536" s="4"/>
      <c r="D536" s="165"/>
      <c r="E536" s="165"/>
      <c r="F536" s="165"/>
      <c r="G536" s="165"/>
      <c r="H536" s="165"/>
      <c r="I536" s="4"/>
      <c r="J536" s="4"/>
      <c r="K536" s="4"/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  <c r="X536" s="4"/>
      <c r="Y536" s="4"/>
      <c r="Z536" s="4"/>
    </row>
    <row r="537" ht="9.75" customHeight="1">
      <c r="A537" s="4"/>
      <c r="B537" s="4"/>
      <c r="C537" s="4"/>
      <c r="D537" s="165"/>
      <c r="E537" s="165"/>
      <c r="F537" s="165"/>
      <c r="G537" s="165"/>
      <c r="H537" s="165"/>
      <c r="I537" s="4"/>
      <c r="J537" s="4"/>
      <c r="K537" s="4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  <c r="X537" s="4"/>
      <c r="Y537" s="4"/>
      <c r="Z537" s="4"/>
    </row>
    <row r="538" ht="9.75" customHeight="1">
      <c r="A538" s="4"/>
      <c r="B538" s="4"/>
      <c r="C538" s="4"/>
      <c r="D538" s="165"/>
      <c r="E538" s="165"/>
      <c r="F538" s="165"/>
      <c r="G538" s="165"/>
      <c r="H538" s="165"/>
      <c r="I538" s="4"/>
      <c r="J538" s="4"/>
      <c r="K538" s="4"/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4"/>
      <c r="Y538" s="4"/>
      <c r="Z538" s="4"/>
    </row>
    <row r="539" ht="9.75" customHeight="1">
      <c r="A539" s="4"/>
      <c r="B539" s="4"/>
      <c r="C539" s="4"/>
      <c r="D539" s="165"/>
      <c r="E539" s="165"/>
      <c r="F539" s="165"/>
      <c r="G539" s="165"/>
      <c r="H539" s="165"/>
      <c r="I539" s="4"/>
      <c r="J539" s="4"/>
      <c r="K539" s="4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  <c r="X539" s="4"/>
      <c r="Y539" s="4"/>
      <c r="Z539" s="4"/>
    </row>
    <row r="540" ht="9.75" customHeight="1">
      <c r="A540" s="4"/>
      <c r="B540" s="4"/>
      <c r="C540" s="4"/>
      <c r="D540" s="165"/>
      <c r="E540" s="165"/>
      <c r="F540" s="165"/>
      <c r="G540" s="165"/>
      <c r="H540" s="165"/>
      <c r="I540" s="4"/>
      <c r="J540" s="4"/>
      <c r="K540" s="4"/>
      <c r="L540" s="4"/>
      <c r="M540" s="4"/>
      <c r="N540" s="4"/>
      <c r="O540" s="4"/>
      <c r="P540" s="4"/>
      <c r="Q540" s="4"/>
      <c r="R540" s="4"/>
      <c r="S540" s="4"/>
      <c r="T540" s="4"/>
      <c r="U540" s="4"/>
      <c r="V540" s="4"/>
      <c r="W540" s="4"/>
      <c r="X540" s="4"/>
      <c r="Y540" s="4"/>
      <c r="Z540" s="4"/>
    </row>
    <row r="541" ht="9.75" customHeight="1">
      <c r="A541" s="4"/>
      <c r="B541" s="4"/>
      <c r="C541" s="4"/>
      <c r="D541" s="165"/>
      <c r="E541" s="165"/>
      <c r="F541" s="165"/>
      <c r="G541" s="165"/>
      <c r="H541" s="165"/>
      <c r="I541" s="4"/>
      <c r="J541" s="4"/>
      <c r="K541" s="4"/>
      <c r="L541" s="4"/>
      <c r="M541" s="4"/>
      <c r="N541" s="4"/>
      <c r="O541" s="4"/>
      <c r="P541" s="4"/>
      <c r="Q541" s="4"/>
      <c r="R541" s="4"/>
      <c r="S541" s="4"/>
      <c r="T541" s="4"/>
      <c r="U541" s="4"/>
      <c r="V541" s="4"/>
      <c r="W541" s="4"/>
      <c r="X541" s="4"/>
      <c r="Y541" s="4"/>
      <c r="Z541" s="4"/>
    </row>
    <row r="542" ht="9.75" customHeight="1">
      <c r="A542" s="4"/>
      <c r="B542" s="4"/>
      <c r="C542" s="4"/>
      <c r="D542" s="165"/>
      <c r="E542" s="165"/>
      <c r="F542" s="165"/>
      <c r="G542" s="165"/>
      <c r="H542" s="165"/>
      <c r="I542" s="4"/>
      <c r="J542" s="4"/>
      <c r="K542" s="4"/>
      <c r="L542" s="4"/>
      <c r="M542" s="4"/>
      <c r="N542" s="4"/>
      <c r="O542" s="4"/>
      <c r="P542" s="4"/>
      <c r="Q542" s="4"/>
      <c r="R542" s="4"/>
      <c r="S542" s="4"/>
      <c r="T542" s="4"/>
      <c r="U542" s="4"/>
      <c r="V542" s="4"/>
      <c r="W542" s="4"/>
      <c r="X542" s="4"/>
      <c r="Y542" s="4"/>
      <c r="Z542" s="4"/>
    </row>
    <row r="543" ht="9.75" customHeight="1">
      <c r="A543" s="4"/>
      <c r="B543" s="4"/>
      <c r="C543" s="4"/>
      <c r="D543" s="165"/>
      <c r="E543" s="165"/>
      <c r="F543" s="165"/>
      <c r="G543" s="165"/>
      <c r="H543" s="165"/>
      <c r="I543" s="4"/>
      <c r="J543" s="4"/>
      <c r="K543" s="4"/>
      <c r="L543" s="4"/>
      <c r="M543" s="4"/>
      <c r="N543" s="4"/>
      <c r="O543" s="4"/>
      <c r="P543" s="4"/>
      <c r="Q543" s="4"/>
      <c r="R543" s="4"/>
      <c r="S543" s="4"/>
      <c r="T543" s="4"/>
      <c r="U543" s="4"/>
      <c r="V543" s="4"/>
      <c r="W543" s="4"/>
      <c r="X543" s="4"/>
      <c r="Y543" s="4"/>
      <c r="Z543" s="4"/>
    </row>
    <row r="544" ht="9.75" customHeight="1">
      <c r="A544" s="4"/>
      <c r="B544" s="4"/>
      <c r="C544" s="4"/>
      <c r="D544" s="165"/>
      <c r="E544" s="165"/>
      <c r="F544" s="165"/>
      <c r="G544" s="165"/>
      <c r="H544" s="165"/>
      <c r="I544" s="4"/>
      <c r="J544" s="4"/>
      <c r="K544" s="4"/>
      <c r="L544" s="4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4"/>
      <c r="X544" s="4"/>
      <c r="Y544" s="4"/>
      <c r="Z544" s="4"/>
    </row>
    <row r="545" ht="9.75" customHeight="1">
      <c r="A545" s="4"/>
      <c r="B545" s="4"/>
      <c r="C545" s="4"/>
      <c r="D545" s="165"/>
      <c r="E545" s="165"/>
      <c r="F545" s="165"/>
      <c r="G545" s="165"/>
      <c r="H545" s="165"/>
      <c r="I545" s="4"/>
      <c r="J545" s="4"/>
      <c r="K545" s="4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  <c r="X545" s="4"/>
      <c r="Y545" s="4"/>
      <c r="Z545" s="4"/>
    </row>
    <row r="546" ht="9.75" customHeight="1">
      <c r="A546" s="4"/>
      <c r="B546" s="4"/>
      <c r="C546" s="4"/>
      <c r="D546" s="165"/>
      <c r="E546" s="165"/>
      <c r="F546" s="165"/>
      <c r="G546" s="165"/>
      <c r="H546" s="165"/>
      <c r="I546" s="4"/>
      <c r="J546" s="4"/>
      <c r="K546" s="4"/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  <c r="X546" s="4"/>
      <c r="Y546" s="4"/>
      <c r="Z546" s="4"/>
    </row>
    <row r="547" ht="9.75" customHeight="1">
      <c r="A547" s="4"/>
      <c r="B547" s="4"/>
      <c r="C547" s="4"/>
      <c r="D547" s="165"/>
      <c r="E547" s="165"/>
      <c r="F547" s="165"/>
      <c r="G547" s="165"/>
      <c r="H547" s="165"/>
      <c r="I547" s="4"/>
      <c r="J547" s="4"/>
      <c r="K547" s="4"/>
      <c r="L547" s="4"/>
      <c r="M547" s="4"/>
      <c r="N547" s="4"/>
      <c r="O547" s="4"/>
      <c r="P547" s="4"/>
      <c r="Q547" s="4"/>
      <c r="R547" s="4"/>
      <c r="S547" s="4"/>
      <c r="T547" s="4"/>
      <c r="U547" s="4"/>
      <c r="V547" s="4"/>
      <c r="W547" s="4"/>
      <c r="X547" s="4"/>
      <c r="Y547" s="4"/>
      <c r="Z547" s="4"/>
    </row>
    <row r="548" ht="9.75" customHeight="1">
      <c r="A548" s="4"/>
      <c r="B548" s="4"/>
      <c r="C548" s="4"/>
      <c r="D548" s="165"/>
      <c r="E548" s="165"/>
      <c r="F548" s="165"/>
      <c r="G548" s="165"/>
      <c r="H548" s="165"/>
      <c r="I548" s="4"/>
      <c r="J548" s="4"/>
      <c r="K548" s="4"/>
      <c r="L548" s="4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4"/>
      <c r="X548" s="4"/>
      <c r="Y548" s="4"/>
      <c r="Z548" s="4"/>
    </row>
    <row r="549" ht="9.75" customHeight="1">
      <c r="A549" s="4"/>
      <c r="B549" s="4"/>
      <c r="C549" s="4"/>
      <c r="D549" s="165"/>
      <c r="E549" s="165"/>
      <c r="F549" s="165"/>
      <c r="G549" s="165"/>
      <c r="H549" s="165"/>
      <c r="I549" s="4"/>
      <c r="J549" s="4"/>
      <c r="K549" s="4"/>
      <c r="L549" s="4"/>
      <c r="M549" s="4"/>
      <c r="N549" s="4"/>
      <c r="O549" s="4"/>
      <c r="P549" s="4"/>
      <c r="Q549" s="4"/>
      <c r="R549" s="4"/>
      <c r="S549" s="4"/>
      <c r="T549" s="4"/>
      <c r="U549" s="4"/>
      <c r="V549" s="4"/>
      <c r="W549" s="4"/>
      <c r="X549" s="4"/>
      <c r="Y549" s="4"/>
      <c r="Z549" s="4"/>
    </row>
    <row r="550" ht="9.75" customHeight="1">
      <c r="A550" s="4"/>
      <c r="B550" s="4"/>
      <c r="C550" s="4"/>
      <c r="D550" s="165"/>
      <c r="E550" s="165"/>
      <c r="F550" s="165"/>
      <c r="G550" s="165"/>
      <c r="H550" s="165"/>
      <c r="I550" s="4"/>
      <c r="J550" s="4"/>
      <c r="K550" s="4"/>
      <c r="L550" s="4"/>
      <c r="M550" s="4"/>
      <c r="N550" s="4"/>
      <c r="O550" s="4"/>
      <c r="P550" s="4"/>
      <c r="Q550" s="4"/>
      <c r="R550" s="4"/>
      <c r="S550" s="4"/>
      <c r="T550" s="4"/>
      <c r="U550" s="4"/>
      <c r="V550" s="4"/>
      <c r="W550" s="4"/>
      <c r="X550" s="4"/>
      <c r="Y550" s="4"/>
      <c r="Z550" s="4"/>
    </row>
    <row r="551" ht="9.75" customHeight="1">
      <c r="A551" s="4"/>
      <c r="B551" s="4"/>
      <c r="C551" s="4"/>
      <c r="D551" s="165"/>
      <c r="E551" s="165"/>
      <c r="F551" s="165"/>
      <c r="G551" s="165"/>
      <c r="H551" s="165"/>
      <c r="I551" s="4"/>
      <c r="J551" s="4"/>
      <c r="K551" s="4"/>
      <c r="L551" s="4"/>
      <c r="M551" s="4"/>
      <c r="N551" s="4"/>
      <c r="O551" s="4"/>
      <c r="P551" s="4"/>
      <c r="Q551" s="4"/>
      <c r="R551" s="4"/>
      <c r="S551" s="4"/>
      <c r="T551" s="4"/>
      <c r="U551" s="4"/>
      <c r="V551" s="4"/>
      <c r="W551" s="4"/>
      <c r="X551" s="4"/>
      <c r="Y551" s="4"/>
      <c r="Z551" s="4"/>
    </row>
    <row r="552" ht="9.75" customHeight="1">
      <c r="A552" s="4"/>
      <c r="B552" s="4"/>
      <c r="C552" s="4"/>
      <c r="D552" s="165"/>
      <c r="E552" s="165"/>
      <c r="F552" s="165"/>
      <c r="G552" s="165"/>
      <c r="H552" s="165"/>
      <c r="I552" s="4"/>
      <c r="J552" s="4"/>
      <c r="K552" s="4"/>
      <c r="L552" s="4"/>
      <c r="M552" s="4"/>
      <c r="N552" s="4"/>
      <c r="O552" s="4"/>
      <c r="P552" s="4"/>
      <c r="Q552" s="4"/>
      <c r="R552" s="4"/>
      <c r="S552" s="4"/>
      <c r="T552" s="4"/>
      <c r="U552" s="4"/>
      <c r="V552" s="4"/>
      <c r="W552" s="4"/>
      <c r="X552" s="4"/>
      <c r="Y552" s="4"/>
      <c r="Z552" s="4"/>
    </row>
    <row r="553" ht="9.75" customHeight="1">
      <c r="A553" s="4"/>
      <c r="B553" s="4"/>
      <c r="C553" s="4"/>
      <c r="D553" s="165"/>
      <c r="E553" s="165"/>
      <c r="F553" s="165"/>
      <c r="G553" s="165"/>
      <c r="H553" s="165"/>
      <c r="I553" s="4"/>
      <c r="J553" s="4"/>
      <c r="K553" s="4"/>
      <c r="L553" s="4"/>
      <c r="M553" s="4"/>
      <c r="N553" s="4"/>
      <c r="O553" s="4"/>
      <c r="P553" s="4"/>
      <c r="Q553" s="4"/>
      <c r="R553" s="4"/>
      <c r="S553" s="4"/>
      <c r="T553" s="4"/>
      <c r="U553" s="4"/>
      <c r="V553" s="4"/>
      <c r="W553" s="4"/>
      <c r="X553" s="4"/>
      <c r="Y553" s="4"/>
      <c r="Z553" s="4"/>
    </row>
    <row r="554" ht="9.75" customHeight="1">
      <c r="A554" s="4"/>
      <c r="B554" s="4"/>
      <c r="C554" s="4"/>
      <c r="D554" s="165"/>
      <c r="E554" s="165"/>
      <c r="F554" s="165"/>
      <c r="G554" s="165"/>
      <c r="H554" s="165"/>
      <c r="I554" s="4"/>
      <c r="J554" s="4"/>
      <c r="K554" s="4"/>
      <c r="L554" s="4"/>
      <c r="M554" s="4"/>
      <c r="N554" s="4"/>
      <c r="O554" s="4"/>
      <c r="P554" s="4"/>
      <c r="Q554" s="4"/>
      <c r="R554" s="4"/>
      <c r="S554" s="4"/>
      <c r="T554" s="4"/>
      <c r="U554" s="4"/>
      <c r="V554" s="4"/>
      <c r="W554" s="4"/>
      <c r="X554" s="4"/>
      <c r="Y554" s="4"/>
      <c r="Z554" s="4"/>
    </row>
    <row r="555" ht="9.75" customHeight="1">
      <c r="A555" s="4"/>
      <c r="B555" s="4"/>
      <c r="C555" s="4"/>
      <c r="D555" s="165"/>
      <c r="E555" s="165"/>
      <c r="F555" s="165"/>
      <c r="G555" s="165"/>
      <c r="H555" s="165"/>
      <c r="I555" s="4"/>
      <c r="J555" s="4"/>
      <c r="K555" s="4"/>
      <c r="L555" s="4"/>
      <c r="M555" s="4"/>
      <c r="N555" s="4"/>
      <c r="O555" s="4"/>
      <c r="P555" s="4"/>
      <c r="Q555" s="4"/>
      <c r="R555" s="4"/>
      <c r="S555" s="4"/>
      <c r="T555" s="4"/>
      <c r="U555" s="4"/>
      <c r="V555" s="4"/>
      <c r="W555" s="4"/>
      <c r="X555" s="4"/>
      <c r="Y555" s="4"/>
      <c r="Z555" s="4"/>
    </row>
    <row r="556" ht="9.75" customHeight="1">
      <c r="A556" s="4"/>
      <c r="B556" s="4"/>
      <c r="C556" s="4"/>
      <c r="D556" s="165"/>
      <c r="E556" s="165"/>
      <c r="F556" s="165"/>
      <c r="G556" s="165"/>
      <c r="H556" s="165"/>
      <c r="I556" s="4"/>
      <c r="J556" s="4"/>
      <c r="K556" s="4"/>
      <c r="L556" s="4"/>
      <c r="M556" s="4"/>
      <c r="N556" s="4"/>
      <c r="O556" s="4"/>
      <c r="P556" s="4"/>
      <c r="Q556" s="4"/>
      <c r="R556" s="4"/>
      <c r="S556" s="4"/>
      <c r="T556" s="4"/>
      <c r="U556" s="4"/>
      <c r="V556" s="4"/>
      <c r="W556" s="4"/>
      <c r="X556" s="4"/>
      <c r="Y556" s="4"/>
      <c r="Z556" s="4"/>
    </row>
    <row r="557" ht="9.75" customHeight="1">
      <c r="A557" s="4"/>
      <c r="B557" s="4"/>
      <c r="C557" s="4"/>
      <c r="D557" s="165"/>
      <c r="E557" s="165"/>
      <c r="F557" s="165"/>
      <c r="G557" s="165"/>
      <c r="H557" s="165"/>
      <c r="I557" s="4"/>
      <c r="J557" s="4"/>
      <c r="K557" s="4"/>
      <c r="L557" s="4"/>
      <c r="M557" s="4"/>
      <c r="N557" s="4"/>
      <c r="O557" s="4"/>
      <c r="P557" s="4"/>
      <c r="Q557" s="4"/>
      <c r="R557" s="4"/>
      <c r="S557" s="4"/>
      <c r="T557" s="4"/>
      <c r="U557" s="4"/>
      <c r="V557" s="4"/>
      <c r="W557" s="4"/>
      <c r="X557" s="4"/>
      <c r="Y557" s="4"/>
      <c r="Z557" s="4"/>
    </row>
    <row r="558" ht="9.75" customHeight="1">
      <c r="A558" s="4"/>
      <c r="B558" s="4"/>
      <c r="C558" s="4"/>
      <c r="D558" s="165"/>
      <c r="E558" s="165"/>
      <c r="F558" s="165"/>
      <c r="G558" s="165"/>
      <c r="H558" s="165"/>
      <c r="I558" s="4"/>
      <c r="J558" s="4"/>
      <c r="K558" s="4"/>
      <c r="L558" s="4"/>
      <c r="M558" s="4"/>
      <c r="N558" s="4"/>
      <c r="O558" s="4"/>
      <c r="P558" s="4"/>
      <c r="Q558" s="4"/>
      <c r="R558" s="4"/>
      <c r="S558" s="4"/>
      <c r="T558" s="4"/>
      <c r="U558" s="4"/>
      <c r="V558" s="4"/>
      <c r="W558" s="4"/>
      <c r="X558" s="4"/>
      <c r="Y558" s="4"/>
      <c r="Z558" s="4"/>
    </row>
    <row r="559" ht="9.75" customHeight="1">
      <c r="A559" s="4"/>
      <c r="B559" s="4"/>
      <c r="C559" s="4"/>
      <c r="D559" s="165"/>
      <c r="E559" s="165"/>
      <c r="F559" s="165"/>
      <c r="G559" s="165"/>
      <c r="H559" s="165"/>
      <c r="I559" s="4"/>
      <c r="J559" s="4"/>
      <c r="K559" s="4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4"/>
      <c r="Y559" s="4"/>
      <c r="Z559" s="4"/>
    </row>
    <row r="560" ht="9.75" customHeight="1">
      <c r="A560" s="4"/>
      <c r="B560" s="4"/>
      <c r="C560" s="4"/>
      <c r="D560" s="165"/>
      <c r="E560" s="165"/>
      <c r="F560" s="165"/>
      <c r="G560" s="165"/>
      <c r="H560" s="165"/>
      <c r="I560" s="4"/>
      <c r="J560" s="4"/>
      <c r="K560" s="4"/>
      <c r="L560" s="4"/>
      <c r="M560" s="4"/>
      <c r="N560" s="4"/>
      <c r="O560" s="4"/>
      <c r="P560" s="4"/>
      <c r="Q560" s="4"/>
      <c r="R560" s="4"/>
      <c r="S560" s="4"/>
      <c r="T560" s="4"/>
      <c r="U560" s="4"/>
      <c r="V560" s="4"/>
      <c r="W560" s="4"/>
      <c r="X560" s="4"/>
      <c r="Y560" s="4"/>
      <c r="Z560" s="4"/>
    </row>
    <row r="561" ht="9.75" customHeight="1">
      <c r="A561" s="4"/>
      <c r="B561" s="4"/>
      <c r="C561" s="4"/>
      <c r="D561" s="165"/>
      <c r="E561" s="165"/>
      <c r="F561" s="165"/>
      <c r="G561" s="165"/>
      <c r="H561" s="165"/>
      <c r="I561" s="4"/>
      <c r="J561" s="4"/>
      <c r="K561" s="4"/>
      <c r="L561" s="4"/>
      <c r="M561" s="4"/>
      <c r="N561" s="4"/>
      <c r="O561" s="4"/>
      <c r="P561" s="4"/>
      <c r="Q561" s="4"/>
      <c r="R561" s="4"/>
      <c r="S561" s="4"/>
      <c r="T561" s="4"/>
      <c r="U561" s="4"/>
      <c r="V561" s="4"/>
      <c r="W561" s="4"/>
      <c r="X561" s="4"/>
      <c r="Y561" s="4"/>
      <c r="Z561" s="4"/>
    </row>
    <row r="562" ht="9.75" customHeight="1">
      <c r="A562" s="4"/>
      <c r="B562" s="4"/>
      <c r="C562" s="4"/>
      <c r="D562" s="165"/>
      <c r="E562" s="165"/>
      <c r="F562" s="165"/>
      <c r="G562" s="165"/>
      <c r="H562" s="165"/>
      <c r="I562" s="4"/>
      <c r="J562" s="4"/>
      <c r="K562" s="4"/>
      <c r="L562" s="4"/>
      <c r="M562" s="4"/>
      <c r="N562" s="4"/>
      <c r="O562" s="4"/>
      <c r="P562" s="4"/>
      <c r="Q562" s="4"/>
      <c r="R562" s="4"/>
      <c r="S562" s="4"/>
      <c r="T562" s="4"/>
      <c r="U562" s="4"/>
      <c r="V562" s="4"/>
      <c r="W562" s="4"/>
      <c r="X562" s="4"/>
      <c r="Y562" s="4"/>
      <c r="Z562" s="4"/>
    </row>
    <row r="563" ht="9.75" customHeight="1">
      <c r="A563" s="4"/>
      <c r="B563" s="4"/>
      <c r="C563" s="4"/>
      <c r="D563" s="165"/>
      <c r="E563" s="165"/>
      <c r="F563" s="165"/>
      <c r="G563" s="165"/>
      <c r="H563" s="165"/>
      <c r="I563" s="4"/>
      <c r="J563" s="4"/>
      <c r="K563" s="4"/>
      <c r="L563" s="4"/>
      <c r="M563" s="4"/>
      <c r="N563" s="4"/>
      <c r="O563" s="4"/>
      <c r="P563" s="4"/>
      <c r="Q563" s="4"/>
      <c r="R563" s="4"/>
      <c r="S563" s="4"/>
      <c r="T563" s="4"/>
      <c r="U563" s="4"/>
      <c r="V563" s="4"/>
      <c r="W563" s="4"/>
      <c r="X563" s="4"/>
      <c r="Y563" s="4"/>
      <c r="Z563" s="4"/>
    </row>
    <row r="564" ht="9.75" customHeight="1">
      <c r="A564" s="4"/>
      <c r="B564" s="4"/>
      <c r="C564" s="4"/>
      <c r="D564" s="165"/>
      <c r="E564" s="165"/>
      <c r="F564" s="165"/>
      <c r="G564" s="165"/>
      <c r="H564" s="165"/>
      <c r="I564" s="4"/>
      <c r="J564" s="4"/>
      <c r="K564" s="4"/>
      <c r="L564" s="4"/>
      <c r="M564" s="4"/>
      <c r="N564" s="4"/>
      <c r="O564" s="4"/>
      <c r="P564" s="4"/>
      <c r="Q564" s="4"/>
      <c r="R564" s="4"/>
      <c r="S564" s="4"/>
      <c r="T564" s="4"/>
      <c r="U564" s="4"/>
      <c r="V564" s="4"/>
      <c r="W564" s="4"/>
      <c r="X564" s="4"/>
      <c r="Y564" s="4"/>
      <c r="Z564" s="4"/>
    </row>
    <row r="565" ht="9.75" customHeight="1">
      <c r="A565" s="4"/>
      <c r="B565" s="4"/>
      <c r="C565" s="4"/>
      <c r="D565" s="165"/>
      <c r="E565" s="165"/>
      <c r="F565" s="165"/>
      <c r="G565" s="165"/>
      <c r="H565" s="165"/>
      <c r="I565" s="4"/>
      <c r="J565" s="4"/>
      <c r="K565" s="4"/>
      <c r="L565" s="4"/>
      <c r="M565" s="4"/>
      <c r="N565" s="4"/>
      <c r="O565" s="4"/>
      <c r="P565" s="4"/>
      <c r="Q565" s="4"/>
      <c r="R565" s="4"/>
      <c r="S565" s="4"/>
      <c r="T565" s="4"/>
      <c r="U565" s="4"/>
      <c r="V565" s="4"/>
      <c r="W565" s="4"/>
      <c r="X565" s="4"/>
      <c r="Y565" s="4"/>
      <c r="Z565" s="4"/>
    </row>
    <row r="566" ht="9.75" customHeight="1">
      <c r="A566" s="4"/>
      <c r="B566" s="4"/>
      <c r="C566" s="4"/>
      <c r="D566" s="165"/>
      <c r="E566" s="165"/>
      <c r="F566" s="165"/>
      <c r="G566" s="165"/>
      <c r="H566" s="165"/>
      <c r="I566" s="4"/>
      <c r="J566" s="4"/>
      <c r="K566" s="4"/>
      <c r="L566" s="4"/>
      <c r="M566" s="4"/>
      <c r="N566" s="4"/>
      <c r="O566" s="4"/>
      <c r="P566" s="4"/>
      <c r="Q566" s="4"/>
      <c r="R566" s="4"/>
      <c r="S566" s="4"/>
      <c r="T566" s="4"/>
      <c r="U566" s="4"/>
      <c r="V566" s="4"/>
      <c r="W566" s="4"/>
      <c r="X566" s="4"/>
      <c r="Y566" s="4"/>
      <c r="Z566" s="4"/>
    </row>
    <row r="567" ht="9.75" customHeight="1">
      <c r="A567" s="4"/>
      <c r="B567" s="4"/>
      <c r="C567" s="4"/>
      <c r="D567" s="165"/>
      <c r="E567" s="165"/>
      <c r="F567" s="165"/>
      <c r="G567" s="165"/>
      <c r="H567" s="165"/>
      <c r="I567" s="4"/>
      <c r="J567" s="4"/>
      <c r="K567" s="4"/>
      <c r="L567" s="4"/>
      <c r="M567" s="4"/>
      <c r="N567" s="4"/>
      <c r="O567" s="4"/>
      <c r="P567" s="4"/>
      <c r="Q567" s="4"/>
      <c r="R567" s="4"/>
      <c r="S567" s="4"/>
      <c r="T567" s="4"/>
      <c r="U567" s="4"/>
      <c r="V567" s="4"/>
      <c r="W567" s="4"/>
      <c r="X567" s="4"/>
      <c r="Y567" s="4"/>
      <c r="Z567" s="4"/>
    </row>
    <row r="568" ht="9.75" customHeight="1">
      <c r="A568" s="4"/>
      <c r="B568" s="4"/>
      <c r="C568" s="4"/>
      <c r="D568" s="165"/>
      <c r="E568" s="165"/>
      <c r="F568" s="165"/>
      <c r="G568" s="165"/>
      <c r="H568" s="165"/>
      <c r="I568" s="4"/>
      <c r="J568" s="4"/>
      <c r="K568" s="4"/>
      <c r="L568" s="4"/>
      <c r="M568" s="4"/>
      <c r="N568" s="4"/>
      <c r="O568" s="4"/>
      <c r="P568" s="4"/>
      <c r="Q568" s="4"/>
      <c r="R568" s="4"/>
      <c r="S568" s="4"/>
      <c r="T568" s="4"/>
      <c r="U568" s="4"/>
      <c r="V568" s="4"/>
      <c r="W568" s="4"/>
      <c r="X568" s="4"/>
      <c r="Y568" s="4"/>
      <c r="Z568" s="4"/>
    </row>
    <row r="569" ht="9.75" customHeight="1">
      <c r="A569" s="4"/>
      <c r="B569" s="4"/>
      <c r="C569" s="4"/>
      <c r="D569" s="165"/>
      <c r="E569" s="165"/>
      <c r="F569" s="165"/>
      <c r="G569" s="165"/>
      <c r="H569" s="165"/>
      <c r="I569" s="4"/>
      <c r="J569" s="4"/>
      <c r="K569" s="4"/>
      <c r="L569" s="4"/>
      <c r="M569" s="4"/>
      <c r="N569" s="4"/>
      <c r="O569" s="4"/>
      <c r="P569" s="4"/>
      <c r="Q569" s="4"/>
      <c r="R569" s="4"/>
      <c r="S569" s="4"/>
      <c r="T569" s="4"/>
      <c r="U569" s="4"/>
      <c r="V569" s="4"/>
      <c r="W569" s="4"/>
      <c r="X569" s="4"/>
      <c r="Y569" s="4"/>
      <c r="Z569" s="4"/>
    </row>
    <row r="570" ht="9.75" customHeight="1">
      <c r="A570" s="4"/>
      <c r="B570" s="4"/>
      <c r="C570" s="4"/>
      <c r="D570" s="165"/>
      <c r="E570" s="165"/>
      <c r="F570" s="165"/>
      <c r="G570" s="165"/>
      <c r="H570" s="165"/>
      <c r="I570" s="4"/>
      <c r="J570" s="4"/>
      <c r="K570" s="4"/>
      <c r="L570" s="4"/>
      <c r="M570" s="4"/>
      <c r="N570" s="4"/>
      <c r="O570" s="4"/>
      <c r="P570" s="4"/>
      <c r="Q570" s="4"/>
      <c r="R570" s="4"/>
      <c r="S570" s="4"/>
      <c r="T570" s="4"/>
      <c r="U570" s="4"/>
      <c r="V570" s="4"/>
      <c r="W570" s="4"/>
      <c r="X570" s="4"/>
      <c r="Y570" s="4"/>
      <c r="Z570" s="4"/>
    </row>
    <row r="571" ht="9.75" customHeight="1">
      <c r="A571" s="4"/>
      <c r="B571" s="4"/>
      <c r="C571" s="4"/>
      <c r="D571" s="165"/>
      <c r="E571" s="165"/>
      <c r="F571" s="165"/>
      <c r="G571" s="165"/>
      <c r="H571" s="165"/>
      <c r="I571" s="4"/>
      <c r="J571" s="4"/>
      <c r="K571" s="4"/>
      <c r="L571" s="4"/>
      <c r="M571" s="4"/>
      <c r="N571" s="4"/>
      <c r="O571" s="4"/>
      <c r="P571" s="4"/>
      <c r="Q571" s="4"/>
      <c r="R571" s="4"/>
      <c r="S571" s="4"/>
      <c r="T571" s="4"/>
      <c r="U571" s="4"/>
      <c r="V571" s="4"/>
      <c r="W571" s="4"/>
      <c r="X571" s="4"/>
      <c r="Y571" s="4"/>
      <c r="Z571" s="4"/>
    </row>
    <row r="572" ht="9.75" customHeight="1">
      <c r="A572" s="4"/>
      <c r="B572" s="4"/>
      <c r="C572" s="4"/>
      <c r="D572" s="165"/>
      <c r="E572" s="165"/>
      <c r="F572" s="165"/>
      <c r="G572" s="165"/>
      <c r="H572" s="165"/>
      <c r="I572" s="4"/>
      <c r="J572" s="4"/>
      <c r="K572" s="4"/>
      <c r="L572" s="4"/>
      <c r="M572" s="4"/>
      <c r="N572" s="4"/>
      <c r="O572" s="4"/>
      <c r="P572" s="4"/>
      <c r="Q572" s="4"/>
      <c r="R572" s="4"/>
      <c r="S572" s="4"/>
      <c r="T572" s="4"/>
      <c r="U572" s="4"/>
      <c r="V572" s="4"/>
      <c r="W572" s="4"/>
      <c r="X572" s="4"/>
      <c r="Y572" s="4"/>
      <c r="Z572" s="4"/>
    </row>
    <row r="573" ht="9.75" customHeight="1">
      <c r="A573" s="4"/>
      <c r="B573" s="4"/>
      <c r="C573" s="4"/>
      <c r="D573" s="165"/>
      <c r="E573" s="165"/>
      <c r="F573" s="165"/>
      <c r="G573" s="165"/>
      <c r="H573" s="165"/>
      <c r="I573" s="4"/>
      <c r="J573" s="4"/>
      <c r="K573" s="4"/>
      <c r="L573" s="4"/>
      <c r="M573" s="4"/>
      <c r="N573" s="4"/>
      <c r="O573" s="4"/>
      <c r="P573" s="4"/>
      <c r="Q573" s="4"/>
      <c r="R573" s="4"/>
      <c r="S573" s="4"/>
      <c r="T573" s="4"/>
      <c r="U573" s="4"/>
      <c r="V573" s="4"/>
      <c r="W573" s="4"/>
      <c r="X573" s="4"/>
      <c r="Y573" s="4"/>
      <c r="Z573" s="4"/>
    </row>
    <row r="574" ht="9.75" customHeight="1">
      <c r="A574" s="4"/>
      <c r="B574" s="4"/>
      <c r="C574" s="4"/>
      <c r="D574" s="165"/>
      <c r="E574" s="165"/>
      <c r="F574" s="165"/>
      <c r="G574" s="165"/>
      <c r="H574" s="165"/>
      <c r="I574" s="4"/>
      <c r="J574" s="4"/>
      <c r="K574" s="4"/>
      <c r="L574" s="4"/>
      <c r="M574" s="4"/>
      <c r="N574" s="4"/>
      <c r="O574" s="4"/>
      <c r="P574" s="4"/>
      <c r="Q574" s="4"/>
      <c r="R574" s="4"/>
      <c r="S574" s="4"/>
      <c r="T574" s="4"/>
      <c r="U574" s="4"/>
      <c r="V574" s="4"/>
      <c r="W574" s="4"/>
      <c r="X574" s="4"/>
      <c r="Y574" s="4"/>
      <c r="Z574" s="4"/>
    </row>
    <row r="575" ht="9.75" customHeight="1">
      <c r="A575" s="4"/>
      <c r="B575" s="4"/>
      <c r="C575" s="4"/>
      <c r="D575" s="165"/>
      <c r="E575" s="165"/>
      <c r="F575" s="165"/>
      <c r="G575" s="165"/>
      <c r="H575" s="165"/>
      <c r="I575" s="4"/>
      <c r="J575" s="4"/>
      <c r="K575" s="4"/>
      <c r="L575" s="4"/>
      <c r="M575" s="4"/>
      <c r="N575" s="4"/>
      <c r="O575" s="4"/>
      <c r="P575" s="4"/>
      <c r="Q575" s="4"/>
      <c r="R575" s="4"/>
      <c r="S575" s="4"/>
      <c r="T575" s="4"/>
      <c r="U575" s="4"/>
      <c r="V575" s="4"/>
      <c r="W575" s="4"/>
      <c r="X575" s="4"/>
      <c r="Y575" s="4"/>
      <c r="Z575" s="4"/>
    </row>
    <row r="576" ht="9.75" customHeight="1">
      <c r="A576" s="4"/>
      <c r="B576" s="4"/>
      <c r="C576" s="4"/>
      <c r="D576" s="165"/>
      <c r="E576" s="165"/>
      <c r="F576" s="165"/>
      <c r="G576" s="165"/>
      <c r="H576" s="165"/>
      <c r="I576" s="4"/>
      <c r="J576" s="4"/>
      <c r="K576" s="4"/>
      <c r="L576" s="4"/>
      <c r="M576" s="4"/>
      <c r="N576" s="4"/>
      <c r="O576" s="4"/>
      <c r="P576" s="4"/>
      <c r="Q576" s="4"/>
      <c r="R576" s="4"/>
      <c r="S576" s="4"/>
      <c r="T576" s="4"/>
      <c r="U576" s="4"/>
      <c r="V576" s="4"/>
      <c r="W576" s="4"/>
      <c r="X576" s="4"/>
      <c r="Y576" s="4"/>
      <c r="Z576" s="4"/>
    </row>
    <row r="577" ht="9.75" customHeight="1">
      <c r="A577" s="4"/>
      <c r="B577" s="4"/>
      <c r="C577" s="4"/>
      <c r="D577" s="165"/>
      <c r="E577" s="165"/>
      <c r="F577" s="165"/>
      <c r="G577" s="165"/>
      <c r="H577" s="165"/>
      <c r="I577" s="4"/>
      <c r="J577" s="4"/>
      <c r="K577" s="4"/>
      <c r="L577" s="4"/>
      <c r="M577" s="4"/>
      <c r="N577" s="4"/>
      <c r="O577" s="4"/>
      <c r="P577" s="4"/>
      <c r="Q577" s="4"/>
      <c r="R577" s="4"/>
      <c r="S577" s="4"/>
      <c r="T577" s="4"/>
      <c r="U577" s="4"/>
      <c r="V577" s="4"/>
      <c r="W577" s="4"/>
      <c r="X577" s="4"/>
      <c r="Y577" s="4"/>
      <c r="Z577" s="4"/>
    </row>
    <row r="578" ht="9.75" customHeight="1">
      <c r="A578" s="4"/>
      <c r="B578" s="4"/>
      <c r="C578" s="4"/>
      <c r="D578" s="165"/>
      <c r="E578" s="165"/>
      <c r="F578" s="165"/>
      <c r="G578" s="165"/>
      <c r="H578" s="165"/>
      <c r="I578" s="4"/>
      <c r="J578" s="4"/>
      <c r="K578" s="4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  <c r="X578" s="4"/>
      <c r="Y578" s="4"/>
      <c r="Z578" s="4"/>
    </row>
    <row r="579" ht="9.75" customHeight="1">
      <c r="A579" s="4"/>
      <c r="B579" s="4"/>
      <c r="C579" s="4"/>
      <c r="D579" s="165"/>
      <c r="E579" s="165"/>
      <c r="F579" s="165"/>
      <c r="G579" s="165"/>
      <c r="H579" s="165"/>
      <c r="I579" s="4"/>
      <c r="J579" s="4"/>
      <c r="K579" s="4"/>
      <c r="L579" s="4"/>
      <c r="M579" s="4"/>
      <c r="N579" s="4"/>
      <c r="O579" s="4"/>
      <c r="P579" s="4"/>
      <c r="Q579" s="4"/>
      <c r="R579" s="4"/>
      <c r="S579" s="4"/>
      <c r="T579" s="4"/>
      <c r="U579" s="4"/>
      <c r="V579" s="4"/>
      <c r="W579" s="4"/>
      <c r="X579" s="4"/>
      <c r="Y579" s="4"/>
      <c r="Z579" s="4"/>
    </row>
    <row r="580" ht="9.75" customHeight="1">
      <c r="A580" s="4"/>
      <c r="B580" s="4"/>
      <c r="C580" s="4"/>
      <c r="D580" s="165"/>
      <c r="E580" s="165"/>
      <c r="F580" s="165"/>
      <c r="G580" s="165"/>
      <c r="H580" s="165"/>
      <c r="I580" s="4"/>
      <c r="J580" s="4"/>
      <c r="K580" s="4"/>
      <c r="L580" s="4"/>
      <c r="M580" s="4"/>
      <c r="N580" s="4"/>
      <c r="O580" s="4"/>
      <c r="P580" s="4"/>
      <c r="Q580" s="4"/>
      <c r="R580" s="4"/>
      <c r="S580" s="4"/>
      <c r="T580" s="4"/>
      <c r="U580" s="4"/>
      <c r="V580" s="4"/>
      <c r="W580" s="4"/>
      <c r="X580" s="4"/>
      <c r="Y580" s="4"/>
      <c r="Z580" s="4"/>
    </row>
    <row r="581" ht="9.75" customHeight="1">
      <c r="A581" s="4"/>
      <c r="B581" s="4"/>
      <c r="C581" s="4"/>
      <c r="D581" s="165"/>
      <c r="E581" s="165"/>
      <c r="F581" s="165"/>
      <c r="G581" s="165"/>
      <c r="H581" s="165"/>
      <c r="I581" s="4"/>
      <c r="J581" s="4"/>
      <c r="K581" s="4"/>
      <c r="L581" s="4"/>
      <c r="M581" s="4"/>
      <c r="N581" s="4"/>
      <c r="O581" s="4"/>
      <c r="P581" s="4"/>
      <c r="Q581" s="4"/>
      <c r="R581" s="4"/>
      <c r="S581" s="4"/>
      <c r="T581" s="4"/>
      <c r="U581" s="4"/>
      <c r="V581" s="4"/>
      <c r="W581" s="4"/>
      <c r="X581" s="4"/>
      <c r="Y581" s="4"/>
      <c r="Z581" s="4"/>
    </row>
    <row r="582" ht="9.75" customHeight="1">
      <c r="A582" s="4"/>
      <c r="B582" s="4"/>
      <c r="C582" s="4"/>
      <c r="D582" s="165"/>
      <c r="E582" s="165"/>
      <c r="F582" s="165"/>
      <c r="G582" s="165"/>
      <c r="H582" s="165"/>
      <c r="I582" s="4"/>
      <c r="J582" s="4"/>
      <c r="K582" s="4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/>
      <c r="W582" s="4"/>
      <c r="X582" s="4"/>
      <c r="Y582" s="4"/>
      <c r="Z582" s="4"/>
    </row>
    <row r="583" ht="9.75" customHeight="1">
      <c r="A583" s="4"/>
      <c r="B583" s="4"/>
      <c r="C583" s="4"/>
      <c r="D583" s="165"/>
      <c r="E583" s="165"/>
      <c r="F583" s="165"/>
      <c r="G583" s="165"/>
      <c r="H583" s="165"/>
      <c r="I583" s="4"/>
      <c r="J583" s="4"/>
      <c r="K583" s="4"/>
      <c r="L583" s="4"/>
      <c r="M583" s="4"/>
      <c r="N583" s="4"/>
      <c r="O583" s="4"/>
      <c r="P583" s="4"/>
      <c r="Q583" s="4"/>
      <c r="R583" s="4"/>
      <c r="S583" s="4"/>
      <c r="T583" s="4"/>
      <c r="U583" s="4"/>
      <c r="V583" s="4"/>
      <c r="W583" s="4"/>
      <c r="X583" s="4"/>
      <c r="Y583" s="4"/>
      <c r="Z583" s="4"/>
    </row>
    <row r="584" ht="9.75" customHeight="1">
      <c r="A584" s="4"/>
      <c r="B584" s="4"/>
      <c r="C584" s="4"/>
      <c r="D584" s="165"/>
      <c r="E584" s="165"/>
      <c r="F584" s="165"/>
      <c r="G584" s="165"/>
      <c r="H584" s="165"/>
      <c r="I584" s="4"/>
      <c r="J584" s="4"/>
      <c r="K584" s="4"/>
      <c r="L584" s="4"/>
      <c r="M584" s="4"/>
      <c r="N584" s="4"/>
      <c r="O584" s="4"/>
      <c r="P584" s="4"/>
      <c r="Q584" s="4"/>
      <c r="R584" s="4"/>
      <c r="S584" s="4"/>
      <c r="T584" s="4"/>
      <c r="U584" s="4"/>
      <c r="V584" s="4"/>
      <c r="W584" s="4"/>
      <c r="X584" s="4"/>
      <c r="Y584" s="4"/>
      <c r="Z584" s="4"/>
    </row>
    <row r="585" ht="9.75" customHeight="1">
      <c r="A585" s="4"/>
      <c r="B585" s="4"/>
      <c r="C585" s="4"/>
      <c r="D585" s="165"/>
      <c r="E585" s="165"/>
      <c r="F585" s="165"/>
      <c r="G585" s="165"/>
      <c r="H585" s="165"/>
      <c r="I585" s="4"/>
      <c r="J585" s="4"/>
      <c r="K585" s="4"/>
      <c r="L585" s="4"/>
      <c r="M585" s="4"/>
      <c r="N585" s="4"/>
      <c r="O585" s="4"/>
      <c r="P585" s="4"/>
      <c r="Q585" s="4"/>
      <c r="R585" s="4"/>
      <c r="S585" s="4"/>
      <c r="T585" s="4"/>
      <c r="U585" s="4"/>
      <c r="V585" s="4"/>
      <c r="W585" s="4"/>
      <c r="X585" s="4"/>
      <c r="Y585" s="4"/>
      <c r="Z585" s="4"/>
    </row>
    <row r="586" ht="9.75" customHeight="1">
      <c r="A586" s="4"/>
      <c r="B586" s="4"/>
      <c r="C586" s="4"/>
      <c r="D586" s="165"/>
      <c r="E586" s="165"/>
      <c r="F586" s="165"/>
      <c r="G586" s="165"/>
      <c r="H586" s="165"/>
      <c r="I586" s="4"/>
      <c r="J586" s="4"/>
      <c r="K586" s="4"/>
      <c r="L586" s="4"/>
      <c r="M586" s="4"/>
      <c r="N586" s="4"/>
      <c r="O586" s="4"/>
      <c r="P586" s="4"/>
      <c r="Q586" s="4"/>
      <c r="R586" s="4"/>
      <c r="S586" s="4"/>
      <c r="T586" s="4"/>
      <c r="U586" s="4"/>
      <c r="V586" s="4"/>
      <c r="W586" s="4"/>
      <c r="X586" s="4"/>
      <c r="Y586" s="4"/>
      <c r="Z586" s="4"/>
    </row>
    <row r="587" ht="9.75" customHeight="1">
      <c r="A587" s="4"/>
      <c r="B587" s="4"/>
      <c r="C587" s="4"/>
      <c r="D587" s="165"/>
      <c r="E587" s="165"/>
      <c r="F587" s="165"/>
      <c r="G587" s="165"/>
      <c r="H587" s="165"/>
      <c r="I587" s="4"/>
      <c r="J587" s="4"/>
      <c r="K587" s="4"/>
      <c r="L587" s="4"/>
      <c r="M587" s="4"/>
      <c r="N587" s="4"/>
      <c r="O587" s="4"/>
      <c r="P587" s="4"/>
      <c r="Q587" s="4"/>
      <c r="R587" s="4"/>
      <c r="S587" s="4"/>
      <c r="T587" s="4"/>
      <c r="U587" s="4"/>
      <c r="V587" s="4"/>
      <c r="W587" s="4"/>
      <c r="X587" s="4"/>
      <c r="Y587" s="4"/>
      <c r="Z587" s="4"/>
    </row>
    <row r="588" ht="9.75" customHeight="1">
      <c r="A588" s="4"/>
      <c r="B588" s="4"/>
      <c r="C588" s="4"/>
      <c r="D588" s="165"/>
      <c r="E588" s="165"/>
      <c r="F588" s="165"/>
      <c r="G588" s="165"/>
      <c r="H588" s="165"/>
      <c r="I588" s="4"/>
      <c r="J588" s="4"/>
      <c r="K588" s="4"/>
      <c r="L588" s="4"/>
      <c r="M588" s="4"/>
      <c r="N588" s="4"/>
      <c r="O588" s="4"/>
      <c r="P588" s="4"/>
      <c r="Q588" s="4"/>
      <c r="R588" s="4"/>
      <c r="S588" s="4"/>
      <c r="T588" s="4"/>
      <c r="U588" s="4"/>
      <c r="V588" s="4"/>
      <c r="W588" s="4"/>
      <c r="X588" s="4"/>
      <c r="Y588" s="4"/>
      <c r="Z588" s="4"/>
    </row>
    <row r="589" ht="9.75" customHeight="1">
      <c r="A589" s="4"/>
      <c r="B589" s="4"/>
      <c r="C589" s="4"/>
      <c r="D589" s="165"/>
      <c r="E589" s="165"/>
      <c r="F589" s="165"/>
      <c r="G589" s="165"/>
      <c r="H589" s="165"/>
      <c r="I589" s="4"/>
      <c r="J589" s="4"/>
      <c r="K589" s="4"/>
      <c r="L589" s="4"/>
      <c r="M589" s="4"/>
      <c r="N589" s="4"/>
      <c r="O589" s="4"/>
      <c r="P589" s="4"/>
      <c r="Q589" s="4"/>
      <c r="R589" s="4"/>
      <c r="S589" s="4"/>
      <c r="T589" s="4"/>
      <c r="U589" s="4"/>
      <c r="V589" s="4"/>
      <c r="W589" s="4"/>
      <c r="X589" s="4"/>
      <c r="Y589" s="4"/>
      <c r="Z589" s="4"/>
    </row>
    <row r="590" ht="9.75" customHeight="1">
      <c r="A590" s="4"/>
      <c r="B590" s="4"/>
      <c r="C590" s="4"/>
      <c r="D590" s="165"/>
      <c r="E590" s="165"/>
      <c r="F590" s="165"/>
      <c r="G590" s="165"/>
      <c r="H590" s="165"/>
      <c r="I590" s="4"/>
      <c r="J590" s="4"/>
      <c r="K590" s="4"/>
      <c r="L590" s="4"/>
      <c r="M590" s="4"/>
      <c r="N590" s="4"/>
      <c r="O590" s="4"/>
      <c r="P590" s="4"/>
      <c r="Q590" s="4"/>
      <c r="R590" s="4"/>
      <c r="S590" s="4"/>
      <c r="T590" s="4"/>
      <c r="U590" s="4"/>
      <c r="V590" s="4"/>
      <c r="W590" s="4"/>
      <c r="X590" s="4"/>
      <c r="Y590" s="4"/>
      <c r="Z590" s="4"/>
    </row>
    <row r="591" ht="9.75" customHeight="1">
      <c r="A591" s="4"/>
      <c r="B591" s="4"/>
      <c r="C591" s="4"/>
      <c r="D591" s="165"/>
      <c r="E591" s="165"/>
      <c r="F591" s="165"/>
      <c r="G591" s="165"/>
      <c r="H591" s="165"/>
      <c r="I591" s="4"/>
      <c r="J591" s="4"/>
      <c r="K591" s="4"/>
      <c r="L591" s="4"/>
      <c r="M591" s="4"/>
      <c r="N591" s="4"/>
      <c r="O591" s="4"/>
      <c r="P591" s="4"/>
      <c r="Q591" s="4"/>
      <c r="R591" s="4"/>
      <c r="S591" s="4"/>
      <c r="T591" s="4"/>
      <c r="U591" s="4"/>
      <c r="V591" s="4"/>
      <c r="W591" s="4"/>
      <c r="X591" s="4"/>
      <c r="Y591" s="4"/>
      <c r="Z591" s="4"/>
    </row>
    <row r="592" ht="9.75" customHeight="1">
      <c r="A592" s="4"/>
      <c r="B592" s="4"/>
      <c r="C592" s="4"/>
      <c r="D592" s="165"/>
      <c r="E592" s="165"/>
      <c r="F592" s="165"/>
      <c r="G592" s="165"/>
      <c r="H592" s="165"/>
      <c r="I592" s="4"/>
      <c r="J592" s="4"/>
      <c r="K592" s="4"/>
      <c r="L592" s="4"/>
      <c r="M592" s="4"/>
      <c r="N592" s="4"/>
      <c r="O592" s="4"/>
      <c r="P592" s="4"/>
      <c r="Q592" s="4"/>
      <c r="R592" s="4"/>
      <c r="S592" s="4"/>
      <c r="T592" s="4"/>
      <c r="U592" s="4"/>
      <c r="V592" s="4"/>
      <c r="W592" s="4"/>
      <c r="X592" s="4"/>
      <c r="Y592" s="4"/>
      <c r="Z592" s="4"/>
    </row>
    <row r="593" ht="9.75" customHeight="1">
      <c r="A593" s="4"/>
      <c r="B593" s="4"/>
      <c r="C593" s="4"/>
      <c r="D593" s="165"/>
      <c r="E593" s="165"/>
      <c r="F593" s="165"/>
      <c r="G593" s="165"/>
      <c r="H593" s="165"/>
      <c r="I593" s="4"/>
      <c r="J593" s="4"/>
      <c r="K593" s="4"/>
      <c r="L593" s="4"/>
      <c r="M593" s="4"/>
      <c r="N593" s="4"/>
      <c r="O593" s="4"/>
      <c r="P593" s="4"/>
      <c r="Q593" s="4"/>
      <c r="R593" s="4"/>
      <c r="S593" s="4"/>
      <c r="T593" s="4"/>
      <c r="U593" s="4"/>
      <c r="V593" s="4"/>
      <c r="W593" s="4"/>
      <c r="X593" s="4"/>
      <c r="Y593" s="4"/>
      <c r="Z593" s="4"/>
    </row>
    <row r="594" ht="9.75" customHeight="1">
      <c r="A594" s="4"/>
      <c r="B594" s="4"/>
      <c r="C594" s="4"/>
      <c r="D594" s="165"/>
      <c r="E594" s="165"/>
      <c r="F594" s="165"/>
      <c r="G594" s="165"/>
      <c r="H594" s="165"/>
      <c r="I594" s="4"/>
      <c r="J594" s="4"/>
      <c r="K594" s="4"/>
      <c r="L594" s="4"/>
      <c r="M594" s="4"/>
      <c r="N594" s="4"/>
      <c r="O594" s="4"/>
      <c r="P594" s="4"/>
      <c r="Q594" s="4"/>
      <c r="R594" s="4"/>
      <c r="S594" s="4"/>
      <c r="T594" s="4"/>
      <c r="U594" s="4"/>
      <c r="V594" s="4"/>
      <c r="W594" s="4"/>
      <c r="X594" s="4"/>
      <c r="Y594" s="4"/>
      <c r="Z594" s="4"/>
    </row>
    <row r="595" ht="9.75" customHeight="1">
      <c r="A595" s="4"/>
      <c r="B595" s="4"/>
      <c r="C595" s="4"/>
      <c r="D595" s="165"/>
      <c r="E595" s="165"/>
      <c r="F595" s="165"/>
      <c r="G595" s="165"/>
      <c r="H595" s="165"/>
      <c r="I595" s="4"/>
      <c r="J595" s="4"/>
      <c r="K595" s="4"/>
      <c r="L595" s="4"/>
      <c r="M595" s="4"/>
      <c r="N595" s="4"/>
      <c r="O595" s="4"/>
      <c r="P595" s="4"/>
      <c r="Q595" s="4"/>
      <c r="R595" s="4"/>
      <c r="S595" s="4"/>
      <c r="T595" s="4"/>
      <c r="U595" s="4"/>
      <c r="V595" s="4"/>
      <c r="W595" s="4"/>
      <c r="X595" s="4"/>
      <c r="Y595" s="4"/>
      <c r="Z595" s="4"/>
    </row>
    <row r="596" ht="9.75" customHeight="1">
      <c r="A596" s="4"/>
      <c r="B596" s="4"/>
      <c r="C596" s="4"/>
      <c r="D596" s="165"/>
      <c r="E596" s="165"/>
      <c r="F596" s="165"/>
      <c r="G596" s="165"/>
      <c r="H596" s="165"/>
      <c r="I596" s="4"/>
      <c r="J596" s="4"/>
      <c r="K596" s="4"/>
      <c r="L596" s="4"/>
      <c r="M596" s="4"/>
      <c r="N596" s="4"/>
      <c r="O596" s="4"/>
      <c r="P596" s="4"/>
      <c r="Q596" s="4"/>
      <c r="R596" s="4"/>
      <c r="S596" s="4"/>
      <c r="T596" s="4"/>
      <c r="U596" s="4"/>
      <c r="V596" s="4"/>
      <c r="W596" s="4"/>
      <c r="X596" s="4"/>
      <c r="Y596" s="4"/>
      <c r="Z596" s="4"/>
    </row>
    <row r="597" ht="9.75" customHeight="1">
      <c r="A597" s="4"/>
      <c r="B597" s="4"/>
      <c r="C597" s="4"/>
      <c r="D597" s="165"/>
      <c r="E597" s="165"/>
      <c r="F597" s="165"/>
      <c r="G597" s="165"/>
      <c r="H597" s="165"/>
      <c r="I597" s="4"/>
      <c r="J597" s="4"/>
      <c r="K597" s="4"/>
      <c r="L597" s="4"/>
      <c r="M597" s="4"/>
      <c r="N597" s="4"/>
      <c r="O597" s="4"/>
      <c r="P597" s="4"/>
      <c r="Q597" s="4"/>
      <c r="R597" s="4"/>
      <c r="S597" s="4"/>
      <c r="T597" s="4"/>
      <c r="U597" s="4"/>
      <c r="V597" s="4"/>
      <c r="W597" s="4"/>
      <c r="X597" s="4"/>
      <c r="Y597" s="4"/>
      <c r="Z597" s="4"/>
    </row>
    <row r="598" ht="9.75" customHeight="1">
      <c r="A598" s="4"/>
      <c r="B598" s="4"/>
      <c r="C598" s="4"/>
      <c r="D598" s="165"/>
      <c r="E598" s="165"/>
      <c r="F598" s="165"/>
      <c r="G598" s="165"/>
      <c r="H598" s="165"/>
      <c r="I598" s="4"/>
      <c r="J598" s="4"/>
      <c r="K598" s="4"/>
      <c r="L598" s="4"/>
      <c r="M598" s="4"/>
      <c r="N598" s="4"/>
      <c r="O598" s="4"/>
      <c r="P598" s="4"/>
      <c r="Q598" s="4"/>
      <c r="R598" s="4"/>
      <c r="S598" s="4"/>
      <c r="T598" s="4"/>
      <c r="U598" s="4"/>
      <c r="V598" s="4"/>
      <c r="W598" s="4"/>
      <c r="X598" s="4"/>
      <c r="Y598" s="4"/>
      <c r="Z598" s="4"/>
    </row>
    <row r="599" ht="9.75" customHeight="1">
      <c r="A599" s="4"/>
      <c r="B599" s="4"/>
      <c r="C599" s="4"/>
      <c r="D599" s="165"/>
      <c r="E599" s="165"/>
      <c r="F599" s="165"/>
      <c r="G599" s="165"/>
      <c r="H599" s="165"/>
      <c r="I599" s="4"/>
      <c r="J599" s="4"/>
      <c r="K599" s="4"/>
      <c r="L599" s="4"/>
      <c r="M599" s="4"/>
      <c r="N599" s="4"/>
      <c r="O599" s="4"/>
      <c r="P599" s="4"/>
      <c r="Q599" s="4"/>
      <c r="R599" s="4"/>
      <c r="S599" s="4"/>
      <c r="T599" s="4"/>
      <c r="U599" s="4"/>
      <c r="V599" s="4"/>
      <c r="W599" s="4"/>
      <c r="X599" s="4"/>
      <c r="Y599" s="4"/>
      <c r="Z599" s="4"/>
    </row>
    <row r="600" ht="9.75" customHeight="1">
      <c r="A600" s="4"/>
      <c r="B600" s="4"/>
      <c r="C600" s="4"/>
      <c r="D600" s="165"/>
      <c r="E600" s="165"/>
      <c r="F600" s="165"/>
      <c r="G600" s="165"/>
      <c r="H600" s="165"/>
      <c r="I600" s="4"/>
      <c r="J600" s="4"/>
      <c r="K600" s="4"/>
      <c r="L600" s="4"/>
      <c r="M600" s="4"/>
      <c r="N600" s="4"/>
      <c r="O600" s="4"/>
      <c r="P600" s="4"/>
      <c r="Q600" s="4"/>
      <c r="R600" s="4"/>
      <c r="S600" s="4"/>
      <c r="T600" s="4"/>
      <c r="U600" s="4"/>
      <c r="V600" s="4"/>
      <c r="W600" s="4"/>
      <c r="X600" s="4"/>
      <c r="Y600" s="4"/>
      <c r="Z600" s="4"/>
    </row>
    <row r="601" ht="9.75" customHeight="1">
      <c r="A601" s="4"/>
      <c r="B601" s="4"/>
      <c r="C601" s="4"/>
      <c r="D601" s="165"/>
      <c r="E601" s="165"/>
      <c r="F601" s="165"/>
      <c r="G601" s="165"/>
      <c r="H601" s="165"/>
      <c r="I601" s="4"/>
      <c r="J601" s="4"/>
      <c r="K601" s="4"/>
      <c r="L601" s="4"/>
      <c r="M601" s="4"/>
      <c r="N601" s="4"/>
      <c r="O601" s="4"/>
      <c r="P601" s="4"/>
      <c r="Q601" s="4"/>
      <c r="R601" s="4"/>
      <c r="S601" s="4"/>
      <c r="T601" s="4"/>
      <c r="U601" s="4"/>
      <c r="V601" s="4"/>
      <c r="W601" s="4"/>
      <c r="X601" s="4"/>
      <c r="Y601" s="4"/>
      <c r="Z601" s="4"/>
    </row>
    <row r="602" ht="9.75" customHeight="1">
      <c r="A602" s="4"/>
      <c r="B602" s="4"/>
      <c r="C602" s="4"/>
      <c r="D602" s="165"/>
      <c r="E602" s="165"/>
      <c r="F602" s="165"/>
      <c r="G602" s="165"/>
      <c r="H602" s="165"/>
      <c r="I602" s="4"/>
      <c r="J602" s="4"/>
      <c r="K602" s="4"/>
      <c r="L602" s="4"/>
      <c r="M602" s="4"/>
      <c r="N602" s="4"/>
      <c r="O602" s="4"/>
      <c r="P602" s="4"/>
      <c r="Q602" s="4"/>
      <c r="R602" s="4"/>
      <c r="S602" s="4"/>
      <c r="T602" s="4"/>
      <c r="U602" s="4"/>
      <c r="V602" s="4"/>
      <c r="W602" s="4"/>
      <c r="X602" s="4"/>
      <c r="Y602" s="4"/>
      <c r="Z602" s="4"/>
    </row>
    <row r="603" ht="9.75" customHeight="1">
      <c r="A603" s="4"/>
      <c r="B603" s="4"/>
      <c r="C603" s="4"/>
      <c r="D603" s="165"/>
      <c r="E603" s="165"/>
      <c r="F603" s="165"/>
      <c r="G603" s="165"/>
      <c r="H603" s="165"/>
      <c r="I603" s="4"/>
      <c r="J603" s="4"/>
      <c r="K603" s="4"/>
      <c r="L603" s="4"/>
      <c r="M603" s="4"/>
      <c r="N603" s="4"/>
      <c r="O603" s="4"/>
      <c r="P603" s="4"/>
      <c r="Q603" s="4"/>
      <c r="R603" s="4"/>
      <c r="S603" s="4"/>
      <c r="T603" s="4"/>
      <c r="U603" s="4"/>
      <c r="V603" s="4"/>
      <c r="W603" s="4"/>
      <c r="X603" s="4"/>
      <c r="Y603" s="4"/>
      <c r="Z603" s="4"/>
    </row>
    <row r="604" ht="9.75" customHeight="1">
      <c r="A604" s="4"/>
      <c r="B604" s="4"/>
      <c r="C604" s="4"/>
      <c r="D604" s="165"/>
      <c r="E604" s="165"/>
      <c r="F604" s="165"/>
      <c r="G604" s="165"/>
      <c r="H604" s="165"/>
      <c r="I604" s="4"/>
      <c r="J604" s="4"/>
      <c r="K604" s="4"/>
      <c r="L604" s="4"/>
      <c r="M604" s="4"/>
      <c r="N604" s="4"/>
      <c r="O604" s="4"/>
      <c r="P604" s="4"/>
      <c r="Q604" s="4"/>
      <c r="R604" s="4"/>
      <c r="S604" s="4"/>
      <c r="T604" s="4"/>
      <c r="U604" s="4"/>
      <c r="V604" s="4"/>
      <c r="W604" s="4"/>
      <c r="X604" s="4"/>
      <c r="Y604" s="4"/>
      <c r="Z604" s="4"/>
    </row>
    <row r="605" ht="9.75" customHeight="1">
      <c r="A605" s="4"/>
      <c r="B605" s="4"/>
      <c r="C605" s="4"/>
      <c r="D605" s="165"/>
      <c r="E605" s="165"/>
      <c r="F605" s="165"/>
      <c r="G605" s="165"/>
      <c r="H605" s="165"/>
      <c r="I605" s="4"/>
      <c r="J605" s="4"/>
      <c r="K605" s="4"/>
      <c r="L605" s="4"/>
      <c r="M605" s="4"/>
      <c r="N605" s="4"/>
      <c r="O605" s="4"/>
      <c r="P605" s="4"/>
      <c r="Q605" s="4"/>
      <c r="R605" s="4"/>
      <c r="S605" s="4"/>
      <c r="T605" s="4"/>
      <c r="U605" s="4"/>
      <c r="V605" s="4"/>
      <c r="W605" s="4"/>
      <c r="X605" s="4"/>
      <c r="Y605" s="4"/>
      <c r="Z605" s="4"/>
    </row>
    <row r="606" ht="9.75" customHeight="1">
      <c r="A606" s="4"/>
      <c r="B606" s="4"/>
      <c r="C606" s="4"/>
      <c r="D606" s="165"/>
      <c r="E606" s="165"/>
      <c r="F606" s="165"/>
      <c r="G606" s="165"/>
      <c r="H606" s="165"/>
      <c r="I606" s="4"/>
      <c r="J606" s="4"/>
      <c r="K606" s="4"/>
      <c r="L606" s="4"/>
      <c r="M606" s="4"/>
      <c r="N606" s="4"/>
      <c r="O606" s="4"/>
      <c r="P606" s="4"/>
      <c r="Q606" s="4"/>
      <c r="R606" s="4"/>
      <c r="S606" s="4"/>
      <c r="T606" s="4"/>
      <c r="U606" s="4"/>
      <c r="V606" s="4"/>
      <c r="W606" s="4"/>
      <c r="X606" s="4"/>
      <c r="Y606" s="4"/>
      <c r="Z606" s="4"/>
    </row>
    <row r="607" ht="9.75" customHeight="1">
      <c r="A607" s="4"/>
      <c r="B607" s="4"/>
      <c r="C607" s="4"/>
      <c r="D607" s="165"/>
      <c r="E607" s="165"/>
      <c r="F607" s="165"/>
      <c r="G607" s="165"/>
      <c r="H607" s="165"/>
      <c r="I607" s="4"/>
      <c r="J607" s="4"/>
      <c r="K607" s="4"/>
      <c r="L607" s="4"/>
      <c r="M607" s="4"/>
      <c r="N607" s="4"/>
      <c r="O607" s="4"/>
      <c r="P607" s="4"/>
      <c r="Q607" s="4"/>
      <c r="R607" s="4"/>
      <c r="S607" s="4"/>
      <c r="T607" s="4"/>
      <c r="U607" s="4"/>
      <c r="V607" s="4"/>
      <c r="W607" s="4"/>
      <c r="X607" s="4"/>
      <c r="Y607" s="4"/>
      <c r="Z607" s="4"/>
    </row>
    <row r="608" ht="9.75" customHeight="1">
      <c r="A608" s="4"/>
      <c r="B608" s="4"/>
      <c r="C608" s="4"/>
      <c r="D608" s="165"/>
      <c r="E608" s="165"/>
      <c r="F608" s="165"/>
      <c r="G608" s="165"/>
      <c r="H608" s="165"/>
      <c r="I608" s="4"/>
      <c r="J608" s="4"/>
      <c r="K608" s="4"/>
      <c r="L608" s="4"/>
      <c r="M608" s="4"/>
      <c r="N608" s="4"/>
      <c r="O608" s="4"/>
      <c r="P608" s="4"/>
      <c r="Q608" s="4"/>
      <c r="R608" s="4"/>
      <c r="S608" s="4"/>
      <c r="T608" s="4"/>
      <c r="U608" s="4"/>
      <c r="V608" s="4"/>
      <c r="W608" s="4"/>
      <c r="X608" s="4"/>
      <c r="Y608" s="4"/>
      <c r="Z608" s="4"/>
    </row>
    <row r="609" ht="9.75" customHeight="1">
      <c r="A609" s="4"/>
      <c r="B609" s="4"/>
      <c r="C609" s="4"/>
      <c r="D609" s="165"/>
      <c r="E609" s="165"/>
      <c r="F609" s="165"/>
      <c r="G609" s="165"/>
      <c r="H609" s="165"/>
      <c r="I609" s="4"/>
      <c r="J609" s="4"/>
      <c r="K609" s="4"/>
      <c r="L609" s="4"/>
      <c r="M609" s="4"/>
      <c r="N609" s="4"/>
      <c r="O609" s="4"/>
      <c r="P609" s="4"/>
      <c r="Q609" s="4"/>
      <c r="R609" s="4"/>
      <c r="S609" s="4"/>
      <c r="T609" s="4"/>
      <c r="U609" s="4"/>
      <c r="V609" s="4"/>
      <c r="W609" s="4"/>
      <c r="X609" s="4"/>
      <c r="Y609" s="4"/>
      <c r="Z609" s="4"/>
    </row>
    <row r="610" ht="9.75" customHeight="1">
      <c r="A610" s="4"/>
      <c r="B610" s="4"/>
      <c r="C610" s="4"/>
      <c r="D610" s="165"/>
      <c r="E610" s="165"/>
      <c r="F610" s="165"/>
      <c r="G610" s="165"/>
      <c r="H610" s="165"/>
      <c r="I610" s="4"/>
      <c r="J610" s="4"/>
      <c r="K610" s="4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4"/>
      <c r="X610" s="4"/>
      <c r="Y610" s="4"/>
      <c r="Z610" s="4"/>
    </row>
    <row r="611" ht="9.75" customHeight="1">
      <c r="A611" s="4"/>
      <c r="B611" s="4"/>
      <c r="C611" s="4"/>
      <c r="D611" s="165"/>
      <c r="E611" s="165"/>
      <c r="F611" s="165"/>
      <c r="G611" s="165"/>
      <c r="H611" s="165"/>
      <c r="I611" s="4"/>
      <c r="J611" s="4"/>
      <c r="K611" s="4"/>
      <c r="L611" s="4"/>
      <c r="M611" s="4"/>
      <c r="N611" s="4"/>
      <c r="O611" s="4"/>
      <c r="P611" s="4"/>
      <c r="Q611" s="4"/>
      <c r="R611" s="4"/>
      <c r="S611" s="4"/>
      <c r="T611" s="4"/>
      <c r="U611" s="4"/>
      <c r="V611" s="4"/>
      <c r="W611" s="4"/>
      <c r="X611" s="4"/>
      <c r="Y611" s="4"/>
      <c r="Z611" s="4"/>
    </row>
    <row r="612" ht="9.75" customHeight="1">
      <c r="A612" s="4"/>
      <c r="B612" s="4"/>
      <c r="C612" s="4"/>
      <c r="D612" s="165"/>
      <c r="E612" s="165"/>
      <c r="F612" s="165"/>
      <c r="G612" s="165"/>
      <c r="H612" s="165"/>
      <c r="I612" s="4"/>
      <c r="J612" s="4"/>
      <c r="K612" s="4"/>
      <c r="L612" s="4"/>
      <c r="M612" s="4"/>
      <c r="N612" s="4"/>
      <c r="O612" s="4"/>
      <c r="P612" s="4"/>
      <c r="Q612" s="4"/>
      <c r="R612" s="4"/>
      <c r="S612" s="4"/>
      <c r="T612" s="4"/>
      <c r="U612" s="4"/>
      <c r="V612" s="4"/>
      <c r="W612" s="4"/>
      <c r="X612" s="4"/>
      <c r="Y612" s="4"/>
      <c r="Z612" s="4"/>
    </row>
    <row r="613" ht="9.75" customHeight="1">
      <c r="A613" s="4"/>
      <c r="B613" s="4"/>
      <c r="C613" s="4"/>
      <c r="D613" s="165"/>
      <c r="E613" s="165"/>
      <c r="F613" s="165"/>
      <c r="G613" s="165"/>
      <c r="H613" s="165"/>
      <c r="I613" s="4"/>
      <c r="J613" s="4"/>
      <c r="K613" s="4"/>
      <c r="L613" s="4"/>
      <c r="M613" s="4"/>
      <c r="N613" s="4"/>
      <c r="O613" s="4"/>
      <c r="P613" s="4"/>
      <c r="Q613" s="4"/>
      <c r="R613" s="4"/>
      <c r="S613" s="4"/>
      <c r="T613" s="4"/>
      <c r="U613" s="4"/>
      <c r="V613" s="4"/>
      <c r="W613" s="4"/>
      <c r="X613" s="4"/>
      <c r="Y613" s="4"/>
      <c r="Z613" s="4"/>
    </row>
    <row r="614" ht="9.75" customHeight="1">
      <c r="A614" s="4"/>
      <c r="B614" s="4"/>
      <c r="C614" s="4"/>
      <c r="D614" s="165"/>
      <c r="E614" s="165"/>
      <c r="F614" s="165"/>
      <c r="G614" s="165"/>
      <c r="H614" s="165"/>
      <c r="I614" s="4"/>
      <c r="J614" s="4"/>
      <c r="K614" s="4"/>
      <c r="L614" s="4"/>
      <c r="M614" s="4"/>
      <c r="N614" s="4"/>
      <c r="O614" s="4"/>
      <c r="P614" s="4"/>
      <c r="Q614" s="4"/>
      <c r="R614" s="4"/>
      <c r="S614" s="4"/>
      <c r="T614" s="4"/>
      <c r="U614" s="4"/>
      <c r="V614" s="4"/>
      <c r="W614" s="4"/>
      <c r="X614" s="4"/>
      <c r="Y614" s="4"/>
      <c r="Z614" s="4"/>
    </row>
    <row r="615" ht="9.75" customHeight="1">
      <c r="A615" s="4"/>
      <c r="B615" s="4"/>
      <c r="C615" s="4"/>
      <c r="D615" s="165"/>
      <c r="E615" s="165"/>
      <c r="F615" s="165"/>
      <c r="G615" s="165"/>
      <c r="H615" s="165"/>
      <c r="I615" s="4"/>
      <c r="J615" s="4"/>
      <c r="K615" s="4"/>
      <c r="L615" s="4"/>
      <c r="M615" s="4"/>
      <c r="N615" s="4"/>
      <c r="O615" s="4"/>
      <c r="P615" s="4"/>
      <c r="Q615" s="4"/>
      <c r="R615" s="4"/>
      <c r="S615" s="4"/>
      <c r="T615" s="4"/>
      <c r="U615" s="4"/>
      <c r="V615" s="4"/>
      <c r="W615" s="4"/>
      <c r="X615" s="4"/>
      <c r="Y615" s="4"/>
      <c r="Z615" s="4"/>
    </row>
    <row r="616" ht="9.75" customHeight="1">
      <c r="A616" s="4"/>
      <c r="B616" s="4"/>
      <c r="C616" s="4"/>
      <c r="D616" s="165"/>
      <c r="E616" s="165"/>
      <c r="F616" s="165"/>
      <c r="G616" s="165"/>
      <c r="H616" s="165"/>
      <c r="I616" s="4"/>
      <c r="J616" s="4"/>
      <c r="K616" s="4"/>
      <c r="L616" s="4"/>
      <c r="M616" s="4"/>
      <c r="N616" s="4"/>
      <c r="O616" s="4"/>
      <c r="P616" s="4"/>
      <c r="Q616" s="4"/>
      <c r="R616" s="4"/>
      <c r="S616" s="4"/>
      <c r="T616" s="4"/>
      <c r="U616" s="4"/>
      <c r="V616" s="4"/>
      <c r="W616" s="4"/>
      <c r="X616" s="4"/>
      <c r="Y616" s="4"/>
      <c r="Z616" s="4"/>
    </row>
    <row r="617" ht="9.75" customHeight="1">
      <c r="A617" s="4"/>
      <c r="B617" s="4"/>
      <c r="C617" s="4"/>
      <c r="D617" s="165"/>
      <c r="E617" s="165"/>
      <c r="F617" s="165"/>
      <c r="G617" s="165"/>
      <c r="H617" s="165"/>
      <c r="I617" s="4"/>
      <c r="J617" s="4"/>
      <c r="K617" s="4"/>
      <c r="L617" s="4"/>
      <c r="M617" s="4"/>
      <c r="N617" s="4"/>
      <c r="O617" s="4"/>
      <c r="P617" s="4"/>
      <c r="Q617" s="4"/>
      <c r="R617" s="4"/>
      <c r="S617" s="4"/>
      <c r="T617" s="4"/>
      <c r="U617" s="4"/>
      <c r="V617" s="4"/>
      <c r="W617" s="4"/>
      <c r="X617" s="4"/>
      <c r="Y617" s="4"/>
      <c r="Z617" s="4"/>
    </row>
    <row r="618" ht="9.75" customHeight="1">
      <c r="A618" s="4"/>
      <c r="B618" s="4"/>
      <c r="C618" s="4"/>
      <c r="D618" s="165"/>
      <c r="E618" s="165"/>
      <c r="F618" s="165"/>
      <c r="G618" s="165"/>
      <c r="H618" s="165"/>
      <c r="I618" s="4"/>
      <c r="J618" s="4"/>
      <c r="K618" s="4"/>
      <c r="L618" s="4"/>
      <c r="M618" s="4"/>
      <c r="N618" s="4"/>
      <c r="O618" s="4"/>
      <c r="P618" s="4"/>
      <c r="Q618" s="4"/>
      <c r="R618" s="4"/>
      <c r="S618" s="4"/>
      <c r="T618" s="4"/>
      <c r="U618" s="4"/>
      <c r="V618" s="4"/>
      <c r="W618" s="4"/>
      <c r="X618" s="4"/>
      <c r="Y618" s="4"/>
      <c r="Z618" s="4"/>
    </row>
    <row r="619" ht="9.75" customHeight="1">
      <c r="A619" s="4"/>
      <c r="B619" s="4"/>
      <c r="C619" s="4"/>
      <c r="D619" s="165"/>
      <c r="E619" s="165"/>
      <c r="F619" s="165"/>
      <c r="G619" s="165"/>
      <c r="H619" s="165"/>
      <c r="I619" s="4"/>
      <c r="J619" s="4"/>
      <c r="K619" s="4"/>
      <c r="L619" s="4"/>
      <c r="M619" s="4"/>
      <c r="N619" s="4"/>
      <c r="O619" s="4"/>
      <c r="P619" s="4"/>
      <c r="Q619" s="4"/>
      <c r="R619" s="4"/>
      <c r="S619" s="4"/>
      <c r="T619" s="4"/>
      <c r="U619" s="4"/>
      <c r="V619" s="4"/>
      <c r="W619" s="4"/>
      <c r="X619" s="4"/>
      <c r="Y619" s="4"/>
      <c r="Z619" s="4"/>
    </row>
    <row r="620" ht="9.75" customHeight="1">
      <c r="A620" s="4"/>
      <c r="B620" s="4"/>
      <c r="C620" s="4"/>
      <c r="D620" s="165"/>
      <c r="E620" s="165"/>
      <c r="F620" s="165"/>
      <c r="G620" s="165"/>
      <c r="H620" s="165"/>
      <c r="I620" s="4"/>
      <c r="J620" s="4"/>
      <c r="K620" s="4"/>
      <c r="L620" s="4"/>
      <c r="M620" s="4"/>
      <c r="N620" s="4"/>
      <c r="O620" s="4"/>
      <c r="P620" s="4"/>
      <c r="Q620" s="4"/>
      <c r="R620" s="4"/>
      <c r="S620" s="4"/>
      <c r="T620" s="4"/>
      <c r="U620" s="4"/>
      <c r="V620" s="4"/>
      <c r="W620" s="4"/>
      <c r="X620" s="4"/>
      <c r="Y620" s="4"/>
      <c r="Z620" s="4"/>
    </row>
    <row r="621" ht="9.75" customHeight="1">
      <c r="A621" s="4"/>
      <c r="B621" s="4"/>
      <c r="C621" s="4"/>
      <c r="D621" s="165"/>
      <c r="E621" s="165"/>
      <c r="F621" s="165"/>
      <c r="G621" s="165"/>
      <c r="H621" s="165"/>
      <c r="I621" s="4"/>
      <c r="J621" s="4"/>
      <c r="K621" s="4"/>
      <c r="L621" s="4"/>
      <c r="M621" s="4"/>
      <c r="N621" s="4"/>
      <c r="O621" s="4"/>
      <c r="P621" s="4"/>
      <c r="Q621" s="4"/>
      <c r="R621" s="4"/>
      <c r="S621" s="4"/>
      <c r="T621" s="4"/>
      <c r="U621" s="4"/>
      <c r="V621" s="4"/>
      <c r="W621" s="4"/>
      <c r="X621" s="4"/>
      <c r="Y621" s="4"/>
      <c r="Z621" s="4"/>
    </row>
    <row r="622" ht="9.75" customHeight="1">
      <c r="A622" s="4"/>
      <c r="B622" s="4"/>
      <c r="C622" s="4"/>
      <c r="D622" s="165"/>
      <c r="E622" s="165"/>
      <c r="F622" s="165"/>
      <c r="G622" s="165"/>
      <c r="H622" s="165"/>
      <c r="I622" s="4"/>
      <c r="J622" s="4"/>
      <c r="K622" s="4"/>
      <c r="L622" s="4"/>
      <c r="M622" s="4"/>
      <c r="N622" s="4"/>
      <c r="O622" s="4"/>
      <c r="P622" s="4"/>
      <c r="Q622" s="4"/>
      <c r="R622" s="4"/>
      <c r="S622" s="4"/>
      <c r="T622" s="4"/>
      <c r="U622" s="4"/>
      <c r="V622" s="4"/>
      <c r="W622" s="4"/>
      <c r="X622" s="4"/>
      <c r="Y622" s="4"/>
      <c r="Z622" s="4"/>
    </row>
    <row r="623" ht="9.75" customHeight="1">
      <c r="A623" s="4"/>
      <c r="B623" s="4"/>
      <c r="C623" s="4"/>
      <c r="D623" s="165"/>
      <c r="E623" s="165"/>
      <c r="F623" s="165"/>
      <c r="G623" s="165"/>
      <c r="H623" s="165"/>
      <c r="I623" s="4"/>
      <c r="J623" s="4"/>
      <c r="K623" s="4"/>
      <c r="L623" s="4"/>
      <c r="M623" s="4"/>
      <c r="N623" s="4"/>
      <c r="O623" s="4"/>
      <c r="P623" s="4"/>
      <c r="Q623" s="4"/>
      <c r="R623" s="4"/>
      <c r="S623" s="4"/>
      <c r="T623" s="4"/>
      <c r="U623" s="4"/>
      <c r="V623" s="4"/>
      <c r="W623" s="4"/>
      <c r="X623" s="4"/>
      <c r="Y623" s="4"/>
      <c r="Z623" s="4"/>
    </row>
    <row r="624" ht="9.75" customHeight="1">
      <c r="A624" s="4"/>
      <c r="B624" s="4"/>
      <c r="C624" s="4"/>
      <c r="D624" s="165"/>
      <c r="E624" s="165"/>
      <c r="F624" s="165"/>
      <c r="G624" s="165"/>
      <c r="H624" s="165"/>
      <c r="I624" s="4"/>
      <c r="J624" s="4"/>
      <c r="K624" s="4"/>
      <c r="L624" s="4"/>
      <c r="M624" s="4"/>
      <c r="N624" s="4"/>
      <c r="O624" s="4"/>
      <c r="P624" s="4"/>
      <c r="Q624" s="4"/>
      <c r="R624" s="4"/>
      <c r="S624" s="4"/>
      <c r="T624" s="4"/>
      <c r="U624" s="4"/>
      <c r="V624" s="4"/>
      <c r="W624" s="4"/>
      <c r="X624" s="4"/>
      <c r="Y624" s="4"/>
      <c r="Z624" s="4"/>
    </row>
    <row r="625" ht="9.75" customHeight="1">
      <c r="A625" s="4"/>
      <c r="B625" s="4"/>
      <c r="C625" s="4"/>
      <c r="D625" s="165"/>
      <c r="E625" s="165"/>
      <c r="F625" s="165"/>
      <c r="G625" s="165"/>
      <c r="H625" s="165"/>
      <c r="I625" s="4"/>
      <c r="J625" s="4"/>
      <c r="K625" s="4"/>
      <c r="L625" s="4"/>
      <c r="M625" s="4"/>
      <c r="N625" s="4"/>
      <c r="O625" s="4"/>
      <c r="P625" s="4"/>
      <c r="Q625" s="4"/>
      <c r="R625" s="4"/>
      <c r="S625" s="4"/>
      <c r="T625" s="4"/>
      <c r="U625" s="4"/>
      <c r="V625" s="4"/>
      <c r="W625" s="4"/>
      <c r="X625" s="4"/>
      <c r="Y625" s="4"/>
      <c r="Z625" s="4"/>
    </row>
    <row r="626" ht="9.75" customHeight="1">
      <c r="A626" s="4"/>
      <c r="B626" s="4"/>
      <c r="C626" s="4"/>
      <c r="D626" s="165"/>
      <c r="E626" s="165"/>
      <c r="F626" s="165"/>
      <c r="G626" s="165"/>
      <c r="H626" s="165"/>
      <c r="I626" s="4"/>
      <c r="J626" s="4"/>
      <c r="K626" s="4"/>
      <c r="L626" s="4"/>
      <c r="M626" s="4"/>
      <c r="N626" s="4"/>
      <c r="O626" s="4"/>
      <c r="P626" s="4"/>
      <c r="Q626" s="4"/>
      <c r="R626" s="4"/>
      <c r="S626" s="4"/>
      <c r="T626" s="4"/>
      <c r="U626" s="4"/>
      <c r="V626" s="4"/>
      <c r="W626" s="4"/>
      <c r="X626" s="4"/>
      <c r="Y626" s="4"/>
      <c r="Z626" s="4"/>
    </row>
    <row r="627" ht="9.75" customHeight="1">
      <c r="A627" s="4"/>
      <c r="B627" s="4"/>
      <c r="C627" s="4"/>
      <c r="D627" s="165"/>
      <c r="E627" s="165"/>
      <c r="F627" s="165"/>
      <c r="G627" s="165"/>
      <c r="H627" s="165"/>
      <c r="I627" s="4"/>
      <c r="J627" s="4"/>
      <c r="K627" s="4"/>
      <c r="L627" s="4"/>
      <c r="M627" s="4"/>
      <c r="N627" s="4"/>
      <c r="O627" s="4"/>
      <c r="P627" s="4"/>
      <c r="Q627" s="4"/>
      <c r="R627" s="4"/>
      <c r="S627" s="4"/>
      <c r="T627" s="4"/>
      <c r="U627" s="4"/>
      <c r="V627" s="4"/>
      <c r="W627" s="4"/>
      <c r="X627" s="4"/>
      <c r="Y627" s="4"/>
      <c r="Z627" s="4"/>
    </row>
    <row r="628" ht="9.75" customHeight="1">
      <c r="A628" s="4"/>
      <c r="B628" s="4"/>
      <c r="C628" s="4"/>
      <c r="D628" s="165"/>
      <c r="E628" s="165"/>
      <c r="F628" s="165"/>
      <c r="G628" s="165"/>
      <c r="H628" s="165"/>
      <c r="I628" s="4"/>
      <c r="J628" s="4"/>
      <c r="K628" s="4"/>
      <c r="L628" s="4"/>
      <c r="M628" s="4"/>
      <c r="N628" s="4"/>
      <c r="O628" s="4"/>
      <c r="P628" s="4"/>
      <c r="Q628" s="4"/>
      <c r="R628" s="4"/>
      <c r="S628" s="4"/>
      <c r="T628" s="4"/>
      <c r="U628" s="4"/>
      <c r="V628" s="4"/>
      <c r="W628" s="4"/>
      <c r="X628" s="4"/>
      <c r="Y628" s="4"/>
      <c r="Z628" s="4"/>
    </row>
    <row r="629" ht="9.75" customHeight="1">
      <c r="A629" s="4"/>
      <c r="B629" s="4"/>
      <c r="C629" s="4"/>
      <c r="D629" s="165"/>
      <c r="E629" s="165"/>
      <c r="F629" s="165"/>
      <c r="G629" s="165"/>
      <c r="H629" s="165"/>
      <c r="I629" s="4"/>
      <c r="J629" s="4"/>
      <c r="K629" s="4"/>
      <c r="L629" s="4"/>
      <c r="M629" s="4"/>
      <c r="N629" s="4"/>
      <c r="O629" s="4"/>
      <c r="P629" s="4"/>
      <c r="Q629" s="4"/>
      <c r="R629" s="4"/>
      <c r="S629" s="4"/>
      <c r="T629" s="4"/>
      <c r="U629" s="4"/>
      <c r="V629" s="4"/>
      <c r="W629" s="4"/>
      <c r="X629" s="4"/>
      <c r="Y629" s="4"/>
      <c r="Z629" s="4"/>
    </row>
    <row r="630" ht="9.75" customHeight="1">
      <c r="A630" s="4"/>
      <c r="B630" s="4"/>
      <c r="C630" s="4"/>
      <c r="D630" s="165"/>
      <c r="E630" s="165"/>
      <c r="F630" s="165"/>
      <c r="G630" s="165"/>
      <c r="H630" s="165"/>
      <c r="I630" s="4"/>
      <c r="J630" s="4"/>
      <c r="K630" s="4"/>
      <c r="L630" s="4"/>
      <c r="M630" s="4"/>
      <c r="N630" s="4"/>
      <c r="O630" s="4"/>
      <c r="P630" s="4"/>
      <c r="Q630" s="4"/>
      <c r="R630" s="4"/>
      <c r="S630" s="4"/>
      <c r="T630" s="4"/>
      <c r="U630" s="4"/>
      <c r="V630" s="4"/>
      <c r="W630" s="4"/>
      <c r="X630" s="4"/>
      <c r="Y630" s="4"/>
      <c r="Z630" s="4"/>
    </row>
    <row r="631" ht="9.75" customHeight="1">
      <c r="A631" s="4"/>
      <c r="B631" s="4"/>
      <c r="C631" s="4"/>
      <c r="D631" s="165"/>
      <c r="E631" s="165"/>
      <c r="F631" s="165"/>
      <c r="G631" s="165"/>
      <c r="H631" s="165"/>
      <c r="I631" s="4"/>
      <c r="J631" s="4"/>
      <c r="K631" s="4"/>
      <c r="L631" s="4"/>
      <c r="M631" s="4"/>
      <c r="N631" s="4"/>
      <c r="O631" s="4"/>
      <c r="P631" s="4"/>
      <c r="Q631" s="4"/>
      <c r="R631" s="4"/>
      <c r="S631" s="4"/>
      <c r="T631" s="4"/>
      <c r="U631" s="4"/>
      <c r="V631" s="4"/>
      <c r="W631" s="4"/>
      <c r="X631" s="4"/>
      <c r="Y631" s="4"/>
      <c r="Z631" s="4"/>
    </row>
    <row r="632" ht="9.75" customHeight="1">
      <c r="A632" s="4"/>
      <c r="B632" s="4"/>
      <c r="C632" s="4"/>
      <c r="D632" s="165"/>
      <c r="E632" s="165"/>
      <c r="F632" s="165"/>
      <c r="G632" s="165"/>
      <c r="H632" s="165"/>
      <c r="I632" s="4"/>
      <c r="J632" s="4"/>
      <c r="K632" s="4"/>
      <c r="L632" s="4"/>
      <c r="M632" s="4"/>
      <c r="N632" s="4"/>
      <c r="O632" s="4"/>
      <c r="P632" s="4"/>
      <c r="Q632" s="4"/>
      <c r="R632" s="4"/>
      <c r="S632" s="4"/>
      <c r="T632" s="4"/>
      <c r="U632" s="4"/>
      <c r="V632" s="4"/>
      <c r="W632" s="4"/>
      <c r="X632" s="4"/>
      <c r="Y632" s="4"/>
      <c r="Z632" s="4"/>
    </row>
    <row r="633" ht="9.75" customHeight="1">
      <c r="A633" s="4"/>
      <c r="B633" s="4"/>
      <c r="C633" s="4"/>
      <c r="D633" s="165"/>
      <c r="E633" s="165"/>
      <c r="F633" s="165"/>
      <c r="G633" s="165"/>
      <c r="H633" s="165"/>
      <c r="I633" s="4"/>
      <c r="J633" s="4"/>
      <c r="K633" s="4"/>
      <c r="L633" s="4"/>
      <c r="M633" s="4"/>
      <c r="N633" s="4"/>
      <c r="O633" s="4"/>
      <c r="P633" s="4"/>
      <c r="Q633" s="4"/>
      <c r="R633" s="4"/>
      <c r="S633" s="4"/>
      <c r="T633" s="4"/>
      <c r="U633" s="4"/>
      <c r="V633" s="4"/>
      <c r="W633" s="4"/>
      <c r="X633" s="4"/>
      <c r="Y633" s="4"/>
      <c r="Z633" s="4"/>
    </row>
    <row r="634" ht="9.75" customHeight="1">
      <c r="A634" s="4"/>
      <c r="B634" s="4"/>
      <c r="C634" s="4"/>
      <c r="D634" s="165"/>
      <c r="E634" s="165"/>
      <c r="F634" s="165"/>
      <c r="G634" s="165"/>
      <c r="H634" s="165"/>
      <c r="I634" s="4"/>
      <c r="J634" s="4"/>
      <c r="K634" s="4"/>
      <c r="L634" s="4"/>
      <c r="M634" s="4"/>
      <c r="N634" s="4"/>
      <c r="O634" s="4"/>
      <c r="P634" s="4"/>
      <c r="Q634" s="4"/>
      <c r="R634" s="4"/>
      <c r="S634" s="4"/>
      <c r="T634" s="4"/>
      <c r="U634" s="4"/>
      <c r="V634" s="4"/>
      <c r="W634" s="4"/>
      <c r="X634" s="4"/>
      <c r="Y634" s="4"/>
      <c r="Z634" s="4"/>
    </row>
    <row r="635" ht="9.75" customHeight="1">
      <c r="A635" s="4"/>
      <c r="B635" s="4"/>
      <c r="C635" s="4"/>
      <c r="D635" s="165"/>
      <c r="E635" s="165"/>
      <c r="F635" s="165"/>
      <c r="G635" s="165"/>
      <c r="H635" s="165"/>
      <c r="I635" s="4"/>
      <c r="J635" s="4"/>
      <c r="K635" s="4"/>
      <c r="L635" s="4"/>
      <c r="M635" s="4"/>
      <c r="N635" s="4"/>
      <c r="O635" s="4"/>
      <c r="P635" s="4"/>
      <c r="Q635" s="4"/>
      <c r="R635" s="4"/>
      <c r="S635" s="4"/>
      <c r="T635" s="4"/>
      <c r="U635" s="4"/>
      <c r="V635" s="4"/>
      <c r="W635" s="4"/>
      <c r="X635" s="4"/>
      <c r="Y635" s="4"/>
      <c r="Z635" s="4"/>
    </row>
    <row r="636" ht="9.75" customHeight="1">
      <c r="A636" s="4"/>
      <c r="B636" s="4"/>
      <c r="C636" s="4"/>
      <c r="D636" s="165"/>
      <c r="E636" s="165"/>
      <c r="F636" s="165"/>
      <c r="G636" s="165"/>
      <c r="H636" s="165"/>
      <c r="I636" s="4"/>
      <c r="J636" s="4"/>
      <c r="K636" s="4"/>
      <c r="L636" s="4"/>
      <c r="M636" s="4"/>
      <c r="N636" s="4"/>
      <c r="O636" s="4"/>
      <c r="P636" s="4"/>
      <c r="Q636" s="4"/>
      <c r="R636" s="4"/>
      <c r="S636" s="4"/>
      <c r="T636" s="4"/>
      <c r="U636" s="4"/>
      <c r="V636" s="4"/>
      <c r="W636" s="4"/>
      <c r="X636" s="4"/>
      <c r="Y636" s="4"/>
      <c r="Z636" s="4"/>
    </row>
    <row r="637" ht="9.75" customHeight="1">
      <c r="A637" s="4"/>
      <c r="B637" s="4"/>
      <c r="C637" s="4"/>
      <c r="D637" s="165"/>
      <c r="E637" s="165"/>
      <c r="F637" s="165"/>
      <c r="G637" s="165"/>
      <c r="H637" s="165"/>
      <c r="I637" s="4"/>
      <c r="J637" s="4"/>
      <c r="K637" s="4"/>
      <c r="L637" s="4"/>
      <c r="M637" s="4"/>
      <c r="N637" s="4"/>
      <c r="O637" s="4"/>
      <c r="P637" s="4"/>
      <c r="Q637" s="4"/>
      <c r="R637" s="4"/>
      <c r="S637" s="4"/>
      <c r="T637" s="4"/>
      <c r="U637" s="4"/>
      <c r="V637" s="4"/>
      <c r="W637" s="4"/>
      <c r="X637" s="4"/>
      <c r="Y637" s="4"/>
      <c r="Z637" s="4"/>
    </row>
    <row r="638" ht="9.75" customHeight="1">
      <c r="A638" s="4"/>
      <c r="B638" s="4"/>
      <c r="C638" s="4"/>
      <c r="D638" s="165"/>
      <c r="E638" s="165"/>
      <c r="F638" s="165"/>
      <c r="G638" s="165"/>
      <c r="H638" s="165"/>
      <c r="I638" s="4"/>
      <c r="J638" s="4"/>
      <c r="K638" s="4"/>
      <c r="L638" s="4"/>
      <c r="M638" s="4"/>
      <c r="N638" s="4"/>
      <c r="O638" s="4"/>
      <c r="P638" s="4"/>
      <c r="Q638" s="4"/>
      <c r="R638" s="4"/>
      <c r="S638" s="4"/>
      <c r="T638" s="4"/>
      <c r="U638" s="4"/>
      <c r="V638" s="4"/>
      <c r="W638" s="4"/>
      <c r="X638" s="4"/>
      <c r="Y638" s="4"/>
      <c r="Z638" s="4"/>
    </row>
    <row r="639" ht="9.75" customHeight="1">
      <c r="A639" s="4"/>
      <c r="B639" s="4"/>
      <c r="C639" s="4"/>
      <c r="D639" s="165"/>
      <c r="E639" s="165"/>
      <c r="F639" s="165"/>
      <c r="G639" s="165"/>
      <c r="H639" s="165"/>
      <c r="I639" s="4"/>
      <c r="J639" s="4"/>
      <c r="K639" s="4"/>
      <c r="L639" s="4"/>
      <c r="M639" s="4"/>
      <c r="N639" s="4"/>
      <c r="O639" s="4"/>
      <c r="P639" s="4"/>
      <c r="Q639" s="4"/>
      <c r="R639" s="4"/>
      <c r="S639" s="4"/>
      <c r="T639" s="4"/>
      <c r="U639" s="4"/>
      <c r="V639" s="4"/>
      <c r="W639" s="4"/>
      <c r="X639" s="4"/>
      <c r="Y639" s="4"/>
      <c r="Z639" s="4"/>
    </row>
    <row r="640" ht="9.75" customHeight="1">
      <c r="A640" s="4"/>
      <c r="B640" s="4"/>
      <c r="C640" s="4"/>
      <c r="D640" s="165"/>
      <c r="E640" s="165"/>
      <c r="F640" s="165"/>
      <c r="G640" s="165"/>
      <c r="H640" s="165"/>
      <c r="I640" s="4"/>
      <c r="J640" s="4"/>
      <c r="K640" s="4"/>
      <c r="L640" s="4"/>
      <c r="M640" s="4"/>
      <c r="N640" s="4"/>
      <c r="O640" s="4"/>
      <c r="P640" s="4"/>
      <c r="Q640" s="4"/>
      <c r="R640" s="4"/>
      <c r="S640" s="4"/>
      <c r="T640" s="4"/>
      <c r="U640" s="4"/>
      <c r="V640" s="4"/>
      <c r="W640" s="4"/>
      <c r="X640" s="4"/>
      <c r="Y640" s="4"/>
      <c r="Z640" s="4"/>
    </row>
    <row r="641" ht="9.75" customHeight="1">
      <c r="A641" s="4"/>
      <c r="B641" s="4"/>
      <c r="C641" s="4"/>
      <c r="D641" s="165"/>
      <c r="E641" s="165"/>
      <c r="F641" s="165"/>
      <c r="G641" s="165"/>
      <c r="H641" s="165"/>
      <c r="I641" s="4"/>
      <c r="J641" s="4"/>
      <c r="K641" s="4"/>
      <c r="L641" s="4"/>
      <c r="M641" s="4"/>
      <c r="N641" s="4"/>
      <c r="O641" s="4"/>
      <c r="P641" s="4"/>
      <c r="Q641" s="4"/>
      <c r="R641" s="4"/>
      <c r="S641" s="4"/>
      <c r="T641" s="4"/>
      <c r="U641" s="4"/>
      <c r="V641" s="4"/>
      <c r="W641" s="4"/>
      <c r="X641" s="4"/>
      <c r="Y641" s="4"/>
      <c r="Z641" s="4"/>
    </row>
    <row r="642" ht="9.75" customHeight="1">
      <c r="A642" s="4"/>
      <c r="B642" s="4"/>
      <c r="C642" s="4"/>
      <c r="D642" s="165"/>
      <c r="E642" s="165"/>
      <c r="F642" s="165"/>
      <c r="G642" s="165"/>
      <c r="H642" s="165"/>
      <c r="I642" s="4"/>
      <c r="J642" s="4"/>
      <c r="K642" s="4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  <c r="X642" s="4"/>
      <c r="Y642" s="4"/>
      <c r="Z642" s="4"/>
    </row>
    <row r="643" ht="9.75" customHeight="1">
      <c r="A643" s="4"/>
      <c r="B643" s="4"/>
      <c r="C643" s="4"/>
      <c r="D643" s="165"/>
      <c r="E643" s="165"/>
      <c r="F643" s="165"/>
      <c r="G643" s="165"/>
      <c r="H643" s="165"/>
      <c r="I643" s="4"/>
      <c r="J643" s="4"/>
      <c r="K643" s="4"/>
      <c r="L643" s="4"/>
      <c r="M643" s="4"/>
      <c r="N643" s="4"/>
      <c r="O643" s="4"/>
      <c r="P643" s="4"/>
      <c r="Q643" s="4"/>
      <c r="R643" s="4"/>
      <c r="S643" s="4"/>
      <c r="T643" s="4"/>
      <c r="U643" s="4"/>
      <c r="V643" s="4"/>
      <c r="W643" s="4"/>
      <c r="X643" s="4"/>
      <c r="Y643" s="4"/>
      <c r="Z643" s="4"/>
    </row>
    <row r="644" ht="9.75" customHeight="1">
      <c r="A644" s="4"/>
      <c r="B644" s="4"/>
      <c r="C644" s="4"/>
      <c r="D644" s="165"/>
      <c r="E644" s="165"/>
      <c r="F644" s="165"/>
      <c r="G644" s="165"/>
      <c r="H644" s="165"/>
      <c r="I644" s="4"/>
      <c r="J644" s="4"/>
      <c r="K644" s="4"/>
      <c r="L644" s="4"/>
      <c r="M644" s="4"/>
      <c r="N644" s="4"/>
      <c r="O644" s="4"/>
      <c r="P644" s="4"/>
      <c r="Q644" s="4"/>
      <c r="R644" s="4"/>
      <c r="S644" s="4"/>
      <c r="T644" s="4"/>
      <c r="U644" s="4"/>
      <c r="V644" s="4"/>
      <c r="W644" s="4"/>
      <c r="X644" s="4"/>
      <c r="Y644" s="4"/>
      <c r="Z644" s="4"/>
    </row>
    <row r="645" ht="9.75" customHeight="1">
      <c r="A645" s="4"/>
      <c r="B645" s="4"/>
      <c r="C645" s="4"/>
      <c r="D645" s="165"/>
      <c r="E645" s="165"/>
      <c r="F645" s="165"/>
      <c r="G645" s="165"/>
      <c r="H645" s="165"/>
      <c r="I645" s="4"/>
      <c r="J645" s="4"/>
      <c r="K645" s="4"/>
      <c r="L645" s="4"/>
      <c r="M645" s="4"/>
      <c r="N645" s="4"/>
      <c r="O645" s="4"/>
      <c r="P645" s="4"/>
      <c r="Q645" s="4"/>
      <c r="R645" s="4"/>
      <c r="S645" s="4"/>
      <c r="T645" s="4"/>
      <c r="U645" s="4"/>
      <c r="V645" s="4"/>
      <c r="W645" s="4"/>
      <c r="X645" s="4"/>
      <c r="Y645" s="4"/>
      <c r="Z645" s="4"/>
    </row>
    <row r="646" ht="9.75" customHeight="1">
      <c r="A646" s="4"/>
      <c r="B646" s="4"/>
      <c r="C646" s="4"/>
      <c r="D646" s="165"/>
      <c r="E646" s="165"/>
      <c r="F646" s="165"/>
      <c r="G646" s="165"/>
      <c r="H646" s="165"/>
      <c r="I646" s="4"/>
      <c r="J646" s="4"/>
      <c r="K646" s="4"/>
      <c r="L646" s="4"/>
      <c r="M646" s="4"/>
      <c r="N646" s="4"/>
      <c r="O646" s="4"/>
      <c r="P646" s="4"/>
      <c r="Q646" s="4"/>
      <c r="R646" s="4"/>
      <c r="S646" s="4"/>
      <c r="T646" s="4"/>
      <c r="U646" s="4"/>
      <c r="V646" s="4"/>
      <c r="W646" s="4"/>
      <c r="X646" s="4"/>
      <c r="Y646" s="4"/>
      <c r="Z646" s="4"/>
    </row>
    <row r="647" ht="9.75" customHeight="1">
      <c r="A647" s="4"/>
      <c r="B647" s="4"/>
      <c r="C647" s="4"/>
      <c r="D647" s="165"/>
      <c r="E647" s="165"/>
      <c r="F647" s="165"/>
      <c r="G647" s="165"/>
      <c r="H647" s="165"/>
      <c r="I647" s="4"/>
      <c r="J647" s="4"/>
      <c r="K647" s="4"/>
      <c r="L647" s="4"/>
      <c r="M647" s="4"/>
      <c r="N647" s="4"/>
      <c r="O647" s="4"/>
      <c r="P647" s="4"/>
      <c r="Q647" s="4"/>
      <c r="R647" s="4"/>
      <c r="S647" s="4"/>
      <c r="T647" s="4"/>
      <c r="U647" s="4"/>
      <c r="V647" s="4"/>
      <c r="W647" s="4"/>
      <c r="X647" s="4"/>
      <c r="Y647" s="4"/>
      <c r="Z647" s="4"/>
    </row>
    <row r="648" ht="9.75" customHeight="1">
      <c r="A648" s="4"/>
      <c r="B648" s="4"/>
      <c r="C648" s="4"/>
      <c r="D648" s="165"/>
      <c r="E648" s="165"/>
      <c r="F648" s="165"/>
      <c r="G648" s="165"/>
      <c r="H648" s="165"/>
      <c r="I648" s="4"/>
      <c r="J648" s="4"/>
      <c r="K648" s="4"/>
      <c r="L648" s="4"/>
      <c r="M648" s="4"/>
      <c r="N648" s="4"/>
      <c r="O648" s="4"/>
      <c r="P648" s="4"/>
      <c r="Q648" s="4"/>
      <c r="R648" s="4"/>
      <c r="S648" s="4"/>
      <c r="T648" s="4"/>
      <c r="U648" s="4"/>
      <c r="V648" s="4"/>
      <c r="W648" s="4"/>
      <c r="X648" s="4"/>
      <c r="Y648" s="4"/>
      <c r="Z648" s="4"/>
    </row>
    <row r="649" ht="9.75" customHeight="1">
      <c r="A649" s="4"/>
      <c r="B649" s="4"/>
      <c r="C649" s="4"/>
      <c r="D649" s="165"/>
      <c r="E649" s="165"/>
      <c r="F649" s="165"/>
      <c r="G649" s="165"/>
      <c r="H649" s="165"/>
      <c r="I649" s="4"/>
      <c r="J649" s="4"/>
      <c r="K649" s="4"/>
      <c r="L649" s="4"/>
      <c r="M649" s="4"/>
      <c r="N649" s="4"/>
      <c r="O649" s="4"/>
      <c r="P649" s="4"/>
      <c r="Q649" s="4"/>
      <c r="R649" s="4"/>
      <c r="S649" s="4"/>
      <c r="T649" s="4"/>
      <c r="U649" s="4"/>
      <c r="V649" s="4"/>
      <c r="W649" s="4"/>
      <c r="X649" s="4"/>
      <c r="Y649" s="4"/>
      <c r="Z649" s="4"/>
    </row>
    <row r="650" ht="9.75" customHeight="1">
      <c r="A650" s="4"/>
      <c r="B650" s="4"/>
      <c r="C650" s="4"/>
      <c r="D650" s="165"/>
      <c r="E650" s="165"/>
      <c r="F650" s="165"/>
      <c r="G650" s="165"/>
      <c r="H650" s="165"/>
      <c r="I650" s="4"/>
      <c r="J650" s="4"/>
      <c r="K650" s="4"/>
      <c r="L650" s="4"/>
      <c r="M650" s="4"/>
      <c r="N650" s="4"/>
      <c r="O650" s="4"/>
      <c r="P650" s="4"/>
      <c r="Q650" s="4"/>
      <c r="R650" s="4"/>
      <c r="S650" s="4"/>
      <c r="T650" s="4"/>
      <c r="U650" s="4"/>
      <c r="V650" s="4"/>
      <c r="W650" s="4"/>
      <c r="X650" s="4"/>
      <c r="Y650" s="4"/>
      <c r="Z650" s="4"/>
    </row>
    <row r="651" ht="9.75" customHeight="1">
      <c r="A651" s="4"/>
      <c r="B651" s="4"/>
      <c r="C651" s="4"/>
      <c r="D651" s="165"/>
      <c r="E651" s="165"/>
      <c r="F651" s="165"/>
      <c r="G651" s="165"/>
      <c r="H651" s="165"/>
      <c r="I651" s="4"/>
      <c r="J651" s="4"/>
      <c r="K651" s="4"/>
      <c r="L651" s="4"/>
      <c r="M651" s="4"/>
      <c r="N651" s="4"/>
      <c r="O651" s="4"/>
      <c r="P651" s="4"/>
      <c r="Q651" s="4"/>
      <c r="R651" s="4"/>
      <c r="S651" s="4"/>
      <c r="T651" s="4"/>
      <c r="U651" s="4"/>
      <c r="V651" s="4"/>
      <c r="W651" s="4"/>
      <c r="X651" s="4"/>
      <c r="Y651" s="4"/>
      <c r="Z651" s="4"/>
    </row>
    <row r="652" ht="9.75" customHeight="1">
      <c r="A652" s="4"/>
      <c r="B652" s="4"/>
      <c r="C652" s="4"/>
      <c r="D652" s="165"/>
      <c r="E652" s="165"/>
      <c r="F652" s="165"/>
      <c r="G652" s="165"/>
      <c r="H652" s="165"/>
      <c r="I652" s="4"/>
      <c r="J652" s="4"/>
      <c r="K652" s="4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  <c r="X652" s="4"/>
      <c r="Y652" s="4"/>
      <c r="Z652" s="4"/>
    </row>
    <row r="653" ht="9.75" customHeight="1">
      <c r="A653" s="4"/>
      <c r="B653" s="4"/>
      <c r="C653" s="4"/>
      <c r="D653" s="165"/>
      <c r="E653" s="165"/>
      <c r="F653" s="165"/>
      <c r="G653" s="165"/>
      <c r="H653" s="165"/>
      <c r="I653" s="4"/>
      <c r="J653" s="4"/>
      <c r="K653" s="4"/>
      <c r="L653" s="4"/>
      <c r="M653" s="4"/>
      <c r="N653" s="4"/>
      <c r="O653" s="4"/>
      <c r="P653" s="4"/>
      <c r="Q653" s="4"/>
      <c r="R653" s="4"/>
      <c r="S653" s="4"/>
      <c r="T653" s="4"/>
      <c r="U653" s="4"/>
      <c r="V653" s="4"/>
      <c r="W653" s="4"/>
      <c r="X653" s="4"/>
      <c r="Y653" s="4"/>
      <c r="Z653" s="4"/>
    </row>
    <row r="654" ht="9.75" customHeight="1">
      <c r="A654" s="4"/>
      <c r="B654" s="4"/>
      <c r="C654" s="4"/>
      <c r="D654" s="165"/>
      <c r="E654" s="165"/>
      <c r="F654" s="165"/>
      <c r="G654" s="165"/>
      <c r="H654" s="165"/>
      <c r="I654" s="4"/>
      <c r="J654" s="4"/>
      <c r="K654" s="4"/>
      <c r="L654" s="4"/>
      <c r="M654" s="4"/>
      <c r="N654" s="4"/>
      <c r="O654" s="4"/>
      <c r="P654" s="4"/>
      <c r="Q654" s="4"/>
      <c r="R654" s="4"/>
      <c r="S654" s="4"/>
      <c r="T654" s="4"/>
      <c r="U654" s="4"/>
      <c r="V654" s="4"/>
      <c r="W654" s="4"/>
      <c r="X654" s="4"/>
      <c r="Y654" s="4"/>
      <c r="Z654" s="4"/>
    </row>
    <row r="655" ht="9.75" customHeight="1">
      <c r="A655" s="4"/>
      <c r="B655" s="4"/>
      <c r="C655" s="4"/>
      <c r="D655" s="165"/>
      <c r="E655" s="165"/>
      <c r="F655" s="165"/>
      <c r="G655" s="165"/>
      <c r="H655" s="165"/>
      <c r="I655" s="4"/>
      <c r="J655" s="4"/>
      <c r="K655" s="4"/>
      <c r="L655" s="4"/>
      <c r="M655" s="4"/>
      <c r="N655" s="4"/>
      <c r="O655" s="4"/>
      <c r="P655" s="4"/>
      <c r="Q655" s="4"/>
      <c r="R655" s="4"/>
      <c r="S655" s="4"/>
      <c r="T655" s="4"/>
      <c r="U655" s="4"/>
      <c r="V655" s="4"/>
      <c r="W655" s="4"/>
      <c r="X655" s="4"/>
      <c r="Y655" s="4"/>
      <c r="Z655" s="4"/>
    </row>
    <row r="656" ht="9.75" customHeight="1">
      <c r="A656" s="4"/>
      <c r="B656" s="4"/>
      <c r="C656" s="4"/>
      <c r="D656" s="165"/>
      <c r="E656" s="165"/>
      <c r="F656" s="165"/>
      <c r="G656" s="165"/>
      <c r="H656" s="165"/>
      <c r="I656" s="4"/>
      <c r="J656" s="4"/>
      <c r="K656" s="4"/>
      <c r="L656" s="4"/>
      <c r="M656" s="4"/>
      <c r="N656" s="4"/>
      <c r="O656" s="4"/>
      <c r="P656" s="4"/>
      <c r="Q656" s="4"/>
      <c r="R656" s="4"/>
      <c r="S656" s="4"/>
      <c r="T656" s="4"/>
      <c r="U656" s="4"/>
      <c r="V656" s="4"/>
      <c r="W656" s="4"/>
      <c r="X656" s="4"/>
      <c r="Y656" s="4"/>
      <c r="Z656" s="4"/>
    </row>
    <row r="657" ht="9.75" customHeight="1">
      <c r="A657" s="4"/>
      <c r="B657" s="4"/>
      <c r="C657" s="4"/>
      <c r="D657" s="165"/>
      <c r="E657" s="165"/>
      <c r="F657" s="165"/>
      <c r="G657" s="165"/>
      <c r="H657" s="165"/>
      <c r="I657" s="4"/>
      <c r="J657" s="4"/>
      <c r="K657" s="4"/>
      <c r="L657" s="4"/>
      <c r="M657" s="4"/>
      <c r="N657" s="4"/>
      <c r="O657" s="4"/>
      <c r="P657" s="4"/>
      <c r="Q657" s="4"/>
      <c r="R657" s="4"/>
      <c r="S657" s="4"/>
      <c r="T657" s="4"/>
      <c r="U657" s="4"/>
      <c r="V657" s="4"/>
      <c r="W657" s="4"/>
      <c r="X657" s="4"/>
      <c r="Y657" s="4"/>
      <c r="Z657" s="4"/>
    </row>
    <row r="658" ht="9.75" customHeight="1">
      <c r="A658" s="4"/>
      <c r="B658" s="4"/>
      <c r="C658" s="4"/>
      <c r="D658" s="165"/>
      <c r="E658" s="165"/>
      <c r="F658" s="165"/>
      <c r="G658" s="165"/>
      <c r="H658" s="165"/>
      <c r="I658" s="4"/>
      <c r="J658" s="4"/>
      <c r="K658" s="4"/>
      <c r="L658" s="4"/>
      <c r="M658" s="4"/>
      <c r="N658" s="4"/>
      <c r="O658" s="4"/>
      <c r="P658" s="4"/>
      <c r="Q658" s="4"/>
      <c r="R658" s="4"/>
      <c r="S658" s="4"/>
      <c r="T658" s="4"/>
      <c r="U658" s="4"/>
      <c r="V658" s="4"/>
      <c r="W658" s="4"/>
      <c r="X658" s="4"/>
      <c r="Y658" s="4"/>
      <c r="Z658" s="4"/>
    </row>
    <row r="659" ht="9.75" customHeight="1">
      <c r="A659" s="4"/>
      <c r="B659" s="4"/>
      <c r="C659" s="4"/>
      <c r="D659" s="165"/>
      <c r="E659" s="165"/>
      <c r="F659" s="165"/>
      <c r="G659" s="165"/>
      <c r="H659" s="165"/>
      <c r="I659" s="4"/>
      <c r="J659" s="4"/>
      <c r="K659" s="4"/>
      <c r="L659" s="4"/>
      <c r="M659" s="4"/>
      <c r="N659" s="4"/>
      <c r="O659" s="4"/>
      <c r="P659" s="4"/>
      <c r="Q659" s="4"/>
      <c r="R659" s="4"/>
      <c r="S659" s="4"/>
      <c r="T659" s="4"/>
      <c r="U659" s="4"/>
      <c r="V659" s="4"/>
      <c r="W659" s="4"/>
      <c r="X659" s="4"/>
      <c r="Y659" s="4"/>
      <c r="Z659" s="4"/>
    </row>
    <row r="660" ht="9.75" customHeight="1">
      <c r="A660" s="4"/>
      <c r="B660" s="4"/>
      <c r="C660" s="4"/>
      <c r="D660" s="165"/>
      <c r="E660" s="165"/>
      <c r="F660" s="165"/>
      <c r="G660" s="165"/>
      <c r="H660" s="165"/>
      <c r="I660" s="4"/>
      <c r="J660" s="4"/>
      <c r="K660" s="4"/>
      <c r="L660" s="4"/>
      <c r="M660" s="4"/>
      <c r="N660" s="4"/>
      <c r="O660" s="4"/>
      <c r="P660" s="4"/>
      <c r="Q660" s="4"/>
      <c r="R660" s="4"/>
      <c r="S660" s="4"/>
      <c r="T660" s="4"/>
      <c r="U660" s="4"/>
      <c r="V660" s="4"/>
      <c r="W660" s="4"/>
      <c r="X660" s="4"/>
      <c r="Y660" s="4"/>
      <c r="Z660" s="4"/>
    </row>
    <row r="661" ht="9.75" customHeight="1">
      <c r="A661" s="4"/>
      <c r="B661" s="4"/>
      <c r="C661" s="4"/>
      <c r="D661" s="165"/>
      <c r="E661" s="165"/>
      <c r="F661" s="165"/>
      <c r="G661" s="165"/>
      <c r="H661" s="165"/>
      <c r="I661" s="4"/>
      <c r="J661" s="4"/>
      <c r="K661" s="4"/>
      <c r="L661" s="4"/>
      <c r="M661" s="4"/>
      <c r="N661" s="4"/>
      <c r="O661" s="4"/>
      <c r="P661" s="4"/>
      <c r="Q661" s="4"/>
      <c r="R661" s="4"/>
      <c r="S661" s="4"/>
      <c r="T661" s="4"/>
      <c r="U661" s="4"/>
      <c r="V661" s="4"/>
      <c r="W661" s="4"/>
      <c r="X661" s="4"/>
      <c r="Y661" s="4"/>
      <c r="Z661" s="4"/>
    </row>
    <row r="662" ht="9.75" customHeight="1">
      <c r="A662" s="4"/>
      <c r="B662" s="4"/>
      <c r="C662" s="4"/>
      <c r="D662" s="165"/>
      <c r="E662" s="165"/>
      <c r="F662" s="165"/>
      <c r="G662" s="165"/>
      <c r="H662" s="165"/>
      <c r="I662" s="4"/>
      <c r="J662" s="4"/>
      <c r="K662" s="4"/>
      <c r="L662" s="4"/>
      <c r="M662" s="4"/>
      <c r="N662" s="4"/>
      <c r="O662" s="4"/>
      <c r="P662" s="4"/>
      <c r="Q662" s="4"/>
      <c r="R662" s="4"/>
      <c r="S662" s="4"/>
      <c r="T662" s="4"/>
      <c r="U662" s="4"/>
      <c r="V662" s="4"/>
      <c r="W662" s="4"/>
      <c r="X662" s="4"/>
      <c r="Y662" s="4"/>
      <c r="Z662" s="4"/>
    </row>
    <row r="663" ht="9.75" customHeight="1">
      <c r="A663" s="4"/>
      <c r="B663" s="4"/>
      <c r="C663" s="4"/>
      <c r="D663" s="165"/>
      <c r="E663" s="165"/>
      <c r="F663" s="165"/>
      <c r="G663" s="165"/>
      <c r="H663" s="165"/>
      <c r="I663" s="4"/>
      <c r="J663" s="4"/>
      <c r="K663" s="4"/>
      <c r="L663" s="4"/>
      <c r="M663" s="4"/>
      <c r="N663" s="4"/>
      <c r="O663" s="4"/>
      <c r="P663" s="4"/>
      <c r="Q663" s="4"/>
      <c r="R663" s="4"/>
      <c r="S663" s="4"/>
      <c r="T663" s="4"/>
      <c r="U663" s="4"/>
      <c r="V663" s="4"/>
      <c r="W663" s="4"/>
      <c r="X663" s="4"/>
      <c r="Y663" s="4"/>
      <c r="Z663" s="4"/>
    </row>
    <row r="664" ht="9.75" customHeight="1">
      <c r="A664" s="4"/>
      <c r="B664" s="4"/>
      <c r="C664" s="4"/>
      <c r="D664" s="165"/>
      <c r="E664" s="165"/>
      <c r="F664" s="165"/>
      <c r="G664" s="165"/>
      <c r="H664" s="165"/>
      <c r="I664" s="4"/>
      <c r="J664" s="4"/>
      <c r="K664" s="4"/>
      <c r="L664" s="4"/>
      <c r="M664" s="4"/>
      <c r="N664" s="4"/>
      <c r="O664" s="4"/>
      <c r="P664" s="4"/>
      <c r="Q664" s="4"/>
      <c r="R664" s="4"/>
      <c r="S664" s="4"/>
      <c r="T664" s="4"/>
      <c r="U664" s="4"/>
      <c r="V664" s="4"/>
      <c r="W664" s="4"/>
      <c r="X664" s="4"/>
      <c r="Y664" s="4"/>
      <c r="Z664" s="4"/>
    </row>
    <row r="665" ht="9.75" customHeight="1">
      <c r="A665" s="4"/>
      <c r="B665" s="4"/>
      <c r="C665" s="4"/>
      <c r="D665" s="165"/>
      <c r="E665" s="165"/>
      <c r="F665" s="165"/>
      <c r="G665" s="165"/>
      <c r="H665" s="165"/>
      <c r="I665" s="4"/>
      <c r="J665" s="4"/>
      <c r="K665" s="4"/>
      <c r="L665" s="4"/>
      <c r="M665" s="4"/>
      <c r="N665" s="4"/>
      <c r="O665" s="4"/>
      <c r="P665" s="4"/>
      <c r="Q665" s="4"/>
      <c r="R665" s="4"/>
      <c r="S665" s="4"/>
      <c r="T665" s="4"/>
      <c r="U665" s="4"/>
      <c r="V665" s="4"/>
      <c r="W665" s="4"/>
      <c r="X665" s="4"/>
      <c r="Y665" s="4"/>
      <c r="Z665" s="4"/>
    </row>
    <row r="666" ht="9.75" customHeight="1">
      <c r="A666" s="4"/>
      <c r="B666" s="4"/>
      <c r="C666" s="4"/>
      <c r="D666" s="165"/>
      <c r="E666" s="165"/>
      <c r="F666" s="165"/>
      <c r="G666" s="165"/>
      <c r="H666" s="165"/>
      <c r="I666" s="4"/>
      <c r="J666" s="4"/>
      <c r="K666" s="4"/>
      <c r="L666" s="4"/>
      <c r="M666" s="4"/>
      <c r="N666" s="4"/>
      <c r="O666" s="4"/>
      <c r="P666" s="4"/>
      <c r="Q666" s="4"/>
      <c r="R666" s="4"/>
      <c r="S666" s="4"/>
      <c r="T666" s="4"/>
      <c r="U666" s="4"/>
      <c r="V666" s="4"/>
      <c r="W666" s="4"/>
      <c r="X666" s="4"/>
      <c r="Y666" s="4"/>
      <c r="Z666" s="4"/>
    </row>
    <row r="667" ht="9.75" customHeight="1">
      <c r="A667" s="4"/>
      <c r="B667" s="4"/>
      <c r="C667" s="4"/>
      <c r="D667" s="165"/>
      <c r="E667" s="165"/>
      <c r="F667" s="165"/>
      <c r="G667" s="165"/>
      <c r="H667" s="165"/>
      <c r="I667" s="4"/>
      <c r="J667" s="4"/>
      <c r="K667" s="4"/>
      <c r="L667" s="4"/>
      <c r="M667" s="4"/>
      <c r="N667" s="4"/>
      <c r="O667" s="4"/>
      <c r="P667" s="4"/>
      <c r="Q667" s="4"/>
      <c r="R667" s="4"/>
      <c r="S667" s="4"/>
      <c r="T667" s="4"/>
      <c r="U667" s="4"/>
      <c r="V667" s="4"/>
      <c r="W667" s="4"/>
      <c r="X667" s="4"/>
      <c r="Y667" s="4"/>
      <c r="Z667" s="4"/>
    </row>
    <row r="668" ht="9.75" customHeight="1">
      <c r="A668" s="4"/>
      <c r="B668" s="4"/>
      <c r="C668" s="4"/>
      <c r="D668" s="165"/>
      <c r="E668" s="165"/>
      <c r="F668" s="165"/>
      <c r="G668" s="165"/>
      <c r="H668" s="165"/>
      <c r="I668" s="4"/>
      <c r="J668" s="4"/>
      <c r="K668" s="4"/>
      <c r="L668" s="4"/>
      <c r="M668" s="4"/>
      <c r="N668" s="4"/>
      <c r="O668" s="4"/>
      <c r="P668" s="4"/>
      <c r="Q668" s="4"/>
      <c r="R668" s="4"/>
      <c r="S668" s="4"/>
      <c r="T668" s="4"/>
      <c r="U668" s="4"/>
      <c r="V668" s="4"/>
      <c r="W668" s="4"/>
      <c r="X668" s="4"/>
      <c r="Y668" s="4"/>
      <c r="Z668" s="4"/>
    </row>
    <row r="669" ht="9.75" customHeight="1">
      <c r="A669" s="4"/>
      <c r="B669" s="4"/>
      <c r="C669" s="4"/>
      <c r="D669" s="165"/>
      <c r="E669" s="165"/>
      <c r="F669" s="165"/>
      <c r="G669" s="165"/>
      <c r="H669" s="165"/>
      <c r="I669" s="4"/>
      <c r="J669" s="4"/>
      <c r="K669" s="4"/>
      <c r="L669" s="4"/>
      <c r="M669" s="4"/>
      <c r="N669" s="4"/>
      <c r="O669" s="4"/>
      <c r="P669" s="4"/>
      <c r="Q669" s="4"/>
      <c r="R669" s="4"/>
      <c r="S669" s="4"/>
      <c r="T669" s="4"/>
      <c r="U669" s="4"/>
      <c r="V669" s="4"/>
      <c r="W669" s="4"/>
      <c r="X669" s="4"/>
      <c r="Y669" s="4"/>
      <c r="Z669" s="4"/>
    </row>
    <row r="670" ht="9.75" customHeight="1">
      <c r="A670" s="4"/>
      <c r="B670" s="4"/>
      <c r="C670" s="4"/>
      <c r="D670" s="165"/>
      <c r="E670" s="165"/>
      <c r="F670" s="165"/>
      <c r="G670" s="165"/>
      <c r="H670" s="165"/>
      <c r="I670" s="4"/>
      <c r="J670" s="4"/>
      <c r="K670" s="4"/>
      <c r="L670" s="4"/>
      <c r="M670" s="4"/>
      <c r="N670" s="4"/>
      <c r="O670" s="4"/>
      <c r="P670" s="4"/>
      <c r="Q670" s="4"/>
      <c r="R670" s="4"/>
      <c r="S670" s="4"/>
      <c r="T670" s="4"/>
      <c r="U670" s="4"/>
      <c r="V670" s="4"/>
      <c r="W670" s="4"/>
      <c r="X670" s="4"/>
      <c r="Y670" s="4"/>
      <c r="Z670" s="4"/>
    </row>
    <row r="671" ht="9.75" customHeight="1">
      <c r="A671" s="4"/>
      <c r="B671" s="4"/>
      <c r="C671" s="4"/>
      <c r="D671" s="165"/>
      <c r="E671" s="165"/>
      <c r="F671" s="165"/>
      <c r="G671" s="165"/>
      <c r="H671" s="165"/>
      <c r="I671" s="4"/>
      <c r="J671" s="4"/>
      <c r="K671" s="4"/>
      <c r="L671" s="4"/>
      <c r="M671" s="4"/>
      <c r="N671" s="4"/>
      <c r="O671" s="4"/>
      <c r="P671" s="4"/>
      <c r="Q671" s="4"/>
      <c r="R671" s="4"/>
      <c r="S671" s="4"/>
      <c r="T671" s="4"/>
      <c r="U671" s="4"/>
      <c r="V671" s="4"/>
      <c r="W671" s="4"/>
      <c r="X671" s="4"/>
      <c r="Y671" s="4"/>
      <c r="Z671" s="4"/>
    </row>
    <row r="672" ht="9.75" customHeight="1">
      <c r="A672" s="4"/>
      <c r="B672" s="4"/>
      <c r="C672" s="4"/>
      <c r="D672" s="165"/>
      <c r="E672" s="165"/>
      <c r="F672" s="165"/>
      <c r="G672" s="165"/>
      <c r="H672" s="165"/>
      <c r="I672" s="4"/>
      <c r="J672" s="4"/>
      <c r="K672" s="4"/>
      <c r="L672" s="4"/>
      <c r="M672" s="4"/>
      <c r="N672" s="4"/>
      <c r="O672" s="4"/>
      <c r="P672" s="4"/>
      <c r="Q672" s="4"/>
      <c r="R672" s="4"/>
      <c r="S672" s="4"/>
      <c r="T672" s="4"/>
      <c r="U672" s="4"/>
      <c r="V672" s="4"/>
      <c r="W672" s="4"/>
      <c r="X672" s="4"/>
      <c r="Y672" s="4"/>
      <c r="Z672" s="4"/>
    </row>
    <row r="673" ht="9.75" customHeight="1">
      <c r="A673" s="4"/>
      <c r="B673" s="4"/>
      <c r="C673" s="4"/>
      <c r="D673" s="165"/>
      <c r="E673" s="165"/>
      <c r="F673" s="165"/>
      <c r="G673" s="165"/>
      <c r="H673" s="165"/>
      <c r="I673" s="4"/>
      <c r="J673" s="4"/>
      <c r="K673" s="4"/>
      <c r="L673" s="4"/>
      <c r="M673" s="4"/>
      <c r="N673" s="4"/>
      <c r="O673" s="4"/>
      <c r="P673" s="4"/>
      <c r="Q673" s="4"/>
      <c r="R673" s="4"/>
      <c r="S673" s="4"/>
      <c r="T673" s="4"/>
      <c r="U673" s="4"/>
      <c r="V673" s="4"/>
      <c r="W673" s="4"/>
      <c r="X673" s="4"/>
      <c r="Y673" s="4"/>
      <c r="Z673" s="4"/>
    </row>
    <row r="674" ht="9.75" customHeight="1">
      <c r="A674" s="4"/>
      <c r="B674" s="4"/>
      <c r="C674" s="4"/>
      <c r="D674" s="165"/>
      <c r="E674" s="165"/>
      <c r="F674" s="165"/>
      <c r="G674" s="165"/>
      <c r="H674" s="165"/>
      <c r="I674" s="4"/>
      <c r="J674" s="4"/>
      <c r="K674" s="4"/>
      <c r="L674" s="4"/>
      <c r="M674" s="4"/>
      <c r="N674" s="4"/>
      <c r="O674" s="4"/>
      <c r="P674" s="4"/>
      <c r="Q674" s="4"/>
      <c r="R674" s="4"/>
      <c r="S674" s="4"/>
      <c r="T674" s="4"/>
      <c r="U674" s="4"/>
      <c r="V674" s="4"/>
      <c r="W674" s="4"/>
      <c r="X674" s="4"/>
      <c r="Y674" s="4"/>
      <c r="Z674" s="4"/>
    </row>
    <row r="675" ht="9.75" customHeight="1">
      <c r="A675" s="4"/>
      <c r="B675" s="4"/>
      <c r="C675" s="4"/>
      <c r="D675" s="165"/>
      <c r="E675" s="165"/>
      <c r="F675" s="165"/>
      <c r="G675" s="165"/>
      <c r="H675" s="165"/>
      <c r="I675" s="4"/>
      <c r="J675" s="4"/>
      <c r="K675" s="4"/>
      <c r="L675" s="4"/>
      <c r="M675" s="4"/>
      <c r="N675" s="4"/>
      <c r="O675" s="4"/>
      <c r="P675" s="4"/>
      <c r="Q675" s="4"/>
      <c r="R675" s="4"/>
      <c r="S675" s="4"/>
      <c r="T675" s="4"/>
      <c r="U675" s="4"/>
      <c r="V675" s="4"/>
      <c r="W675" s="4"/>
      <c r="X675" s="4"/>
      <c r="Y675" s="4"/>
      <c r="Z675" s="4"/>
    </row>
    <row r="676" ht="9.75" customHeight="1">
      <c r="A676" s="4"/>
      <c r="B676" s="4"/>
      <c r="C676" s="4"/>
      <c r="D676" s="165"/>
      <c r="E676" s="165"/>
      <c r="F676" s="165"/>
      <c r="G676" s="165"/>
      <c r="H676" s="165"/>
      <c r="I676" s="4"/>
      <c r="J676" s="4"/>
      <c r="K676" s="4"/>
      <c r="L676" s="4"/>
      <c r="M676" s="4"/>
      <c r="N676" s="4"/>
      <c r="O676" s="4"/>
      <c r="P676" s="4"/>
      <c r="Q676" s="4"/>
      <c r="R676" s="4"/>
      <c r="S676" s="4"/>
      <c r="T676" s="4"/>
      <c r="U676" s="4"/>
      <c r="V676" s="4"/>
      <c r="W676" s="4"/>
      <c r="X676" s="4"/>
      <c r="Y676" s="4"/>
      <c r="Z676" s="4"/>
    </row>
    <row r="677" ht="9.75" customHeight="1">
      <c r="A677" s="4"/>
      <c r="B677" s="4"/>
      <c r="C677" s="4"/>
      <c r="D677" s="165"/>
      <c r="E677" s="165"/>
      <c r="F677" s="165"/>
      <c r="G677" s="165"/>
      <c r="H677" s="165"/>
      <c r="I677" s="4"/>
      <c r="J677" s="4"/>
      <c r="K677" s="4"/>
      <c r="L677" s="4"/>
      <c r="M677" s="4"/>
      <c r="N677" s="4"/>
      <c r="O677" s="4"/>
      <c r="P677" s="4"/>
      <c r="Q677" s="4"/>
      <c r="R677" s="4"/>
      <c r="S677" s="4"/>
      <c r="T677" s="4"/>
      <c r="U677" s="4"/>
      <c r="V677" s="4"/>
      <c r="W677" s="4"/>
      <c r="X677" s="4"/>
      <c r="Y677" s="4"/>
      <c r="Z677" s="4"/>
    </row>
    <row r="678" ht="9.75" customHeight="1">
      <c r="A678" s="4"/>
      <c r="B678" s="4"/>
      <c r="C678" s="4"/>
      <c r="D678" s="165"/>
      <c r="E678" s="165"/>
      <c r="F678" s="165"/>
      <c r="G678" s="165"/>
      <c r="H678" s="165"/>
      <c r="I678" s="4"/>
      <c r="J678" s="4"/>
      <c r="K678" s="4"/>
      <c r="L678" s="4"/>
      <c r="M678" s="4"/>
      <c r="N678" s="4"/>
      <c r="O678" s="4"/>
      <c r="P678" s="4"/>
      <c r="Q678" s="4"/>
      <c r="R678" s="4"/>
      <c r="S678" s="4"/>
      <c r="T678" s="4"/>
      <c r="U678" s="4"/>
      <c r="V678" s="4"/>
      <c r="W678" s="4"/>
      <c r="X678" s="4"/>
      <c r="Y678" s="4"/>
      <c r="Z678" s="4"/>
    </row>
    <row r="679" ht="9.75" customHeight="1">
      <c r="A679" s="4"/>
      <c r="B679" s="4"/>
      <c r="C679" s="4"/>
      <c r="D679" s="165"/>
      <c r="E679" s="165"/>
      <c r="F679" s="165"/>
      <c r="G679" s="165"/>
      <c r="H679" s="165"/>
      <c r="I679" s="4"/>
      <c r="J679" s="4"/>
      <c r="K679" s="4"/>
      <c r="L679" s="4"/>
      <c r="M679" s="4"/>
      <c r="N679" s="4"/>
      <c r="O679" s="4"/>
      <c r="P679" s="4"/>
      <c r="Q679" s="4"/>
      <c r="R679" s="4"/>
      <c r="S679" s="4"/>
      <c r="T679" s="4"/>
      <c r="U679" s="4"/>
      <c r="V679" s="4"/>
      <c r="W679" s="4"/>
      <c r="X679" s="4"/>
      <c r="Y679" s="4"/>
      <c r="Z679" s="4"/>
    </row>
    <row r="680" ht="9.75" customHeight="1">
      <c r="A680" s="4"/>
      <c r="B680" s="4"/>
      <c r="C680" s="4"/>
      <c r="D680" s="165"/>
      <c r="E680" s="165"/>
      <c r="F680" s="165"/>
      <c r="G680" s="165"/>
      <c r="H680" s="165"/>
      <c r="I680" s="4"/>
      <c r="J680" s="4"/>
      <c r="K680" s="4"/>
      <c r="L680" s="4"/>
      <c r="M680" s="4"/>
      <c r="N680" s="4"/>
      <c r="O680" s="4"/>
      <c r="P680" s="4"/>
      <c r="Q680" s="4"/>
      <c r="R680" s="4"/>
      <c r="S680" s="4"/>
      <c r="T680" s="4"/>
      <c r="U680" s="4"/>
      <c r="V680" s="4"/>
      <c r="W680" s="4"/>
      <c r="X680" s="4"/>
      <c r="Y680" s="4"/>
      <c r="Z680" s="4"/>
    </row>
    <row r="681" ht="9.75" customHeight="1">
      <c r="A681" s="4"/>
      <c r="B681" s="4"/>
      <c r="C681" s="4"/>
      <c r="D681" s="165"/>
      <c r="E681" s="165"/>
      <c r="F681" s="165"/>
      <c r="G681" s="165"/>
      <c r="H681" s="165"/>
      <c r="I681" s="4"/>
      <c r="J681" s="4"/>
      <c r="K681" s="4"/>
      <c r="L681" s="4"/>
      <c r="M681" s="4"/>
      <c r="N681" s="4"/>
      <c r="O681" s="4"/>
      <c r="P681" s="4"/>
      <c r="Q681" s="4"/>
      <c r="R681" s="4"/>
      <c r="S681" s="4"/>
      <c r="T681" s="4"/>
      <c r="U681" s="4"/>
      <c r="V681" s="4"/>
      <c r="W681" s="4"/>
      <c r="X681" s="4"/>
      <c r="Y681" s="4"/>
      <c r="Z681" s="4"/>
    </row>
    <row r="682" ht="9.75" customHeight="1">
      <c r="A682" s="4"/>
      <c r="B682" s="4"/>
      <c r="C682" s="4"/>
      <c r="D682" s="165"/>
      <c r="E682" s="165"/>
      <c r="F682" s="165"/>
      <c r="G682" s="165"/>
      <c r="H682" s="165"/>
      <c r="I682" s="4"/>
      <c r="J682" s="4"/>
      <c r="K682" s="4"/>
      <c r="L682" s="4"/>
      <c r="M682" s="4"/>
      <c r="N682" s="4"/>
      <c r="O682" s="4"/>
      <c r="P682" s="4"/>
      <c r="Q682" s="4"/>
      <c r="R682" s="4"/>
      <c r="S682" s="4"/>
      <c r="T682" s="4"/>
      <c r="U682" s="4"/>
      <c r="V682" s="4"/>
      <c r="W682" s="4"/>
      <c r="X682" s="4"/>
      <c r="Y682" s="4"/>
      <c r="Z682" s="4"/>
    </row>
    <row r="683" ht="9.75" customHeight="1">
      <c r="A683" s="4"/>
      <c r="B683" s="4"/>
      <c r="C683" s="4"/>
      <c r="D683" s="165"/>
      <c r="E683" s="165"/>
      <c r="F683" s="165"/>
      <c r="G683" s="165"/>
      <c r="H683" s="165"/>
      <c r="I683" s="4"/>
      <c r="J683" s="4"/>
      <c r="K683" s="4"/>
      <c r="L683" s="4"/>
      <c r="M683" s="4"/>
      <c r="N683" s="4"/>
      <c r="O683" s="4"/>
      <c r="P683" s="4"/>
      <c r="Q683" s="4"/>
      <c r="R683" s="4"/>
      <c r="S683" s="4"/>
      <c r="T683" s="4"/>
      <c r="U683" s="4"/>
      <c r="V683" s="4"/>
      <c r="W683" s="4"/>
      <c r="X683" s="4"/>
      <c r="Y683" s="4"/>
      <c r="Z683" s="4"/>
    </row>
    <row r="684" ht="9.75" customHeight="1">
      <c r="A684" s="4"/>
      <c r="B684" s="4"/>
      <c r="C684" s="4"/>
      <c r="D684" s="165"/>
      <c r="E684" s="165"/>
      <c r="F684" s="165"/>
      <c r="G684" s="165"/>
      <c r="H684" s="165"/>
      <c r="I684" s="4"/>
      <c r="J684" s="4"/>
      <c r="K684" s="4"/>
      <c r="L684" s="4"/>
      <c r="M684" s="4"/>
      <c r="N684" s="4"/>
      <c r="O684" s="4"/>
      <c r="P684" s="4"/>
      <c r="Q684" s="4"/>
      <c r="R684" s="4"/>
      <c r="S684" s="4"/>
      <c r="T684" s="4"/>
      <c r="U684" s="4"/>
      <c r="V684" s="4"/>
      <c r="W684" s="4"/>
      <c r="X684" s="4"/>
      <c r="Y684" s="4"/>
      <c r="Z684" s="4"/>
    </row>
    <row r="685" ht="9.75" customHeight="1">
      <c r="A685" s="4"/>
      <c r="B685" s="4"/>
      <c r="C685" s="4"/>
      <c r="D685" s="165"/>
      <c r="E685" s="165"/>
      <c r="F685" s="165"/>
      <c r="G685" s="165"/>
      <c r="H685" s="165"/>
      <c r="I685" s="4"/>
      <c r="J685" s="4"/>
      <c r="K685" s="4"/>
      <c r="L685" s="4"/>
      <c r="M685" s="4"/>
      <c r="N685" s="4"/>
      <c r="O685" s="4"/>
      <c r="P685" s="4"/>
      <c r="Q685" s="4"/>
      <c r="R685" s="4"/>
      <c r="S685" s="4"/>
      <c r="T685" s="4"/>
      <c r="U685" s="4"/>
      <c r="V685" s="4"/>
      <c r="W685" s="4"/>
      <c r="X685" s="4"/>
      <c r="Y685" s="4"/>
      <c r="Z685" s="4"/>
    </row>
    <row r="686" ht="9.75" customHeight="1">
      <c r="A686" s="4"/>
      <c r="B686" s="4"/>
      <c r="C686" s="4"/>
      <c r="D686" s="165"/>
      <c r="E686" s="165"/>
      <c r="F686" s="165"/>
      <c r="G686" s="165"/>
      <c r="H686" s="165"/>
      <c r="I686" s="4"/>
      <c r="J686" s="4"/>
      <c r="K686" s="4"/>
      <c r="L686" s="4"/>
      <c r="M686" s="4"/>
      <c r="N686" s="4"/>
      <c r="O686" s="4"/>
      <c r="P686" s="4"/>
      <c r="Q686" s="4"/>
      <c r="R686" s="4"/>
      <c r="S686" s="4"/>
      <c r="T686" s="4"/>
      <c r="U686" s="4"/>
      <c r="V686" s="4"/>
      <c r="W686" s="4"/>
      <c r="X686" s="4"/>
      <c r="Y686" s="4"/>
      <c r="Z686" s="4"/>
    </row>
    <row r="687" ht="9.75" customHeight="1">
      <c r="A687" s="4"/>
      <c r="B687" s="4"/>
      <c r="C687" s="4"/>
      <c r="D687" s="165"/>
      <c r="E687" s="165"/>
      <c r="F687" s="165"/>
      <c r="G687" s="165"/>
      <c r="H687" s="165"/>
      <c r="I687" s="4"/>
      <c r="J687" s="4"/>
      <c r="K687" s="4"/>
      <c r="L687" s="4"/>
      <c r="M687" s="4"/>
      <c r="N687" s="4"/>
      <c r="O687" s="4"/>
      <c r="P687" s="4"/>
      <c r="Q687" s="4"/>
      <c r="R687" s="4"/>
      <c r="S687" s="4"/>
      <c r="T687" s="4"/>
      <c r="U687" s="4"/>
      <c r="V687" s="4"/>
      <c r="W687" s="4"/>
      <c r="X687" s="4"/>
      <c r="Y687" s="4"/>
      <c r="Z687" s="4"/>
    </row>
    <row r="688" ht="9.75" customHeight="1">
      <c r="A688" s="4"/>
      <c r="B688" s="4"/>
      <c r="C688" s="4"/>
      <c r="D688" s="165"/>
      <c r="E688" s="165"/>
      <c r="F688" s="165"/>
      <c r="G688" s="165"/>
      <c r="H688" s="165"/>
      <c r="I688" s="4"/>
      <c r="J688" s="4"/>
      <c r="K688" s="4"/>
      <c r="L688" s="4"/>
      <c r="M688" s="4"/>
      <c r="N688" s="4"/>
      <c r="O688" s="4"/>
      <c r="P688" s="4"/>
      <c r="Q688" s="4"/>
      <c r="R688" s="4"/>
      <c r="S688" s="4"/>
      <c r="T688" s="4"/>
      <c r="U688" s="4"/>
      <c r="V688" s="4"/>
      <c r="W688" s="4"/>
      <c r="X688" s="4"/>
      <c r="Y688" s="4"/>
      <c r="Z688" s="4"/>
    </row>
    <row r="689" ht="9.75" customHeight="1">
      <c r="A689" s="4"/>
      <c r="B689" s="4"/>
      <c r="C689" s="4"/>
      <c r="D689" s="165"/>
      <c r="E689" s="165"/>
      <c r="F689" s="165"/>
      <c r="G689" s="165"/>
      <c r="H689" s="165"/>
      <c r="I689" s="4"/>
      <c r="J689" s="4"/>
      <c r="K689" s="4"/>
      <c r="L689" s="4"/>
      <c r="M689" s="4"/>
      <c r="N689" s="4"/>
      <c r="O689" s="4"/>
      <c r="P689" s="4"/>
      <c r="Q689" s="4"/>
      <c r="R689" s="4"/>
      <c r="S689" s="4"/>
      <c r="T689" s="4"/>
      <c r="U689" s="4"/>
      <c r="V689" s="4"/>
      <c r="W689" s="4"/>
      <c r="X689" s="4"/>
      <c r="Y689" s="4"/>
      <c r="Z689" s="4"/>
    </row>
    <row r="690" ht="9.75" customHeight="1">
      <c r="A690" s="4"/>
      <c r="B690" s="4"/>
      <c r="C690" s="4"/>
      <c r="D690" s="165"/>
      <c r="E690" s="165"/>
      <c r="F690" s="165"/>
      <c r="G690" s="165"/>
      <c r="H690" s="165"/>
      <c r="I690" s="4"/>
      <c r="J690" s="4"/>
      <c r="K690" s="4"/>
      <c r="L690" s="4"/>
      <c r="M690" s="4"/>
      <c r="N690" s="4"/>
      <c r="O690" s="4"/>
      <c r="P690" s="4"/>
      <c r="Q690" s="4"/>
      <c r="R690" s="4"/>
      <c r="S690" s="4"/>
      <c r="T690" s="4"/>
      <c r="U690" s="4"/>
      <c r="V690" s="4"/>
      <c r="W690" s="4"/>
      <c r="X690" s="4"/>
      <c r="Y690" s="4"/>
      <c r="Z690" s="4"/>
    </row>
    <row r="691" ht="9.75" customHeight="1">
      <c r="A691" s="4"/>
      <c r="B691" s="4"/>
      <c r="C691" s="4"/>
      <c r="D691" s="165"/>
      <c r="E691" s="165"/>
      <c r="F691" s="165"/>
      <c r="G691" s="165"/>
      <c r="H691" s="165"/>
      <c r="I691" s="4"/>
      <c r="J691" s="4"/>
      <c r="K691" s="4"/>
      <c r="L691" s="4"/>
      <c r="M691" s="4"/>
      <c r="N691" s="4"/>
      <c r="O691" s="4"/>
      <c r="P691" s="4"/>
      <c r="Q691" s="4"/>
      <c r="R691" s="4"/>
      <c r="S691" s="4"/>
      <c r="T691" s="4"/>
      <c r="U691" s="4"/>
      <c r="V691" s="4"/>
      <c r="W691" s="4"/>
      <c r="X691" s="4"/>
      <c r="Y691" s="4"/>
      <c r="Z691" s="4"/>
    </row>
    <row r="692" ht="9.75" customHeight="1">
      <c r="A692" s="4"/>
      <c r="B692" s="4"/>
      <c r="C692" s="4"/>
      <c r="D692" s="165"/>
      <c r="E692" s="165"/>
      <c r="F692" s="165"/>
      <c r="G692" s="165"/>
      <c r="H692" s="165"/>
      <c r="I692" s="4"/>
      <c r="J692" s="4"/>
      <c r="K692" s="4"/>
      <c r="L692" s="4"/>
      <c r="M692" s="4"/>
      <c r="N692" s="4"/>
      <c r="O692" s="4"/>
      <c r="P692" s="4"/>
      <c r="Q692" s="4"/>
      <c r="R692" s="4"/>
      <c r="S692" s="4"/>
      <c r="T692" s="4"/>
      <c r="U692" s="4"/>
      <c r="V692" s="4"/>
      <c r="W692" s="4"/>
      <c r="X692" s="4"/>
      <c r="Y692" s="4"/>
      <c r="Z692" s="4"/>
    </row>
    <row r="693" ht="9.75" customHeight="1">
      <c r="A693" s="4"/>
      <c r="B693" s="4"/>
      <c r="C693" s="4"/>
      <c r="D693" s="165"/>
      <c r="E693" s="165"/>
      <c r="F693" s="165"/>
      <c r="G693" s="165"/>
      <c r="H693" s="165"/>
      <c r="I693" s="4"/>
      <c r="J693" s="4"/>
      <c r="K693" s="4"/>
      <c r="L693" s="4"/>
      <c r="M693" s="4"/>
      <c r="N693" s="4"/>
      <c r="O693" s="4"/>
      <c r="P693" s="4"/>
      <c r="Q693" s="4"/>
      <c r="R693" s="4"/>
      <c r="S693" s="4"/>
      <c r="T693" s="4"/>
      <c r="U693" s="4"/>
      <c r="V693" s="4"/>
      <c r="W693" s="4"/>
      <c r="X693" s="4"/>
      <c r="Y693" s="4"/>
      <c r="Z693" s="4"/>
    </row>
    <row r="694" ht="9.75" customHeight="1">
      <c r="A694" s="4"/>
      <c r="B694" s="4"/>
      <c r="C694" s="4"/>
      <c r="D694" s="165"/>
      <c r="E694" s="165"/>
      <c r="F694" s="165"/>
      <c r="G694" s="165"/>
      <c r="H694" s="165"/>
      <c r="I694" s="4"/>
      <c r="J694" s="4"/>
      <c r="K694" s="4"/>
      <c r="L694" s="4"/>
      <c r="M694" s="4"/>
      <c r="N694" s="4"/>
      <c r="O694" s="4"/>
      <c r="P694" s="4"/>
      <c r="Q694" s="4"/>
      <c r="R694" s="4"/>
      <c r="S694" s="4"/>
      <c r="T694" s="4"/>
      <c r="U694" s="4"/>
      <c r="V694" s="4"/>
      <c r="W694" s="4"/>
      <c r="X694" s="4"/>
      <c r="Y694" s="4"/>
      <c r="Z694" s="4"/>
    </row>
    <row r="695" ht="9.75" customHeight="1">
      <c r="A695" s="4"/>
      <c r="B695" s="4"/>
      <c r="C695" s="4"/>
      <c r="D695" s="165"/>
      <c r="E695" s="165"/>
      <c r="F695" s="165"/>
      <c r="G695" s="165"/>
      <c r="H695" s="165"/>
      <c r="I695" s="4"/>
      <c r="J695" s="4"/>
      <c r="K695" s="4"/>
      <c r="L695" s="4"/>
      <c r="M695" s="4"/>
      <c r="N695" s="4"/>
      <c r="O695" s="4"/>
      <c r="P695" s="4"/>
      <c r="Q695" s="4"/>
      <c r="R695" s="4"/>
      <c r="S695" s="4"/>
      <c r="T695" s="4"/>
      <c r="U695" s="4"/>
      <c r="V695" s="4"/>
      <c r="W695" s="4"/>
      <c r="X695" s="4"/>
      <c r="Y695" s="4"/>
      <c r="Z695" s="4"/>
    </row>
    <row r="696" ht="9.75" customHeight="1">
      <c r="A696" s="4"/>
      <c r="B696" s="4"/>
      <c r="C696" s="4"/>
      <c r="D696" s="165"/>
      <c r="E696" s="165"/>
      <c r="F696" s="165"/>
      <c r="G696" s="165"/>
      <c r="H696" s="165"/>
      <c r="I696" s="4"/>
      <c r="J696" s="4"/>
      <c r="K696" s="4"/>
      <c r="L696" s="4"/>
      <c r="M696" s="4"/>
      <c r="N696" s="4"/>
      <c r="O696" s="4"/>
      <c r="P696" s="4"/>
      <c r="Q696" s="4"/>
      <c r="R696" s="4"/>
      <c r="S696" s="4"/>
      <c r="T696" s="4"/>
      <c r="U696" s="4"/>
      <c r="V696" s="4"/>
      <c r="W696" s="4"/>
      <c r="X696" s="4"/>
      <c r="Y696" s="4"/>
      <c r="Z696" s="4"/>
    </row>
    <row r="697" ht="9.75" customHeight="1">
      <c r="A697" s="4"/>
      <c r="B697" s="4"/>
      <c r="C697" s="4"/>
      <c r="D697" s="165"/>
      <c r="E697" s="165"/>
      <c r="F697" s="165"/>
      <c r="G697" s="165"/>
      <c r="H697" s="165"/>
      <c r="I697" s="4"/>
      <c r="J697" s="4"/>
      <c r="K697" s="4"/>
      <c r="L697" s="4"/>
      <c r="M697" s="4"/>
      <c r="N697" s="4"/>
      <c r="O697" s="4"/>
      <c r="P697" s="4"/>
      <c r="Q697" s="4"/>
      <c r="R697" s="4"/>
      <c r="S697" s="4"/>
      <c r="T697" s="4"/>
      <c r="U697" s="4"/>
      <c r="V697" s="4"/>
      <c r="W697" s="4"/>
      <c r="X697" s="4"/>
      <c r="Y697" s="4"/>
      <c r="Z697" s="4"/>
    </row>
    <row r="698" ht="9.75" customHeight="1">
      <c r="A698" s="4"/>
      <c r="B698" s="4"/>
      <c r="C698" s="4"/>
      <c r="D698" s="165"/>
      <c r="E698" s="165"/>
      <c r="F698" s="165"/>
      <c r="G698" s="165"/>
      <c r="H698" s="165"/>
      <c r="I698" s="4"/>
      <c r="J698" s="4"/>
      <c r="K698" s="4"/>
      <c r="L698" s="4"/>
      <c r="M698" s="4"/>
      <c r="N698" s="4"/>
      <c r="O698" s="4"/>
      <c r="P698" s="4"/>
      <c r="Q698" s="4"/>
      <c r="R698" s="4"/>
      <c r="S698" s="4"/>
      <c r="T698" s="4"/>
      <c r="U698" s="4"/>
      <c r="V698" s="4"/>
      <c r="W698" s="4"/>
      <c r="X698" s="4"/>
      <c r="Y698" s="4"/>
      <c r="Z698" s="4"/>
    </row>
    <row r="699" ht="9.75" customHeight="1">
      <c r="A699" s="4"/>
      <c r="B699" s="4"/>
      <c r="C699" s="4"/>
      <c r="D699" s="165"/>
      <c r="E699" s="165"/>
      <c r="F699" s="165"/>
      <c r="G699" s="165"/>
      <c r="H699" s="165"/>
      <c r="I699" s="4"/>
      <c r="J699" s="4"/>
      <c r="K699" s="4"/>
      <c r="L699" s="4"/>
      <c r="M699" s="4"/>
      <c r="N699" s="4"/>
      <c r="O699" s="4"/>
      <c r="P699" s="4"/>
      <c r="Q699" s="4"/>
      <c r="R699" s="4"/>
      <c r="S699" s="4"/>
      <c r="T699" s="4"/>
      <c r="U699" s="4"/>
      <c r="V699" s="4"/>
      <c r="W699" s="4"/>
      <c r="X699" s="4"/>
      <c r="Y699" s="4"/>
      <c r="Z699" s="4"/>
    </row>
    <row r="700" ht="9.75" customHeight="1">
      <c r="A700" s="4"/>
      <c r="B700" s="4"/>
      <c r="C700" s="4"/>
      <c r="D700" s="165"/>
      <c r="E700" s="165"/>
      <c r="F700" s="165"/>
      <c r="G700" s="165"/>
      <c r="H700" s="165"/>
      <c r="I700" s="4"/>
      <c r="J700" s="4"/>
      <c r="K700" s="4"/>
      <c r="L700" s="4"/>
      <c r="M700" s="4"/>
      <c r="N700" s="4"/>
      <c r="O700" s="4"/>
      <c r="P700" s="4"/>
      <c r="Q700" s="4"/>
      <c r="R700" s="4"/>
      <c r="S700" s="4"/>
      <c r="T700" s="4"/>
      <c r="U700" s="4"/>
      <c r="V700" s="4"/>
      <c r="W700" s="4"/>
      <c r="X700" s="4"/>
      <c r="Y700" s="4"/>
      <c r="Z700" s="4"/>
    </row>
    <row r="701" ht="9.75" customHeight="1">
      <c r="A701" s="4"/>
      <c r="B701" s="4"/>
      <c r="C701" s="4"/>
      <c r="D701" s="165"/>
      <c r="E701" s="165"/>
      <c r="F701" s="165"/>
      <c r="G701" s="165"/>
      <c r="H701" s="165"/>
      <c r="I701" s="4"/>
      <c r="J701" s="4"/>
      <c r="K701" s="4"/>
      <c r="L701" s="4"/>
      <c r="M701" s="4"/>
      <c r="N701" s="4"/>
      <c r="O701" s="4"/>
      <c r="P701" s="4"/>
      <c r="Q701" s="4"/>
      <c r="R701" s="4"/>
      <c r="S701" s="4"/>
      <c r="T701" s="4"/>
      <c r="U701" s="4"/>
      <c r="V701" s="4"/>
      <c r="W701" s="4"/>
      <c r="X701" s="4"/>
      <c r="Y701" s="4"/>
      <c r="Z701" s="4"/>
    </row>
    <row r="702" ht="9.75" customHeight="1">
      <c r="A702" s="4"/>
      <c r="B702" s="4"/>
      <c r="C702" s="4"/>
      <c r="D702" s="165"/>
      <c r="E702" s="165"/>
      <c r="F702" s="165"/>
      <c r="G702" s="165"/>
      <c r="H702" s="165"/>
      <c r="I702" s="4"/>
      <c r="J702" s="4"/>
      <c r="K702" s="4"/>
      <c r="L702" s="4"/>
      <c r="M702" s="4"/>
      <c r="N702" s="4"/>
      <c r="O702" s="4"/>
      <c r="P702" s="4"/>
      <c r="Q702" s="4"/>
      <c r="R702" s="4"/>
      <c r="S702" s="4"/>
      <c r="T702" s="4"/>
      <c r="U702" s="4"/>
      <c r="V702" s="4"/>
      <c r="W702" s="4"/>
      <c r="X702" s="4"/>
      <c r="Y702" s="4"/>
      <c r="Z702" s="4"/>
    </row>
    <row r="703" ht="9.75" customHeight="1">
      <c r="A703" s="4"/>
      <c r="B703" s="4"/>
      <c r="C703" s="4"/>
      <c r="D703" s="165"/>
      <c r="E703" s="165"/>
      <c r="F703" s="165"/>
      <c r="G703" s="165"/>
      <c r="H703" s="165"/>
      <c r="I703" s="4"/>
      <c r="J703" s="4"/>
      <c r="K703" s="4"/>
      <c r="L703" s="4"/>
      <c r="M703" s="4"/>
      <c r="N703" s="4"/>
      <c r="O703" s="4"/>
      <c r="P703" s="4"/>
      <c r="Q703" s="4"/>
      <c r="R703" s="4"/>
      <c r="S703" s="4"/>
      <c r="T703" s="4"/>
      <c r="U703" s="4"/>
      <c r="V703" s="4"/>
      <c r="W703" s="4"/>
      <c r="X703" s="4"/>
      <c r="Y703" s="4"/>
      <c r="Z703" s="4"/>
    </row>
    <row r="704" ht="9.75" customHeight="1">
      <c r="A704" s="4"/>
      <c r="B704" s="4"/>
      <c r="C704" s="4"/>
      <c r="D704" s="165"/>
      <c r="E704" s="165"/>
      <c r="F704" s="165"/>
      <c r="G704" s="165"/>
      <c r="H704" s="165"/>
      <c r="I704" s="4"/>
      <c r="J704" s="4"/>
      <c r="K704" s="4"/>
      <c r="L704" s="4"/>
      <c r="M704" s="4"/>
      <c r="N704" s="4"/>
      <c r="O704" s="4"/>
      <c r="P704" s="4"/>
      <c r="Q704" s="4"/>
      <c r="R704" s="4"/>
      <c r="S704" s="4"/>
      <c r="T704" s="4"/>
      <c r="U704" s="4"/>
      <c r="V704" s="4"/>
      <c r="W704" s="4"/>
      <c r="X704" s="4"/>
      <c r="Y704" s="4"/>
      <c r="Z704" s="4"/>
    </row>
    <row r="705" ht="9.75" customHeight="1">
      <c r="A705" s="4"/>
      <c r="B705" s="4"/>
      <c r="C705" s="4"/>
      <c r="D705" s="165"/>
      <c r="E705" s="165"/>
      <c r="F705" s="165"/>
      <c r="G705" s="165"/>
      <c r="H705" s="165"/>
      <c r="I705" s="4"/>
      <c r="J705" s="4"/>
      <c r="K705" s="4"/>
      <c r="L705" s="4"/>
      <c r="M705" s="4"/>
      <c r="N705" s="4"/>
      <c r="O705" s="4"/>
      <c r="P705" s="4"/>
      <c r="Q705" s="4"/>
      <c r="R705" s="4"/>
      <c r="S705" s="4"/>
      <c r="T705" s="4"/>
      <c r="U705" s="4"/>
      <c r="V705" s="4"/>
      <c r="W705" s="4"/>
      <c r="X705" s="4"/>
      <c r="Y705" s="4"/>
      <c r="Z705" s="4"/>
    </row>
    <row r="706" ht="9.75" customHeight="1">
      <c r="A706" s="4"/>
      <c r="B706" s="4"/>
      <c r="C706" s="4"/>
      <c r="D706" s="165"/>
      <c r="E706" s="165"/>
      <c r="F706" s="165"/>
      <c r="G706" s="165"/>
      <c r="H706" s="165"/>
      <c r="I706" s="4"/>
      <c r="J706" s="4"/>
      <c r="K706" s="4"/>
      <c r="L706" s="4"/>
      <c r="M706" s="4"/>
      <c r="N706" s="4"/>
      <c r="O706" s="4"/>
      <c r="P706" s="4"/>
      <c r="Q706" s="4"/>
      <c r="R706" s="4"/>
      <c r="S706" s="4"/>
      <c r="T706" s="4"/>
      <c r="U706" s="4"/>
      <c r="V706" s="4"/>
      <c r="W706" s="4"/>
      <c r="X706" s="4"/>
      <c r="Y706" s="4"/>
      <c r="Z706" s="4"/>
    </row>
    <row r="707" ht="9.75" customHeight="1">
      <c r="A707" s="4"/>
      <c r="B707" s="4"/>
      <c r="C707" s="4"/>
      <c r="D707" s="165"/>
      <c r="E707" s="165"/>
      <c r="F707" s="165"/>
      <c r="G707" s="165"/>
      <c r="H707" s="165"/>
      <c r="I707" s="4"/>
      <c r="J707" s="4"/>
      <c r="K707" s="4"/>
      <c r="L707" s="4"/>
      <c r="M707" s="4"/>
      <c r="N707" s="4"/>
      <c r="O707" s="4"/>
      <c r="P707" s="4"/>
      <c r="Q707" s="4"/>
      <c r="R707" s="4"/>
      <c r="S707" s="4"/>
      <c r="T707" s="4"/>
      <c r="U707" s="4"/>
      <c r="V707" s="4"/>
      <c r="W707" s="4"/>
      <c r="X707" s="4"/>
      <c r="Y707" s="4"/>
      <c r="Z707" s="4"/>
    </row>
    <row r="708" ht="9.75" customHeight="1">
      <c r="A708" s="4"/>
      <c r="B708" s="4"/>
      <c r="C708" s="4"/>
      <c r="D708" s="165"/>
      <c r="E708" s="165"/>
      <c r="F708" s="165"/>
      <c r="G708" s="165"/>
      <c r="H708" s="165"/>
      <c r="I708" s="4"/>
      <c r="J708" s="4"/>
      <c r="K708" s="4"/>
      <c r="L708" s="4"/>
      <c r="M708" s="4"/>
      <c r="N708" s="4"/>
      <c r="O708" s="4"/>
      <c r="P708" s="4"/>
      <c r="Q708" s="4"/>
      <c r="R708" s="4"/>
      <c r="S708" s="4"/>
      <c r="T708" s="4"/>
      <c r="U708" s="4"/>
      <c r="V708" s="4"/>
      <c r="W708" s="4"/>
      <c r="X708" s="4"/>
      <c r="Y708" s="4"/>
      <c r="Z708" s="4"/>
    </row>
    <row r="709" ht="9.75" customHeight="1">
      <c r="A709" s="4"/>
      <c r="B709" s="4"/>
      <c r="C709" s="4"/>
      <c r="D709" s="165"/>
      <c r="E709" s="165"/>
      <c r="F709" s="165"/>
      <c r="G709" s="165"/>
      <c r="H709" s="165"/>
      <c r="I709" s="4"/>
      <c r="J709" s="4"/>
      <c r="K709" s="4"/>
      <c r="L709" s="4"/>
      <c r="M709" s="4"/>
      <c r="N709" s="4"/>
      <c r="O709" s="4"/>
      <c r="P709" s="4"/>
      <c r="Q709" s="4"/>
      <c r="R709" s="4"/>
      <c r="S709" s="4"/>
      <c r="T709" s="4"/>
      <c r="U709" s="4"/>
      <c r="V709" s="4"/>
      <c r="W709" s="4"/>
      <c r="X709" s="4"/>
      <c r="Y709" s="4"/>
      <c r="Z709" s="4"/>
    </row>
    <row r="710" ht="9.75" customHeight="1">
      <c r="A710" s="4"/>
      <c r="B710" s="4"/>
      <c r="C710" s="4"/>
      <c r="D710" s="165"/>
      <c r="E710" s="165"/>
      <c r="F710" s="165"/>
      <c r="G710" s="165"/>
      <c r="H710" s="165"/>
      <c r="I710" s="4"/>
      <c r="J710" s="4"/>
      <c r="K710" s="4"/>
      <c r="L710" s="4"/>
      <c r="M710" s="4"/>
      <c r="N710" s="4"/>
      <c r="O710" s="4"/>
      <c r="P710" s="4"/>
      <c r="Q710" s="4"/>
      <c r="R710" s="4"/>
      <c r="S710" s="4"/>
      <c r="T710" s="4"/>
      <c r="U710" s="4"/>
      <c r="V710" s="4"/>
      <c r="W710" s="4"/>
      <c r="X710" s="4"/>
      <c r="Y710" s="4"/>
      <c r="Z710" s="4"/>
    </row>
    <row r="711" ht="9.75" customHeight="1">
      <c r="A711" s="4"/>
      <c r="B711" s="4"/>
      <c r="C711" s="4"/>
      <c r="D711" s="165"/>
      <c r="E711" s="165"/>
      <c r="F711" s="165"/>
      <c r="G711" s="165"/>
      <c r="H711" s="165"/>
      <c r="I711" s="4"/>
      <c r="J711" s="4"/>
      <c r="K711" s="4"/>
      <c r="L711" s="4"/>
      <c r="M711" s="4"/>
      <c r="N711" s="4"/>
      <c r="O711" s="4"/>
      <c r="P711" s="4"/>
      <c r="Q711" s="4"/>
      <c r="R711" s="4"/>
      <c r="S711" s="4"/>
      <c r="T711" s="4"/>
      <c r="U711" s="4"/>
      <c r="V711" s="4"/>
      <c r="W711" s="4"/>
      <c r="X711" s="4"/>
      <c r="Y711" s="4"/>
      <c r="Z711" s="4"/>
    </row>
    <row r="712" ht="9.75" customHeight="1">
      <c r="A712" s="4"/>
      <c r="B712" s="4"/>
      <c r="C712" s="4"/>
      <c r="D712" s="165"/>
      <c r="E712" s="165"/>
      <c r="F712" s="165"/>
      <c r="G712" s="165"/>
      <c r="H712" s="165"/>
      <c r="I712" s="4"/>
      <c r="J712" s="4"/>
      <c r="K712" s="4"/>
      <c r="L712" s="4"/>
      <c r="M712" s="4"/>
      <c r="N712" s="4"/>
      <c r="O712" s="4"/>
      <c r="P712" s="4"/>
      <c r="Q712" s="4"/>
      <c r="R712" s="4"/>
      <c r="S712" s="4"/>
      <c r="T712" s="4"/>
      <c r="U712" s="4"/>
      <c r="V712" s="4"/>
      <c r="W712" s="4"/>
      <c r="X712" s="4"/>
      <c r="Y712" s="4"/>
      <c r="Z712" s="4"/>
    </row>
    <row r="713" ht="9.75" customHeight="1">
      <c r="A713" s="4"/>
      <c r="B713" s="4"/>
      <c r="C713" s="4"/>
      <c r="D713" s="165"/>
      <c r="E713" s="165"/>
      <c r="F713" s="165"/>
      <c r="G713" s="165"/>
      <c r="H713" s="165"/>
      <c r="I713" s="4"/>
      <c r="J713" s="4"/>
      <c r="K713" s="4"/>
      <c r="L713" s="4"/>
      <c r="M713" s="4"/>
      <c r="N713" s="4"/>
      <c r="O713" s="4"/>
      <c r="P713" s="4"/>
      <c r="Q713" s="4"/>
      <c r="R713" s="4"/>
      <c r="S713" s="4"/>
      <c r="T713" s="4"/>
      <c r="U713" s="4"/>
      <c r="V713" s="4"/>
      <c r="W713" s="4"/>
      <c r="X713" s="4"/>
      <c r="Y713" s="4"/>
      <c r="Z713" s="4"/>
    </row>
    <row r="714" ht="9.75" customHeight="1">
      <c r="A714" s="4"/>
      <c r="B714" s="4"/>
      <c r="C714" s="4"/>
      <c r="D714" s="165"/>
      <c r="E714" s="165"/>
      <c r="F714" s="165"/>
      <c r="G714" s="165"/>
      <c r="H714" s="165"/>
      <c r="I714" s="4"/>
      <c r="J714" s="4"/>
      <c r="K714" s="4"/>
      <c r="L714" s="4"/>
      <c r="M714" s="4"/>
      <c r="N714" s="4"/>
      <c r="O714" s="4"/>
      <c r="P714" s="4"/>
      <c r="Q714" s="4"/>
      <c r="R714" s="4"/>
      <c r="S714" s="4"/>
      <c r="T714" s="4"/>
      <c r="U714" s="4"/>
      <c r="V714" s="4"/>
      <c r="W714" s="4"/>
      <c r="X714" s="4"/>
      <c r="Y714" s="4"/>
      <c r="Z714" s="4"/>
    </row>
    <row r="715" ht="9.75" customHeight="1">
      <c r="A715" s="4"/>
      <c r="B715" s="4"/>
      <c r="C715" s="4"/>
      <c r="D715" s="165"/>
      <c r="E715" s="165"/>
      <c r="F715" s="165"/>
      <c r="G715" s="165"/>
      <c r="H715" s="165"/>
      <c r="I715" s="4"/>
      <c r="J715" s="4"/>
      <c r="K715" s="4"/>
      <c r="L715" s="4"/>
      <c r="M715" s="4"/>
      <c r="N715" s="4"/>
      <c r="O715" s="4"/>
      <c r="P715" s="4"/>
      <c r="Q715" s="4"/>
      <c r="R715" s="4"/>
      <c r="S715" s="4"/>
      <c r="T715" s="4"/>
      <c r="U715" s="4"/>
      <c r="V715" s="4"/>
      <c r="W715" s="4"/>
      <c r="X715" s="4"/>
      <c r="Y715" s="4"/>
      <c r="Z715" s="4"/>
    </row>
    <row r="716" ht="9.75" customHeight="1">
      <c r="A716" s="4"/>
      <c r="B716" s="4"/>
      <c r="C716" s="4"/>
      <c r="D716" s="165"/>
      <c r="E716" s="165"/>
      <c r="F716" s="165"/>
      <c r="G716" s="165"/>
      <c r="H716" s="165"/>
      <c r="I716" s="4"/>
      <c r="J716" s="4"/>
      <c r="K716" s="4"/>
      <c r="L716" s="4"/>
      <c r="M716" s="4"/>
      <c r="N716" s="4"/>
      <c r="O716" s="4"/>
      <c r="P716" s="4"/>
      <c r="Q716" s="4"/>
      <c r="R716" s="4"/>
      <c r="S716" s="4"/>
      <c r="T716" s="4"/>
      <c r="U716" s="4"/>
      <c r="V716" s="4"/>
      <c r="W716" s="4"/>
      <c r="X716" s="4"/>
      <c r="Y716" s="4"/>
      <c r="Z716" s="4"/>
    </row>
    <row r="717" ht="9.75" customHeight="1">
      <c r="A717" s="4"/>
      <c r="B717" s="4"/>
      <c r="C717" s="4"/>
      <c r="D717" s="165"/>
      <c r="E717" s="165"/>
      <c r="F717" s="165"/>
      <c r="G717" s="165"/>
      <c r="H717" s="165"/>
      <c r="I717" s="4"/>
      <c r="J717" s="4"/>
      <c r="K717" s="4"/>
      <c r="L717" s="4"/>
      <c r="M717" s="4"/>
      <c r="N717" s="4"/>
      <c r="O717" s="4"/>
      <c r="P717" s="4"/>
      <c r="Q717" s="4"/>
      <c r="R717" s="4"/>
      <c r="S717" s="4"/>
      <c r="T717" s="4"/>
      <c r="U717" s="4"/>
      <c r="V717" s="4"/>
      <c r="W717" s="4"/>
      <c r="X717" s="4"/>
      <c r="Y717" s="4"/>
      <c r="Z717" s="4"/>
    </row>
    <row r="718" ht="9.75" customHeight="1">
      <c r="A718" s="4"/>
      <c r="B718" s="4"/>
      <c r="C718" s="4"/>
      <c r="D718" s="165"/>
      <c r="E718" s="165"/>
      <c r="F718" s="165"/>
      <c r="G718" s="165"/>
      <c r="H718" s="165"/>
      <c r="I718" s="4"/>
      <c r="J718" s="4"/>
      <c r="K718" s="4"/>
      <c r="L718" s="4"/>
      <c r="M718" s="4"/>
      <c r="N718" s="4"/>
      <c r="O718" s="4"/>
      <c r="P718" s="4"/>
      <c r="Q718" s="4"/>
      <c r="R718" s="4"/>
      <c r="S718" s="4"/>
      <c r="T718" s="4"/>
      <c r="U718" s="4"/>
      <c r="V718" s="4"/>
      <c r="W718" s="4"/>
      <c r="X718" s="4"/>
      <c r="Y718" s="4"/>
      <c r="Z718" s="4"/>
    </row>
    <row r="719" ht="9.75" customHeight="1">
      <c r="A719" s="4"/>
      <c r="B719" s="4"/>
      <c r="C719" s="4"/>
      <c r="D719" s="165"/>
      <c r="E719" s="165"/>
      <c r="F719" s="165"/>
      <c r="G719" s="165"/>
      <c r="H719" s="165"/>
      <c r="I719" s="4"/>
      <c r="J719" s="4"/>
      <c r="K719" s="4"/>
      <c r="L719" s="4"/>
      <c r="M719" s="4"/>
      <c r="N719" s="4"/>
      <c r="O719" s="4"/>
      <c r="P719" s="4"/>
      <c r="Q719" s="4"/>
      <c r="R719" s="4"/>
      <c r="S719" s="4"/>
      <c r="T719" s="4"/>
      <c r="U719" s="4"/>
      <c r="V719" s="4"/>
      <c r="W719" s="4"/>
      <c r="X719" s="4"/>
      <c r="Y719" s="4"/>
      <c r="Z719" s="4"/>
    </row>
    <row r="720" ht="9.75" customHeight="1">
      <c r="A720" s="4"/>
      <c r="B720" s="4"/>
      <c r="C720" s="4"/>
      <c r="D720" s="165"/>
      <c r="E720" s="165"/>
      <c r="F720" s="165"/>
      <c r="G720" s="165"/>
      <c r="H720" s="165"/>
      <c r="I720" s="4"/>
      <c r="J720" s="4"/>
      <c r="K720" s="4"/>
      <c r="L720" s="4"/>
      <c r="M720" s="4"/>
      <c r="N720" s="4"/>
      <c r="O720" s="4"/>
      <c r="P720" s="4"/>
      <c r="Q720" s="4"/>
      <c r="R720" s="4"/>
      <c r="S720" s="4"/>
      <c r="T720" s="4"/>
      <c r="U720" s="4"/>
      <c r="V720" s="4"/>
      <c r="W720" s="4"/>
      <c r="X720" s="4"/>
      <c r="Y720" s="4"/>
      <c r="Z720" s="4"/>
    </row>
    <row r="721" ht="9.75" customHeight="1">
      <c r="A721" s="4"/>
      <c r="B721" s="4"/>
      <c r="C721" s="4"/>
      <c r="D721" s="165"/>
      <c r="E721" s="165"/>
      <c r="F721" s="165"/>
      <c r="G721" s="165"/>
      <c r="H721" s="165"/>
      <c r="I721" s="4"/>
      <c r="J721" s="4"/>
      <c r="K721" s="4"/>
      <c r="L721" s="4"/>
      <c r="M721" s="4"/>
      <c r="N721" s="4"/>
      <c r="O721" s="4"/>
      <c r="P721" s="4"/>
      <c r="Q721" s="4"/>
      <c r="R721" s="4"/>
      <c r="S721" s="4"/>
      <c r="T721" s="4"/>
      <c r="U721" s="4"/>
      <c r="V721" s="4"/>
      <c r="W721" s="4"/>
      <c r="X721" s="4"/>
      <c r="Y721" s="4"/>
      <c r="Z721" s="4"/>
    </row>
    <row r="722" ht="9.75" customHeight="1">
      <c r="A722" s="4"/>
      <c r="B722" s="4"/>
      <c r="C722" s="4"/>
      <c r="D722" s="165"/>
      <c r="E722" s="165"/>
      <c r="F722" s="165"/>
      <c r="G722" s="165"/>
      <c r="H722" s="165"/>
      <c r="I722" s="4"/>
      <c r="J722" s="4"/>
      <c r="K722" s="4"/>
      <c r="L722" s="4"/>
      <c r="M722" s="4"/>
      <c r="N722" s="4"/>
      <c r="O722" s="4"/>
      <c r="P722" s="4"/>
      <c r="Q722" s="4"/>
      <c r="R722" s="4"/>
      <c r="S722" s="4"/>
      <c r="T722" s="4"/>
      <c r="U722" s="4"/>
      <c r="V722" s="4"/>
      <c r="W722" s="4"/>
      <c r="X722" s="4"/>
      <c r="Y722" s="4"/>
      <c r="Z722" s="4"/>
    </row>
    <row r="723" ht="9.75" customHeight="1">
      <c r="A723" s="4"/>
      <c r="B723" s="4"/>
      <c r="C723" s="4"/>
      <c r="D723" s="165"/>
      <c r="E723" s="165"/>
      <c r="F723" s="165"/>
      <c r="G723" s="165"/>
      <c r="H723" s="165"/>
      <c r="I723" s="4"/>
      <c r="J723" s="4"/>
      <c r="K723" s="4"/>
      <c r="L723" s="4"/>
      <c r="M723" s="4"/>
      <c r="N723" s="4"/>
      <c r="O723" s="4"/>
      <c r="P723" s="4"/>
      <c r="Q723" s="4"/>
      <c r="R723" s="4"/>
      <c r="S723" s="4"/>
      <c r="T723" s="4"/>
      <c r="U723" s="4"/>
      <c r="V723" s="4"/>
      <c r="W723" s="4"/>
      <c r="X723" s="4"/>
      <c r="Y723" s="4"/>
      <c r="Z723" s="4"/>
    </row>
    <row r="724" ht="9.75" customHeight="1">
      <c r="A724" s="4"/>
      <c r="B724" s="4"/>
      <c r="C724" s="4"/>
      <c r="D724" s="165"/>
      <c r="E724" s="165"/>
      <c r="F724" s="165"/>
      <c r="G724" s="165"/>
      <c r="H724" s="165"/>
      <c r="I724" s="4"/>
      <c r="J724" s="4"/>
      <c r="K724" s="4"/>
      <c r="L724" s="4"/>
      <c r="M724" s="4"/>
      <c r="N724" s="4"/>
      <c r="O724" s="4"/>
      <c r="P724" s="4"/>
      <c r="Q724" s="4"/>
      <c r="R724" s="4"/>
      <c r="S724" s="4"/>
      <c r="T724" s="4"/>
      <c r="U724" s="4"/>
      <c r="V724" s="4"/>
      <c r="W724" s="4"/>
      <c r="X724" s="4"/>
      <c r="Y724" s="4"/>
      <c r="Z724" s="4"/>
    </row>
    <row r="725" ht="9.75" customHeight="1">
      <c r="A725" s="4"/>
      <c r="B725" s="4"/>
      <c r="C725" s="4"/>
      <c r="D725" s="165"/>
      <c r="E725" s="165"/>
      <c r="F725" s="165"/>
      <c r="G725" s="165"/>
      <c r="H725" s="165"/>
      <c r="I725" s="4"/>
      <c r="J725" s="4"/>
      <c r="K725" s="4"/>
      <c r="L725" s="4"/>
      <c r="M725" s="4"/>
      <c r="N725" s="4"/>
      <c r="O725" s="4"/>
      <c r="P725" s="4"/>
      <c r="Q725" s="4"/>
      <c r="R725" s="4"/>
      <c r="S725" s="4"/>
      <c r="T725" s="4"/>
      <c r="U725" s="4"/>
      <c r="V725" s="4"/>
      <c r="W725" s="4"/>
      <c r="X725" s="4"/>
      <c r="Y725" s="4"/>
      <c r="Z725" s="4"/>
    </row>
    <row r="726" ht="9.75" customHeight="1">
      <c r="A726" s="4"/>
      <c r="B726" s="4"/>
      <c r="C726" s="4"/>
      <c r="D726" s="165"/>
      <c r="E726" s="165"/>
      <c r="F726" s="165"/>
      <c r="G726" s="165"/>
      <c r="H726" s="165"/>
      <c r="I726" s="4"/>
      <c r="J726" s="4"/>
      <c r="K726" s="4"/>
      <c r="L726" s="4"/>
      <c r="M726" s="4"/>
      <c r="N726" s="4"/>
      <c r="O726" s="4"/>
      <c r="P726" s="4"/>
      <c r="Q726" s="4"/>
      <c r="R726" s="4"/>
      <c r="S726" s="4"/>
      <c r="T726" s="4"/>
      <c r="U726" s="4"/>
      <c r="V726" s="4"/>
      <c r="W726" s="4"/>
      <c r="X726" s="4"/>
      <c r="Y726" s="4"/>
      <c r="Z726" s="4"/>
    </row>
    <row r="727" ht="9.75" customHeight="1">
      <c r="A727" s="4"/>
      <c r="B727" s="4"/>
      <c r="C727" s="4"/>
      <c r="D727" s="165"/>
      <c r="E727" s="165"/>
      <c r="F727" s="165"/>
      <c r="G727" s="165"/>
      <c r="H727" s="165"/>
      <c r="I727" s="4"/>
      <c r="J727" s="4"/>
      <c r="K727" s="4"/>
      <c r="L727" s="4"/>
      <c r="M727" s="4"/>
      <c r="N727" s="4"/>
      <c r="O727" s="4"/>
      <c r="P727" s="4"/>
      <c r="Q727" s="4"/>
      <c r="R727" s="4"/>
      <c r="S727" s="4"/>
      <c r="T727" s="4"/>
      <c r="U727" s="4"/>
      <c r="V727" s="4"/>
      <c r="W727" s="4"/>
      <c r="X727" s="4"/>
      <c r="Y727" s="4"/>
      <c r="Z727" s="4"/>
    </row>
    <row r="728" ht="9.75" customHeight="1">
      <c r="A728" s="4"/>
      <c r="B728" s="4"/>
      <c r="C728" s="4"/>
      <c r="D728" s="165"/>
      <c r="E728" s="165"/>
      <c r="F728" s="165"/>
      <c r="G728" s="165"/>
      <c r="H728" s="165"/>
      <c r="I728" s="4"/>
      <c r="J728" s="4"/>
      <c r="K728" s="4"/>
      <c r="L728" s="4"/>
      <c r="M728" s="4"/>
      <c r="N728" s="4"/>
      <c r="O728" s="4"/>
      <c r="P728" s="4"/>
      <c r="Q728" s="4"/>
      <c r="R728" s="4"/>
      <c r="S728" s="4"/>
      <c r="T728" s="4"/>
      <c r="U728" s="4"/>
      <c r="V728" s="4"/>
      <c r="W728" s="4"/>
      <c r="X728" s="4"/>
      <c r="Y728" s="4"/>
      <c r="Z728" s="4"/>
    </row>
    <row r="729" ht="9.75" customHeight="1">
      <c r="A729" s="4"/>
      <c r="B729" s="4"/>
      <c r="C729" s="4"/>
      <c r="D729" s="165"/>
      <c r="E729" s="165"/>
      <c r="F729" s="165"/>
      <c r="G729" s="165"/>
      <c r="H729" s="165"/>
      <c r="I729" s="4"/>
      <c r="J729" s="4"/>
      <c r="K729" s="4"/>
      <c r="L729" s="4"/>
      <c r="M729" s="4"/>
      <c r="N729" s="4"/>
      <c r="O729" s="4"/>
      <c r="P729" s="4"/>
      <c r="Q729" s="4"/>
      <c r="R729" s="4"/>
      <c r="S729" s="4"/>
      <c r="T729" s="4"/>
      <c r="U729" s="4"/>
      <c r="V729" s="4"/>
      <c r="W729" s="4"/>
      <c r="X729" s="4"/>
      <c r="Y729" s="4"/>
      <c r="Z729" s="4"/>
    </row>
    <row r="730" ht="9.75" customHeight="1">
      <c r="A730" s="4"/>
      <c r="B730" s="4"/>
      <c r="C730" s="4"/>
      <c r="D730" s="165"/>
      <c r="E730" s="165"/>
      <c r="F730" s="165"/>
      <c r="G730" s="165"/>
      <c r="H730" s="165"/>
      <c r="I730" s="4"/>
      <c r="J730" s="4"/>
      <c r="K730" s="4"/>
      <c r="L730" s="4"/>
      <c r="M730" s="4"/>
      <c r="N730" s="4"/>
      <c r="O730" s="4"/>
      <c r="P730" s="4"/>
      <c r="Q730" s="4"/>
      <c r="R730" s="4"/>
      <c r="S730" s="4"/>
      <c r="T730" s="4"/>
      <c r="U730" s="4"/>
      <c r="V730" s="4"/>
      <c r="W730" s="4"/>
      <c r="X730" s="4"/>
      <c r="Y730" s="4"/>
      <c r="Z730" s="4"/>
    </row>
    <row r="731" ht="9.75" customHeight="1">
      <c r="A731" s="4"/>
      <c r="B731" s="4"/>
      <c r="C731" s="4"/>
      <c r="D731" s="165"/>
      <c r="E731" s="165"/>
      <c r="F731" s="165"/>
      <c r="G731" s="165"/>
      <c r="H731" s="165"/>
      <c r="I731" s="4"/>
      <c r="J731" s="4"/>
      <c r="K731" s="4"/>
      <c r="L731" s="4"/>
      <c r="M731" s="4"/>
      <c r="N731" s="4"/>
      <c r="O731" s="4"/>
      <c r="P731" s="4"/>
      <c r="Q731" s="4"/>
      <c r="R731" s="4"/>
      <c r="S731" s="4"/>
      <c r="T731" s="4"/>
      <c r="U731" s="4"/>
      <c r="V731" s="4"/>
      <c r="W731" s="4"/>
      <c r="X731" s="4"/>
      <c r="Y731" s="4"/>
      <c r="Z731" s="4"/>
    </row>
    <row r="732" ht="9.75" customHeight="1">
      <c r="A732" s="4"/>
      <c r="B732" s="4"/>
      <c r="C732" s="4"/>
      <c r="D732" s="165"/>
      <c r="E732" s="165"/>
      <c r="F732" s="165"/>
      <c r="G732" s="165"/>
      <c r="H732" s="165"/>
      <c r="I732" s="4"/>
      <c r="J732" s="4"/>
      <c r="K732" s="4"/>
      <c r="L732" s="4"/>
      <c r="M732" s="4"/>
      <c r="N732" s="4"/>
      <c r="O732" s="4"/>
      <c r="P732" s="4"/>
      <c r="Q732" s="4"/>
      <c r="R732" s="4"/>
      <c r="S732" s="4"/>
      <c r="T732" s="4"/>
      <c r="U732" s="4"/>
      <c r="V732" s="4"/>
      <c r="W732" s="4"/>
      <c r="X732" s="4"/>
      <c r="Y732" s="4"/>
      <c r="Z732" s="4"/>
    </row>
    <row r="733" ht="9.75" customHeight="1">
      <c r="A733" s="4"/>
      <c r="B733" s="4"/>
      <c r="C733" s="4"/>
      <c r="D733" s="165"/>
      <c r="E733" s="165"/>
      <c r="F733" s="165"/>
      <c r="G733" s="165"/>
      <c r="H733" s="165"/>
      <c r="I733" s="4"/>
      <c r="J733" s="4"/>
      <c r="K733" s="4"/>
      <c r="L733" s="4"/>
      <c r="M733" s="4"/>
      <c r="N733" s="4"/>
      <c r="O733" s="4"/>
      <c r="P733" s="4"/>
      <c r="Q733" s="4"/>
      <c r="R733" s="4"/>
      <c r="S733" s="4"/>
      <c r="T733" s="4"/>
      <c r="U733" s="4"/>
      <c r="V733" s="4"/>
      <c r="W733" s="4"/>
      <c r="X733" s="4"/>
      <c r="Y733" s="4"/>
      <c r="Z733" s="4"/>
    </row>
    <row r="734" ht="9.75" customHeight="1">
      <c r="A734" s="4"/>
      <c r="B734" s="4"/>
      <c r="C734" s="4"/>
      <c r="D734" s="165"/>
      <c r="E734" s="165"/>
      <c r="F734" s="165"/>
      <c r="G734" s="165"/>
      <c r="H734" s="165"/>
      <c r="I734" s="4"/>
      <c r="J734" s="4"/>
      <c r="K734" s="4"/>
      <c r="L734" s="4"/>
      <c r="M734" s="4"/>
      <c r="N734" s="4"/>
      <c r="O734" s="4"/>
      <c r="P734" s="4"/>
      <c r="Q734" s="4"/>
      <c r="R734" s="4"/>
      <c r="S734" s="4"/>
      <c r="T734" s="4"/>
      <c r="U734" s="4"/>
      <c r="V734" s="4"/>
      <c r="W734" s="4"/>
      <c r="X734" s="4"/>
      <c r="Y734" s="4"/>
      <c r="Z734" s="4"/>
    </row>
    <row r="735" ht="9.75" customHeight="1">
      <c r="A735" s="4"/>
      <c r="B735" s="4"/>
      <c r="C735" s="4"/>
      <c r="D735" s="165"/>
      <c r="E735" s="165"/>
      <c r="F735" s="165"/>
      <c r="G735" s="165"/>
      <c r="H735" s="165"/>
      <c r="I735" s="4"/>
      <c r="J735" s="4"/>
      <c r="K735" s="4"/>
      <c r="L735" s="4"/>
      <c r="M735" s="4"/>
      <c r="N735" s="4"/>
      <c r="O735" s="4"/>
      <c r="P735" s="4"/>
      <c r="Q735" s="4"/>
      <c r="R735" s="4"/>
      <c r="S735" s="4"/>
      <c r="T735" s="4"/>
      <c r="U735" s="4"/>
      <c r="V735" s="4"/>
      <c r="W735" s="4"/>
      <c r="X735" s="4"/>
      <c r="Y735" s="4"/>
      <c r="Z735" s="4"/>
    </row>
    <row r="736" ht="9.75" customHeight="1">
      <c r="A736" s="4"/>
      <c r="B736" s="4"/>
      <c r="C736" s="4"/>
      <c r="D736" s="165"/>
      <c r="E736" s="165"/>
      <c r="F736" s="165"/>
      <c r="G736" s="165"/>
      <c r="H736" s="165"/>
      <c r="I736" s="4"/>
      <c r="J736" s="4"/>
      <c r="K736" s="4"/>
      <c r="L736" s="4"/>
      <c r="M736" s="4"/>
      <c r="N736" s="4"/>
      <c r="O736" s="4"/>
      <c r="P736" s="4"/>
      <c r="Q736" s="4"/>
      <c r="R736" s="4"/>
      <c r="S736" s="4"/>
      <c r="T736" s="4"/>
      <c r="U736" s="4"/>
      <c r="V736" s="4"/>
      <c r="W736" s="4"/>
      <c r="X736" s="4"/>
      <c r="Y736" s="4"/>
      <c r="Z736" s="4"/>
    </row>
    <row r="737" ht="9.75" customHeight="1">
      <c r="A737" s="4"/>
      <c r="B737" s="4"/>
      <c r="C737" s="4"/>
      <c r="D737" s="165"/>
      <c r="E737" s="165"/>
      <c r="F737" s="165"/>
      <c r="G737" s="165"/>
      <c r="H737" s="165"/>
      <c r="I737" s="4"/>
      <c r="J737" s="4"/>
      <c r="K737" s="4"/>
      <c r="L737" s="4"/>
      <c r="M737" s="4"/>
      <c r="N737" s="4"/>
      <c r="O737" s="4"/>
      <c r="P737" s="4"/>
      <c r="Q737" s="4"/>
      <c r="R737" s="4"/>
      <c r="S737" s="4"/>
      <c r="T737" s="4"/>
      <c r="U737" s="4"/>
      <c r="V737" s="4"/>
      <c r="W737" s="4"/>
      <c r="X737" s="4"/>
      <c r="Y737" s="4"/>
      <c r="Z737" s="4"/>
    </row>
    <row r="738" ht="9.75" customHeight="1">
      <c r="A738" s="4"/>
      <c r="B738" s="4"/>
      <c r="C738" s="4"/>
      <c r="D738" s="165"/>
      <c r="E738" s="165"/>
      <c r="F738" s="165"/>
      <c r="G738" s="165"/>
      <c r="H738" s="165"/>
      <c r="I738" s="4"/>
      <c r="J738" s="4"/>
      <c r="K738" s="4"/>
      <c r="L738" s="4"/>
      <c r="M738" s="4"/>
      <c r="N738" s="4"/>
      <c r="O738" s="4"/>
      <c r="P738" s="4"/>
      <c r="Q738" s="4"/>
      <c r="R738" s="4"/>
      <c r="S738" s="4"/>
      <c r="T738" s="4"/>
      <c r="U738" s="4"/>
      <c r="V738" s="4"/>
      <c r="W738" s="4"/>
      <c r="X738" s="4"/>
      <c r="Y738" s="4"/>
      <c r="Z738" s="4"/>
    </row>
    <row r="739" ht="9.75" customHeight="1">
      <c r="A739" s="4"/>
      <c r="B739" s="4"/>
      <c r="C739" s="4"/>
      <c r="D739" s="165"/>
      <c r="E739" s="165"/>
      <c r="F739" s="165"/>
      <c r="G739" s="165"/>
      <c r="H739" s="165"/>
      <c r="I739" s="4"/>
      <c r="J739" s="4"/>
      <c r="K739" s="4"/>
      <c r="L739" s="4"/>
      <c r="M739" s="4"/>
      <c r="N739" s="4"/>
      <c r="O739" s="4"/>
      <c r="P739" s="4"/>
      <c r="Q739" s="4"/>
      <c r="R739" s="4"/>
      <c r="S739" s="4"/>
      <c r="T739" s="4"/>
      <c r="U739" s="4"/>
      <c r="V739" s="4"/>
      <c r="W739" s="4"/>
      <c r="X739" s="4"/>
      <c r="Y739" s="4"/>
      <c r="Z739" s="4"/>
    </row>
    <row r="740" ht="9.75" customHeight="1">
      <c r="A740" s="4"/>
      <c r="B740" s="4"/>
      <c r="C740" s="4"/>
      <c r="D740" s="165"/>
      <c r="E740" s="165"/>
      <c r="F740" s="165"/>
      <c r="G740" s="165"/>
      <c r="H740" s="165"/>
      <c r="I740" s="4"/>
      <c r="J740" s="4"/>
      <c r="K740" s="4"/>
      <c r="L740" s="4"/>
      <c r="M740" s="4"/>
      <c r="N740" s="4"/>
      <c r="O740" s="4"/>
      <c r="P740" s="4"/>
      <c r="Q740" s="4"/>
      <c r="R740" s="4"/>
      <c r="S740" s="4"/>
      <c r="T740" s="4"/>
      <c r="U740" s="4"/>
      <c r="V740" s="4"/>
      <c r="W740" s="4"/>
      <c r="X740" s="4"/>
      <c r="Y740" s="4"/>
      <c r="Z740" s="4"/>
    </row>
    <row r="741" ht="9.75" customHeight="1">
      <c r="A741" s="4"/>
      <c r="B741" s="4"/>
      <c r="C741" s="4"/>
      <c r="D741" s="165"/>
      <c r="E741" s="165"/>
      <c r="F741" s="165"/>
      <c r="G741" s="165"/>
      <c r="H741" s="165"/>
      <c r="I741" s="4"/>
      <c r="J741" s="4"/>
      <c r="K741" s="4"/>
      <c r="L741" s="4"/>
      <c r="M741" s="4"/>
      <c r="N741" s="4"/>
      <c r="O741" s="4"/>
      <c r="P741" s="4"/>
      <c r="Q741" s="4"/>
      <c r="R741" s="4"/>
      <c r="S741" s="4"/>
      <c r="T741" s="4"/>
      <c r="U741" s="4"/>
      <c r="V741" s="4"/>
      <c r="W741" s="4"/>
      <c r="X741" s="4"/>
      <c r="Y741" s="4"/>
      <c r="Z741" s="4"/>
    </row>
    <row r="742" ht="9.75" customHeight="1">
      <c r="A742" s="4"/>
      <c r="B742" s="4"/>
      <c r="C742" s="4"/>
      <c r="D742" s="165"/>
      <c r="E742" s="165"/>
      <c r="F742" s="165"/>
      <c r="G742" s="165"/>
      <c r="H742" s="165"/>
      <c r="I742" s="4"/>
      <c r="J742" s="4"/>
      <c r="K742" s="4"/>
      <c r="L742" s="4"/>
      <c r="M742" s="4"/>
      <c r="N742" s="4"/>
      <c r="O742" s="4"/>
      <c r="P742" s="4"/>
      <c r="Q742" s="4"/>
      <c r="R742" s="4"/>
      <c r="S742" s="4"/>
      <c r="T742" s="4"/>
      <c r="U742" s="4"/>
      <c r="V742" s="4"/>
      <c r="W742" s="4"/>
      <c r="X742" s="4"/>
      <c r="Y742" s="4"/>
      <c r="Z742" s="4"/>
    </row>
    <row r="743" ht="9.75" customHeight="1">
      <c r="A743" s="4"/>
      <c r="B743" s="4"/>
      <c r="C743" s="4"/>
      <c r="D743" s="165"/>
      <c r="E743" s="165"/>
      <c r="F743" s="165"/>
      <c r="G743" s="165"/>
      <c r="H743" s="165"/>
      <c r="I743" s="4"/>
      <c r="J743" s="4"/>
      <c r="K743" s="4"/>
      <c r="L743" s="4"/>
      <c r="M743" s="4"/>
      <c r="N743" s="4"/>
      <c r="O743" s="4"/>
      <c r="P743" s="4"/>
      <c r="Q743" s="4"/>
      <c r="R743" s="4"/>
      <c r="S743" s="4"/>
      <c r="T743" s="4"/>
      <c r="U743" s="4"/>
      <c r="V743" s="4"/>
      <c r="W743" s="4"/>
      <c r="X743" s="4"/>
      <c r="Y743" s="4"/>
      <c r="Z743" s="4"/>
    </row>
    <row r="744" ht="9.75" customHeight="1">
      <c r="A744" s="4"/>
      <c r="B744" s="4"/>
      <c r="C744" s="4"/>
      <c r="D744" s="165"/>
      <c r="E744" s="165"/>
      <c r="F744" s="165"/>
      <c r="G744" s="165"/>
      <c r="H744" s="165"/>
      <c r="I744" s="4"/>
      <c r="J744" s="4"/>
      <c r="K744" s="4"/>
      <c r="L744" s="4"/>
      <c r="M744" s="4"/>
      <c r="N744" s="4"/>
      <c r="O744" s="4"/>
      <c r="P744" s="4"/>
      <c r="Q744" s="4"/>
      <c r="R744" s="4"/>
      <c r="S744" s="4"/>
      <c r="T744" s="4"/>
      <c r="U744" s="4"/>
      <c r="V744" s="4"/>
      <c r="W744" s="4"/>
      <c r="X744" s="4"/>
      <c r="Y744" s="4"/>
      <c r="Z744" s="4"/>
    </row>
    <row r="745" ht="9.75" customHeight="1">
      <c r="A745" s="4"/>
      <c r="B745" s="4"/>
      <c r="C745" s="4"/>
      <c r="D745" s="165"/>
      <c r="E745" s="165"/>
      <c r="F745" s="165"/>
      <c r="G745" s="165"/>
      <c r="H745" s="165"/>
      <c r="I745" s="4"/>
      <c r="J745" s="4"/>
      <c r="K745" s="4"/>
      <c r="L745" s="4"/>
      <c r="M745" s="4"/>
      <c r="N745" s="4"/>
      <c r="O745" s="4"/>
      <c r="P745" s="4"/>
      <c r="Q745" s="4"/>
      <c r="R745" s="4"/>
      <c r="S745" s="4"/>
      <c r="T745" s="4"/>
      <c r="U745" s="4"/>
      <c r="V745" s="4"/>
      <c r="W745" s="4"/>
      <c r="X745" s="4"/>
      <c r="Y745" s="4"/>
      <c r="Z745" s="4"/>
    </row>
    <row r="746" ht="9.75" customHeight="1">
      <c r="A746" s="4"/>
      <c r="B746" s="4"/>
      <c r="C746" s="4"/>
      <c r="D746" s="165"/>
      <c r="E746" s="165"/>
      <c r="F746" s="165"/>
      <c r="G746" s="165"/>
      <c r="H746" s="165"/>
      <c r="I746" s="4"/>
      <c r="J746" s="4"/>
      <c r="K746" s="4"/>
      <c r="L746" s="4"/>
      <c r="M746" s="4"/>
      <c r="N746" s="4"/>
      <c r="O746" s="4"/>
      <c r="P746" s="4"/>
      <c r="Q746" s="4"/>
      <c r="R746" s="4"/>
      <c r="S746" s="4"/>
      <c r="T746" s="4"/>
      <c r="U746" s="4"/>
      <c r="V746" s="4"/>
      <c r="W746" s="4"/>
      <c r="X746" s="4"/>
      <c r="Y746" s="4"/>
      <c r="Z746" s="4"/>
    </row>
    <row r="747" ht="9.75" customHeight="1">
      <c r="A747" s="4"/>
      <c r="B747" s="4"/>
      <c r="C747" s="4"/>
      <c r="D747" s="165"/>
      <c r="E747" s="165"/>
      <c r="F747" s="165"/>
      <c r="G747" s="165"/>
      <c r="H747" s="165"/>
      <c r="I747" s="4"/>
      <c r="J747" s="4"/>
      <c r="K747" s="4"/>
      <c r="L747" s="4"/>
      <c r="M747" s="4"/>
      <c r="N747" s="4"/>
      <c r="O747" s="4"/>
      <c r="P747" s="4"/>
      <c r="Q747" s="4"/>
      <c r="R747" s="4"/>
      <c r="S747" s="4"/>
      <c r="T747" s="4"/>
      <c r="U747" s="4"/>
      <c r="V747" s="4"/>
      <c r="W747" s="4"/>
      <c r="X747" s="4"/>
      <c r="Y747" s="4"/>
      <c r="Z747" s="4"/>
    </row>
    <row r="748" ht="9.75" customHeight="1">
      <c r="A748" s="4"/>
      <c r="B748" s="4"/>
      <c r="C748" s="4"/>
      <c r="D748" s="165"/>
      <c r="E748" s="165"/>
      <c r="F748" s="165"/>
      <c r="G748" s="165"/>
      <c r="H748" s="165"/>
      <c r="I748" s="4"/>
      <c r="J748" s="4"/>
      <c r="K748" s="4"/>
      <c r="L748" s="4"/>
      <c r="M748" s="4"/>
      <c r="N748" s="4"/>
      <c r="O748" s="4"/>
      <c r="P748" s="4"/>
      <c r="Q748" s="4"/>
      <c r="R748" s="4"/>
      <c r="S748" s="4"/>
      <c r="T748" s="4"/>
      <c r="U748" s="4"/>
      <c r="V748" s="4"/>
      <c r="W748" s="4"/>
      <c r="X748" s="4"/>
      <c r="Y748" s="4"/>
      <c r="Z748" s="4"/>
    </row>
    <row r="749" ht="9.75" customHeight="1">
      <c r="A749" s="4"/>
      <c r="B749" s="4"/>
      <c r="C749" s="4"/>
      <c r="D749" s="165"/>
      <c r="E749" s="165"/>
      <c r="F749" s="165"/>
      <c r="G749" s="165"/>
      <c r="H749" s="165"/>
      <c r="I749" s="4"/>
      <c r="J749" s="4"/>
      <c r="K749" s="4"/>
      <c r="L749" s="4"/>
      <c r="M749" s="4"/>
      <c r="N749" s="4"/>
      <c r="O749" s="4"/>
      <c r="P749" s="4"/>
      <c r="Q749" s="4"/>
      <c r="R749" s="4"/>
      <c r="S749" s="4"/>
      <c r="T749" s="4"/>
      <c r="U749" s="4"/>
      <c r="V749" s="4"/>
      <c r="W749" s="4"/>
      <c r="X749" s="4"/>
      <c r="Y749" s="4"/>
      <c r="Z749" s="4"/>
    </row>
    <row r="750" ht="9.75" customHeight="1">
      <c r="A750" s="4"/>
      <c r="B750" s="4"/>
      <c r="C750" s="4"/>
      <c r="D750" s="165"/>
      <c r="E750" s="165"/>
      <c r="F750" s="165"/>
      <c r="G750" s="165"/>
      <c r="H750" s="165"/>
      <c r="I750" s="4"/>
      <c r="J750" s="4"/>
      <c r="K750" s="4"/>
      <c r="L750" s="4"/>
      <c r="M750" s="4"/>
      <c r="N750" s="4"/>
      <c r="O750" s="4"/>
      <c r="P750" s="4"/>
      <c r="Q750" s="4"/>
      <c r="R750" s="4"/>
      <c r="S750" s="4"/>
      <c r="T750" s="4"/>
      <c r="U750" s="4"/>
      <c r="V750" s="4"/>
      <c r="W750" s="4"/>
      <c r="X750" s="4"/>
      <c r="Y750" s="4"/>
      <c r="Z750" s="4"/>
    </row>
    <row r="751" ht="9.75" customHeight="1">
      <c r="A751" s="4"/>
      <c r="B751" s="4"/>
      <c r="C751" s="4"/>
      <c r="D751" s="165"/>
      <c r="E751" s="165"/>
      <c r="F751" s="165"/>
      <c r="G751" s="165"/>
      <c r="H751" s="165"/>
      <c r="I751" s="4"/>
      <c r="J751" s="4"/>
      <c r="K751" s="4"/>
      <c r="L751" s="4"/>
      <c r="M751" s="4"/>
      <c r="N751" s="4"/>
      <c r="O751" s="4"/>
      <c r="P751" s="4"/>
      <c r="Q751" s="4"/>
      <c r="R751" s="4"/>
      <c r="S751" s="4"/>
      <c r="T751" s="4"/>
      <c r="U751" s="4"/>
      <c r="V751" s="4"/>
      <c r="W751" s="4"/>
      <c r="X751" s="4"/>
      <c r="Y751" s="4"/>
      <c r="Z751" s="4"/>
    </row>
    <row r="752" ht="9.75" customHeight="1">
      <c r="A752" s="4"/>
      <c r="B752" s="4"/>
      <c r="C752" s="4"/>
      <c r="D752" s="165"/>
      <c r="E752" s="165"/>
      <c r="F752" s="165"/>
      <c r="G752" s="165"/>
      <c r="H752" s="165"/>
      <c r="I752" s="4"/>
      <c r="J752" s="4"/>
      <c r="K752" s="4"/>
      <c r="L752" s="4"/>
      <c r="M752" s="4"/>
      <c r="N752" s="4"/>
      <c r="O752" s="4"/>
      <c r="P752" s="4"/>
      <c r="Q752" s="4"/>
      <c r="R752" s="4"/>
      <c r="S752" s="4"/>
      <c r="T752" s="4"/>
      <c r="U752" s="4"/>
      <c r="V752" s="4"/>
      <c r="W752" s="4"/>
      <c r="X752" s="4"/>
      <c r="Y752" s="4"/>
      <c r="Z752" s="4"/>
    </row>
    <row r="753" ht="9.75" customHeight="1">
      <c r="A753" s="4"/>
      <c r="B753" s="4"/>
      <c r="C753" s="4"/>
      <c r="D753" s="165"/>
      <c r="E753" s="165"/>
      <c r="F753" s="165"/>
      <c r="G753" s="165"/>
      <c r="H753" s="165"/>
      <c r="I753" s="4"/>
      <c r="J753" s="4"/>
      <c r="K753" s="4"/>
      <c r="L753" s="4"/>
      <c r="M753" s="4"/>
      <c r="N753" s="4"/>
      <c r="O753" s="4"/>
      <c r="P753" s="4"/>
      <c r="Q753" s="4"/>
      <c r="R753" s="4"/>
      <c r="S753" s="4"/>
      <c r="T753" s="4"/>
      <c r="U753" s="4"/>
      <c r="V753" s="4"/>
      <c r="W753" s="4"/>
      <c r="X753" s="4"/>
      <c r="Y753" s="4"/>
      <c r="Z753" s="4"/>
    </row>
    <row r="754" ht="9.75" customHeight="1">
      <c r="A754" s="4"/>
      <c r="B754" s="4"/>
      <c r="C754" s="4"/>
      <c r="D754" s="165"/>
      <c r="E754" s="165"/>
      <c r="F754" s="165"/>
      <c r="G754" s="165"/>
      <c r="H754" s="165"/>
      <c r="I754" s="4"/>
      <c r="J754" s="4"/>
      <c r="K754" s="4"/>
      <c r="L754" s="4"/>
      <c r="M754" s="4"/>
      <c r="N754" s="4"/>
      <c r="O754" s="4"/>
      <c r="P754" s="4"/>
      <c r="Q754" s="4"/>
      <c r="R754" s="4"/>
      <c r="S754" s="4"/>
      <c r="T754" s="4"/>
      <c r="U754" s="4"/>
      <c r="V754" s="4"/>
      <c r="W754" s="4"/>
      <c r="X754" s="4"/>
      <c r="Y754" s="4"/>
      <c r="Z754" s="4"/>
    </row>
    <row r="755" ht="9.75" customHeight="1">
      <c r="A755" s="4"/>
      <c r="B755" s="4"/>
      <c r="C755" s="4"/>
      <c r="D755" s="165"/>
      <c r="E755" s="165"/>
      <c r="F755" s="165"/>
      <c r="G755" s="165"/>
      <c r="H755" s="165"/>
      <c r="I755" s="4"/>
      <c r="J755" s="4"/>
      <c r="K755" s="4"/>
      <c r="L755" s="4"/>
      <c r="M755" s="4"/>
      <c r="N755" s="4"/>
      <c r="O755" s="4"/>
      <c r="P755" s="4"/>
      <c r="Q755" s="4"/>
      <c r="R755" s="4"/>
      <c r="S755" s="4"/>
      <c r="T755" s="4"/>
      <c r="U755" s="4"/>
      <c r="V755" s="4"/>
      <c r="W755" s="4"/>
      <c r="X755" s="4"/>
      <c r="Y755" s="4"/>
      <c r="Z755" s="4"/>
    </row>
    <row r="756" ht="9.75" customHeight="1">
      <c r="A756" s="4"/>
      <c r="B756" s="4"/>
      <c r="C756" s="4"/>
      <c r="D756" s="165"/>
      <c r="E756" s="165"/>
      <c r="F756" s="165"/>
      <c r="G756" s="165"/>
      <c r="H756" s="165"/>
      <c r="I756" s="4"/>
      <c r="J756" s="4"/>
      <c r="K756" s="4"/>
      <c r="L756" s="4"/>
      <c r="M756" s="4"/>
      <c r="N756" s="4"/>
      <c r="O756" s="4"/>
      <c r="P756" s="4"/>
      <c r="Q756" s="4"/>
      <c r="R756" s="4"/>
      <c r="S756" s="4"/>
      <c r="T756" s="4"/>
      <c r="U756" s="4"/>
      <c r="V756" s="4"/>
      <c r="W756" s="4"/>
      <c r="X756" s="4"/>
      <c r="Y756" s="4"/>
      <c r="Z756" s="4"/>
    </row>
    <row r="757" ht="9.75" customHeight="1">
      <c r="A757" s="4"/>
      <c r="B757" s="4"/>
      <c r="C757" s="4"/>
      <c r="D757" s="165"/>
      <c r="E757" s="165"/>
      <c r="F757" s="165"/>
      <c r="G757" s="165"/>
      <c r="H757" s="165"/>
      <c r="I757" s="4"/>
      <c r="J757" s="4"/>
      <c r="K757" s="4"/>
      <c r="L757" s="4"/>
      <c r="M757" s="4"/>
      <c r="N757" s="4"/>
      <c r="O757" s="4"/>
      <c r="P757" s="4"/>
      <c r="Q757" s="4"/>
      <c r="R757" s="4"/>
      <c r="S757" s="4"/>
      <c r="T757" s="4"/>
      <c r="U757" s="4"/>
      <c r="V757" s="4"/>
      <c r="W757" s="4"/>
      <c r="X757" s="4"/>
      <c r="Y757" s="4"/>
      <c r="Z757" s="4"/>
    </row>
    <row r="758" ht="9.75" customHeight="1">
      <c r="A758" s="4"/>
      <c r="B758" s="4"/>
      <c r="C758" s="4"/>
      <c r="D758" s="165"/>
      <c r="E758" s="165"/>
      <c r="F758" s="165"/>
      <c r="G758" s="165"/>
      <c r="H758" s="165"/>
      <c r="I758" s="4"/>
      <c r="J758" s="4"/>
      <c r="K758" s="4"/>
      <c r="L758" s="4"/>
      <c r="M758" s="4"/>
      <c r="N758" s="4"/>
      <c r="O758" s="4"/>
      <c r="P758" s="4"/>
      <c r="Q758" s="4"/>
      <c r="R758" s="4"/>
      <c r="S758" s="4"/>
      <c r="T758" s="4"/>
      <c r="U758" s="4"/>
      <c r="V758" s="4"/>
      <c r="W758" s="4"/>
      <c r="X758" s="4"/>
      <c r="Y758" s="4"/>
      <c r="Z758" s="4"/>
    </row>
    <row r="759" ht="9.75" customHeight="1">
      <c r="A759" s="4"/>
      <c r="B759" s="4"/>
      <c r="C759" s="4"/>
      <c r="D759" s="165"/>
      <c r="E759" s="165"/>
      <c r="F759" s="165"/>
      <c r="G759" s="165"/>
      <c r="H759" s="165"/>
      <c r="I759" s="4"/>
      <c r="J759" s="4"/>
      <c r="K759" s="4"/>
      <c r="L759" s="4"/>
      <c r="M759" s="4"/>
      <c r="N759" s="4"/>
      <c r="O759" s="4"/>
      <c r="P759" s="4"/>
      <c r="Q759" s="4"/>
      <c r="R759" s="4"/>
      <c r="S759" s="4"/>
      <c r="T759" s="4"/>
      <c r="U759" s="4"/>
      <c r="V759" s="4"/>
      <c r="W759" s="4"/>
      <c r="X759" s="4"/>
      <c r="Y759" s="4"/>
      <c r="Z759" s="4"/>
    </row>
    <row r="760" ht="9.75" customHeight="1">
      <c r="A760" s="4"/>
      <c r="B760" s="4"/>
      <c r="C760" s="4"/>
      <c r="D760" s="165"/>
      <c r="E760" s="165"/>
      <c r="F760" s="165"/>
      <c r="G760" s="165"/>
      <c r="H760" s="165"/>
      <c r="I760" s="4"/>
      <c r="J760" s="4"/>
      <c r="K760" s="4"/>
      <c r="L760" s="4"/>
      <c r="M760" s="4"/>
      <c r="N760" s="4"/>
      <c r="O760" s="4"/>
      <c r="P760" s="4"/>
      <c r="Q760" s="4"/>
      <c r="R760" s="4"/>
      <c r="S760" s="4"/>
      <c r="T760" s="4"/>
      <c r="U760" s="4"/>
      <c r="V760" s="4"/>
      <c r="W760" s="4"/>
      <c r="X760" s="4"/>
      <c r="Y760" s="4"/>
      <c r="Z760" s="4"/>
    </row>
    <row r="761" ht="9.75" customHeight="1">
      <c r="A761" s="4"/>
      <c r="B761" s="4"/>
      <c r="C761" s="4"/>
      <c r="D761" s="165"/>
      <c r="E761" s="165"/>
      <c r="F761" s="165"/>
      <c r="G761" s="165"/>
      <c r="H761" s="165"/>
      <c r="I761" s="4"/>
      <c r="J761" s="4"/>
      <c r="K761" s="4"/>
      <c r="L761" s="4"/>
      <c r="M761" s="4"/>
      <c r="N761" s="4"/>
      <c r="O761" s="4"/>
      <c r="P761" s="4"/>
      <c r="Q761" s="4"/>
      <c r="R761" s="4"/>
      <c r="S761" s="4"/>
      <c r="T761" s="4"/>
      <c r="U761" s="4"/>
      <c r="V761" s="4"/>
      <c r="W761" s="4"/>
      <c r="X761" s="4"/>
      <c r="Y761" s="4"/>
      <c r="Z761" s="4"/>
    </row>
    <row r="762" ht="9.75" customHeight="1">
      <c r="A762" s="4"/>
      <c r="B762" s="4"/>
      <c r="C762" s="4"/>
      <c r="D762" s="165"/>
      <c r="E762" s="165"/>
      <c r="F762" s="165"/>
      <c r="G762" s="165"/>
      <c r="H762" s="165"/>
      <c r="I762" s="4"/>
      <c r="J762" s="4"/>
      <c r="K762" s="4"/>
      <c r="L762" s="4"/>
      <c r="M762" s="4"/>
      <c r="N762" s="4"/>
      <c r="O762" s="4"/>
      <c r="P762" s="4"/>
      <c r="Q762" s="4"/>
      <c r="R762" s="4"/>
      <c r="S762" s="4"/>
      <c r="T762" s="4"/>
      <c r="U762" s="4"/>
      <c r="V762" s="4"/>
      <c r="W762" s="4"/>
      <c r="X762" s="4"/>
      <c r="Y762" s="4"/>
      <c r="Z762" s="4"/>
    </row>
    <row r="763" ht="9.75" customHeight="1">
      <c r="A763" s="4"/>
      <c r="B763" s="4"/>
      <c r="C763" s="4"/>
      <c r="D763" s="165"/>
      <c r="E763" s="165"/>
      <c r="F763" s="165"/>
      <c r="G763" s="165"/>
      <c r="H763" s="165"/>
      <c r="I763" s="4"/>
      <c r="J763" s="4"/>
      <c r="K763" s="4"/>
      <c r="L763" s="4"/>
      <c r="M763" s="4"/>
      <c r="N763" s="4"/>
      <c r="O763" s="4"/>
      <c r="P763" s="4"/>
      <c r="Q763" s="4"/>
      <c r="R763" s="4"/>
      <c r="S763" s="4"/>
      <c r="T763" s="4"/>
      <c r="U763" s="4"/>
      <c r="V763" s="4"/>
      <c r="W763" s="4"/>
      <c r="X763" s="4"/>
      <c r="Y763" s="4"/>
      <c r="Z763" s="4"/>
    </row>
    <row r="764" ht="9.75" customHeight="1">
      <c r="A764" s="4"/>
      <c r="B764" s="4"/>
      <c r="C764" s="4"/>
      <c r="D764" s="165"/>
      <c r="E764" s="165"/>
      <c r="F764" s="165"/>
      <c r="G764" s="165"/>
      <c r="H764" s="165"/>
      <c r="I764" s="4"/>
      <c r="J764" s="4"/>
      <c r="K764" s="4"/>
      <c r="L764" s="4"/>
      <c r="M764" s="4"/>
      <c r="N764" s="4"/>
      <c r="O764" s="4"/>
      <c r="P764" s="4"/>
      <c r="Q764" s="4"/>
      <c r="R764" s="4"/>
      <c r="S764" s="4"/>
      <c r="T764" s="4"/>
      <c r="U764" s="4"/>
      <c r="V764" s="4"/>
      <c r="W764" s="4"/>
      <c r="X764" s="4"/>
      <c r="Y764" s="4"/>
      <c r="Z764" s="4"/>
    </row>
    <row r="765" ht="9.75" customHeight="1">
      <c r="A765" s="4"/>
      <c r="B765" s="4"/>
      <c r="C765" s="4"/>
      <c r="D765" s="165"/>
      <c r="E765" s="165"/>
      <c r="F765" s="165"/>
      <c r="G765" s="165"/>
      <c r="H765" s="165"/>
      <c r="I765" s="4"/>
      <c r="J765" s="4"/>
      <c r="K765" s="4"/>
      <c r="L765" s="4"/>
      <c r="M765" s="4"/>
      <c r="N765" s="4"/>
      <c r="O765" s="4"/>
      <c r="P765" s="4"/>
      <c r="Q765" s="4"/>
      <c r="R765" s="4"/>
      <c r="S765" s="4"/>
      <c r="T765" s="4"/>
      <c r="U765" s="4"/>
      <c r="V765" s="4"/>
      <c r="W765" s="4"/>
      <c r="X765" s="4"/>
      <c r="Y765" s="4"/>
      <c r="Z765" s="4"/>
    </row>
    <row r="766" ht="9.75" customHeight="1">
      <c r="A766" s="4"/>
      <c r="B766" s="4"/>
      <c r="C766" s="4"/>
      <c r="D766" s="165"/>
      <c r="E766" s="165"/>
      <c r="F766" s="165"/>
      <c r="G766" s="165"/>
      <c r="H766" s="165"/>
      <c r="I766" s="4"/>
      <c r="J766" s="4"/>
      <c r="K766" s="4"/>
      <c r="L766" s="4"/>
      <c r="M766" s="4"/>
      <c r="N766" s="4"/>
      <c r="O766" s="4"/>
      <c r="P766" s="4"/>
      <c r="Q766" s="4"/>
      <c r="R766" s="4"/>
      <c r="S766" s="4"/>
      <c r="T766" s="4"/>
      <c r="U766" s="4"/>
      <c r="V766" s="4"/>
      <c r="W766" s="4"/>
      <c r="X766" s="4"/>
      <c r="Y766" s="4"/>
      <c r="Z766" s="4"/>
    </row>
    <row r="767" ht="9.75" customHeight="1">
      <c r="A767" s="4"/>
      <c r="B767" s="4"/>
      <c r="C767" s="4"/>
      <c r="D767" s="165"/>
      <c r="E767" s="165"/>
      <c r="F767" s="165"/>
      <c r="G767" s="165"/>
      <c r="H767" s="165"/>
      <c r="I767" s="4"/>
      <c r="J767" s="4"/>
      <c r="K767" s="4"/>
      <c r="L767" s="4"/>
      <c r="M767" s="4"/>
      <c r="N767" s="4"/>
      <c r="O767" s="4"/>
      <c r="P767" s="4"/>
      <c r="Q767" s="4"/>
      <c r="R767" s="4"/>
      <c r="S767" s="4"/>
      <c r="T767" s="4"/>
      <c r="U767" s="4"/>
      <c r="V767" s="4"/>
      <c r="W767" s="4"/>
      <c r="X767" s="4"/>
      <c r="Y767" s="4"/>
      <c r="Z767" s="4"/>
    </row>
    <row r="768" ht="9.75" customHeight="1">
      <c r="A768" s="4"/>
      <c r="B768" s="4"/>
      <c r="C768" s="4"/>
      <c r="D768" s="165"/>
      <c r="E768" s="165"/>
      <c r="F768" s="165"/>
      <c r="G768" s="165"/>
      <c r="H768" s="165"/>
      <c r="I768" s="4"/>
      <c r="J768" s="4"/>
      <c r="K768" s="4"/>
      <c r="L768" s="4"/>
      <c r="M768" s="4"/>
      <c r="N768" s="4"/>
      <c r="O768" s="4"/>
      <c r="P768" s="4"/>
      <c r="Q768" s="4"/>
      <c r="R768" s="4"/>
      <c r="S768" s="4"/>
      <c r="T768" s="4"/>
      <c r="U768" s="4"/>
      <c r="V768" s="4"/>
      <c r="W768" s="4"/>
      <c r="X768" s="4"/>
      <c r="Y768" s="4"/>
      <c r="Z768" s="4"/>
    </row>
    <row r="769" ht="9.75" customHeight="1">
      <c r="A769" s="4"/>
      <c r="B769" s="4"/>
      <c r="C769" s="4"/>
      <c r="D769" s="165"/>
      <c r="E769" s="165"/>
      <c r="F769" s="165"/>
      <c r="G769" s="165"/>
      <c r="H769" s="165"/>
      <c r="I769" s="4"/>
      <c r="J769" s="4"/>
      <c r="K769" s="4"/>
      <c r="L769" s="4"/>
      <c r="M769" s="4"/>
      <c r="N769" s="4"/>
      <c r="O769" s="4"/>
      <c r="P769" s="4"/>
      <c r="Q769" s="4"/>
      <c r="R769" s="4"/>
      <c r="S769" s="4"/>
      <c r="T769" s="4"/>
      <c r="U769" s="4"/>
      <c r="V769" s="4"/>
      <c r="W769" s="4"/>
      <c r="X769" s="4"/>
      <c r="Y769" s="4"/>
      <c r="Z769" s="4"/>
    </row>
    <row r="770" ht="9.75" customHeight="1">
      <c r="A770" s="4"/>
      <c r="B770" s="4"/>
      <c r="C770" s="4"/>
      <c r="D770" s="165"/>
      <c r="E770" s="165"/>
      <c r="F770" s="165"/>
      <c r="G770" s="165"/>
      <c r="H770" s="165"/>
      <c r="I770" s="4"/>
      <c r="J770" s="4"/>
      <c r="K770" s="4"/>
      <c r="L770" s="4"/>
      <c r="M770" s="4"/>
      <c r="N770" s="4"/>
      <c r="O770" s="4"/>
      <c r="P770" s="4"/>
      <c r="Q770" s="4"/>
      <c r="R770" s="4"/>
      <c r="S770" s="4"/>
      <c r="T770" s="4"/>
      <c r="U770" s="4"/>
      <c r="V770" s="4"/>
      <c r="W770" s="4"/>
      <c r="X770" s="4"/>
      <c r="Y770" s="4"/>
      <c r="Z770" s="4"/>
    </row>
    <row r="771" ht="9.75" customHeight="1">
      <c r="A771" s="4"/>
      <c r="B771" s="4"/>
      <c r="C771" s="4"/>
      <c r="D771" s="165"/>
      <c r="E771" s="165"/>
      <c r="F771" s="165"/>
      <c r="G771" s="165"/>
      <c r="H771" s="165"/>
      <c r="I771" s="4"/>
      <c r="J771" s="4"/>
      <c r="K771" s="4"/>
      <c r="L771" s="4"/>
      <c r="M771" s="4"/>
      <c r="N771" s="4"/>
      <c r="O771" s="4"/>
      <c r="P771" s="4"/>
      <c r="Q771" s="4"/>
      <c r="R771" s="4"/>
      <c r="S771" s="4"/>
      <c r="T771" s="4"/>
      <c r="U771" s="4"/>
      <c r="V771" s="4"/>
      <c r="W771" s="4"/>
      <c r="X771" s="4"/>
      <c r="Y771" s="4"/>
      <c r="Z771" s="4"/>
    </row>
    <row r="772" ht="9.75" customHeight="1">
      <c r="A772" s="4"/>
      <c r="B772" s="4"/>
      <c r="C772" s="4"/>
      <c r="D772" s="165"/>
      <c r="E772" s="165"/>
      <c r="F772" s="165"/>
      <c r="G772" s="165"/>
      <c r="H772" s="165"/>
      <c r="I772" s="4"/>
      <c r="J772" s="4"/>
      <c r="K772" s="4"/>
      <c r="L772" s="4"/>
      <c r="M772" s="4"/>
      <c r="N772" s="4"/>
      <c r="O772" s="4"/>
      <c r="P772" s="4"/>
      <c r="Q772" s="4"/>
      <c r="R772" s="4"/>
      <c r="S772" s="4"/>
      <c r="T772" s="4"/>
      <c r="U772" s="4"/>
      <c r="V772" s="4"/>
      <c r="W772" s="4"/>
      <c r="X772" s="4"/>
      <c r="Y772" s="4"/>
      <c r="Z772" s="4"/>
    </row>
    <row r="773" ht="9.75" customHeight="1">
      <c r="A773" s="4"/>
      <c r="B773" s="4"/>
      <c r="C773" s="4"/>
      <c r="D773" s="165"/>
      <c r="E773" s="165"/>
      <c r="F773" s="165"/>
      <c r="G773" s="165"/>
      <c r="H773" s="165"/>
      <c r="I773" s="4"/>
      <c r="J773" s="4"/>
      <c r="K773" s="4"/>
      <c r="L773" s="4"/>
      <c r="M773" s="4"/>
      <c r="N773" s="4"/>
      <c r="O773" s="4"/>
      <c r="P773" s="4"/>
      <c r="Q773" s="4"/>
      <c r="R773" s="4"/>
      <c r="S773" s="4"/>
      <c r="T773" s="4"/>
      <c r="U773" s="4"/>
      <c r="V773" s="4"/>
      <c r="W773" s="4"/>
      <c r="X773" s="4"/>
      <c r="Y773" s="4"/>
      <c r="Z773" s="4"/>
    </row>
    <row r="774" ht="9.75" customHeight="1">
      <c r="A774" s="4"/>
      <c r="B774" s="4"/>
      <c r="C774" s="4"/>
      <c r="D774" s="165"/>
      <c r="E774" s="165"/>
      <c r="F774" s="165"/>
      <c r="G774" s="165"/>
      <c r="H774" s="165"/>
      <c r="I774" s="4"/>
      <c r="J774" s="4"/>
      <c r="K774" s="4"/>
      <c r="L774" s="4"/>
      <c r="M774" s="4"/>
      <c r="N774" s="4"/>
      <c r="O774" s="4"/>
      <c r="P774" s="4"/>
      <c r="Q774" s="4"/>
      <c r="R774" s="4"/>
      <c r="S774" s="4"/>
      <c r="T774" s="4"/>
      <c r="U774" s="4"/>
      <c r="V774" s="4"/>
      <c r="W774" s="4"/>
      <c r="X774" s="4"/>
      <c r="Y774" s="4"/>
      <c r="Z774" s="4"/>
    </row>
    <row r="775" ht="9.75" customHeight="1">
      <c r="A775" s="4"/>
      <c r="B775" s="4"/>
      <c r="C775" s="4"/>
      <c r="D775" s="165"/>
      <c r="E775" s="165"/>
      <c r="F775" s="165"/>
      <c r="G775" s="165"/>
      <c r="H775" s="165"/>
      <c r="I775" s="4"/>
      <c r="J775" s="4"/>
      <c r="K775" s="4"/>
      <c r="L775" s="4"/>
      <c r="M775" s="4"/>
      <c r="N775" s="4"/>
      <c r="O775" s="4"/>
      <c r="P775" s="4"/>
      <c r="Q775" s="4"/>
      <c r="R775" s="4"/>
      <c r="S775" s="4"/>
      <c r="T775" s="4"/>
      <c r="U775" s="4"/>
      <c r="V775" s="4"/>
      <c r="W775" s="4"/>
      <c r="X775" s="4"/>
      <c r="Y775" s="4"/>
      <c r="Z775" s="4"/>
    </row>
    <row r="776" ht="9.75" customHeight="1">
      <c r="A776" s="4"/>
      <c r="B776" s="4"/>
      <c r="C776" s="4"/>
      <c r="D776" s="165"/>
      <c r="E776" s="165"/>
      <c r="F776" s="165"/>
      <c r="G776" s="165"/>
      <c r="H776" s="165"/>
      <c r="I776" s="4"/>
      <c r="J776" s="4"/>
      <c r="K776" s="4"/>
      <c r="L776" s="4"/>
      <c r="M776" s="4"/>
      <c r="N776" s="4"/>
      <c r="O776" s="4"/>
      <c r="P776" s="4"/>
      <c r="Q776" s="4"/>
      <c r="R776" s="4"/>
      <c r="S776" s="4"/>
      <c r="T776" s="4"/>
      <c r="U776" s="4"/>
      <c r="V776" s="4"/>
      <c r="W776" s="4"/>
      <c r="X776" s="4"/>
      <c r="Y776" s="4"/>
      <c r="Z776" s="4"/>
    </row>
    <row r="777" ht="9.75" customHeight="1">
      <c r="A777" s="4"/>
      <c r="B777" s="4"/>
      <c r="C777" s="4"/>
      <c r="D777" s="165"/>
      <c r="E777" s="165"/>
      <c r="F777" s="165"/>
      <c r="G777" s="165"/>
      <c r="H777" s="165"/>
      <c r="I777" s="4"/>
      <c r="J777" s="4"/>
      <c r="K777" s="4"/>
      <c r="L777" s="4"/>
      <c r="M777" s="4"/>
      <c r="N777" s="4"/>
      <c r="O777" s="4"/>
      <c r="P777" s="4"/>
      <c r="Q777" s="4"/>
      <c r="R777" s="4"/>
      <c r="S777" s="4"/>
      <c r="T777" s="4"/>
      <c r="U777" s="4"/>
      <c r="V777" s="4"/>
      <c r="W777" s="4"/>
      <c r="X777" s="4"/>
      <c r="Y777" s="4"/>
      <c r="Z777" s="4"/>
    </row>
    <row r="778" ht="9.75" customHeight="1">
      <c r="A778" s="4"/>
      <c r="B778" s="4"/>
      <c r="C778" s="4"/>
      <c r="D778" s="165"/>
      <c r="E778" s="165"/>
      <c r="F778" s="165"/>
      <c r="G778" s="165"/>
      <c r="H778" s="165"/>
      <c r="I778" s="4"/>
      <c r="J778" s="4"/>
      <c r="K778" s="4"/>
      <c r="L778" s="4"/>
      <c r="M778" s="4"/>
      <c r="N778" s="4"/>
      <c r="O778" s="4"/>
      <c r="P778" s="4"/>
      <c r="Q778" s="4"/>
      <c r="R778" s="4"/>
      <c r="S778" s="4"/>
      <c r="T778" s="4"/>
      <c r="U778" s="4"/>
      <c r="V778" s="4"/>
      <c r="W778" s="4"/>
      <c r="X778" s="4"/>
      <c r="Y778" s="4"/>
      <c r="Z778" s="4"/>
    </row>
    <row r="779" ht="9.75" customHeight="1">
      <c r="A779" s="4"/>
      <c r="B779" s="4"/>
      <c r="C779" s="4"/>
      <c r="D779" s="165"/>
      <c r="E779" s="165"/>
      <c r="F779" s="165"/>
      <c r="G779" s="165"/>
      <c r="H779" s="165"/>
      <c r="I779" s="4"/>
      <c r="J779" s="4"/>
      <c r="K779" s="4"/>
      <c r="L779" s="4"/>
      <c r="M779" s="4"/>
      <c r="N779" s="4"/>
      <c r="O779" s="4"/>
      <c r="P779" s="4"/>
      <c r="Q779" s="4"/>
      <c r="R779" s="4"/>
      <c r="S779" s="4"/>
      <c r="T779" s="4"/>
      <c r="U779" s="4"/>
      <c r="V779" s="4"/>
      <c r="W779" s="4"/>
      <c r="X779" s="4"/>
      <c r="Y779" s="4"/>
      <c r="Z779" s="4"/>
    </row>
    <row r="780" ht="9.75" customHeight="1">
      <c r="A780" s="4"/>
      <c r="B780" s="4"/>
      <c r="C780" s="4"/>
      <c r="D780" s="165"/>
      <c r="E780" s="165"/>
      <c r="F780" s="165"/>
      <c r="G780" s="165"/>
      <c r="H780" s="165"/>
      <c r="I780" s="4"/>
      <c r="J780" s="4"/>
      <c r="K780" s="4"/>
      <c r="L780" s="4"/>
      <c r="M780" s="4"/>
      <c r="N780" s="4"/>
      <c r="O780" s="4"/>
      <c r="P780" s="4"/>
      <c r="Q780" s="4"/>
      <c r="R780" s="4"/>
      <c r="S780" s="4"/>
      <c r="T780" s="4"/>
      <c r="U780" s="4"/>
      <c r="V780" s="4"/>
      <c r="W780" s="4"/>
      <c r="X780" s="4"/>
      <c r="Y780" s="4"/>
      <c r="Z780" s="4"/>
    </row>
    <row r="781" ht="9.75" customHeight="1">
      <c r="A781" s="4"/>
      <c r="B781" s="4"/>
      <c r="C781" s="4"/>
      <c r="D781" s="165"/>
      <c r="E781" s="165"/>
      <c r="F781" s="165"/>
      <c r="G781" s="165"/>
      <c r="H781" s="165"/>
      <c r="I781" s="4"/>
      <c r="J781" s="4"/>
      <c r="K781" s="4"/>
      <c r="L781" s="4"/>
      <c r="M781" s="4"/>
      <c r="N781" s="4"/>
      <c r="O781" s="4"/>
      <c r="P781" s="4"/>
      <c r="Q781" s="4"/>
      <c r="R781" s="4"/>
      <c r="S781" s="4"/>
      <c r="T781" s="4"/>
      <c r="U781" s="4"/>
      <c r="V781" s="4"/>
      <c r="W781" s="4"/>
      <c r="X781" s="4"/>
      <c r="Y781" s="4"/>
      <c r="Z781" s="4"/>
    </row>
    <row r="782" ht="9.75" customHeight="1">
      <c r="A782" s="4"/>
      <c r="B782" s="4"/>
      <c r="C782" s="4"/>
      <c r="D782" s="165"/>
      <c r="E782" s="165"/>
      <c r="F782" s="165"/>
      <c r="G782" s="165"/>
      <c r="H782" s="165"/>
      <c r="I782" s="4"/>
      <c r="J782" s="4"/>
      <c r="K782" s="4"/>
      <c r="L782" s="4"/>
      <c r="M782" s="4"/>
      <c r="N782" s="4"/>
      <c r="O782" s="4"/>
      <c r="P782" s="4"/>
      <c r="Q782" s="4"/>
      <c r="R782" s="4"/>
      <c r="S782" s="4"/>
      <c r="T782" s="4"/>
      <c r="U782" s="4"/>
      <c r="V782" s="4"/>
      <c r="W782" s="4"/>
      <c r="X782" s="4"/>
      <c r="Y782" s="4"/>
      <c r="Z782" s="4"/>
    </row>
    <row r="783" ht="9.75" customHeight="1">
      <c r="A783" s="4"/>
      <c r="B783" s="4"/>
      <c r="C783" s="4"/>
      <c r="D783" s="165"/>
      <c r="E783" s="165"/>
      <c r="F783" s="165"/>
      <c r="G783" s="165"/>
      <c r="H783" s="165"/>
      <c r="I783" s="4"/>
      <c r="J783" s="4"/>
      <c r="K783" s="4"/>
      <c r="L783" s="4"/>
      <c r="M783" s="4"/>
      <c r="N783" s="4"/>
      <c r="O783" s="4"/>
      <c r="P783" s="4"/>
      <c r="Q783" s="4"/>
      <c r="R783" s="4"/>
      <c r="S783" s="4"/>
      <c r="T783" s="4"/>
      <c r="U783" s="4"/>
      <c r="V783" s="4"/>
      <c r="W783" s="4"/>
      <c r="X783" s="4"/>
      <c r="Y783" s="4"/>
      <c r="Z783" s="4"/>
    </row>
    <row r="784" ht="9.75" customHeight="1">
      <c r="A784" s="4"/>
      <c r="B784" s="4"/>
      <c r="C784" s="4"/>
      <c r="D784" s="165"/>
      <c r="E784" s="165"/>
      <c r="F784" s="165"/>
      <c r="G784" s="165"/>
      <c r="H784" s="165"/>
      <c r="I784" s="4"/>
      <c r="J784" s="4"/>
      <c r="K784" s="4"/>
      <c r="L784" s="4"/>
      <c r="M784" s="4"/>
      <c r="N784" s="4"/>
      <c r="O784" s="4"/>
      <c r="P784" s="4"/>
      <c r="Q784" s="4"/>
      <c r="R784" s="4"/>
      <c r="S784" s="4"/>
      <c r="T784" s="4"/>
      <c r="U784" s="4"/>
      <c r="V784" s="4"/>
      <c r="W784" s="4"/>
      <c r="X784" s="4"/>
      <c r="Y784" s="4"/>
      <c r="Z784" s="4"/>
    </row>
    <row r="785" ht="9.75" customHeight="1">
      <c r="A785" s="4"/>
      <c r="B785" s="4"/>
      <c r="C785" s="4"/>
      <c r="D785" s="165"/>
      <c r="E785" s="165"/>
      <c r="F785" s="165"/>
      <c r="G785" s="165"/>
      <c r="H785" s="165"/>
      <c r="I785" s="4"/>
      <c r="J785" s="4"/>
      <c r="K785" s="4"/>
      <c r="L785" s="4"/>
      <c r="M785" s="4"/>
      <c r="N785" s="4"/>
      <c r="O785" s="4"/>
      <c r="P785" s="4"/>
      <c r="Q785" s="4"/>
      <c r="R785" s="4"/>
      <c r="S785" s="4"/>
      <c r="T785" s="4"/>
      <c r="U785" s="4"/>
      <c r="V785" s="4"/>
      <c r="W785" s="4"/>
      <c r="X785" s="4"/>
      <c r="Y785" s="4"/>
      <c r="Z785" s="4"/>
    </row>
    <row r="786" ht="9.75" customHeight="1">
      <c r="A786" s="4"/>
      <c r="B786" s="4"/>
      <c r="C786" s="4"/>
      <c r="D786" s="165"/>
      <c r="E786" s="165"/>
      <c r="F786" s="165"/>
      <c r="G786" s="165"/>
      <c r="H786" s="165"/>
      <c r="I786" s="4"/>
      <c r="J786" s="4"/>
      <c r="K786" s="4"/>
      <c r="L786" s="4"/>
      <c r="M786" s="4"/>
      <c r="N786" s="4"/>
      <c r="O786" s="4"/>
      <c r="P786" s="4"/>
      <c r="Q786" s="4"/>
      <c r="R786" s="4"/>
      <c r="S786" s="4"/>
      <c r="T786" s="4"/>
      <c r="U786" s="4"/>
      <c r="V786" s="4"/>
      <c r="W786" s="4"/>
      <c r="X786" s="4"/>
      <c r="Y786" s="4"/>
      <c r="Z786" s="4"/>
    </row>
    <row r="787" ht="9.75" customHeight="1">
      <c r="A787" s="4"/>
      <c r="B787" s="4"/>
      <c r="C787" s="4"/>
      <c r="D787" s="165"/>
      <c r="E787" s="165"/>
      <c r="F787" s="165"/>
      <c r="G787" s="165"/>
      <c r="H787" s="165"/>
      <c r="I787" s="4"/>
      <c r="J787" s="4"/>
      <c r="K787" s="4"/>
      <c r="L787" s="4"/>
      <c r="M787" s="4"/>
      <c r="N787" s="4"/>
      <c r="O787" s="4"/>
      <c r="P787" s="4"/>
      <c r="Q787" s="4"/>
      <c r="R787" s="4"/>
      <c r="S787" s="4"/>
      <c r="T787" s="4"/>
      <c r="U787" s="4"/>
      <c r="V787" s="4"/>
      <c r="W787" s="4"/>
      <c r="X787" s="4"/>
      <c r="Y787" s="4"/>
      <c r="Z787" s="4"/>
    </row>
    <row r="788" ht="9.75" customHeight="1">
      <c r="A788" s="4"/>
      <c r="B788" s="4"/>
      <c r="C788" s="4"/>
      <c r="D788" s="165"/>
      <c r="E788" s="165"/>
      <c r="F788" s="165"/>
      <c r="G788" s="165"/>
      <c r="H788" s="165"/>
      <c r="I788" s="4"/>
      <c r="J788" s="4"/>
      <c r="K788" s="4"/>
      <c r="L788" s="4"/>
      <c r="M788" s="4"/>
      <c r="N788" s="4"/>
      <c r="O788" s="4"/>
      <c r="P788" s="4"/>
      <c r="Q788" s="4"/>
      <c r="R788" s="4"/>
      <c r="S788" s="4"/>
      <c r="T788" s="4"/>
      <c r="U788" s="4"/>
      <c r="V788" s="4"/>
      <c r="W788" s="4"/>
      <c r="X788" s="4"/>
      <c r="Y788" s="4"/>
      <c r="Z788" s="4"/>
    </row>
    <row r="789" ht="9.75" customHeight="1">
      <c r="A789" s="4"/>
      <c r="B789" s="4"/>
      <c r="C789" s="4"/>
      <c r="D789" s="165"/>
      <c r="E789" s="165"/>
      <c r="F789" s="165"/>
      <c r="G789" s="165"/>
      <c r="H789" s="165"/>
      <c r="I789" s="4"/>
      <c r="J789" s="4"/>
      <c r="K789" s="4"/>
      <c r="L789" s="4"/>
      <c r="M789" s="4"/>
      <c r="N789" s="4"/>
      <c r="O789" s="4"/>
      <c r="P789" s="4"/>
      <c r="Q789" s="4"/>
      <c r="R789" s="4"/>
      <c r="S789" s="4"/>
      <c r="T789" s="4"/>
      <c r="U789" s="4"/>
      <c r="V789" s="4"/>
      <c r="W789" s="4"/>
      <c r="X789" s="4"/>
      <c r="Y789" s="4"/>
      <c r="Z789" s="4"/>
    </row>
    <row r="790" ht="9.75" customHeight="1">
      <c r="A790" s="4"/>
      <c r="B790" s="4"/>
      <c r="C790" s="4"/>
      <c r="D790" s="165"/>
      <c r="E790" s="165"/>
      <c r="F790" s="165"/>
      <c r="G790" s="165"/>
      <c r="H790" s="165"/>
      <c r="I790" s="4"/>
      <c r="J790" s="4"/>
      <c r="K790" s="4"/>
      <c r="L790" s="4"/>
      <c r="M790" s="4"/>
      <c r="N790" s="4"/>
      <c r="O790" s="4"/>
      <c r="P790" s="4"/>
      <c r="Q790" s="4"/>
      <c r="R790" s="4"/>
      <c r="S790" s="4"/>
      <c r="T790" s="4"/>
      <c r="U790" s="4"/>
      <c r="V790" s="4"/>
      <c r="W790" s="4"/>
      <c r="X790" s="4"/>
      <c r="Y790" s="4"/>
      <c r="Z790" s="4"/>
    </row>
    <row r="791" ht="9.75" customHeight="1">
      <c r="A791" s="4"/>
      <c r="B791" s="4"/>
      <c r="C791" s="4"/>
      <c r="D791" s="165"/>
      <c r="E791" s="165"/>
      <c r="F791" s="165"/>
      <c r="G791" s="165"/>
      <c r="H791" s="165"/>
      <c r="I791" s="4"/>
      <c r="J791" s="4"/>
      <c r="K791" s="4"/>
      <c r="L791" s="4"/>
      <c r="M791" s="4"/>
      <c r="N791" s="4"/>
      <c r="O791" s="4"/>
      <c r="P791" s="4"/>
      <c r="Q791" s="4"/>
      <c r="R791" s="4"/>
      <c r="S791" s="4"/>
      <c r="T791" s="4"/>
      <c r="U791" s="4"/>
      <c r="V791" s="4"/>
      <c r="W791" s="4"/>
      <c r="X791" s="4"/>
      <c r="Y791" s="4"/>
      <c r="Z791" s="4"/>
    </row>
    <row r="792" ht="9.75" customHeight="1">
      <c r="A792" s="4"/>
      <c r="B792" s="4"/>
      <c r="C792" s="4"/>
      <c r="D792" s="165"/>
      <c r="E792" s="165"/>
      <c r="F792" s="165"/>
      <c r="G792" s="165"/>
      <c r="H792" s="165"/>
      <c r="I792" s="4"/>
      <c r="J792" s="4"/>
      <c r="K792" s="4"/>
      <c r="L792" s="4"/>
      <c r="M792" s="4"/>
      <c r="N792" s="4"/>
      <c r="O792" s="4"/>
      <c r="P792" s="4"/>
      <c r="Q792" s="4"/>
      <c r="R792" s="4"/>
      <c r="S792" s="4"/>
      <c r="T792" s="4"/>
      <c r="U792" s="4"/>
      <c r="V792" s="4"/>
      <c r="W792" s="4"/>
      <c r="X792" s="4"/>
      <c r="Y792" s="4"/>
      <c r="Z792" s="4"/>
    </row>
    <row r="793" ht="9.75" customHeight="1">
      <c r="A793" s="4"/>
      <c r="B793" s="4"/>
      <c r="C793" s="4"/>
      <c r="D793" s="165"/>
      <c r="E793" s="165"/>
      <c r="F793" s="165"/>
      <c r="G793" s="165"/>
      <c r="H793" s="165"/>
      <c r="I793" s="4"/>
      <c r="J793" s="4"/>
      <c r="K793" s="4"/>
      <c r="L793" s="4"/>
      <c r="M793" s="4"/>
      <c r="N793" s="4"/>
      <c r="O793" s="4"/>
      <c r="P793" s="4"/>
      <c r="Q793" s="4"/>
      <c r="R793" s="4"/>
      <c r="S793" s="4"/>
      <c r="T793" s="4"/>
      <c r="U793" s="4"/>
      <c r="V793" s="4"/>
      <c r="W793" s="4"/>
      <c r="X793" s="4"/>
      <c r="Y793" s="4"/>
      <c r="Z793" s="4"/>
    </row>
    <row r="794" ht="9.75" customHeight="1">
      <c r="A794" s="4"/>
      <c r="B794" s="4"/>
      <c r="C794" s="4"/>
      <c r="D794" s="165"/>
      <c r="E794" s="165"/>
      <c r="F794" s="165"/>
      <c r="G794" s="165"/>
      <c r="H794" s="165"/>
      <c r="I794" s="4"/>
      <c r="J794" s="4"/>
      <c r="K794" s="4"/>
      <c r="L794" s="4"/>
      <c r="M794" s="4"/>
      <c r="N794" s="4"/>
      <c r="O794" s="4"/>
      <c r="P794" s="4"/>
      <c r="Q794" s="4"/>
      <c r="R794" s="4"/>
      <c r="S794" s="4"/>
      <c r="T794" s="4"/>
      <c r="U794" s="4"/>
      <c r="V794" s="4"/>
      <c r="W794" s="4"/>
      <c r="X794" s="4"/>
      <c r="Y794" s="4"/>
      <c r="Z794" s="4"/>
    </row>
    <row r="795" ht="9.75" customHeight="1">
      <c r="A795" s="4"/>
      <c r="B795" s="4"/>
      <c r="C795" s="4"/>
      <c r="D795" s="165"/>
      <c r="E795" s="165"/>
      <c r="F795" s="165"/>
      <c r="G795" s="165"/>
      <c r="H795" s="165"/>
      <c r="I795" s="4"/>
      <c r="J795" s="4"/>
      <c r="K795" s="4"/>
      <c r="L795" s="4"/>
      <c r="M795" s="4"/>
      <c r="N795" s="4"/>
      <c r="O795" s="4"/>
      <c r="P795" s="4"/>
      <c r="Q795" s="4"/>
      <c r="R795" s="4"/>
      <c r="S795" s="4"/>
      <c r="T795" s="4"/>
      <c r="U795" s="4"/>
      <c r="V795" s="4"/>
      <c r="W795" s="4"/>
      <c r="X795" s="4"/>
      <c r="Y795" s="4"/>
      <c r="Z795" s="4"/>
    </row>
    <row r="796" ht="9.75" customHeight="1">
      <c r="A796" s="4"/>
      <c r="B796" s="4"/>
      <c r="C796" s="4"/>
      <c r="D796" s="165"/>
      <c r="E796" s="165"/>
      <c r="F796" s="165"/>
      <c r="G796" s="165"/>
      <c r="H796" s="165"/>
      <c r="I796" s="4"/>
      <c r="J796" s="4"/>
      <c r="K796" s="4"/>
      <c r="L796" s="4"/>
      <c r="M796" s="4"/>
      <c r="N796" s="4"/>
      <c r="O796" s="4"/>
      <c r="P796" s="4"/>
      <c r="Q796" s="4"/>
      <c r="R796" s="4"/>
      <c r="S796" s="4"/>
      <c r="T796" s="4"/>
      <c r="U796" s="4"/>
      <c r="V796" s="4"/>
      <c r="W796" s="4"/>
      <c r="X796" s="4"/>
      <c r="Y796" s="4"/>
      <c r="Z796" s="4"/>
    </row>
    <row r="797" ht="9.75" customHeight="1">
      <c r="A797" s="4"/>
      <c r="B797" s="4"/>
      <c r="C797" s="4"/>
      <c r="D797" s="165"/>
      <c r="E797" s="165"/>
      <c r="F797" s="165"/>
      <c r="G797" s="165"/>
      <c r="H797" s="165"/>
      <c r="I797" s="4"/>
      <c r="J797" s="4"/>
      <c r="K797" s="4"/>
      <c r="L797" s="4"/>
      <c r="M797" s="4"/>
      <c r="N797" s="4"/>
      <c r="O797" s="4"/>
      <c r="P797" s="4"/>
      <c r="Q797" s="4"/>
      <c r="R797" s="4"/>
      <c r="S797" s="4"/>
      <c r="T797" s="4"/>
      <c r="U797" s="4"/>
      <c r="V797" s="4"/>
      <c r="W797" s="4"/>
      <c r="X797" s="4"/>
      <c r="Y797" s="4"/>
      <c r="Z797" s="4"/>
    </row>
    <row r="798" ht="9.75" customHeight="1">
      <c r="A798" s="4"/>
      <c r="B798" s="4"/>
      <c r="C798" s="4"/>
      <c r="D798" s="165"/>
      <c r="E798" s="165"/>
      <c r="F798" s="165"/>
      <c r="G798" s="165"/>
      <c r="H798" s="165"/>
      <c r="I798" s="4"/>
      <c r="J798" s="4"/>
      <c r="K798" s="4"/>
      <c r="L798" s="4"/>
      <c r="M798" s="4"/>
      <c r="N798" s="4"/>
      <c r="O798" s="4"/>
      <c r="P798" s="4"/>
      <c r="Q798" s="4"/>
      <c r="R798" s="4"/>
      <c r="S798" s="4"/>
      <c r="T798" s="4"/>
      <c r="U798" s="4"/>
      <c r="V798" s="4"/>
      <c r="W798" s="4"/>
      <c r="X798" s="4"/>
      <c r="Y798" s="4"/>
      <c r="Z798" s="4"/>
    </row>
    <row r="799" ht="9.75" customHeight="1">
      <c r="A799" s="4"/>
      <c r="B799" s="4"/>
      <c r="C799" s="4"/>
      <c r="D799" s="165"/>
      <c r="E799" s="165"/>
      <c r="F799" s="165"/>
      <c r="G799" s="165"/>
      <c r="H799" s="165"/>
      <c r="I799" s="4"/>
      <c r="J799" s="4"/>
      <c r="K799" s="4"/>
      <c r="L799" s="4"/>
      <c r="M799" s="4"/>
      <c r="N799" s="4"/>
      <c r="O799" s="4"/>
      <c r="P799" s="4"/>
      <c r="Q799" s="4"/>
      <c r="R799" s="4"/>
      <c r="S799" s="4"/>
      <c r="T799" s="4"/>
      <c r="U799" s="4"/>
      <c r="V799" s="4"/>
      <c r="W799" s="4"/>
      <c r="X799" s="4"/>
      <c r="Y799" s="4"/>
      <c r="Z799" s="4"/>
    </row>
    <row r="800" ht="9.75" customHeight="1">
      <c r="A800" s="4"/>
      <c r="B800" s="4"/>
      <c r="C800" s="4"/>
      <c r="D800" s="165"/>
      <c r="E800" s="165"/>
      <c r="F800" s="165"/>
      <c r="G800" s="165"/>
      <c r="H800" s="165"/>
      <c r="I800" s="4"/>
      <c r="J800" s="4"/>
      <c r="K800" s="4"/>
      <c r="L800" s="4"/>
      <c r="M800" s="4"/>
      <c r="N800" s="4"/>
      <c r="O800" s="4"/>
      <c r="P800" s="4"/>
      <c r="Q800" s="4"/>
      <c r="R800" s="4"/>
      <c r="S800" s="4"/>
      <c r="T800" s="4"/>
      <c r="U800" s="4"/>
      <c r="V800" s="4"/>
      <c r="W800" s="4"/>
      <c r="X800" s="4"/>
      <c r="Y800" s="4"/>
      <c r="Z800" s="4"/>
    </row>
    <row r="801" ht="9.75" customHeight="1">
      <c r="A801" s="4"/>
      <c r="B801" s="4"/>
      <c r="C801" s="4"/>
      <c r="D801" s="165"/>
      <c r="E801" s="165"/>
      <c r="F801" s="165"/>
      <c r="G801" s="165"/>
      <c r="H801" s="165"/>
      <c r="I801" s="4"/>
      <c r="J801" s="4"/>
      <c r="K801" s="4"/>
      <c r="L801" s="4"/>
      <c r="M801" s="4"/>
      <c r="N801" s="4"/>
      <c r="O801" s="4"/>
      <c r="P801" s="4"/>
      <c r="Q801" s="4"/>
      <c r="R801" s="4"/>
      <c r="S801" s="4"/>
      <c r="T801" s="4"/>
      <c r="U801" s="4"/>
      <c r="V801" s="4"/>
      <c r="W801" s="4"/>
      <c r="X801" s="4"/>
      <c r="Y801" s="4"/>
      <c r="Z801" s="4"/>
    </row>
    <row r="802" ht="9.75" customHeight="1">
      <c r="A802" s="4"/>
      <c r="B802" s="4"/>
      <c r="C802" s="4"/>
      <c r="D802" s="165"/>
      <c r="E802" s="165"/>
      <c r="F802" s="165"/>
      <c r="G802" s="165"/>
      <c r="H802" s="165"/>
      <c r="I802" s="4"/>
      <c r="J802" s="4"/>
      <c r="K802" s="4"/>
      <c r="L802" s="4"/>
      <c r="M802" s="4"/>
      <c r="N802" s="4"/>
      <c r="O802" s="4"/>
      <c r="P802" s="4"/>
      <c r="Q802" s="4"/>
      <c r="R802" s="4"/>
      <c r="S802" s="4"/>
      <c r="T802" s="4"/>
      <c r="U802" s="4"/>
      <c r="V802" s="4"/>
      <c r="W802" s="4"/>
      <c r="X802" s="4"/>
      <c r="Y802" s="4"/>
      <c r="Z802" s="4"/>
    </row>
    <row r="803" ht="9.75" customHeight="1">
      <c r="A803" s="4"/>
      <c r="B803" s="4"/>
      <c r="C803" s="4"/>
      <c r="D803" s="165"/>
      <c r="E803" s="165"/>
      <c r="F803" s="165"/>
      <c r="G803" s="165"/>
      <c r="H803" s="165"/>
      <c r="I803" s="4"/>
      <c r="J803" s="4"/>
      <c r="K803" s="4"/>
      <c r="L803" s="4"/>
      <c r="M803" s="4"/>
      <c r="N803" s="4"/>
      <c r="O803" s="4"/>
      <c r="P803" s="4"/>
      <c r="Q803" s="4"/>
      <c r="R803" s="4"/>
      <c r="S803" s="4"/>
      <c r="T803" s="4"/>
      <c r="U803" s="4"/>
      <c r="V803" s="4"/>
      <c r="W803" s="4"/>
      <c r="X803" s="4"/>
      <c r="Y803" s="4"/>
      <c r="Z803" s="4"/>
    </row>
    <row r="804" ht="9.75" customHeight="1">
      <c r="A804" s="4"/>
      <c r="B804" s="4"/>
      <c r="C804" s="4"/>
      <c r="D804" s="165"/>
      <c r="E804" s="165"/>
      <c r="F804" s="165"/>
      <c r="G804" s="165"/>
      <c r="H804" s="165"/>
      <c r="I804" s="4"/>
      <c r="J804" s="4"/>
      <c r="K804" s="4"/>
      <c r="L804" s="4"/>
      <c r="M804" s="4"/>
      <c r="N804" s="4"/>
      <c r="O804" s="4"/>
      <c r="P804" s="4"/>
      <c r="Q804" s="4"/>
      <c r="R804" s="4"/>
      <c r="S804" s="4"/>
      <c r="T804" s="4"/>
      <c r="U804" s="4"/>
      <c r="V804" s="4"/>
      <c r="W804" s="4"/>
      <c r="X804" s="4"/>
      <c r="Y804" s="4"/>
      <c r="Z804" s="4"/>
    </row>
    <row r="805" ht="9.75" customHeight="1">
      <c r="A805" s="4"/>
      <c r="B805" s="4"/>
      <c r="C805" s="4"/>
      <c r="D805" s="165"/>
      <c r="E805" s="165"/>
      <c r="F805" s="165"/>
      <c r="G805" s="165"/>
      <c r="H805" s="165"/>
      <c r="I805" s="4"/>
      <c r="J805" s="4"/>
      <c r="K805" s="4"/>
      <c r="L805" s="4"/>
      <c r="M805" s="4"/>
      <c r="N805" s="4"/>
      <c r="O805" s="4"/>
      <c r="P805" s="4"/>
      <c r="Q805" s="4"/>
      <c r="R805" s="4"/>
      <c r="S805" s="4"/>
      <c r="T805" s="4"/>
      <c r="U805" s="4"/>
      <c r="V805" s="4"/>
      <c r="W805" s="4"/>
      <c r="X805" s="4"/>
      <c r="Y805" s="4"/>
      <c r="Z805" s="4"/>
    </row>
    <row r="806" ht="9.75" customHeight="1">
      <c r="A806" s="4"/>
      <c r="B806" s="4"/>
      <c r="C806" s="4"/>
      <c r="D806" s="165"/>
      <c r="E806" s="165"/>
      <c r="F806" s="165"/>
      <c r="G806" s="165"/>
      <c r="H806" s="165"/>
      <c r="I806" s="4"/>
      <c r="J806" s="4"/>
      <c r="K806" s="4"/>
      <c r="L806" s="4"/>
      <c r="M806" s="4"/>
      <c r="N806" s="4"/>
      <c r="O806" s="4"/>
      <c r="P806" s="4"/>
      <c r="Q806" s="4"/>
      <c r="R806" s="4"/>
      <c r="S806" s="4"/>
      <c r="T806" s="4"/>
      <c r="U806" s="4"/>
      <c r="V806" s="4"/>
      <c r="W806" s="4"/>
      <c r="X806" s="4"/>
      <c r="Y806" s="4"/>
      <c r="Z806" s="4"/>
    </row>
    <row r="807" ht="9.75" customHeight="1">
      <c r="A807" s="4"/>
      <c r="B807" s="4"/>
      <c r="C807" s="4"/>
      <c r="D807" s="165"/>
      <c r="E807" s="165"/>
      <c r="F807" s="165"/>
      <c r="G807" s="165"/>
      <c r="H807" s="165"/>
      <c r="I807" s="4"/>
      <c r="J807" s="4"/>
      <c r="K807" s="4"/>
      <c r="L807" s="4"/>
      <c r="M807" s="4"/>
      <c r="N807" s="4"/>
      <c r="O807" s="4"/>
      <c r="P807" s="4"/>
      <c r="Q807" s="4"/>
      <c r="R807" s="4"/>
      <c r="S807" s="4"/>
      <c r="T807" s="4"/>
      <c r="U807" s="4"/>
      <c r="V807" s="4"/>
      <c r="W807" s="4"/>
      <c r="X807" s="4"/>
      <c r="Y807" s="4"/>
      <c r="Z807" s="4"/>
    </row>
    <row r="808" ht="9.75" customHeight="1">
      <c r="A808" s="4"/>
      <c r="B808" s="4"/>
      <c r="C808" s="4"/>
      <c r="D808" s="165"/>
      <c r="E808" s="165"/>
      <c r="F808" s="165"/>
      <c r="G808" s="165"/>
      <c r="H808" s="165"/>
      <c r="I808" s="4"/>
      <c r="J808" s="4"/>
      <c r="K808" s="4"/>
      <c r="L808" s="4"/>
      <c r="M808" s="4"/>
      <c r="N808" s="4"/>
      <c r="O808" s="4"/>
      <c r="P808" s="4"/>
      <c r="Q808" s="4"/>
      <c r="R808" s="4"/>
      <c r="S808" s="4"/>
      <c r="T808" s="4"/>
      <c r="U808" s="4"/>
      <c r="V808" s="4"/>
      <c r="W808" s="4"/>
      <c r="X808" s="4"/>
      <c r="Y808" s="4"/>
      <c r="Z808" s="4"/>
    </row>
    <row r="809" ht="9.75" customHeight="1">
      <c r="A809" s="4"/>
      <c r="B809" s="4"/>
      <c r="C809" s="4"/>
      <c r="D809" s="165"/>
      <c r="E809" s="165"/>
      <c r="F809" s="165"/>
      <c r="G809" s="165"/>
      <c r="H809" s="165"/>
      <c r="I809" s="4"/>
      <c r="J809" s="4"/>
      <c r="K809" s="4"/>
      <c r="L809" s="4"/>
      <c r="M809" s="4"/>
      <c r="N809" s="4"/>
      <c r="O809" s="4"/>
      <c r="P809" s="4"/>
      <c r="Q809" s="4"/>
      <c r="R809" s="4"/>
      <c r="S809" s="4"/>
      <c r="T809" s="4"/>
      <c r="U809" s="4"/>
      <c r="V809" s="4"/>
      <c r="W809" s="4"/>
      <c r="X809" s="4"/>
      <c r="Y809" s="4"/>
      <c r="Z809" s="4"/>
    </row>
    <row r="810" ht="9.75" customHeight="1">
      <c r="A810" s="4"/>
      <c r="B810" s="4"/>
      <c r="C810" s="4"/>
      <c r="D810" s="165"/>
      <c r="E810" s="165"/>
      <c r="F810" s="165"/>
      <c r="G810" s="165"/>
      <c r="H810" s="165"/>
      <c r="I810" s="4"/>
      <c r="J810" s="4"/>
      <c r="K810" s="4"/>
      <c r="L810" s="4"/>
      <c r="M810" s="4"/>
      <c r="N810" s="4"/>
      <c r="O810" s="4"/>
      <c r="P810" s="4"/>
      <c r="Q810" s="4"/>
      <c r="R810" s="4"/>
      <c r="S810" s="4"/>
      <c r="T810" s="4"/>
      <c r="U810" s="4"/>
      <c r="V810" s="4"/>
      <c r="W810" s="4"/>
      <c r="X810" s="4"/>
      <c r="Y810" s="4"/>
      <c r="Z810" s="4"/>
    </row>
    <row r="811" ht="9.75" customHeight="1">
      <c r="A811" s="4"/>
      <c r="B811" s="4"/>
      <c r="C811" s="4"/>
      <c r="D811" s="165"/>
      <c r="E811" s="165"/>
      <c r="F811" s="165"/>
      <c r="G811" s="165"/>
      <c r="H811" s="165"/>
      <c r="I811" s="4"/>
      <c r="J811" s="4"/>
      <c r="K811" s="4"/>
      <c r="L811" s="4"/>
      <c r="M811" s="4"/>
      <c r="N811" s="4"/>
      <c r="O811" s="4"/>
      <c r="P811" s="4"/>
      <c r="Q811" s="4"/>
      <c r="R811" s="4"/>
      <c r="S811" s="4"/>
      <c r="T811" s="4"/>
      <c r="U811" s="4"/>
      <c r="V811" s="4"/>
      <c r="W811" s="4"/>
      <c r="X811" s="4"/>
      <c r="Y811" s="4"/>
      <c r="Z811" s="4"/>
    </row>
    <row r="812" ht="9.75" customHeight="1">
      <c r="A812" s="4"/>
      <c r="B812" s="4"/>
      <c r="C812" s="4"/>
      <c r="D812" s="165"/>
      <c r="E812" s="165"/>
      <c r="F812" s="165"/>
      <c r="G812" s="165"/>
      <c r="H812" s="165"/>
      <c r="I812" s="4"/>
      <c r="J812" s="4"/>
      <c r="K812" s="4"/>
      <c r="L812" s="4"/>
      <c r="M812" s="4"/>
      <c r="N812" s="4"/>
      <c r="O812" s="4"/>
      <c r="P812" s="4"/>
      <c r="Q812" s="4"/>
      <c r="R812" s="4"/>
      <c r="S812" s="4"/>
      <c r="T812" s="4"/>
      <c r="U812" s="4"/>
      <c r="V812" s="4"/>
      <c r="W812" s="4"/>
      <c r="X812" s="4"/>
      <c r="Y812" s="4"/>
      <c r="Z812" s="4"/>
    </row>
    <row r="813" ht="9.75" customHeight="1">
      <c r="A813" s="4"/>
      <c r="B813" s="4"/>
      <c r="C813" s="4"/>
      <c r="D813" s="165"/>
      <c r="E813" s="165"/>
      <c r="F813" s="165"/>
      <c r="G813" s="165"/>
      <c r="H813" s="165"/>
      <c r="I813" s="4"/>
      <c r="J813" s="4"/>
      <c r="K813" s="4"/>
      <c r="L813" s="4"/>
      <c r="M813" s="4"/>
      <c r="N813" s="4"/>
      <c r="O813" s="4"/>
      <c r="P813" s="4"/>
      <c r="Q813" s="4"/>
      <c r="R813" s="4"/>
      <c r="S813" s="4"/>
      <c r="T813" s="4"/>
      <c r="U813" s="4"/>
      <c r="V813" s="4"/>
      <c r="W813" s="4"/>
      <c r="X813" s="4"/>
      <c r="Y813" s="4"/>
      <c r="Z813" s="4"/>
    </row>
    <row r="814" ht="9.75" customHeight="1">
      <c r="A814" s="4"/>
      <c r="B814" s="4"/>
      <c r="C814" s="4"/>
      <c r="D814" s="165"/>
      <c r="E814" s="165"/>
      <c r="F814" s="165"/>
      <c r="G814" s="165"/>
      <c r="H814" s="165"/>
      <c r="I814" s="4"/>
      <c r="J814" s="4"/>
      <c r="K814" s="4"/>
      <c r="L814" s="4"/>
      <c r="M814" s="4"/>
      <c r="N814" s="4"/>
      <c r="O814" s="4"/>
      <c r="P814" s="4"/>
      <c r="Q814" s="4"/>
      <c r="R814" s="4"/>
      <c r="S814" s="4"/>
      <c r="T814" s="4"/>
      <c r="U814" s="4"/>
      <c r="V814" s="4"/>
      <c r="W814" s="4"/>
      <c r="X814" s="4"/>
      <c r="Y814" s="4"/>
      <c r="Z814" s="4"/>
    </row>
    <row r="815" ht="9.75" customHeight="1">
      <c r="A815" s="4"/>
      <c r="B815" s="4"/>
      <c r="C815" s="4"/>
      <c r="D815" s="165"/>
      <c r="E815" s="165"/>
      <c r="F815" s="165"/>
      <c r="G815" s="165"/>
      <c r="H815" s="165"/>
      <c r="I815" s="4"/>
      <c r="J815" s="4"/>
      <c r="K815" s="4"/>
      <c r="L815" s="4"/>
      <c r="M815" s="4"/>
      <c r="N815" s="4"/>
      <c r="O815" s="4"/>
      <c r="P815" s="4"/>
      <c r="Q815" s="4"/>
      <c r="R815" s="4"/>
      <c r="S815" s="4"/>
      <c r="T815" s="4"/>
      <c r="U815" s="4"/>
      <c r="V815" s="4"/>
      <c r="W815" s="4"/>
      <c r="X815" s="4"/>
      <c r="Y815" s="4"/>
      <c r="Z815" s="4"/>
    </row>
    <row r="816" ht="9.75" customHeight="1">
      <c r="A816" s="4"/>
      <c r="B816" s="4"/>
      <c r="C816" s="4"/>
      <c r="D816" s="165"/>
      <c r="E816" s="165"/>
      <c r="F816" s="165"/>
      <c r="G816" s="165"/>
      <c r="H816" s="165"/>
      <c r="I816" s="4"/>
      <c r="J816" s="4"/>
      <c r="K816" s="4"/>
      <c r="L816" s="4"/>
      <c r="M816" s="4"/>
      <c r="N816" s="4"/>
      <c r="O816" s="4"/>
      <c r="P816" s="4"/>
      <c r="Q816" s="4"/>
      <c r="R816" s="4"/>
      <c r="S816" s="4"/>
      <c r="T816" s="4"/>
      <c r="U816" s="4"/>
      <c r="V816" s="4"/>
      <c r="W816" s="4"/>
      <c r="X816" s="4"/>
      <c r="Y816" s="4"/>
      <c r="Z816" s="4"/>
    </row>
    <row r="817" ht="9.75" customHeight="1">
      <c r="A817" s="4"/>
      <c r="B817" s="4"/>
      <c r="C817" s="4"/>
      <c r="D817" s="165"/>
      <c r="E817" s="165"/>
      <c r="F817" s="165"/>
      <c r="G817" s="165"/>
      <c r="H817" s="165"/>
      <c r="I817" s="4"/>
      <c r="J817" s="4"/>
      <c r="K817" s="4"/>
      <c r="L817" s="4"/>
      <c r="M817" s="4"/>
      <c r="N817" s="4"/>
      <c r="O817" s="4"/>
      <c r="P817" s="4"/>
      <c r="Q817" s="4"/>
      <c r="R817" s="4"/>
      <c r="S817" s="4"/>
      <c r="T817" s="4"/>
      <c r="U817" s="4"/>
      <c r="V817" s="4"/>
      <c r="W817" s="4"/>
      <c r="X817" s="4"/>
      <c r="Y817" s="4"/>
      <c r="Z817" s="4"/>
    </row>
    <row r="818" ht="9.75" customHeight="1">
      <c r="A818" s="4"/>
      <c r="B818" s="4"/>
      <c r="C818" s="4"/>
      <c r="D818" s="165"/>
      <c r="E818" s="165"/>
      <c r="F818" s="165"/>
      <c r="G818" s="165"/>
      <c r="H818" s="165"/>
      <c r="I818" s="4"/>
      <c r="J818" s="4"/>
      <c r="K818" s="4"/>
      <c r="L818" s="4"/>
      <c r="M818" s="4"/>
      <c r="N818" s="4"/>
      <c r="O818" s="4"/>
      <c r="P818" s="4"/>
      <c r="Q818" s="4"/>
      <c r="R818" s="4"/>
      <c r="S818" s="4"/>
      <c r="T818" s="4"/>
      <c r="U818" s="4"/>
      <c r="V818" s="4"/>
      <c r="W818" s="4"/>
      <c r="X818" s="4"/>
      <c r="Y818" s="4"/>
      <c r="Z818" s="4"/>
    </row>
    <row r="819" ht="9.75" customHeight="1">
      <c r="A819" s="4"/>
      <c r="B819" s="4"/>
      <c r="C819" s="4"/>
      <c r="D819" s="165"/>
      <c r="E819" s="165"/>
      <c r="F819" s="165"/>
      <c r="G819" s="165"/>
      <c r="H819" s="165"/>
      <c r="I819" s="4"/>
      <c r="J819" s="4"/>
      <c r="K819" s="4"/>
      <c r="L819" s="4"/>
      <c r="M819" s="4"/>
      <c r="N819" s="4"/>
      <c r="O819" s="4"/>
      <c r="P819" s="4"/>
      <c r="Q819" s="4"/>
      <c r="R819" s="4"/>
      <c r="S819" s="4"/>
      <c r="T819" s="4"/>
      <c r="U819" s="4"/>
      <c r="V819" s="4"/>
      <c r="W819" s="4"/>
      <c r="X819" s="4"/>
      <c r="Y819" s="4"/>
      <c r="Z819" s="4"/>
    </row>
    <row r="820" ht="9.75" customHeight="1">
      <c r="A820" s="4"/>
      <c r="B820" s="4"/>
      <c r="C820" s="4"/>
      <c r="D820" s="165"/>
      <c r="E820" s="165"/>
      <c r="F820" s="165"/>
      <c r="G820" s="165"/>
      <c r="H820" s="165"/>
      <c r="I820" s="4"/>
      <c r="J820" s="4"/>
      <c r="K820" s="4"/>
      <c r="L820" s="4"/>
      <c r="M820" s="4"/>
      <c r="N820" s="4"/>
      <c r="O820" s="4"/>
      <c r="P820" s="4"/>
      <c r="Q820" s="4"/>
      <c r="R820" s="4"/>
      <c r="S820" s="4"/>
      <c r="T820" s="4"/>
      <c r="U820" s="4"/>
      <c r="V820" s="4"/>
      <c r="W820" s="4"/>
      <c r="X820" s="4"/>
      <c r="Y820" s="4"/>
      <c r="Z820" s="4"/>
    </row>
    <row r="821" ht="9.75" customHeight="1">
      <c r="A821" s="4"/>
      <c r="B821" s="4"/>
      <c r="C821" s="4"/>
      <c r="D821" s="165"/>
      <c r="E821" s="165"/>
      <c r="F821" s="165"/>
      <c r="G821" s="165"/>
      <c r="H821" s="165"/>
      <c r="I821" s="4"/>
      <c r="J821" s="4"/>
      <c r="K821" s="4"/>
      <c r="L821" s="4"/>
      <c r="M821" s="4"/>
      <c r="N821" s="4"/>
      <c r="O821" s="4"/>
      <c r="P821" s="4"/>
      <c r="Q821" s="4"/>
      <c r="R821" s="4"/>
      <c r="S821" s="4"/>
      <c r="T821" s="4"/>
      <c r="U821" s="4"/>
      <c r="V821" s="4"/>
      <c r="W821" s="4"/>
      <c r="X821" s="4"/>
      <c r="Y821" s="4"/>
      <c r="Z821" s="4"/>
    </row>
    <row r="822" ht="9.75" customHeight="1">
      <c r="A822" s="4"/>
      <c r="B822" s="4"/>
      <c r="C822" s="4"/>
      <c r="D822" s="165"/>
      <c r="E822" s="165"/>
      <c r="F822" s="165"/>
      <c r="G822" s="165"/>
      <c r="H822" s="165"/>
      <c r="I822" s="4"/>
      <c r="J822" s="4"/>
      <c r="K822" s="4"/>
      <c r="L822" s="4"/>
      <c r="M822" s="4"/>
      <c r="N822" s="4"/>
      <c r="O822" s="4"/>
      <c r="P822" s="4"/>
      <c r="Q822" s="4"/>
      <c r="R822" s="4"/>
      <c r="S822" s="4"/>
      <c r="T822" s="4"/>
      <c r="U822" s="4"/>
      <c r="V822" s="4"/>
      <c r="W822" s="4"/>
      <c r="X822" s="4"/>
      <c r="Y822" s="4"/>
      <c r="Z822" s="4"/>
    </row>
    <row r="823" ht="9.75" customHeight="1">
      <c r="A823" s="4"/>
      <c r="B823" s="4"/>
      <c r="C823" s="4"/>
      <c r="D823" s="165"/>
      <c r="E823" s="165"/>
      <c r="F823" s="165"/>
      <c r="G823" s="165"/>
      <c r="H823" s="165"/>
      <c r="I823" s="4"/>
      <c r="J823" s="4"/>
      <c r="K823" s="4"/>
      <c r="L823" s="4"/>
      <c r="M823" s="4"/>
      <c r="N823" s="4"/>
      <c r="O823" s="4"/>
      <c r="P823" s="4"/>
      <c r="Q823" s="4"/>
      <c r="R823" s="4"/>
      <c r="S823" s="4"/>
      <c r="T823" s="4"/>
      <c r="U823" s="4"/>
      <c r="V823" s="4"/>
      <c r="W823" s="4"/>
      <c r="X823" s="4"/>
      <c r="Y823" s="4"/>
      <c r="Z823" s="4"/>
    </row>
    <row r="824" ht="9.75" customHeight="1">
      <c r="A824" s="4"/>
      <c r="B824" s="4"/>
      <c r="C824" s="4"/>
      <c r="D824" s="165"/>
      <c r="E824" s="165"/>
      <c r="F824" s="165"/>
      <c r="G824" s="165"/>
      <c r="H824" s="165"/>
      <c r="I824" s="4"/>
      <c r="J824" s="4"/>
      <c r="K824" s="4"/>
      <c r="L824" s="4"/>
      <c r="M824" s="4"/>
      <c r="N824" s="4"/>
      <c r="O824" s="4"/>
      <c r="P824" s="4"/>
      <c r="Q824" s="4"/>
      <c r="R824" s="4"/>
      <c r="S824" s="4"/>
      <c r="T824" s="4"/>
      <c r="U824" s="4"/>
      <c r="V824" s="4"/>
      <c r="W824" s="4"/>
      <c r="X824" s="4"/>
      <c r="Y824" s="4"/>
      <c r="Z824" s="4"/>
    </row>
    <row r="825" ht="9.75" customHeight="1">
      <c r="A825" s="4"/>
      <c r="B825" s="4"/>
      <c r="C825" s="4"/>
      <c r="D825" s="165"/>
      <c r="E825" s="165"/>
      <c r="F825" s="165"/>
      <c r="G825" s="165"/>
      <c r="H825" s="165"/>
      <c r="I825" s="4"/>
      <c r="J825" s="4"/>
      <c r="K825" s="4"/>
      <c r="L825" s="4"/>
      <c r="M825" s="4"/>
      <c r="N825" s="4"/>
      <c r="O825" s="4"/>
      <c r="P825" s="4"/>
      <c r="Q825" s="4"/>
      <c r="R825" s="4"/>
      <c r="S825" s="4"/>
      <c r="T825" s="4"/>
      <c r="U825" s="4"/>
      <c r="V825" s="4"/>
      <c r="W825" s="4"/>
      <c r="X825" s="4"/>
      <c r="Y825" s="4"/>
      <c r="Z825" s="4"/>
    </row>
    <row r="826" ht="9.75" customHeight="1">
      <c r="A826" s="4"/>
      <c r="B826" s="4"/>
      <c r="C826" s="4"/>
      <c r="D826" s="165"/>
      <c r="E826" s="165"/>
      <c r="F826" s="165"/>
      <c r="G826" s="165"/>
      <c r="H826" s="165"/>
      <c r="I826" s="4"/>
      <c r="J826" s="4"/>
      <c r="K826" s="4"/>
      <c r="L826" s="4"/>
      <c r="M826" s="4"/>
      <c r="N826" s="4"/>
      <c r="O826" s="4"/>
      <c r="P826" s="4"/>
      <c r="Q826" s="4"/>
      <c r="R826" s="4"/>
      <c r="S826" s="4"/>
      <c r="T826" s="4"/>
      <c r="U826" s="4"/>
      <c r="V826" s="4"/>
      <c r="W826" s="4"/>
      <c r="X826" s="4"/>
      <c r="Y826" s="4"/>
      <c r="Z826" s="4"/>
    </row>
    <row r="827" ht="9.75" customHeight="1">
      <c r="A827" s="4"/>
      <c r="B827" s="4"/>
      <c r="C827" s="4"/>
      <c r="D827" s="165"/>
      <c r="E827" s="165"/>
      <c r="F827" s="165"/>
      <c r="G827" s="165"/>
      <c r="H827" s="165"/>
      <c r="I827" s="4"/>
      <c r="J827" s="4"/>
      <c r="K827" s="4"/>
      <c r="L827" s="4"/>
      <c r="M827" s="4"/>
      <c r="N827" s="4"/>
      <c r="O827" s="4"/>
      <c r="P827" s="4"/>
      <c r="Q827" s="4"/>
      <c r="R827" s="4"/>
      <c r="S827" s="4"/>
      <c r="T827" s="4"/>
      <c r="U827" s="4"/>
      <c r="V827" s="4"/>
      <c r="W827" s="4"/>
      <c r="X827" s="4"/>
      <c r="Y827" s="4"/>
      <c r="Z827" s="4"/>
    </row>
    <row r="828" ht="9.75" customHeight="1">
      <c r="A828" s="4"/>
      <c r="B828" s="4"/>
      <c r="C828" s="4"/>
      <c r="D828" s="165"/>
      <c r="E828" s="165"/>
      <c r="F828" s="165"/>
      <c r="G828" s="165"/>
      <c r="H828" s="165"/>
      <c r="I828" s="4"/>
      <c r="J828" s="4"/>
      <c r="K828" s="4"/>
      <c r="L828" s="4"/>
      <c r="M828" s="4"/>
      <c r="N828" s="4"/>
      <c r="O828" s="4"/>
      <c r="P828" s="4"/>
      <c r="Q828" s="4"/>
      <c r="R828" s="4"/>
      <c r="S828" s="4"/>
      <c r="T828" s="4"/>
      <c r="U828" s="4"/>
      <c r="V828" s="4"/>
      <c r="W828" s="4"/>
      <c r="X828" s="4"/>
      <c r="Y828" s="4"/>
      <c r="Z828" s="4"/>
    </row>
    <row r="829" ht="9.75" customHeight="1">
      <c r="A829" s="4"/>
      <c r="B829" s="4"/>
      <c r="C829" s="4"/>
      <c r="D829" s="165"/>
      <c r="E829" s="165"/>
      <c r="F829" s="165"/>
      <c r="G829" s="165"/>
      <c r="H829" s="165"/>
      <c r="I829" s="4"/>
      <c r="J829" s="4"/>
      <c r="K829" s="4"/>
      <c r="L829" s="4"/>
      <c r="M829" s="4"/>
      <c r="N829" s="4"/>
      <c r="O829" s="4"/>
      <c r="P829" s="4"/>
      <c r="Q829" s="4"/>
      <c r="R829" s="4"/>
      <c r="S829" s="4"/>
      <c r="T829" s="4"/>
      <c r="U829" s="4"/>
      <c r="V829" s="4"/>
      <c r="W829" s="4"/>
      <c r="X829" s="4"/>
      <c r="Y829" s="4"/>
      <c r="Z829" s="4"/>
    </row>
    <row r="830" ht="9.75" customHeight="1">
      <c r="A830" s="4"/>
      <c r="B830" s="4"/>
      <c r="C830" s="4"/>
      <c r="D830" s="165"/>
      <c r="E830" s="165"/>
      <c r="F830" s="165"/>
      <c r="G830" s="165"/>
      <c r="H830" s="165"/>
      <c r="I830" s="4"/>
      <c r="J830" s="4"/>
      <c r="K830" s="4"/>
      <c r="L830" s="4"/>
      <c r="M830" s="4"/>
      <c r="N830" s="4"/>
      <c r="O830" s="4"/>
      <c r="P830" s="4"/>
      <c r="Q830" s="4"/>
      <c r="R830" s="4"/>
      <c r="S830" s="4"/>
      <c r="T830" s="4"/>
      <c r="U830" s="4"/>
      <c r="V830" s="4"/>
      <c r="W830" s="4"/>
      <c r="X830" s="4"/>
      <c r="Y830" s="4"/>
      <c r="Z830" s="4"/>
    </row>
    <row r="831" ht="9.75" customHeight="1">
      <c r="A831" s="4"/>
      <c r="B831" s="4"/>
      <c r="C831" s="4"/>
      <c r="D831" s="165"/>
      <c r="E831" s="165"/>
      <c r="F831" s="165"/>
      <c r="G831" s="165"/>
      <c r="H831" s="165"/>
      <c r="I831" s="4"/>
      <c r="J831" s="4"/>
      <c r="K831" s="4"/>
      <c r="L831" s="4"/>
      <c r="M831" s="4"/>
      <c r="N831" s="4"/>
      <c r="O831" s="4"/>
      <c r="P831" s="4"/>
      <c r="Q831" s="4"/>
      <c r="R831" s="4"/>
      <c r="S831" s="4"/>
      <c r="T831" s="4"/>
      <c r="U831" s="4"/>
      <c r="V831" s="4"/>
      <c r="W831" s="4"/>
      <c r="X831" s="4"/>
      <c r="Y831" s="4"/>
      <c r="Z831" s="4"/>
    </row>
    <row r="832" ht="9.75" customHeight="1">
      <c r="A832" s="4"/>
      <c r="B832" s="4"/>
      <c r="C832" s="4"/>
      <c r="D832" s="165"/>
      <c r="E832" s="165"/>
      <c r="F832" s="165"/>
      <c r="G832" s="165"/>
      <c r="H832" s="165"/>
      <c r="I832" s="4"/>
      <c r="J832" s="4"/>
      <c r="K832" s="4"/>
      <c r="L832" s="4"/>
      <c r="M832" s="4"/>
      <c r="N832" s="4"/>
      <c r="O832" s="4"/>
      <c r="P832" s="4"/>
      <c r="Q832" s="4"/>
      <c r="R832" s="4"/>
      <c r="S832" s="4"/>
      <c r="T832" s="4"/>
      <c r="U832" s="4"/>
      <c r="V832" s="4"/>
      <c r="W832" s="4"/>
      <c r="X832" s="4"/>
      <c r="Y832" s="4"/>
      <c r="Z832" s="4"/>
    </row>
    <row r="833" ht="9.75" customHeight="1">
      <c r="A833" s="4"/>
      <c r="B833" s="4"/>
      <c r="C833" s="4"/>
      <c r="D833" s="165"/>
      <c r="E833" s="165"/>
      <c r="F833" s="165"/>
      <c r="G833" s="165"/>
      <c r="H833" s="165"/>
      <c r="I833" s="4"/>
      <c r="J833" s="4"/>
      <c r="K833" s="4"/>
      <c r="L833" s="4"/>
      <c r="M833" s="4"/>
      <c r="N833" s="4"/>
      <c r="O833" s="4"/>
      <c r="P833" s="4"/>
      <c r="Q833" s="4"/>
      <c r="R833" s="4"/>
      <c r="S833" s="4"/>
      <c r="T833" s="4"/>
      <c r="U833" s="4"/>
      <c r="V833" s="4"/>
      <c r="W833" s="4"/>
      <c r="X833" s="4"/>
      <c r="Y833" s="4"/>
      <c r="Z833" s="4"/>
    </row>
    <row r="834" ht="9.75" customHeight="1">
      <c r="A834" s="4"/>
      <c r="B834" s="4"/>
      <c r="C834" s="4"/>
      <c r="D834" s="165"/>
      <c r="E834" s="165"/>
      <c r="F834" s="165"/>
      <c r="G834" s="165"/>
      <c r="H834" s="165"/>
      <c r="I834" s="4"/>
      <c r="J834" s="4"/>
      <c r="K834" s="4"/>
      <c r="L834" s="4"/>
      <c r="M834" s="4"/>
      <c r="N834" s="4"/>
      <c r="O834" s="4"/>
      <c r="P834" s="4"/>
      <c r="Q834" s="4"/>
      <c r="R834" s="4"/>
      <c r="S834" s="4"/>
      <c r="T834" s="4"/>
      <c r="U834" s="4"/>
      <c r="V834" s="4"/>
      <c r="W834" s="4"/>
      <c r="X834" s="4"/>
      <c r="Y834" s="4"/>
      <c r="Z834" s="4"/>
    </row>
    <row r="835" ht="9.75" customHeight="1">
      <c r="A835" s="4"/>
      <c r="B835" s="4"/>
      <c r="C835" s="4"/>
      <c r="D835" s="165"/>
      <c r="E835" s="165"/>
      <c r="F835" s="165"/>
      <c r="G835" s="165"/>
      <c r="H835" s="165"/>
      <c r="I835" s="4"/>
      <c r="J835" s="4"/>
      <c r="K835" s="4"/>
      <c r="L835" s="4"/>
      <c r="M835" s="4"/>
      <c r="N835" s="4"/>
      <c r="O835" s="4"/>
      <c r="P835" s="4"/>
      <c r="Q835" s="4"/>
      <c r="R835" s="4"/>
      <c r="S835" s="4"/>
      <c r="T835" s="4"/>
      <c r="U835" s="4"/>
      <c r="V835" s="4"/>
      <c r="W835" s="4"/>
      <c r="X835" s="4"/>
      <c r="Y835" s="4"/>
      <c r="Z835" s="4"/>
    </row>
    <row r="836" ht="9.75" customHeight="1">
      <c r="A836" s="4"/>
      <c r="B836" s="4"/>
      <c r="C836" s="4"/>
      <c r="D836" s="165"/>
      <c r="E836" s="165"/>
      <c r="F836" s="165"/>
      <c r="G836" s="165"/>
      <c r="H836" s="165"/>
      <c r="I836" s="4"/>
      <c r="J836" s="4"/>
      <c r="K836" s="4"/>
      <c r="L836" s="4"/>
      <c r="M836" s="4"/>
      <c r="N836" s="4"/>
      <c r="O836" s="4"/>
      <c r="P836" s="4"/>
      <c r="Q836" s="4"/>
      <c r="R836" s="4"/>
      <c r="S836" s="4"/>
      <c r="T836" s="4"/>
      <c r="U836" s="4"/>
      <c r="V836" s="4"/>
      <c r="W836" s="4"/>
      <c r="X836" s="4"/>
      <c r="Y836" s="4"/>
      <c r="Z836" s="4"/>
    </row>
    <row r="837" ht="9.75" customHeight="1">
      <c r="A837" s="4"/>
      <c r="B837" s="4"/>
      <c r="C837" s="4"/>
      <c r="D837" s="165"/>
      <c r="E837" s="165"/>
      <c r="F837" s="165"/>
      <c r="G837" s="165"/>
      <c r="H837" s="165"/>
      <c r="I837" s="4"/>
      <c r="J837" s="4"/>
      <c r="K837" s="4"/>
      <c r="L837" s="4"/>
      <c r="M837" s="4"/>
      <c r="N837" s="4"/>
      <c r="O837" s="4"/>
      <c r="P837" s="4"/>
      <c r="Q837" s="4"/>
      <c r="R837" s="4"/>
      <c r="S837" s="4"/>
      <c r="T837" s="4"/>
      <c r="U837" s="4"/>
      <c r="V837" s="4"/>
      <c r="W837" s="4"/>
      <c r="X837" s="4"/>
      <c r="Y837" s="4"/>
      <c r="Z837" s="4"/>
    </row>
    <row r="838" ht="9.75" customHeight="1">
      <c r="A838" s="4"/>
      <c r="B838" s="4"/>
      <c r="C838" s="4"/>
      <c r="D838" s="165"/>
      <c r="E838" s="165"/>
      <c r="F838" s="165"/>
      <c r="G838" s="165"/>
      <c r="H838" s="165"/>
      <c r="I838" s="4"/>
      <c r="J838" s="4"/>
      <c r="K838" s="4"/>
      <c r="L838" s="4"/>
      <c r="M838" s="4"/>
      <c r="N838" s="4"/>
      <c r="O838" s="4"/>
      <c r="P838" s="4"/>
      <c r="Q838" s="4"/>
      <c r="R838" s="4"/>
      <c r="S838" s="4"/>
      <c r="T838" s="4"/>
      <c r="U838" s="4"/>
      <c r="V838" s="4"/>
      <c r="W838" s="4"/>
      <c r="X838" s="4"/>
      <c r="Y838" s="4"/>
      <c r="Z838" s="4"/>
    </row>
    <row r="839" ht="9.75" customHeight="1">
      <c r="A839" s="4"/>
      <c r="B839" s="4"/>
      <c r="C839" s="4"/>
      <c r="D839" s="165"/>
      <c r="E839" s="165"/>
      <c r="F839" s="165"/>
      <c r="G839" s="165"/>
      <c r="H839" s="165"/>
      <c r="I839" s="4"/>
      <c r="J839" s="4"/>
      <c r="K839" s="4"/>
      <c r="L839" s="4"/>
      <c r="M839" s="4"/>
      <c r="N839" s="4"/>
      <c r="O839" s="4"/>
      <c r="P839" s="4"/>
      <c r="Q839" s="4"/>
      <c r="R839" s="4"/>
      <c r="S839" s="4"/>
      <c r="T839" s="4"/>
      <c r="U839" s="4"/>
      <c r="V839" s="4"/>
      <c r="W839" s="4"/>
      <c r="X839" s="4"/>
      <c r="Y839" s="4"/>
      <c r="Z839" s="4"/>
    </row>
    <row r="840" ht="9.75" customHeight="1">
      <c r="A840" s="4"/>
      <c r="B840" s="4"/>
      <c r="C840" s="4"/>
      <c r="D840" s="165"/>
      <c r="E840" s="165"/>
      <c r="F840" s="165"/>
      <c r="G840" s="165"/>
      <c r="H840" s="165"/>
      <c r="I840" s="4"/>
      <c r="J840" s="4"/>
      <c r="K840" s="4"/>
      <c r="L840" s="4"/>
      <c r="M840" s="4"/>
      <c r="N840" s="4"/>
      <c r="O840" s="4"/>
      <c r="P840" s="4"/>
      <c r="Q840" s="4"/>
      <c r="R840" s="4"/>
      <c r="S840" s="4"/>
      <c r="T840" s="4"/>
      <c r="U840" s="4"/>
      <c r="V840" s="4"/>
      <c r="W840" s="4"/>
      <c r="X840" s="4"/>
      <c r="Y840" s="4"/>
      <c r="Z840" s="4"/>
    </row>
    <row r="841" ht="9.75" customHeight="1">
      <c r="A841" s="4"/>
      <c r="B841" s="4"/>
      <c r="C841" s="4"/>
      <c r="D841" s="165"/>
      <c r="E841" s="165"/>
      <c r="F841" s="165"/>
      <c r="G841" s="165"/>
      <c r="H841" s="165"/>
      <c r="I841" s="4"/>
      <c r="J841" s="4"/>
      <c r="K841" s="4"/>
      <c r="L841" s="4"/>
      <c r="M841" s="4"/>
      <c r="N841" s="4"/>
      <c r="O841" s="4"/>
      <c r="P841" s="4"/>
      <c r="Q841" s="4"/>
      <c r="R841" s="4"/>
      <c r="S841" s="4"/>
      <c r="T841" s="4"/>
      <c r="U841" s="4"/>
      <c r="V841" s="4"/>
      <c r="W841" s="4"/>
      <c r="X841" s="4"/>
      <c r="Y841" s="4"/>
      <c r="Z841" s="4"/>
    </row>
    <row r="842" ht="9.75" customHeight="1">
      <c r="A842" s="4"/>
      <c r="B842" s="4"/>
      <c r="C842" s="4"/>
      <c r="D842" s="165"/>
      <c r="E842" s="165"/>
      <c r="F842" s="165"/>
      <c r="G842" s="165"/>
      <c r="H842" s="165"/>
      <c r="I842" s="4"/>
      <c r="J842" s="4"/>
      <c r="K842" s="4"/>
      <c r="L842" s="4"/>
      <c r="M842" s="4"/>
      <c r="N842" s="4"/>
      <c r="O842" s="4"/>
      <c r="P842" s="4"/>
      <c r="Q842" s="4"/>
      <c r="R842" s="4"/>
      <c r="S842" s="4"/>
      <c r="T842" s="4"/>
      <c r="U842" s="4"/>
      <c r="V842" s="4"/>
      <c r="W842" s="4"/>
      <c r="X842" s="4"/>
      <c r="Y842" s="4"/>
      <c r="Z842" s="4"/>
    </row>
    <row r="843" ht="9.75" customHeight="1">
      <c r="A843" s="4"/>
      <c r="B843" s="4"/>
      <c r="C843" s="4"/>
      <c r="D843" s="165"/>
      <c r="E843" s="165"/>
      <c r="F843" s="165"/>
      <c r="G843" s="165"/>
      <c r="H843" s="165"/>
      <c r="I843" s="4"/>
      <c r="J843" s="4"/>
      <c r="K843" s="4"/>
      <c r="L843" s="4"/>
      <c r="M843" s="4"/>
      <c r="N843" s="4"/>
      <c r="O843" s="4"/>
      <c r="P843" s="4"/>
      <c r="Q843" s="4"/>
      <c r="R843" s="4"/>
      <c r="S843" s="4"/>
      <c r="T843" s="4"/>
      <c r="U843" s="4"/>
      <c r="V843" s="4"/>
      <c r="W843" s="4"/>
      <c r="X843" s="4"/>
      <c r="Y843" s="4"/>
      <c r="Z843" s="4"/>
    </row>
    <row r="844" ht="9.75" customHeight="1">
      <c r="A844" s="4"/>
      <c r="B844" s="4"/>
      <c r="C844" s="4"/>
      <c r="D844" s="165"/>
      <c r="E844" s="165"/>
      <c r="F844" s="165"/>
      <c r="G844" s="165"/>
      <c r="H844" s="165"/>
      <c r="I844" s="4"/>
      <c r="J844" s="4"/>
      <c r="K844" s="4"/>
      <c r="L844" s="4"/>
      <c r="M844" s="4"/>
      <c r="N844" s="4"/>
      <c r="O844" s="4"/>
      <c r="P844" s="4"/>
      <c r="Q844" s="4"/>
      <c r="R844" s="4"/>
      <c r="S844" s="4"/>
      <c r="T844" s="4"/>
      <c r="U844" s="4"/>
      <c r="V844" s="4"/>
      <c r="W844" s="4"/>
      <c r="X844" s="4"/>
      <c r="Y844" s="4"/>
      <c r="Z844" s="4"/>
    </row>
    <row r="845" ht="9.75" customHeight="1">
      <c r="A845" s="4"/>
      <c r="B845" s="4"/>
      <c r="C845" s="4"/>
      <c r="D845" s="165"/>
      <c r="E845" s="165"/>
      <c r="F845" s="165"/>
      <c r="G845" s="165"/>
      <c r="H845" s="165"/>
      <c r="I845" s="4"/>
      <c r="J845" s="4"/>
      <c r="K845" s="4"/>
      <c r="L845" s="4"/>
      <c r="M845" s="4"/>
      <c r="N845" s="4"/>
      <c r="O845" s="4"/>
      <c r="P845" s="4"/>
      <c r="Q845" s="4"/>
      <c r="R845" s="4"/>
      <c r="S845" s="4"/>
      <c r="T845" s="4"/>
      <c r="U845" s="4"/>
      <c r="V845" s="4"/>
      <c r="W845" s="4"/>
      <c r="X845" s="4"/>
      <c r="Y845" s="4"/>
      <c r="Z845" s="4"/>
    </row>
    <row r="846" ht="9.75" customHeight="1">
      <c r="A846" s="4"/>
      <c r="B846" s="4"/>
      <c r="C846" s="4"/>
      <c r="D846" s="165"/>
      <c r="E846" s="165"/>
      <c r="F846" s="165"/>
      <c r="G846" s="165"/>
      <c r="H846" s="165"/>
      <c r="I846" s="4"/>
      <c r="J846" s="4"/>
      <c r="K846" s="4"/>
      <c r="L846" s="4"/>
      <c r="M846" s="4"/>
      <c r="N846" s="4"/>
      <c r="O846" s="4"/>
      <c r="P846" s="4"/>
      <c r="Q846" s="4"/>
      <c r="R846" s="4"/>
      <c r="S846" s="4"/>
      <c r="T846" s="4"/>
      <c r="U846" s="4"/>
      <c r="V846" s="4"/>
      <c r="W846" s="4"/>
      <c r="X846" s="4"/>
      <c r="Y846" s="4"/>
      <c r="Z846" s="4"/>
    </row>
    <row r="847" ht="9.75" customHeight="1">
      <c r="A847" s="4"/>
      <c r="B847" s="4"/>
      <c r="C847" s="4"/>
      <c r="D847" s="165"/>
      <c r="E847" s="165"/>
      <c r="F847" s="165"/>
      <c r="G847" s="165"/>
      <c r="H847" s="165"/>
      <c r="I847" s="4"/>
      <c r="J847" s="4"/>
      <c r="K847" s="4"/>
      <c r="L847" s="4"/>
      <c r="M847" s="4"/>
      <c r="N847" s="4"/>
      <c r="O847" s="4"/>
      <c r="P847" s="4"/>
      <c r="Q847" s="4"/>
      <c r="R847" s="4"/>
      <c r="S847" s="4"/>
      <c r="T847" s="4"/>
      <c r="U847" s="4"/>
      <c r="V847" s="4"/>
      <c r="W847" s="4"/>
      <c r="X847" s="4"/>
      <c r="Y847" s="4"/>
      <c r="Z847" s="4"/>
    </row>
    <row r="848" ht="9.75" customHeight="1">
      <c r="A848" s="4"/>
      <c r="B848" s="4"/>
      <c r="C848" s="4"/>
      <c r="D848" s="165"/>
      <c r="E848" s="165"/>
      <c r="F848" s="165"/>
      <c r="G848" s="165"/>
      <c r="H848" s="165"/>
      <c r="I848" s="4"/>
      <c r="J848" s="4"/>
      <c r="K848" s="4"/>
      <c r="L848" s="4"/>
      <c r="M848" s="4"/>
      <c r="N848" s="4"/>
      <c r="O848" s="4"/>
      <c r="P848" s="4"/>
      <c r="Q848" s="4"/>
      <c r="R848" s="4"/>
      <c r="S848" s="4"/>
      <c r="T848" s="4"/>
      <c r="U848" s="4"/>
      <c r="V848" s="4"/>
      <c r="W848" s="4"/>
      <c r="X848" s="4"/>
      <c r="Y848" s="4"/>
      <c r="Z848" s="4"/>
    </row>
    <row r="849" ht="9.75" customHeight="1">
      <c r="A849" s="4"/>
      <c r="B849" s="4"/>
      <c r="C849" s="4"/>
      <c r="D849" s="165"/>
      <c r="E849" s="165"/>
      <c r="F849" s="165"/>
      <c r="G849" s="165"/>
      <c r="H849" s="165"/>
      <c r="I849" s="4"/>
      <c r="J849" s="4"/>
      <c r="K849" s="4"/>
      <c r="L849" s="4"/>
      <c r="M849" s="4"/>
      <c r="N849" s="4"/>
      <c r="O849" s="4"/>
      <c r="P849" s="4"/>
      <c r="Q849" s="4"/>
      <c r="R849" s="4"/>
      <c r="S849" s="4"/>
      <c r="T849" s="4"/>
      <c r="U849" s="4"/>
      <c r="V849" s="4"/>
      <c r="W849" s="4"/>
      <c r="X849" s="4"/>
      <c r="Y849" s="4"/>
      <c r="Z849" s="4"/>
    </row>
    <row r="850" ht="9.75" customHeight="1">
      <c r="A850" s="4"/>
      <c r="B850" s="4"/>
      <c r="C850" s="4"/>
      <c r="D850" s="165"/>
      <c r="E850" s="165"/>
      <c r="F850" s="165"/>
      <c r="G850" s="165"/>
      <c r="H850" s="165"/>
      <c r="I850" s="4"/>
      <c r="J850" s="4"/>
      <c r="K850" s="4"/>
      <c r="L850" s="4"/>
      <c r="M850" s="4"/>
      <c r="N850" s="4"/>
      <c r="O850" s="4"/>
      <c r="P850" s="4"/>
      <c r="Q850" s="4"/>
      <c r="R850" s="4"/>
      <c r="S850" s="4"/>
      <c r="T850" s="4"/>
      <c r="U850" s="4"/>
      <c r="V850" s="4"/>
      <c r="W850" s="4"/>
      <c r="X850" s="4"/>
      <c r="Y850" s="4"/>
      <c r="Z850" s="4"/>
    </row>
    <row r="851" ht="9.75" customHeight="1">
      <c r="A851" s="4"/>
      <c r="B851" s="4"/>
      <c r="C851" s="4"/>
      <c r="D851" s="165"/>
      <c r="E851" s="165"/>
      <c r="F851" s="165"/>
      <c r="G851" s="165"/>
      <c r="H851" s="165"/>
      <c r="I851" s="4"/>
      <c r="J851" s="4"/>
      <c r="K851" s="4"/>
      <c r="L851" s="4"/>
      <c r="M851" s="4"/>
      <c r="N851" s="4"/>
      <c r="O851" s="4"/>
      <c r="P851" s="4"/>
      <c r="Q851" s="4"/>
      <c r="R851" s="4"/>
      <c r="S851" s="4"/>
      <c r="T851" s="4"/>
      <c r="U851" s="4"/>
      <c r="V851" s="4"/>
      <c r="W851" s="4"/>
      <c r="X851" s="4"/>
      <c r="Y851" s="4"/>
      <c r="Z851" s="4"/>
    </row>
    <row r="852" ht="9.75" customHeight="1">
      <c r="A852" s="4"/>
      <c r="B852" s="4"/>
      <c r="C852" s="4"/>
      <c r="D852" s="165"/>
      <c r="E852" s="165"/>
      <c r="F852" s="165"/>
      <c r="G852" s="165"/>
      <c r="H852" s="165"/>
      <c r="I852" s="4"/>
      <c r="J852" s="4"/>
      <c r="K852" s="4"/>
      <c r="L852" s="4"/>
      <c r="M852" s="4"/>
      <c r="N852" s="4"/>
      <c r="O852" s="4"/>
      <c r="P852" s="4"/>
      <c r="Q852" s="4"/>
      <c r="R852" s="4"/>
      <c r="S852" s="4"/>
      <c r="T852" s="4"/>
      <c r="U852" s="4"/>
      <c r="V852" s="4"/>
      <c r="W852" s="4"/>
      <c r="X852" s="4"/>
      <c r="Y852" s="4"/>
      <c r="Z852" s="4"/>
    </row>
    <row r="853" ht="9.75" customHeight="1">
      <c r="A853" s="4"/>
      <c r="B853" s="4"/>
      <c r="C853" s="4"/>
      <c r="D853" s="165"/>
      <c r="E853" s="165"/>
      <c r="F853" s="165"/>
      <c r="G853" s="165"/>
      <c r="H853" s="165"/>
      <c r="I853" s="4"/>
      <c r="J853" s="4"/>
      <c r="K853" s="4"/>
      <c r="L853" s="4"/>
      <c r="M853" s="4"/>
      <c r="N853" s="4"/>
      <c r="O853" s="4"/>
      <c r="P853" s="4"/>
      <c r="Q853" s="4"/>
      <c r="R853" s="4"/>
      <c r="S853" s="4"/>
      <c r="T853" s="4"/>
      <c r="U853" s="4"/>
      <c r="V853" s="4"/>
      <c r="W853" s="4"/>
      <c r="X853" s="4"/>
      <c r="Y853" s="4"/>
      <c r="Z853" s="4"/>
    </row>
    <row r="854" ht="9.75" customHeight="1">
      <c r="A854" s="4"/>
      <c r="B854" s="4"/>
      <c r="C854" s="4"/>
      <c r="D854" s="165"/>
      <c r="E854" s="165"/>
      <c r="F854" s="165"/>
      <c r="G854" s="165"/>
      <c r="H854" s="165"/>
      <c r="I854" s="4"/>
      <c r="J854" s="4"/>
      <c r="K854" s="4"/>
      <c r="L854" s="4"/>
      <c r="M854" s="4"/>
      <c r="N854" s="4"/>
      <c r="O854" s="4"/>
      <c r="P854" s="4"/>
      <c r="Q854" s="4"/>
      <c r="R854" s="4"/>
      <c r="S854" s="4"/>
      <c r="T854" s="4"/>
      <c r="U854" s="4"/>
      <c r="V854" s="4"/>
      <c r="W854" s="4"/>
      <c r="X854" s="4"/>
      <c r="Y854" s="4"/>
      <c r="Z854" s="4"/>
    </row>
    <row r="855" ht="9.75" customHeight="1">
      <c r="A855" s="4"/>
      <c r="B855" s="4"/>
      <c r="C855" s="4"/>
      <c r="D855" s="165"/>
      <c r="E855" s="165"/>
      <c r="F855" s="165"/>
      <c r="G855" s="165"/>
      <c r="H855" s="165"/>
      <c r="I855" s="4"/>
      <c r="J855" s="4"/>
      <c r="K855" s="4"/>
      <c r="L855" s="4"/>
      <c r="M855" s="4"/>
      <c r="N855" s="4"/>
      <c r="O855" s="4"/>
      <c r="P855" s="4"/>
      <c r="Q855" s="4"/>
      <c r="R855" s="4"/>
      <c r="S855" s="4"/>
      <c r="T855" s="4"/>
      <c r="U855" s="4"/>
      <c r="V855" s="4"/>
      <c r="W855" s="4"/>
      <c r="X855" s="4"/>
      <c r="Y855" s="4"/>
      <c r="Z855" s="4"/>
    </row>
    <row r="856" ht="9.75" customHeight="1">
      <c r="A856" s="4"/>
      <c r="B856" s="4"/>
      <c r="C856" s="4"/>
      <c r="D856" s="165"/>
      <c r="E856" s="165"/>
      <c r="F856" s="165"/>
      <c r="G856" s="165"/>
      <c r="H856" s="165"/>
      <c r="I856" s="4"/>
      <c r="J856" s="4"/>
      <c r="K856" s="4"/>
      <c r="L856" s="4"/>
      <c r="M856" s="4"/>
      <c r="N856" s="4"/>
      <c r="O856" s="4"/>
      <c r="P856" s="4"/>
      <c r="Q856" s="4"/>
      <c r="R856" s="4"/>
      <c r="S856" s="4"/>
      <c r="T856" s="4"/>
      <c r="U856" s="4"/>
      <c r="V856" s="4"/>
      <c r="W856" s="4"/>
      <c r="X856" s="4"/>
      <c r="Y856" s="4"/>
      <c r="Z856" s="4"/>
    </row>
    <row r="857" ht="9.75" customHeight="1">
      <c r="A857" s="4"/>
      <c r="B857" s="4"/>
      <c r="C857" s="4"/>
      <c r="D857" s="165"/>
      <c r="E857" s="165"/>
      <c r="F857" s="165"/>
      <c r="G857" s="165"/>
      <c r="H857" s="165"/>
      <c r="I857" s="4"/>
      <c r="J857" s="4"/>
      <c r="K857" s="4"/>
      <c r="L857" s="4"/>
      <c r="M857" s="4"/>
      <c r="N857" s="4"/>
      <c r="O857" s="4"/>
      <c r="P857" s="4"/>
      <c r="Q857" s="4"/>
      <c r="R857" s="4"/>
      <c r="S857" s="4"/>
      <c r="T857" s="4"/>
      <c r="U857" s="4"/>
      <c r="V857" s="4"/>
      <c r="W857" s="4"/>
      <c r="X857" s="4"/>
      <c r="Y857" s="4"/>
      <c r="Z857" s="4"/>
    </row>
    <row r="858" ht="9.75" customHeight="1">
      <c r="A858" s="4"/>
      <c r="B858" s="4"/>
      <c r="C858" s="4"/>
      <c r="D858" s="165"/>
      <c r="E858" s="165"/>
      <c r="F858" s="165"/>
      <c r="G858" s="165"/>
      <c r="H858" s="165"/>
      <c r="I858" s="4"/>
      <c r="J858" s="4"/>
      <c r="K858" s="4"/>
      <c r="L858" s="4"/>
      <c r="M858" s="4"/>
      <c r="N858" s="4"/>
      <c r="O858" s="4"/>
      <c r="P858" s="4"/>
      <c r="Q858" s="4"/>
      <c r="R858" s="4"/>
      <c r="S858" s="4"/>
      <c r="T858" s="4"/>
      <c r="U858" s="4"/>
      <c r="V858" s="4"/>
      <c r="W858" s="4"/>
      <c r="X858" s="4"/>
      <c r="Y858" s="4"/>
      <c r="Z858" s="4"/>
    </row>
    <row r="859" ht="9.75" customHeight="1">
      <c r="A859" s="4"/>
      <c r="B859" s="4"/>
      <c r="C859" s="4"/>
      <c r="D859" s="165"/>
      <c r="E859" s="165"/>
      <c r="F859" s="165"/>
      <c r="G859" s="165"/>
      <c r="H859" s="165"/>
      <c r="I859" s="4"/>
      <c r="J859" s="4"/>
      <c r="K859" s="4"/>
      <c r="L859" s="4"/>
      <c r="M859" s="4"/>
      <c r="N859" s="4"/>
      <c r="O859" s="4"/>
      <c r="P859" s="4"/>
      <c r="Q859" s="4"/>
      <c r="R859" s="4"/>
      <c r="S859" s="4"/>
      <c r="T859" s="4"/>
      <c r="U859" s="4"/>
      <c r="V859" s="4"/>
      <c r="W859" s="4"/>
      <c r="X859" s="4"/>
      <c r="Y859" s="4"/>
      <c r="Z859" s="4"/>
    </row>
    <row r="860" ht="9.75" customHeight="1">
      <c r="A860" s="4"/>
      <c r="B860" s="4"/>
      <c r="C860" s="4"/>
      <c r="D860" s="165"/>
      <c r="E860" s="165"/>
      <c r="F860" s="165"/>
      <c r="G860" s="165"/>
      <c r="H860" s="165"/>
      <c r="I860" s="4"/>
      <c r="J860" s="4"/>
      <c r="K860" s="4"/>
      <c r="L860" s="4"/>
      <c r="M860" s="4"/>
      <c r="N860" s="4"/>
      <c r="O860" s="4"/>
      <c r="P860" s="4"/>
      <c r="Q860" s="4"/>
      <c r="R860" s="4"/>
      <c r="S860" s="4"/>
      <c r="T860" s="4"/>
      <c r="U860" s="4"/>
      <c r="V860" s="4"/>
      <c r="W860" s="4"/>
      <c r="X860" s="4"/>
      <c r="Y860" s="4"/>
      <c r="Z860" s="4"/>
    </row>
    <row r="861" ht="9.75" customHeight="1">
      <c r="A861" s="4"/>
      <c r="B861" s="4"/>
      <c r="C861" s="4"/>
      <c r="D861" s="165"/>
      <c r="E861" s="165"/>
      <c r="F861" s="165"/>
      <c r="G861" s="165"/>
      <c r="H861" s="165"/>
      <c r="I861" s="4"/>
      <c r="J861" s="4"/>
      <c r="K861" s="4"/>
      <c r="L861" s="4"/>
      <c r="M861" s="4"/>
      <c r="N861" s="4"/>
      <c r="O861" s="4"/>
      <c r="P861" s="4"/>
      <c r="Q861" s="4"/>
      <c r="R861" s="4"/>
      <c r="S861" s="4"/>
      <c r="T861" s="4"/>
      <c r="U861" s="4"/>
      <c r="V861" s="4"/>
      <c r="W861" s="4"/>
      <c r="X861" s="4"/>
      <c r="Y861" s="4"/>
      <c r="Z861" s="4"/>
    </row>
    <row r="862" ht="9.75" customHeight="1">
      <c r="A862" s="4"/>
      <c r="B862" s="4"/>
      <c r="C862" s="4"/>
      <c r="D862" s="165"/>
      <c r="E862" s="165"/>
      <c r="F862" s="165"/>
      <c r="G862" s="165"/>
      <c r="H862" s="165"/>
      <c r="I862" s="4"/>
      <c r="J862" s="4"/>
      <c r="K862" s="4"/>
      <c r="L862" s="4"/>
      <c r="M862" s="4"/>
      <c r="N862" s="4"/>
      <c r="O862" s="4"/>
      <c r="P862" s="4"/>
      <c r="Q862" s="4"/>
      <c r="R862" s="4"/>
      <c r="S862" s="4"/>
      <c r="T862" s="4"/>
      <c r="U862" s="4"/>
      <c r="V862" s="4"/>
      <c r="W862" s="4"/>
      <c r="X862" s="4"/>
      <c r="Y862" s="4"/>
      <c r="Z862" s="4"/>
    </row>
    <row r="863" ht="9.75" customHeight="1">
      <c r="A863" s="4"/>
      <c r="B863" s="4"/>
      <c r="C863" s="4"/>
      <c r="D863" s="165"/>
      <c r="E863" s="165"/>
      <c r="F863" s="165"/>
      <c r="G863" s="165"/>
      <c r="H863" s="165"/>
      <c r="I863" s="4"/>
      <c r="J863" s="4"/>
      <c r="K863" s="4"/>
      <c r="L863" s="4"/>
      <c r="M863" s="4"/>
      <c r="N863" s="4"/>
      <c r="O863" s="4"/>
      <c r="P863" s="4"/>
      <c r="Q863" s="4"/>
      <c r="R863" s="4"/>
      <c r="S863" s="4"/>
      <c r="T863" s="4"/>
      <c r="U863" s="4"/>
      <c r="V863" s="4"/>
      <c r="W863" s="4"/>
      <c r="X863" s="4"/>
      <c r="Y863" s="4"/>
      <c r="Z863" s="4"/>
    </row>
    <row r="864" ht="9.75" customHeight="1">
      <c r="A864" s="4"/>
      <c r="B864" s="4"/>
      <c r="C864" s="4"/>
      <c r="D864" s="165"/>
      <c r="E864" s="165"/>
      <c r="F864" s="165"/>
      <c r="G864" s="165"/>
      <c r="H864" s="165"/>
      <c r="I864" s="4"/>
      <c r="J864" s="4"/>
      <c r="K864" s="4"/>
      <c r="L864" s="4"/>
      <c r="M864" s="4"/>
      <c r="N864" s="4"/>
      <c r="O864" s="4"/>
      <c r="P864" s="4"/>
      <c r="Q864" s="4"/>
      <c r="R864" s="4"/>
      <c r="S864" s="4"/>
      <c r="T864" s="4"/>
      <c r="U864" s="4"/>
      <c r="V864" s="4"/>
      <c r="W864" s="4"/>
      <c r="X864" s="4"/>
      <c r="Y864" s="4"/>
      <c r="Z864" s="4"/>
    </row>
    <row r="865" ht="9.75" customHeight="1">
      <c r="A865" s="4"/>
      <c r="B865" s="4"/>
      <c r="C865" s="4"/>
      <c r="D865" s="165"/>
      <c r="E865" s="165"/>
      <c r="F865" s="165"/>
      <c r="G865" s="165"/>
      <c r="H865" s="165"/>
      <c r="I865" s="4"/>
      <c r="J865" s="4"/>
      <c r="K865" s="4"/>
      <c r="L865" s="4"/>
      <c r="M865" s="4"/>
      <c r="N865" s="4"/>
      <c r="O865" s="4"/>
      <c r="P865" s="4"/>
      <c r="Q865" s="4"/>
      <c r="R865" s="4"/>
      <c r="S865" s="4"/>
      <c r="T865" s="4"/>
      <c r="U865" s="4"/>
      <c r="V865" s="4"/>
      <c r="W865" s="4"/>
      <c r="X865" s="4"/>
      <c r="Y865" s="4"/>
      <c r="Z865" s="4"/>
    </row>
    <row r="866" ht="9.75" customHeight="1">
      <c r="A866" s="4"/>
      <c r="B866" s="4"/>
      <c r="C866" s="4"/>
      <c r="D866" s="165"/>
      <c r="E866" s="165"/>
      <c r="F866" s="165"/>
      <c r="G866" s="165"/>
      <c r="H866" s="165"/>
      <c r="I866" s="4"/>
      <c r="J866" s="4"/>
      <c r="K866" s="4"/>
      <c r="L866" s="4"/>
      <c r="M866" s="4"/>
      <c r="N866" s="4"/>
      <c r="O866" s="4"/>
      <c r="P866" s="4"/>
      <c r="Q866" s="4"/>
      <c r="R866" s="4"/>
      <c r="S866" s="4"/>
      <c r="T866" s="4"/>
      <c r="U866" s="4"/>
      <c r="V866" s="4"/>
      <c r="W866" s="4"/>
      <c r="X866" s="4"/>
      <c r="Y866" s="4"/>
      <c r="Z866" s="4"/>
    </row>
    <row r="867" ht="9.75" customHeight="1">
      <c r="A867" s="4"/>
      <c r="B867" s="4"/>
      <c r="C867" s="4"/>
      <c r="D867" s="165"/>
      <c r="E867" s="165"/>
      <c r="F867" s="165"/>
      <c r="G867" s="165"/>
      <c r="H867" s="165"/>
      <c r="I867" s="4"/>
      <c r="J867" s="4"/>
      <c r="K867" s="4"/>
      <c r="L867" s="4"/>
      <c r="M867" s="4"/>
      <c r="N867" s="4"/>
      <c r="O867" s="4"/>
      <c r="P867" s="4"/>
      <c r="Q867" s="4"/>
      <c r="R867" s="4"/>
      <c r="S867" s="4"/>
      <c r="T867" s="4"/>
      <c r="U867" s="4"/>
      <c r="V867" s="4"/>
      <c r="W867" s="4"/>
      <c r="X867" s="4"/>
      <c r="Y867" s="4"/>
      <c r="Z867" s="4"/>
    </row>
    <row r="868" ht="9.75" customHeight="1">
      <c r="A868" s="4"/>
      <c r="B868" s="4"/>
      <c r="C868" s="4"/>
      <c r="D868" s="165"/>
      <c r="E868" s="165"/>
      <c r="F868" s="165"/>
      <c r="G868" s="165"/>
      <c r="H868" s="165"/>
      <c r="I868" s="4"/>
      <c r="J868" s="4"/>
      <c r="K868" s="4"/>
      <c r="L868" s="4"/>
      <c r="M868" s="4"/>
      <c r="N868" s="4"/>
      <c r="O868" s="4"/>
      <c r="P868" s="4"/>
      <c r="Q868" s="4"/>
      <c r="R868" s="4"/>
      <c r="S868" s="4"/>
      <c r="T868" s="4"/>
      <c r="U868" s="4"/>
      <c r="V868" s="4"/>
      <c r="W868" s="4"/>
      <c r="X868" s="4"/>
      <c r="Y868" s="4"/>
      <c r="Z868" s="4"/>
    </row>
    <row r="869" ht="9.75" customHeight="1">
      <c r="A869" s="4"/>
      <c r="B869" s="4"/>
      <c r="C869" s="4"/>
      <c r="D869" s="165"/>
      <c r="E869" s="165"/>
      <c r="F869" s="165"/>
      <c r="G869" s="165"/>
      <c r="H869" s="165"/>
      <c r="I869" s="4"/>
      <c r="J869" s="4"/>
      <c r="K869" s="4"/>
      <c r="L869" s="4"/>
      <c r="M869" s="4"/>
      <c r="N869" s="4"/>
      <c r="O869" s="4"/>
      <c r="P869" s="4"/>
      <c r="Q869" s="4"/>
      <c r="R869" s="4"/>
      <c r="S869" s="4"/>
      <c r="T869" s="4"/>
      <c r="U869" s="4"/>
      <c r="V869" s="4"/>
      <c r="W869" s="4"/>
      <c r="X869" s="4"/>
      <c r="Y869" s="4"/>
      <c r="Z869" s="4"/>
    </row>
    <row r="870" ht="9.75" customHeight="1">
      <c r="A870" s="4"/>
      <c r="B870" s="4"/>
      <c r="C870" s="4"/>
      <c r="D870" s="165"/>
      <c r="E870" s="165"/>
      <c r="F870" s="165"/>
      <c r="G870" s="165"/>
      <c r="H870" s="165"/>
      <c r="I870" s="4"/>
      <c r="J870" s="4"/>
      <c r="K870" s="4"/>
      <c r="L870" s="4"/>
      <c r="M870" s="4"/>
      <c r="N870" s="4"/>
      <c r="O870" s="4"/>
      <c r="P870" s="4"/>
      <c r="Q870" s="4"/>
      <c r="R870" s="4"/>
      <c r="S870" s="4"/>
      <c r="T870" s="4"/>
      <c r="U870" s="4"/>
      <c r="V870" s="4"/>
      <c r="W870" s="4"/>
      <c r="X870" s="4"/>
      <c r="Y870" s="4"/>
      <c r="Z870" s="4"/>
    </row>
    <row r="871" ht="9.75" customHeight="1">
      <c r="A871" s="4"/>
      <c r="B871" s="4"/>
      <c r="C871" s="4"/>
      <c r="D871" s="165"/>
      <c r="E871" s="165"/>
      <c r="F871" s="165"/>
      <c r="G871" s="165"/>
      <c r="H871" s="165"/>
      <c r="I871" s="4"/>
      <c r="J871" s="4"/>
      <c r="K871" s="4"/>
      <c r="L871" s="4"/>
      <c r="M871" s="4"/>
      <c r="N871" s="4"/>
      <c r="O871" s="4"/>
      <c r="P871" s="4"/>
      <c r="Q871" s="4"/>
      <c r="R871" s="4"/>
      <c r="S871" s="4"/>
      <c r="T871" s="4"/>
      <c r="U871" s="4"/>
      <c r="V871" s="4"/>
      <c r="W871" s="4"/>
      <c r="X871" s="4"/>
      <c r="Y871" s="4"/>
      <c r="Z871" s="4"/>
    </row>
    <row r="872" ht="9.75" customHeight="1">
      <c r="A872" s="4"/>
      <c r="B872" s="4"/>
      <c r="C872" s="4"/>
      <c r="D872" s="165"/>
      <c r="E872" s="165"/>
      <c r="F872" s="165"/>
      <c r="G872" s="165"/>
      <c r="H872" s="165"/>
      <c r="I872" s="4"/>
      <c r="J872" s="4"/>
      <c r="K872" s="4"/>
      <c r="L872" s="4"/>
      <c r="M872" s="4"/>
      <c r="N872" s="4"/>
      <c r="O872" s="4"/>
      <c r="P872" s="4"/>
      <c r="Q872" s="4"/>
      <c r="R872" s="4"/>
      <c r="S872" s="4"/>
      <c r="T872" s="4"/>
      <c r="U872" s="4"/>
      <c r="V872" s="4"/>
      <c r="W872" s="4"/>
      <c r="X872" s="4"/>
      <c r="Y872" s="4"/>
      <c r="Z872" s="4"/>
    </row>
    <row r="873" ht="9.75" customHeight="1">
      <c r="A873" s="4"/>
      <c r="B873" s="4"/>
      <c r="C873" s="4"/>
      <c r="D873" s="165"/>
      <c r="E873" s="165"/>
      <c r="F873" s="165"/>
      <c r="G873" s="165"/>
      <c r="H873" s="165"/>
      <c r="I873" s="4"/>
      <c r="J873" s="4"/>
      <c r="K873" s="4"/>
      <c r="L873" s="4"/>
      <c r="M873" s="4"/>
      <c r="N873" s="4"/>
      <c r="O873" s="4"/>
      <c r="P873" s="4"/>
      <c r="Q873" s="4"/>
      <c r="R873" s="4"/>
      <c r="S873" s="4"/>
      <c r="T873" s="4"/>
      <c r="U873" s="4"/>
      <c r="V873" s="4"/>
      <c r="W873" s="4"/>
      <c r="X873" s="4"/>
      <c r="Y873" s="4"/>
      <c r="Z873" s="4"/>
    </row>
    <row r="874" ht="9.75" customHeight="1">
      <c r="A874" s="4"/>
      <c r="B874" s="4"/>
      <c r="C874" s="4"/>
      <c r="D874" s="165"/>
      <c r="E874" s="165"/>
      <c r="F874" s="165"/>
      <c r="G874" s="165"/>
      <c r="H874" s="165"/>
      <c r="I874" s="4"/>
      <c r="J874" s="4"/>
      <c r="K874" s="4"/>
      <c r="L874" s="4"/>
      <c r="M874" s="4"/>
      <c r="N874" s="4"/>
      <c r="O874" s="4"/>
      <c r="P874" s="4"/>
      <c r="Q874" s="4"/>
      <c r="R874" s="4"/>
      <c r="S874" s="4"/>
      <c r="T874" s="4"/>
      <c r="U874" s="4"/>
      <c r="V874" s="4"/>
      <c r="W874" s="4"/>
      <c r="X874" s="4"/>
      <c r="Y874" s="4"/>
      <c r="Z874" s="4"/>
    </row>
    <row r="875" ht="9.75" customHeight="1">
      <c r="A875" s="4"/>
      <c r="B875" s="4"/>
      <c r="C875" s="4"/>
      <c r="D875" s="165"/>
      <c r="E875" s="165"/>
      <c r="F875" s="165"/>
      <c r="G875" s="165"/>
      <c r="H875" s="165"/>
      <c r="I875" s="4"/>
      <c r="J875" s="4"/>
      <c r="K875" s="4"/>
      <c r="L875" s="4"/>
      <c r="M875" s="4"/>
      <c r="N875" s="4"/>
      <c r="O875" s="4"/>
      <c r="P875" s="4"/>
      <c r="Q875" s="4"/>
      <c r="R875" s="4"/>
      <c r="S875" s="4"/>
      <c r="T875" s="4"/>
      <c r="U875" s="4"/>
      <c r="V875" s="4"/>
      <c r="W875" s="4"/>
      <c r="X875" s="4"/>
      <c r="Y875" s="4"/>
      <c r="Z875" s="4"/>
    </row>
    <row r="876" ht="9.75" customHeight="1">
      <c r="A876" s="4"/>
      <c r="B876" s="4"/>
      <c r="C876" s="4"/>
      <c r="D876" s="165"/>
      <c r="E876" s="165"/>
      <c r="F876" s="165"/>
      <c r="G876" s="165"/>
      <c r="H876" s="165"/>
      <c r="I876" s="4"/>
      <c r="J876" s="4"/>
      <c r="K876" s="4"/>
      <c r="L876" s="4"/>
      <c r="M876" s="4"/>
      <c r="N876" s="4"/>
      <c r="O876" s="4"/>
      <c r="P876" s="4"/>
      <c r="Q876" s="4"/>
      <c r="R876" s="4"/>
      <c r="S876" s="4"/>
      <c r="T876" s="4"/>
      <c r="U876" s="4"/>
      <c r="V876" s="4"/>
      <c r="W876" s="4"/>
      <c r="X876" s="4"/>
      <c r="Y876" s="4"/>
      <c r="Z876" s="4"/>
    </row>
    <row r="877" ht="9.75" customHeight="1">
      <c r="A877" s="4"/>
      <c r="B877" s="4"/>
      <c r="C877" s="4"/>
      <c r="D877" s="165"/>
      <c r="E877" s="165"/>
      <c r="F877" s="165"/>
      <c r="G877" s="165"/>
      <c r="H877" s="165"/>
      <c r="I877" s="4"/>
      <c r="J877" s="4"/>
      <c r="K877" s="4"/>
      <c r="L877" s="4"/>
      <c r="M877" s="4"/>
      <c r="N877" s="4"/>
      <c r="O877" s="4"/>
      <c r="P877" s="4"/>
      <c r="Q877" s="4"/>
      <c r="R877" s="4"/>
      <c r="S877" s="4"/>
      <c r="T877" s="4"/>
      <c r="U877" s="4"/>
      <c r="V877" s="4"/>
      <c r="W877" s="4"/>
      <c r="X877" s="4"/>
      <c r="Y877" s="4"/>
      <c r="Z877" s="4"/>
    </row>
    <row r="878" ht="9.75" customHeight="1">
      <c r="A878" s="4"/>
      <c r="B878" s="4"/>
      <c r="C878" s="4"/>
      <c r="D878" s="165"/>
      <c r="E878" s="165"/>
      <c r="F878" s="165"/>
      <c r="G878" s="165"/>
      <c r="H878" s="165"/>
      <c r="I878" s="4"/>
      <c r="J878" s="4"/>
      <c r="K878" s="4"/>
      <c r="L878" s="4"/>
      <c r="M878" s="4"/>
      <c r="N878" s="4"/>
      <c r="O878" s="4"/>
      <c r="P878" s="4"/>
      <c r="Q878" s="4"/>
      <c r="R878" s="4"/>
      <c r="S878" s="4"/>
      <c r="T878" s="4"/>
      <c r="U878" s="4"/>
      <c r="V878" s="4"/>
      <c r="W878" s="4"/>
      <c r="X878" s="4"/>
      <c r="Y878" s="4"/>
      <c r="Z878" s="4"/>
    </row>
    <row r="879" ht="9.75" customHeight="1">
      <c r="A879" s="4"/>
      <c r="B879" s="4"/>
      <c r="C879" s="4"/>
      <c r="D879" s="165"/>
      <c r="E879" s="165"/>
      <c r="F879" s="165"/>
      <c r="G879" s="165"/>
      <c r="H879" s="165"/>
      <c r="I879" s="4"/>
      <c r="J879" s="4"/>
      <c r="K879" s="4"/>
      <c r="L879" s="4"/>
      <c r="M879" s="4"/>
      <c r="N879" s="4"/>
      <c r="O879" s="4"/>
      <c r="P879" s="4"/>
      <c r="Q879" s="4"/>
      <c r="R879" s="4"/>
      <c r="S879" s="4"/>
      <c r="T879" s="4"/>
      <c r="U879" s="4"/>
      <c r="V879" s="4"/>
      <c r="W879" s="4"/>
      <c r="X879" s="4"/>
      <c r="Y879" s="4"/>
      <c r="Z879" s="4"/>
    </row>
    <row r="880" ht="9.75" customHeight="1">
      <c r="A880" s="4"/>
      <c r="B880" s="4"/>
      <c r="C880" s="4"/>
      <c r="D880" s="165"/>
      <c r="E880" s="165"/>
      <c r="F880" s="165"/>
      <c r="G880" s="165"/>
      <c r="H880" s="165"/>
      <c r="I880" s="4"/>
      <c r="J880" s="4"/>
      <c r="K880" s="4"/>
      <c r="L880" s="4"/>
      <c r="M880" s="4"/>
      <c r="N880" s="4"/>
      <c r="O880" s="4"/>
      <c r="P880" s="4"/>
      <c r="Q880" s="4"/>
      <c r="R880" s="4"/>
      <c r="S880" s="4"/>
      <c r="T880" s="4"/>
      <c r="U880" s="4"/>
      <c r="V880" s="4"/>
      <c r="W880" s="4"/>
      <c r="X880" s="4"/>
      <c r="Y880" s="4"/>
      <c r="Z880" s="4"/>
    </row>
    <row r="881" ht="9.75" customHeight="1">
      <c r="A881" s="4"/>
      <c r="B881" s="4"/>
      <c r="C881" s="4"/>
      <c r="D881" s="165"/>
      <c r="E881" s="165"/>
      <c r="F881" s="165"/>
      <c r="G881" s="165"/>
      <c r="H881" s="165"/>
      <c r="I881" s="4"/>
      <c r="J881" s="4"/>
      <c r="K881" s="4"/>
      <c r="L881" s="4"/>
      <c r="M881" s="4"/>
      <c r="N881" s="4"/>
      <c r="O881" s="4"/>
      <c r="P881" s="4"/>
      <c r="Q881" s="4"/>
      <c r="R881" s="4"/>
      <c r="S881" s="4"/>
      <c r="T881" s="4"/>
      <c r="U881" s="4"/>
      <c r="V881" s="4"/>
      <c r="W881" s="4"/>
      <c r="X881" s="4"/>
      <c r="Y881" s="4"/>
      <c r="Z881" s="4"/>
    </row>
    <row r="882" ht="9.75" customHeight="1">
      <c r="A882" s="4"/>
      <c r="B882" s="4"/>
      <c r="C882" s="4"/>
      <c r="D882" s="165"/>
      <c r="E882" s="165"/>
      <c r="F882" s="165"/>
      <c r="G882" s="165"/>
      <c r="H882" s="165"/>
      <c r="I882" s="4"/>
      <c r="J882" s="4"/>
      <c r="K882" s="4"/>
      <c r="L882" s="4"/>
      <c r="M882" s="4"/>
      <c r="N882" s="4"/>
      <c r="O882" s="4"/>
      <c r="P882" s="4"/>
      <c r="Q882" s="4"/>
      <c r="R882" s="4"/>
      <c r="S882" s="4"/>
      <c r="T882" s="4"/>
      <c r="U882" s="4"/>
      <c r="V882" s="4"/>
      <c r="W882" s="4"/>
      <c r="X882" s="4"/>
      <c r="Y882" s="4"/>
      <c r="Z882" s="4"/>
    </row>
    <row r="883" ht="9.75" customHeight="1">
      <c r="A883" s="4"/>
      <c r="B883" s="4"/>
      <c r="C883" s="4"/>
      <c r="D883" s="165"/>
      <c r="E883" s="165"/>
      <c r="F883" s="165"/>
      <c r="G883" s="165"/>
      <c r="H883" s="165"/>
      <c r="I883" s="4"/>
      <c r="J883" s="4"/>
      <c r="K883" s="4"/>
      <c r="L883" s="4"/>
      <c r="M883" s="4"/>
      <c r="N883" s="4"/>
      <c r="O883" s="4"/>
      <c r="P883" s="4"/>
      <c r="Q883" s="4"/>
      <c r="R883" s="4"/>
      <c r="S883" s="4"/>
      <c r="T883" s="4"/>
      <c r="U883" s="4"/>
      <c r="V883" s="4"/>
      <c r="W883" s="4"/>
      <c r="X883" s="4"/>
      <c r="Y883" s="4"/>
      <c r="Z883" s="4"/>
    </row>
    <row r="884" ht="9.75" customHeight="1">
      <c r="A884" s="4"/>
      <c r="B884" s="4"/>
      <c r="C884" s="4"/>
      <c r="D884" s="165"/>
      <c r="E884" s="165"/>
      <c r="F884" s="165"/>
      <c r="G884" s="165"/>
      <c r="H884" s="165"/>
      <c r="I884" s="4"/>
      <c r="J884" s="4"/>
      <c r="K884" s="4"/>
      <c r="L884" s="4"/>
      <c r="M884" s="4"/>
      <c r="N884" s="4"/>
      <c r="O884" s="4"/>
      <c r="P884" s="4"/>
      <c r="Q884" s="4"/>
      <c r="R884" s="4"/>
      <c r="S884" s="4"/>
      <c r="T884" s="4"/>
      <c r="U884" s="4"/>
      <c r="V884" s="4"/>
      <c r="W884" s="4"/>
      <c r="X884" s="4"/>
      <c r="Y884" s="4"/>
      <c r="Z884" s="4"/>
    </row>
    <row r="885" ht="9.75" customHeight="1">
      <c r="A885" s="4"/>
      <c r="B885" s="4"/>
      <c r="C885" s="4"/>
      <c r="D885" s="165"/>
      <c r="E885" s="165"/>
      <c r="F885" s="165"/>
      <c r="G885" s="165"/>
      <c r="H885" s="165"/>
      <c r="I885" s="4"/>
      <c r="J885" s="4"/>
      <c r="K885" s="4"/>
      <c r="L885" s="4"/>
      <c r="M885" s="4"/>
      <c r="N885" s="4"/>
      <c r="O885" s="4"/>
      <c r="P885" s="4"/>
      <c r="Q885" s="4"/>
      <c r="R885" s="4"/>
      <c r="S885" s="4"/>
      <c r="T885" s="4"/>
      <c r="U885" s="4"/>
      <c r="V885" s="4"/>
      <c r="W885" s="4"/>
      <c r="X885" s="4"/>
      <c r="Y885" s="4"/>
      <c r="Z885" s="4"/>
    </row>
    <row r="886" ht="9.75" customHeight="1">
      <c r="A886" s="4"/>
      <c r="B886" s="4"/>
      <c r="C886" s="4"/>
      <c r="D886" s="165"/>
      <c r="E886" s="165"/>
      <c r="F886" s="165"/>
      <c r="G886" s="165"/>
      <c r="H886" s="165"/>
      <c r="I886" s="4"/>
      <c r="J886" s="4"/>
      <c r="K886" s="4"/>
      <c r="L886" s="4"/>
      <c r="M886" s="4"/>
      <c r="N886" s="4"/>
      <c r="O886" s="4"/>
      <c r="P886" s="4"/>
      <c r="Q886" s="4"/>
      <c r="R886" s="4"/>
      <c r="S886" s="4"/>
      <c r="T886" s="4"/>
      <c r="U886" s="4"/>
      <c r="V886" s="4"/>
      <c r="W886" s="4"/>
      <c r="X886" s="4"/>
      <c r="Y886" s="4"/>
      <c r="Z886" s="4"/>
    </row>
    <row r="887" ht="9.75" customHeight="1">
      <c r="A887" s="4"/>
      <c r="B887" s="4"/>
      <c r="C887" s="4"/>
      <c r="D887" s="165"/>
      <c r="E887" s="165"/>
      <c r="F887" s="165"/>
      <c r="G887" s="165"/>
      <c r="H887" s="165"/>
      <c r="I887" s="4"/>
      <c r="J887" s="4"/>
      <c r="K887" s="4"/>
      <c r="L887" s="4"/>
      <c r="M887" s="4"/>
      <c r="N887" s="4"/>
      <c r="O887" s="4"/>
      <c r="P887" s="4"/>
      <c r="Q887" s="4"/>
      <c r="R887" s="4"/>
      <c r="S887" s="4"/>
      <c r="T887" s="4"/>
      <c r="U887" s="4"/>
      <c r="V887" s="4"/>
      <c r="W887" s="4"/>
      <c r="X887" s="4"/>
      <c r="Y887" s="4"/>
      <c r="Z887" s="4"/>
    </row>
    <row r="888" ht="9.75" customHeight="1">
      <c r="A888" s="4"/>
      <c r="B888" s="4"/>
      <c r="C888" s="4"/>
      <c r="D888" s="165"/>
      <c r="E888" s="165"/>
      <c r="F888" s="165"/>
      <c r="G888" s="165"/>
      <c r="H888" s="165"/>
      <c r="I888" s="4"/>
      <c r="J888" s="4"/>
      <c r="K888" s="4"/>
      <c r="L888" s="4"/>
      <c r="M888" s="4"/>
      <c r="N888" s="4"/>
      <c r="O888" s="4"/>
      <c r="P888" s="4"/>
      <c r="Q888" s="4"/>
      <c r="R888" s="4"/>
      <c r="S888" s="4"/>
      <c r="T888" s="4"/>
      <c r="U888" s="4"/>
      <c r="V888" s="4"/>
      <c r="W888" s="4"/>
      <c r="X888" s="4"/>
      <c r="Y888" s="4"/>
      <c r="Z888" s="4"/>
    </row>
    <row r="889" ht="9.75" customHeight="1">
      <c r="A889" s="4"/>
      <c r="B889" s="4"/>
      <c r="C889" s="4"/>
      <c r="D889" s="165"/>
      <c r="E889" s="165"/>
      <c r="F889" s="165"/>
      <c r="G889" s="165"/>
      <c r="H889" s="165"/>
      <c r="I889" s="4"/>
      <c r="J889" s="4"/>
      <c r="K889" s="4"/>
      <c r="L889" s="4"/>
      <c r="M889" s="4"/>
      <c r="N889" s="4"/>
      <c r="O889" s="4"/>
      <c r="P889" s="4"/>
      <c r="Q889" s="4"/>
      <c r="R889" s="4"/>
      <c r="S889" s="4"/>
      <c r="T889" s="4"/>
      <c r="U889" s="4"/>
      <c r="V889" s="4"/>
      <c r="W889" s="4"/>
      <c r="X889" s="4"/>
      <c r="Y889" s="4"/>
      <c r="Z889" s="4"/>
    </row>
    <row r="890" ht="9.75" customHeight="1">
      <c r="A890" s="4"/>
      <c r="B890" s="4"/>
      <c r="C890" s="4"/>
      <c r="D890" s="165"/>
      <c r="E890" s="165"/>
      <c r="F890" s="165"/>
      <c r="G890" s="165"/>
      <c r="H890" s="165"/>
      <c r="I890" s="4"/>
      <c r="J890" s="4"/>
      <c r="K890" s="4"/>
      <c r="L890" s="4"/>
      <c r="M890" s="4"/>
      <c r="N890" s="4"/>
      <c r="O890" s="4"/>
      <c r="P890" s="4"/>
      <c r="Q890" s="4"/>
      <c r="R890" s="4"/>
      <c r="S890" s="4"/>
      <c r="T890" s="4"/>
      <c r="U890" s="4"/>
      <c r="V890" s="4"/>
      <c r="W890" s="4"/>
      <c r="X890" s="4"/>
      <c r="Y890" s="4"/>
      <c r="Z890" s="4"/>
    </row>
    <row r="891" ht="9.75" customHeight="1">
      <c r="A891" s="4"/>
      <c r="B891" s="4"/>
      <c r="C891" s="4"/>
      <c r="D891" s="165"/>
      <c r="E891" s="165"/>
      <c r="F891" s="165"/>
      <c r="G891" s="165"/>
      <c r="H891" s="165"/>
      <c r="I891" s="4"/>
      <c r="J891" s="4"/>
      <c r="K891" s="4"/>
      <c r="L891" s="4"/>
      <c r="M891" s="4"/>
      <c r="N891" s="4"/>
      <c r="O891" s="4"/>
      <c r="P891" s="4"/>
      <c r="Q891" s="4"/>
      <c r="R891" s="4"/>
      <c r="S891" s="4"/>
      <c r="T891" s="4"/>
      <c r="U891" s="4"/>
      <c r="V891" s="4"/>
      <c r="W891" s="4"/>
      <c r="X891" s="4"/>
      <c r="Y891" s="4"/>
      <c r="Z891" s="4"/>
    </row>
    <row r="892" ht="9.75" customHeight="1">
      <c r="A892" s="4"/>
      <c r="B892" s="4"/>
      <c r="C892" s="4"/>
      <c r="D892" s="165"/>
      <c r="E892" s="165"/>
      <c r="F892" s="165"/>
      <c r="G892" s="165"/>
      <c r="H892" s="165"/>
      <c r="I892" s="4"/>
      <c r="J892" s="4"/>
      <c r="K892" s="4"/>
      <c r="L892" s="4"/>
      <c r="M892" s="4"/>
      <c r="N892" s="4"/>
      <c r="O892" s="4"/>
      <c r="P892" s="4"/>
      <c r="Q892" s="4"/>
      <c r="R892" s="4"/>
      <c r="S892" s="4"/>
      <c r="T892" s="4"/>
      <c r="U892" s="4"/>
      <c r="V892" s="4"/>
      <c r="W892" s="4"/>
      <c r="X892" s="4"/>
      <c r="Y892" s="4"/>
      <c r="Z892" s="4"/>
    </row>
    <row r="893" ht="9.75" customHeight="1">
      <c r="A893" s="4"/>
      <c r="B893" s="4"/>
      <c r="C893" s="4"/>
      <c r="D893" s="165"/>
      <c r="E893" s="165"/>
      <c r="F893" s="165"/>
      <c r="G893" s="165"/>
      <c r="H893" s="165"/>
      <c r="I893" s="4"/>
      <c r="J893" s="4"/>
      <c r="K893" s="4"/>
      <c r="L893" s="4"/>
      <c r="M893" s="4"/>
      <c r="N893" s="4"/>
      <c r="O893" s="4"/>
      <c r="P893" s="4"/>
      <c r="Q893" s="4"/>
      <c r="R893" s="4"/>
      <c r="S893" s="4"/>
      <c r="T893" s="4"/>
      <c r="U893" s="4"/>
      <c r="V893" s="4"/>
      <c r="W893" s="4"/>
      <c r="X893" s="4"/>
      <c r="Y893" s="4"/>
      <c r="Z893" s="4"/>
    </row>
    <row r="894" ht="9.75" customHeight="1">
      <c r="A894" s="4"/>
      <c r="B894" s="4"/>
      <c r="C894" s="4"/>
      <c r="D894" s="165"/>
      <c r="E894" s="165"/>
      <c r="F894" s="165"/>
      <c r="G894" s="165"/>
      <c r="H894" s="165"/>
      <c r="I894" s="4"/>
      <c r="J894" s="4"/>
      <c r="K894" s="4"/>
      <c r="L894" s="4"/>
      <c r="M894" s="4"/>
      <c r="N894" s="4"/>
      <c r="O894" s="4"/>
      <c r="P894" s="4"/>
      <c r="Q894" s="4"/>
      <c r="R894" s="4"/>
      <c r="S894" s="4"/>
      <c r="T894" s="4"/>
      <c r="U894" s="4"/>
      <c r="V894" s="4"/>
      <c r="W894" s="4"/>
      <c r="X894" s="4"/>
      <c r="Y894" s="4"/>
      <c r="Z894" s="4"/>
    </row>
    <row r="895" ht="9.75" customHeight="1">
      <c r="A895" s="4"/>
      <c r="B895" s="4"/>
      <c r="C895" s="4"/>
      <c r="D895" s="165"/>
      <c r="E895" s="165"/>
      <c r="F895" s="165"/>
      <c r="G895" s="165"/>
      <c r="H895" s="165"/>
      <c r="I895" s="4"/>
      <c r="J895" s="4"/>
      <c r="K895" s="4"/>
      <c r="L895" s="4"/>
      <c r="M895" s="4"/>
      <c r="N895" s="4"/>
      <c r="O895" s="4"/>
      <c r="P895" s="4"/>
      <c r="Q895" s="4"/>
      <c r="R895" s="4"/>
      <c r="S895" s="4"/>
      <c r="T895" s="4"/>
      <c r="U895" s="4"/>
      <c r="V895" s="4"/>
      <c r="W895" s="4"/>
      <c r="X895" s="4"/>
      <c r="Y895" s="4"/>
      <c r="Z895" s="4"/>
    </row>
    <row r="896" ht="9.75" customHeight="1">
      <c r="A896" s="4"/>
      <c r="B896" s="4"/>
      <c r="C896" s="4"/>
      <c r="D896" s="165"/>
      <c r="E896" s="165"/>
      <c r="F896" s="165"/>
      <c r="G896" s="165"/>
      <c r="H896" s="165"/>
      <c r="I896" s="4"/>
      <c r="J896" s="4"/>
      <c r="K896" s="4"/>
      <c r="L896" s="4"/>
      <c r="M896" s="4"/>
      <c r="N896" s="4"/>
      <c r="O896" s="4"/>
      <c r="P896" s="4"/>
      <c r="Q896" s="4"/>
      <c r="R896" s="4"/>
      <c r="S896" s="4"/>
      <c r="T896" s="4"/>
      <c r="U896" s="4"/>
      <c r="V896" s="4"/>
      <c r="W896" s="4"/>
      <c r="X896" s="4"/>
      <c r="Y896" s="4"/>
      <c r="Z896" s="4"/>
    </row>
    <row r="897" ht="9.75" customHeight="1">
      <c r="A897" s="4"/>
      <c r="B897" s="4"/>
      <c r="C897" s="4"/>
      <c r="D897" s="165"/>
      <c r="E897" s="165"/>
      <c r="F897" s="165"/>
      <c r="G897" s="165"/>
      <c r="H897" s="165"/>
      <c r="I897" s="4"/>
      <c r="J897" s="4"/>
      <c r="K897" s="4"/>
      <c r="L897" s="4"/>
      <c r="M897" s="4"/>
      <c r="N897" s="4"/>
      <c r="O897" s="4"/>
      <c r="P897" s="4"/>
      <c r="Q897" s="4"/>
      <c r="R897" s="4"/>
      <c r="S897" s="4"/>
      <c r="T897" s="4"/>
      <c r="U897" s="4"/>
      <c r="V897" s="4"/>
      <c r="W897" s="4"/>
      <c r="X897" s="4"/>
      <c r="Y897" s="4"/>
      <c r="Z897" s="4"/>
    </row>
    <row r="898" ht="9.75" customHeight="1">
      <c r="A898" s="4"/>
      <c r="B898" s="4"/>
      <c r="C898" s="4"/>
      <c r="D898" s="165"/>
      <c r="E898" s="165"/>
      <c r="F898" s="165"/>
      <c r="G898" s="165"/>
      <c r="H898" s="165"/>
      <c r="I898" s="4"/>
      <c r="J898" s="4"/>
      <c r="K898" s="4"/>
      <c r="L898" s="4"/>
      <c r="M898" s="4"/>
      <c r="N898" s="4"/>
      <c r="O898" s="4"/>
      <c r="P898" s="4"/>
      <c r="Q898" s="4"/>
      <c r="R898" s="4"/>
      <c r="S898" s="4"/>
      <c r="T898" s="4"/>
      <c r="U898" s="4"/>
      <c r="V898" s="4"/>
      <c r="W898" s="4"/>
      <c r="X898" s="4"/>
      <c r="Y898" s="4"/>
      <c r="Z898" s="4"/>
    </row>
    <row r="899" ht="9.75" customHeight="1">
      <c r="A899" s="4"/>
      <c r="B899" s="4"/>
      <c r="C899" s="4"/>
      <c r="D899" s="165"/>
      <c r="E899" s="165"/>
      <c r="F899" s="165"/>
      <c r="G899" s="165"/>
      <c r="H899" s="165"/>
      <c r="I899" s="4"/>
      <c r="J899" s="4"/>
      <c r="K899" s="4"/>
      <c r="L899" s="4"/>
      <c r="M899" s="4"/>
      <c r="N899" s="4"/>
      <c r="O899" s="4"/>
      <c r="P899" s="4"/>
      <c r="Q899" s="4"/>
      <c r="R899" s="4"/>
      <c r="S899" s="4"/>
      <c r="T899" s="4"/>
      <c r="U899" s="4"/>
      <c r="V899" s="4"/>
      <c r="W899" s="4"/>
      <c r="X899" s="4"/>
      <c r="Y899" s="4"/>
      <c r="Z899" s="4"/>
    </row>
    <row r="900" ht="9.75" customHeight="1">
      <c r="A900" s="4"/>
      <c r="B900" s="4"/>
      <c r="C900" s="4"/>
      <c r="D900" s="165"/>
      <c r="E900" s="165"/>
      <c r="F900" s="165"/>
      <c r="G900" s="165"/>
      <c r="H900" s="165"/>
      <c r="I900" s="4"/>
      <c r="J900" s="4"/>
      <c r="K900" s="4"/>
      <c r="L900" s="4"/>
      <c r="M900" s="4"/>
      <c r="N900" s="4"/>
      <c r="O900" s="4"/>
      <c r="P900" s="4"/>
      <c r="Q900" s="4"/>
      <c r="R900" s="4"/>
      <c r="S900" s="4"/>
      <c r="T900" s="4"/>
      <c r="U900" s="4"/>
      <c r="V900" s="4"/>
      <c r="W900" s="4"/>
      <c r="X900" s="4"/>
      <c r="Y900" s="4"/>
      <c r="Z900" s="4"/>
    </row>
    <row r="901" ht="9.75" customHeight="1">
      <c r="A901" s="4"/>
      <c r="B901" s="4"/>
      <c r="C901" s="4"/>
      <c r="D901" s="165"/>
      <c r="E901" s="165"/>
      <c r="F901" s="165"/>
      <c r="G901" s="165"/>
      <c r="H901" s="165"/>
      <c r="I901" s="4"/>
      <c r="J901" s="4"/>
      <c r="K901" s="4"/>
      <c r="L901" s="4"/>
      <c r="M901" s="4"/>
      <c r="N901" s="4"/>
      <c r="O901" s="4"/>
      <c r="P901" s="4"/>
      <c r="Q901" s="4"/>
      <c r="R901" s="4"/>
      <c r="S901" s="4"/>
      <c r="T901" s="4"/>
      <c r="U901" s="4"/>
      <c r="V901" s="4"/>
      <c r="W901" s="4"/>
      <c r="X901" s="4"/>
      <c r="Y901" s="4"/>
      <c r="Z901" s="4"/>
    </row>
    <row r="902" ht="9.75" customHeight="1">
      <c r="A902" s="4"/>
      <c r="B902" s="4"/>
      <c r="C902" s="4"/>
      <c r="D902" s="165"/>
      <c r="E902" s="165"/>
      <c r="F902" s="165"/>
      <c r="G902" s="165"/>
      <c r="H902" s="165"/>
      <c r="I902" s="4"/>
      <c r="J902" s="4"/>
      <c r="K902" s="4"/>
      <c r="L902" s="4"/>
      <c r="M902" s="4"/>
      <c r="N902" s="4"/>
      <c r="O902" s="4"/>
      <c r="P902" s="4"/>
      <c r="Q902" s="4"/>
      <c r="R902" s="4"/>
      <c r="S902" s="4"/>
      <c r="T902" s="4"/>
      <c r="U902" s="4"/>
      <c r="V902" s="4"/>
      <c r="W902" s="4"/>
      <c r="X902" s="4"/>
      <c r="Y902" s="4"/>
      <c r="Z902" s="4"/>
    </row>
    <row r="903" ht="9.75" customHeight="1">
      <c r="A903" s="4"/>
      <c r="B903" s="4"/>
      <c r="C903" s="4"/>
      <c r="D903" s="165"/>
      <c r="E903" s="165"/>
      <c r="F903" s="165"/>
      <c r="G903" s="165"/>
      <c r="H903" s="165"/>
      <c r="I903" s="4"/>
      <c r="J903" s="4"/>
      <c r="K903" s="4"/>
      <c r="L903" s="4"/>
      <c r="M903" s="4"/>
      <c r="N903" s="4"/>
      <c r="O903" s="4"/>
      <c r="P903" s="4"/>
      <c r="Q903" s="4"/>
      <c r="R903" s="4"/>
      <c r="S903" s="4"/>
      <c r="T903" s="4"/>
      <c r="U903" s="4"/>
      <c r="V903" s="4"/>
      <c r="W903" s="4"/>
      <c r="X903" s="4"/>
      <c r="Y903" s="4"/>
      <c r="Z903" s="4"/>
    </row>
    <row r="904" ht="9.75" customHeight="1">
      <c r="A904" s="4"/>
      <c r="B904" s="4"/>
      <c r="C904" s="4"/>
      <c r="D904" s="165"/>
      <c r="E904" s="165"/>
      <c r="F904" s="165"/>
      <c r="G904" s="165"/>
      <c r="H904" s="165"/>
      <c r="I904" s="4"/>
      <c r="J904" s="4"/>
      <c r="K904" s="4"/>
      <c r="L904" s="4"/>
      <c r="M904" s="4"/>
      <c r="N904" s="4"/>
      <c r="O904" s="4"/>
      <c r="P904" s="4"/>
      <c r="Q904" s="4"/>
      <c r="R904" s="4"/>
      <c r="S904" s="4"/>
      <c r="T904" s="4"/>
      <c r="U904" s="4"/>
      <c r="V904" s="4"/>
      <c r="W904" s="4"/>
      <c r="X904" s="4"/>
      <c r="Y904" s="4"/>
      <c r="Z904" s="4"/>
    </row>
    <row r="905" ht="9.75" customHeight="1">
      <c r="A905" s="4"/>
      <c r="B905" s="4"/>
      <c r="C905" s="4"/>
      <c r="D905" s="165"/>
      <c r="E905" s="165"/>
      <c r="F905" s="165"/>
      <c r="G905" s="165"/>
      <c r="H905" s="165"/>
      <c r="I905" s="4"/>
      <c r="J905" s="4"/>
      <c r="K905" s="4"/>
      <c r="L905" s="4"/>
      <c r="M905" s="4"/>
      <c r="N905" s="4"/>
      <c r="O905" s="4"/>
      <c r="P905" s="4"/>
      <c r="Q905" s="4"/>
      <c r="R905" s="4"/>
      <c r="S905" s="4"/>
      <c r="T905" s="4"/>
      <c r="U905" s="4"/>
      <c r="V905" s="4"/>
      <c r="W905" s="4"/>
      <c r="X905" s="4"/>
      <c r="Y905" s="4"/>
      <c r="Z905" s="4"/>
    </row>
    <row r="906" ht="9.75" customHeight="1">
      <c r="A906" s="4"/>
      <c r="B906" s="4"/>
      <c r="C906" s="4"/>
      <c r="D906" s="165"/>
      <c r="E906" s="165"/>
      <c r="F906" s="165"/>
      <c r="G906" s="165"/>
      <c r="H906" s="165"/>
      <c r="I906" s="4"/>
      <c r="J906" s="4"/>
      <c r="K906" s="4"/>
      <c r="L906" s="4"/>
      <c r="M906" s="4"/>
      <c r="N906" s="4"/>
      <c r="O906" s="4"/>
      <c r="P906" s="4"/>
      <c r="Q906" s="4"/>
      <c r="R906" s="4"/>
      <c r="S906" s="4"/>
      <c r="T906" s="4"/>
      <c r="U906" s="4"/>
      <c r="V906" s="4"/>
      <c r="W906" s="4"/>
      <c r="X906" s="4"/>
      <c r="Y906" s="4"/>
      <c r="Z906" s="4"/>
    </row>
    <row r="907" ht="9.75" customHeight="1">
      <c r="A907" s="4"/>
      <c r="B907" s="4"/>
      <c r="C907" s="4"/>
      <c r="D907" s="165"/>
      <c r="E907" s="165"/>
      <c r="F907" s="165"/>
      <c r="G907" s="165"/>
      <c r="H907" s="165"/>
      <c r="I907" s="4"/>
      <c r="J907" s="4"/>
      <c r="K907" s="4"/>
      <c r="L907" s="4"/>
      <c r="M907" s="4"/>
      <c r="N907" s="4"/>
      <c r="O907" s="4"/>
      <c r="P907" s="4"/>
      <c r="Q907" s="4"/>
      <c r="R907" s="4"/>
      <c r="S907" s="4"/>
      <c r="T907" s="4"/>
      <c r="U907" s="4"/>
      <c r="V907" s="4"/>
      <c r="W907" s="4"/>
      <c r="X907" s="4"/>
      <c r="Y907" s="4"/>
      <c r="Z907" s="4"/>
    </row>
    <row r="908" ht="9.75" customHeight="1">
      <c r="A908" s="4"/>
      <c r="B908" s="4"/>
      <c r="C908" s="4"/>
      <c r="D908" s="165"/>
      <c r="E908" s="165"/>
      <c r="F908" s="165"/>
      <c r="G908" s="165"/>
      <c r="H908" s="165"/>
      <c r="I908" s="4"/>
      <c r="J908" s="4"/>
      <c r="K908" s="4"/>
      <c r="L908" s="4"/>
      <c r="M908" s="4"/>
      <c r="N908" s="4"/>
      <c r="O908" s="4"/>
      <c r="P908" s="4"/>
      <c r="Q908" s="4"/>
      <c r="R908" s="4"/>
      <c r="S908" s="4"/>
      <c r="T908" s="4"/>
      <c r="U908" s="4"/>
      <c r="V908" s="4"/>
      <c r="W908" s="4"/>
      <c r="X908" s="4"/>
      <c r="Y908" s="4"/>
      <c r="Z908" s="4"/>
    </row>
    <row r="909" ht="9.75" customHeight="1">
      <c r="A909" s="4"/>
      <c r="B909" s="4"/>
      <c r="C909" s="4"/>
      <c r="D909" s="165"/>
      <c r="E909" s="165"/>
      <c r="F909" s="165"/>
      <c r="G909" s="165"/>
      <c r="H909" s="165"/>
      <c r="I909" s="4"/>
      <c r="J909" s="4"/>
      <c r="K909" s="4"/>
      <c r="L909" s="4"/>
      <c r="M909" s="4"/>
      <c r="N909" s="4"/>
      <c r="O909" s="4"/>
      <c r="P909" s="4"/>
      <c r="Q909" s="4"/>
      <c r="R909" s="4"/>
      <c r="S909" s="4"/>
      <c r="T909" s="4"/>
      <c r="U909" s="4"/>
      <c r="V909" s="4"/>
      <c r="W909" s="4"/>
      <c r="X909" s="4"/>
      <c r="Y909" s="4"/>
      <c r="Z909" s="4"/>
    </row>
    <row r="910" ht="9.75" customHeight="1">
      <c r="A910" s="4"/>
      <c r="B910" s="4"/>
      <c r="C910" s="4"/>
      <c r="D910" s="165"/>
      <c r="E910" s="165"/>
      <c r="F910" s="165"/>
      <c r="G910" s="165"/>
      <c r="H910" s="165"/>
      <c r="I910" s="4"/>
      <c r="J910" s="4"/>
      <c r="K910" s="4"/>
      <c r="L910" s="4"/>
      <c r="M910" s="4"/>
      <c r="N910" s="4"/>
      <c r="O910" s="4"/>
      <c r="P910" s="4"/>
      <c r="Q910" s="4"/>
      <c r="R910" s="4"/>
      <c r="S910" s="4"/>
      <c r="T910" s="4"/>
      <c r="U910" s="4"/>
      <c r="V910" s="4"/>
      <c r="W910" s="4"/>
      <c r="X910" s="4"/>
      <c r="Y910" s="4"/>
      <c r="Z910" s="4"/>
    </row>
    <row r="911" ht="9.75" customHeight="1">
      <c r="A911" s="4"/>
      <c r="B911" s="4"/>
      <c r="C911" s="4"/>
      <c r="D911" s="165"/>
      <c r="E911" s="165"/>
      <c r="F911" s="165"/>
      <c r="G911" s="165"/>
      <c r="H911" s="165"/>
      <c r="I911" s="4"/>
      <c r="J911" s="4"/>
      <c r="K911" s="4"/>
      <c r="L911" s="4"/>
      <c r="M911" s="4"/>
      <c r="N911" s="4"/>
      <c r="O911" s="4"/>
      <c r="P911" s="4"/>
      <c r="Q911" s="4"/>
      <c r="R911" s="4"/>
      <c r="S911" s="4"/>
      <c r="T911" s="4"/>
      <c r="U911" s="4"/>
      <c r="V911" s="4"/>
      <c r="W911" s="4"/>
      <c r="X911" s="4"/>
      <c r="Y911" s="4"/>
      <c r="Z911" s="4"/>
    </row>
    <row r="912" ht="9.75" customHeight="1">
      <c r="A912" s="4"/>
      <c r="B912" s="4"/>
      <c r="C912" s="4"/>
      <c r="D912" s="165"/>
      <c r="E912" s="165"/>
      <c r="F912" s="165"/>
      <c r="G912" s="165"/>
      <c r="H912" s="165"/>
      <c r="I912" s="4"/>
      <c r="J912" s="4"/>
      <c r="K912" s="4"/>
      <c r="L912" s="4"/>
      <c r="M912" s="4"/>
      <c r="N912" s="4"/>
      <c r="O912" s="4"/>
      <c r="P912" s="4"/>
      <c r="Q912" s="4"/>
      <c r="R912" s="4"/>
      <c r="S912" s="4"/>
      <c r="T912" s="4"/>
      <c r="U912" s="4"/>
      <c r="V912" s="4"/>
      <c r="W912" s="4"/>
      <c r="X912" s="4"/>
      <c r="Y912" s="4"/>
      <c r="Z912" s="4"/>
    </row>
    <row r="913" ht="9.75" customHeight="1">
      <c r="A913" s="4"/>
      <c r="B913" s="4"/>
      <c r="C913" s="4"/>
      <c r="D913" s="165"/>
      <c r="E913" s="165"/>
      <c r="F913" s="165"/>
      <c r="G913" s="165"/>
      <c r="H913" s="165"/>
      <c r="I913" s="4"/>
      <c r="J913" s="4"/>
      <c r="K913" s="4"/>
      <c r="L913" s="4"/>
      <c r="M913" s="4"/>
      <c r="N913" s="4"/>
      <c r="O913" s="4"/>
      <c r="P913" s="4"/>
      <c r="Q913" s="4"/>
      <c r="R913" s="4"/>
      <c r="S913" s="4"/>
      <c r="T913" s="4"/>
      <c r="U913" s="4"/>
      <c r="V913" s="4"/>
      <c r="W913" s="4"/>
      <c r="X913" s="4"/>
      <c r="Y913" s="4"/>
      <c r="Z913" s="4"/>
    </row>
    <row r="914" ht="9.75" customHeight="1">
      <c r="A914" s="4"/>
      <c r="B914" s="4"/>
      <c r="C914" s="4"/>
      <c r="D914" s="165"/>
      <c r="E914" s="165"/>
      <c r="F914" s="165"/>
      <c r="G914" s="165"/>
      <c r="H914" s="165"/>
      <c r="I914" s="4"/>
      <c r="J914" s="4"/>
      <c r="K914" s="4"/>
      <c r="L914" s="4"/>
      <c r="M914" s="4"/>
      <c r="N914" s="4"/>
      <c r="O914" s="4"/>
      <c r="P914" s="4"/>
      <c r="Q914" s="4"/>
      <c r="R914" s="4"/>
      <c r="S914" s="4"/>
      <c r="T914" s="4"/>
      <c r="U914" s="4"/>
      <c r="V914" s="4"/>
      <c r="W914" s="4"/>
      <c r="X914" s="4"/>
      <c r="Y914" s="4"/>
      <c r="Z914" s="4"/>
    </row>
    <row r="915" ht="9.75" customHeight="1">
      <c r="A915" s="4"/>
      <c r="B915" s="4"/>
      <c r="C915" s="4"/>
      <c r="D915" s="165"/>
      <c r="E915" s="165"/>
      <c r="F915" s="165"/>
      <c r="G915" s="165"/>
      <c r="H915" s="165"/>
      <c r="I915" s="4"/>
      <c r="J915" s="4"/>
      <c r="K915" s="4"/>
      <c r="L915" s="4"/>
      <c r="M915" s="4"/>
      <c r="N915" s="4"/>
      <c r="O915" s="4"/>
      <c r="P915" s="4"/>
      <c r="Q915" s="4"/>
      <c r="R915" s="4"/>
      <c r="S915" s="4"/>
      <c r="T915" s="4"/>
      <c r="U915" s="4"/>
      <c r="V915" s="4"/>
      <c r="W915" s="4"/>
      <c r="X915" s="4"/>
      <c r="Y915" s="4"/>
      <c r="Z915" s="4"/>
    </row>
    <row r="916" ht="9.75" customHeight="1">
      <c r="A916" s="4"/>
      <c r="B916" s="4"/>
      <c r="C916" s="4"/>
      <c r="D916" s="165"/>
      <c r="E916" s="165"/>
      <c r="F916" s="165"/>
      <c r="G916" s="165"/>
      <c r="H916" s="165"/>
      <c r="I916" s="4"/>
      <c r="J916" s="4"/>
      <c r="K916" s="4"/>
      <c r="L916" s="4"/>
      <c r="M916" s="4"/>
      <c r="N916" s="4"/>
      <c r="O916" s="4"/>
      <c r="P916" s="4"/>
      <c r="Q916" s="4"/>
      <c r="R916" s="4"/>
      <c r="S916" s="4"/>
      <c r="T916" s="4"/>
      <c r="U916" s="4"/>
      <c r="V916" s="4"/>
      <c r="W916" s="4"/>
      <c r="X916" s="4"/>
      <c r="Y916" s="4"/>
      <c r="Z916" s="4"/>
    </row>
    <row r="917" ht="9.75" customHeight="1">
      <c r="A917" s="4"/>
      <c r="B917" s="4"/>
      <c r="C917" s="4"/>
      <c r="D917" s="165"/>
      <c r="E917" s="165"/>
      <c r="F917" s="165"/>
      <c r="G917" s="165"/>
      <c r="H917" s="165"/>
      <c r="I917" s="4"/>
      <c r="J917" s="4"/>
      <c r="K917" s="4"/>
      <c r="L917" s="4"/>
      <c r="M917" s="4"/>
      <c r="N917" s="4"/>
      <c r="O917" s="4"/>
      <c r="P917" s="4"/>
      <c r="Q917" s="4"/>
      <c r="R917" s="4"/>
      <c r="S917" s="4"/>
      <c r="T917" s="4"/>
      <c r="U917" s="4"/>
      <c r="V917" s="4"/>
      <c r="W917" s="4"/>
      <c r="X917" s="4"/>
      <c r="Y917" s="4"/>
      <c r="Z917" s="4"/>
    </row>
    <row r="918" ht="9.75" customHeight="1">
      <c r="A918" s="4"/>
      <c r="B918" s="4"/>
      <c r="C918" s="4"/>
      <c r="D918" s="165"/>
      <c r="E918" s="165"/>
      <c r="F918" s="165"/>
      <c r="G918" s="165"/>
      <c r="H918" s="165"/>
      <c r="I918" s="4"/>
      <c r="J918" s="4"/>
      <c r="K918" s="4"/>
      <c r="L918" s="4"/>
      <c r="M918" s="4"/>
      <c r="N918" s="4"/>
      <c r="O918" s="4"/>
      <c r="P918" s="4"/>
      <c r="Q918" s="4"/>
      <c r="R918" s="4"/>
      <c r="S918" s="4"/>
      <c r="T918" s="4"/>
      <c r="U918" s="4"/>
      <c r="V918" s="4"/>
      <c r="W918" s="4"/>
      <c r="X918" s="4"/>
      <c r="Y918" s="4"/>
      <c r="Z918" s="4"/>
    </row>
    <row r="919" ht="9.75" customHeight="1">
      <c r="A919" s="4"/>
      <c r="B919" s="4"/>
      <c r="C919" s="4"/>
      <c r="D919" s="165"/>
      <c r="E919" s="165"/>
      <c r="F919" s="165"/>
      <c r="G919" s="165"/>
      <c r="H919" s="165"/>
      <c r="I919" s="4"/>
      <c r="J919" s="4"/>
      <c r="K919" s="4"/>
      <c r="L919" s="4"/>
      <c r="M919" s="4"/>
      <c r="N919" s="4"/>
      <c r="O919" s="4"/>
      <c r="P919" s="4"/>
      <c r="Q919" s="4"/>
      <c r="R919" s="4"/>
      <c r="S919" s="4"/>
      <c r="T919" s="4"/>
      <c r="U919" s="4"/>
      <c r="V919" s="4"/>
      <c r="W919" s="4"/>
      <c r="X919" s="4"/>
      <c r="Y919" s="4"/>
      <c r="Z919" s="4"/>
    </row>
    <row r="920" ht="9.75" customHeight="1">
      <c r="A920" s="4"/>
      <c r="B920" s="4"/>
      <c r="C920" s="4"/>
      <c r="D920" s="165"/>
      <c r="E920" s="165"/>
      <c r="F920" s="165"/>
      <c r="G920" s="165"/>
      <c r="H920" s="165"/>
      <c r="I920" s="4"/>
      <c r="J920" s="4"/>
      <c r="K920" s="4"/>
      <c r="L920" s="4"/>
      <c r="M920" s="4"/>
      <c r="N920" s="4"/>
      <c r="O920" s="4"/>
      <c r="P920" s="4"/>
      <c r="Q920" s="4"/>
      <c r="R920" s="4"/>
      <c r="S920" s="4"/>
      <c r="T920" s="4"/>
      <c r="U920" s="4"/>
      <c r="V920" s="4"/>
      <c r="W920" s="4"/>
      <c r="X920" s="4"/>
      <c r="Y920" s="4"/>
      <c r="Z920" s="4"/>
    </row>
    <row r="921" ht="9.75" customHeight="1">
      <c r="A921" s="4"/>
      <c r="B921" s="4"/>
      <c r="C921" s="4"/>
      <c r="D921" s="165"/>
      <c r="E921" s="165"/>
      <c r="F921" s="165"/>
      <c r="G921" s="165"/>
      <c r="H921" s="165"/>
      <c r="I921" s="4"/>
      <c r="J921" s="4"/>
      <c r="K921" s="4"/>
      <c r="L921" s="4"/>
      <c r="M921" s="4"/>
      <c r="N921" s="4"/>
      <c r="O921" s="4"/>
      <c r="P921" s="4"/>
      <c r="Q921" s="4"/>
      <c r="R921" s="4"/>
      <c r="S921" s="4"/>
      <c r="T921" s="4"/>
      <c r="U921" s="4"/>
      <c r="V921" s="4"/>
      <c r="W921" s="4"/>
      <c r="X921" s="4"/>
      <c r="Y921" s="4"/>
      <c r="Z921" s="4"/>
    </row>
    <row r="922" ht="9.75" customHeight="1">
      <c r="A922" s="4"/>
      <c r="B922" s="4"/>
      <c r="C922" s="4"/>
      <c r="D922" s="165"/>
      <c r="E922" s="165"/>
      <c r="F922" s="165"/>
      <c r="G922" s="165"/>
      <c r="H922" s="165"/>
      <c r="I922" s="4"/>
      <c r="J922" s="4"/>
      <c r="K922" s="4"/>
      <c r="L922" s="4"/>
      <c r="M922" s="4"/>
      <c r="N922" s="4"/>
      <c r="O922" s="4"/>
      <c r="P922" s="4"/>
      <c r="Q922" s="4"/>
      <c r="R922" s="4"/>
      <c r="S922" s="4"/>
      <c r="T922" s="4"/>
      <c r="U922" s="4"/>
      <c r="V922" s="4"/>
      <c r="W922" s="4"/>
      <c r="X922" s="4"/>
      <c r="Y922" s="4"/>
      <c r="Z922" s="4"/>
    </row>
    <row r="923" ht="9.75" customHeight="1">
      <c r="A923" s="4"/>
      <c r="B923" s="4"/>
      <c r="C923" s="4"/>
      <c r="D923" s="165"/>
      <c r="E923" s="165"/>
      <c r="F923" s="165"/>
      <c r="G923" s="165"/>
      <c r="H923" s="165"/>
      <c r="I923" s="4"/>
      <c r="J923" s="4"/>
      <c r="K923" s="4"/>
      <c r="L923" s="4"/>
      <c r="M923" s="4"/>
      <c r="N923" s="4"/>
      <c r="O923" s="4"/>
      <c r="P923" s="4"/>
      <c r="Q923" s="4"/>
      <c r="R923" s="4"/>
      <c r="S923" s="4"/>
      <c r="T923" s="4"/>
      <c r="U923" s="4"/>
      <c r="V923" s="4"/>
      <c r="W923" s="4"/>
      <c r="X923" s="4"/>
      <c r="Y923" s="4"/>
      <c r="Z923" s="4"/>
    </row>
    <row r="924" ht="9.75" customHeight="1">
      <c r="A924" s="4"/>
      <c r="B924" s="4"/>
      <c r="C924" s="4"/>
      <c r="D924" s="165"/>
      <c r="E924" s="165"/>
      <c r="F924" s="165"/>
      <c r="G924" s="165"/>
      <c r="H924" s="165"/>
      <c r="I924" s="4"/>
      <c r="J924" s="4"/>
      <c r="K924" s="4"/>
      <c r="L924" s="4"/>
      <c r="M924" s="4"/>
      <c r="N924" s="4"/>
      <c r="O924" s="4"/>
      <c r="P924" s="4"/>
      <c r="Q924" s="4"/>
      <c r="R924" s="4"/>
      <c r="S924" s="4"/>
      <c r="T924" s="4"/>
      <c r="U924" s="4"/>
      <c r="V924" s="4"/>
      <c r="W924" s="4"/>
      <c r="X924" s="4"/>
      <c r="Y924" s="4"/>
      <c r="Z924" s="4"/>
    </row>
    <row r="925" ht="9.75" customHeight="1">
      <c r="A925" s="4"/>
      <c r="B925" s="4"/>
      <c r="C925" s="4"/>
      <c r="D925" s="165"/>
      <c r="E925" s="165"/>
      <c r="F925" s="165"/>
      <c r="G925" s="165"/>
      <c r="H925" s="165"/>
      <c r="I925" s="4"/>
      <c r="J925" s="4"/>
      <c r="K925" s="4"/>
      <c r="L925" s="4"/>
      <c r="M925" s="4"/>
      <c r="N925" s="4"/>
      <c r="O925" s="4"/>
      <c r="P925" s="4"/>
      <c r="Q925" s="4"/>
      <c r="R925" s="4"/>
      <c r="S925" s="4"/>
      <c r="T925" s="4"/>
      <c r="U925" s="4"/>
      <c r="V925" s="4"/>
      <c r="W925" s="4"/>
      <c r="X925" s="4"/>
      <c r="Y925" s="4"/>
      <c r="Z925" s="4"/>
    </row>
    <row r="926" ht="9.75" customHeight="1">
      <c r="A926" s="4"/>
      <c r="B926" s="4"/>
      <c r="C926" s="4"/>
      <c r="D926" s="165"/>
      <c r="E926" s="165"/>
      <c r="F926" s="165"/>
      <c r="G926" s="165"/>
      <c r="H926" s="165"/>
      <c r="I926" s="4"/>
      <c r="J926" s="4"/>
      <c r="K926" s="4"/>
      <c r="L926" s="4"/>
      <c r="M926" s="4"/>
      <c r="N926" s="4"/>
      <c r="O926" s="4"/>
      <c r="P926" s="4"/>
      <c r="Q926" s="4"/>
      <c r="R926" s="4"/>
      <c r="S926" s="4"/>
      <c r="T926" s="4"/>
      <c r="U926" s="4"/>
      <c r="V926" s="4"/>
      <c r="W926" s="4"/>
      <c r="X926" s="4"/>
      <c r="Y926" s="4"/>
      <c r="Z926" s="4"/>
    </row>
    <row r="927" ht="9.75" customHeight="1">
      <c r="A927" s="4"/>
      <c r="B927" s="4"/>
      <c r="C927" s="4"/>
      <c r="D927" s="165"/>
      <c r="E927" s="165"/>
      <c r="F927" s="165"/>
      <c r="G927" s="165"/>
      <c r="H927" s="165"/>
      <c r="I927" s="4"/>
      <c r="J927" s="4"/>
      <c r="K927" s="4"/>
      <c r="L927" s="4"/>
      <c r="M927" s="4"/>
      <c r="N927" s="4"/>
      <c r="O927" s="4"/>
      <c r="P927" s="4"/>
      <c r="Q927" s="4"/>
      <c r="R927" s="4"/>
      <c r="S927" s="4"/>
      <c r="T927" s="4"/>
      <c r="U927" s="4"/>
      <c r="V927" s="4"/>
      <c r="W927" s="4"/>
      <c r="X927" s="4"/>
      <c r="Y927" s="4"/>
      <c r="Z927" s="4"/>
    </row>
    <row r="928" ht="9.75" customHeight="1">
      <c r="A928" s="4"/>
      <c r="B928" s="4"/>
      <c r="C928" s="4"/>
      <c r="D928" s="165"/>
      <c r="E928" s="165"/>
      <c r="F928" s="165"/>
      <c r="G928" s="165"/>
      <c r="H928" s="165"/>
      <c r="I928" s="4"/>
      <c r="J928" s="4"/>
      <c r="K928" s="4"/>
      <c r="L928" s="4"/>
      <c r="M928" s="4"/>
      <c r="N928" s="4"/>
      <c r="O928" s="4"/>
      <c r="P928" s="4"/>
      <c r="Q928" s="4"/>
      <c r="R928" s="4"/>
      <c r="S928" s="4"/>
      <c r="T928" s="4"/>
      <c r="U928" s="4"/>
      <c r="V928" s="4"/>
      <c r="W928" s="4"/>
      <c r="X928" s="4"/>
      <c r="Y928" s="4"/>
      <c r="Z928" s="4"/>
    </row>
    <row r="929" ht="9.75" customHeight="1">
      <c r="A929" s="4"/>
      <c r="B929" s="4"/>
      <c r="C929" s="4"/>
      <c r="D929" s="165"/>
      <c r="E929" s="165"/>
      <c r="F929" s="165"/>
      <c r="G929" s="165"/>
      <c r="H929" s="165"/>
      <c r="I929" s="4"/>
      <c r="J929" s="4"/>
      <c r="K929" s="4"/>
      <c r="L929" s="4"/>
      <c r="M929" s="4"/>
      <c r="N929" s="4"/>
      <c r="O929" s="4"/>
      <c r="P929" s="4"/>
      <c r="Q929" s="4"/>
      <c r="R929" s="4"/>
      <c r="S929" s="4"/>
      <c r="T929" s="4"/>
      <c r="U929" s="4"/>
      <c r="V929" s="4"/>
      <c r="W929" s="4"/>
      <c r="X929" s="4"/>
      <c r="Y929" s="4"/>
      <c r="Z929" s="4"/>
    </row>
    <row r="930" ht="9.75" customHeight="1">
      <c r="A930" s="4"/>
      <c r="B930" s="4"/>
      <c r="C930" s="4"/>
      <c r="D930" s="165"/>
      <c r="E930" s="165"/>
      <c r="F930" s="165"/>
      <c r="G930" s="165"/>
      <c r="H930" s="165"/>
      <c r="I930" s="4"/>
      <c r="J930" s="4"/>
      <c r="K930" s="4"/>
      <c r="L930" s="4"/>
      <c r="M930" s="4"/>
      <c r="N930" s="4"/>
      <c r="O930" s="4"/>
      <c r="P930" s="4"/>
      <c r="Q930" s="4"/>
      <c r="R930" s="4"/>
      <c r="S930" s="4"/>
      <c r="T930" s="4"/>
      <c r="U930" s="4"/>
      <c r="V930" s="4"/>
      <c r="W930" s="4"/>
      <c r="X930" s="4"/>
      <c r="Y930" s="4"/>
      <c r="Z930" s="4"/>
    </row>
    <row r="931" ht="9.75" customHeight="1">
      <c r="A931" s="4"/>
      <c r="B931" s="4"/>
      <c r="C931" s="4"/>
      <c r="D931" s="165"/>
      <c r="E931" s="165"/>
      <c r="F931" s="165"/>
      <c r="G931" s="165"/>
      <c r="H931" s="165"/>
      <c r="I931" s="4"/>
      <c r="J931" s="4"/>
      <c r="K931" s="4"/>
      <c r="L931" s="4"/>
      <c r="M931" s="4"/>
      <c r="N931" s="4"/>
      <c r="O931" s="4"/>
      <c r="P931" s="4"/>
      <c r="Q931" s="4"/>
      <c r="R931" s="4"/>
      <c r="S931" s="4"/>
      <c r="T931" s="4"/>
      <c r="U931" s="4"/>
      <c r="V931" s="4"/>
      <c r="W931" s="4"/>
      <c r="X931" s="4"/>
      <c r="Y931" s="4"/>
      <c r="Z931" s="4"/>
    </row>
    <row r="932" ht="9.75" customHeight="1">
      <c r="A932" s="4"/>
      <c r="B932" s="4"/>
      <c r="C932" s="4"/>
      <c r="D932" s="165"/>
      <c r="E932" s="165"/>
      <c r="F932" s="165"/>
      <c r="G932" s="165"/>
      <c r="H932" s="165"/>
      <c r="I932" s="4"/>
      <c r="J932" s="4"/>
      <c r="K932" s="4"/>
      <c r="L932" s="4"/>
      <c r="M932" s="4"/>
      <c r="N932" s="4"/>
      <c r="O932" s="4"/>
      <c r="P932" s="4"/>
      <c r="Q932" s="4"/>
      <c r="R932" s="4"/>
      <c r="S932" s="4"/>
      <c r="T932" s="4"/>
      <c r="U932" s="4"/>
      <c r="V932" s="4"/>
      <c r="W932" s="4"/>
      <c r="X932" s="4"/>
      <c r="Y932" s="4"/>
      <c r="Z932" s="4"/>
    </row>
    <row r="933" ht="9.75" customHeight="1">
      <c r="A933" s="4"/>
      <c r="B933" s="4"/>
      <c r="C933" s="4"/>
      <c r="D933" s="165"/>
      <c r="E933" s="165"/>
      <c r="F933" s="165"/>
      <c r="G933" s="165"/>
      <c r="H933" s="165"/>
      <c r="I933" s="4"/>
      <c r="J933" s="4"/>
      <c r="K933" s="4"/>
      <c r="L933" s="4"/>
      <c r="M933" s="4"/>
      <c r="N933" s="4"/>
      <c r="O933" s="4"/>
      <c r="P933" s="4"/>
      <c r="Q933" s="4"/>
      <c r="R933" s="4"/>
      <c r="S933" s="4"/>
      <c r="T933" s="4"/>
      <c r="U933" s="4"/>
      <c r="V933" s="4"/>
      <c r="W933" s="4"/>
      <c r="X933" s="4"/>
      <c r="Y933" s="4"/>
      <c r="Z933" s="4"/>
    </row>
    <row r="934" ht="9.75" customHeight="1">
      <c r="A934" s="4"/>
      <c r="B934" s="4"/>
      <c r="C934" s="4"/>
      <c r="D934" s="165"/>
      <c r="E934" s="165"/>
      <c r="F934" s="165"/>
      <c r="G934" s="165"/>
      <c r="H934" s="165"/>
      <c r="I934" s="4"/>
      <c r="J934" s="4"/>
      <c r="K934" s="4"/>
      <c r="L934" s="4"/>
      <c r="M934" s="4"/>
      <c r="N934" s="4"/>
      <c r="O934" s="4"/>
      <c r="P934" s="4"/>
      <c r="Q934" s="4"/>
      <c r="R934" s="4"/>
      <c r="S934" s="4"/>
      <c r="T934" s="4"/>
      <c r="U934" s="4"/>
      <c r="V934" s="4"/>
      <c r="W934" s="4"/>
      <c r="X934" s="4"/>
      <c r="Y934" s="4"/>
      <c r="Z934" s="4"/>
    </row>
    <row r="935" ht="9.75" customHeight="1">
      <c r="A935" s="4"/>
      <c r="B935" s="4"/>
      <c r="C935" s="4"/>
      <c r="D935" s="165"/>
      <c r="E935" s="165"/>
      <c r="F935" s="165"/>
      <c r="G935" s="165"/>
      <c r="H935" s="165"/>
      <c r="I935" s="4"/>
      <c r="J935" s="4"/>
      <c r="K935" s="4"/>
      <c r="L935" s="4"/>
      <c r="M935" s="4"/>
      <c r="N935" s="4"/>
      <c r="O935" s="4"/>
      <c r="P935" s="4"/>
      <c r="Q935" s="4"/>
      <c r="R935" s="4"/>
      <c r="S935" s="4"/>
      <c r="T935" s="4"/>
      <c r="U935" s="4"/>
      <c r="V935" s="4"/>
      <c r="W935" s="4"/>
      <c r="X935" s="4"/>
      <c r="Y935" s="4"/>
      <c r="Z935" s="4"/>
    </row>
    <row r="936" ht="9.75" customHeight="1">
      <c r="A936" s="4"/>
      <c r="B936" s="4"/>
      <c r="C936" s="4"/>
      <c r="D936" s="165"/>
      <c r="E936" s="165"/>
      <c r="F936" s="165"/>
      <c r="G936" s="165"/>
      <c r="H936" s="165"/>
      <c r="I936" s="4"/>
      <c r="J936" s="4"/>
      <c r="K936" s="4"/>
      <c r="L936" s="4"/>
      <c r="M936" s="4"/>
      <c r="N936" s="4"/>
      <c r="O936" s="4"/>
      <c r="P936" s="4"/>
      <c r="Q936" s="4"/>
      <c r="R936" s="4"/>
      <c r="S936" s="4"/>
      <c r="T936" s="4"/>
      <c r="U936" s="4"/>
      <c r="V936" s="4"/>
      <c r="W936" s="4"/>
      <c r="X936" s="4"/>
      <c r="Y936" s="4"/>
      <c r="Z936" s="4"/>
    </row>
    <row r="937" ht="9.75" customHeight="1">
      <c r="A937" s="4"/>
      <c r="B937" s="4"/>
      <c r="C937" s="4"/>
      <c r="D937" s="165"/>
      <c r="E937" s="165"/>
      <c r="F937" s="165"/>
      <c r="G937" s="165"/>
      <c r="H937" s="165"/>
      <c r="I937" s="4"/>
      <c r="J937" s="4"/>
      <c r="K937" s="4"/>
      <c r="L937" s="4"/>
      <c r="M937" s="4"/>
      <c r="N937" s="4"/>
      <c r="O937" s="4"/>
      <c r="P937" s="4"/>
      <c r="Q937" s="4"/>
      <c r="R937" s="4"/>
      <c r="S937" s="4"/>
      <c r="T937" s="4"/>
      <c r="U937" s="4"/>
      <c r="V937" s="4"/>
      <c r="W937" s="4"/>
      <c r="X937" s="4"/>
      <c r="Y937" s="4"/>
      <c r="Z937" s="4"/>
    </row>
    <row r="938" ht="9.75" customHeight="1">
      <c r="A938" s="4"/>
      <c r="B938" s="4"/>
      <c r="C938" s="4"/>
      <c r="D938" s="165"/>
      <c r="E938" s="165"/>
      <c r="F938" s="165"/>
      <c r="G938" s="165"/>
      <c r="H938" s="165"/>
      <c r="I938" s="4"/>
      <c r="J938" s="4"/>
      <c r="K938" s="4"/>
      <c r="L938" s="4"/>
      <c r="M938" s="4"/>
      <c r="N938" s="4"/>
      <c r="O938" s="4"/>
      <c r="P938" s="4"/>
      <c r="Q938" s="4"/>
      <c r="R938" s="4"/>
      <c r="S938" s="4"/>
      <c r="T938" s="4"/>
      <c r="U938" s="4"/>
      <c r="V938" s="4"/>
      <c r="W938" s="4"/>
      <c r="X938" s="4"/>
      <c r="Y938" s="4"/>
      <c r="Z938" s="4"/>
    </row>
    <row r="939" ht="9.75" customHeight="1">
      <c r="A939" s="4"/>
      <c r="B939" s="4"/>
      <c r="C939" s="4"/>
      <c r="D939" s="165"/>
      <c r="E939" s="165"/>
      <c r="F939" s="165"/>
      <c r="G939" s="165"/>
      <c r="H939" s="165"/>
      <c r="I939" s="4"/>
      <c r="J939" s="4"/>
      <c r="K939" s="4"/>
      <c r="L939" s="4"/>
      <c r="M939" s="4"/>
      <c r="N939" s="4"/>
      <c r="O939" s="4"/>
      <c r="P939" s="4"/>
      <c r="Q939" s="4"/>
      <c r="R939" s="4"/>
      <c r="S939" s="4"/>
      <c r="T939" s="4"/>
      <c r="U939" s="4"/>
      <c r="V939" s="4"/>
      <c r="W939" s="4"/>
      <c r="X939" s="4"/>
      <c r="Y939" s="4"/>
      <c r="Z939" s="4"/>
    </row>
    <row r="940" ht="9.75" customHeight="1">
      <c r="A940" s="4"/>
      <c r="B940" s="4"/>
      <c r="C940" s="4"/>
      <c r="D940" s="165"/>
      <c r="E940" s="165"/>
      <c r="F940" s="165"/>
      <c r="G940" s="165"/>
      <c r="H940" s="165"/>
      <c r="I940" s="4"/>
      <c r="J940" s="4"/>
      <c r="K940" s="4"/>
      <c r="L940" s="4"/>
      <c r="M940" s="4"/>
      <c r="N940" s="4"/>
      <c r="O940" s="4"/>
      <c r="P940" s="4"/>
      <c r="Q940" s="4"/>
      <c r="R940" s="4"/>
      <c r="S940" s="4"/>
      <c r="T940" s="4"/>
      <c r="U940" s="4"/>
      <c r="V940" s="4"/>
      <c r="W940" s="4"/>
      <c r="X940" s="4"/>
      <c r="Y940" s="4"/>
      <c r="Z940" s="4"/>
    </row>
    <row r="941" ht="9.75" customHeight="1">
      <c r="A941" s="4"/>
      <c r="B941" s="4"/>
      <c r="C941" s="4"/>
      <c r="D941" s="165"/>
      <c r="E941" s="165"/>
      <c r="F941" s="165"/>
      <c r="G941" s="165"/>
      <c r="H941" s="165"/>
      <c r="I941" s="4"/>
      <c r="J941" s="4"/>
      <c r="K941" s="4"/>
      <c r="L941" s="4"/>
      <c r="M941" s="4"/>
      <c r="N941" s="4"/>
      <c r="O941" s="4"/>
      <c r="P941" s="4"/>
      <c r="Q941" s="4"/>
      <c r="R941" s="4"/>
      <c r="S941" s="4"/>
      <c r="T941" s="4"/>
      <c r="U941" s="4"/>
      <c r="V941" s="4"/>
      <c r="W941" s="4"/>
      <c r="X941" s="4"/>
      <c r="Y941" s="4"/>
      <c r="Z941" s="4"/>
    </row>
    <row r="942" ht="9.75" customHeight="1">
      <c r="A942" s="4"/>
      <c r="B942" s="4"/>
      <c r="C942" s="4"/>
      <c r="D942" s="165"/>
      <c r="E942" s="165"/>
      <c r="F942" s="165"/>
      <c r="G942" s="165"/>
      <c r="H942" s="165"/>
      <c r="I942" s="4"/>
      <c r="J942" s="4"/>
      <c r="K942" s="4"/>
      <c r="L942" s="4"/>
      <c r="M942" s="4"/>
      <c r="N942" s="4"/>
      <c r="O942" s="4"/>
      <c r="P942" s="4"/>
      <c r="Q942" s="4"/>
      <c r="R942" s="4"/>
      <c r="S942" s="4"/>
      <c r="T942" s="4"/>
      <c r="U942" s="4"/>
      <c r="V942" s="4"/>
      <c r="W942" s="4"/>
      <c r="X942" s="4"/>
      <c r="Y942" s="4"/>
      <c r="Z942" s="4"/>
    </row>
    <row r="943" ht="9.75" customHeight="1">
      <c r="A943" s="4"/>
      <c r="B943" s="4"/>
      <c r="C943" s="4"/>
      <c r="D943" s="165"/>
      <c r="E943" s="165"/>
      <c r="F943" s="165"/>
      <c r="G943" s="165"/>
      <c r="H943" s="165"/>
      <c r="I943" s="4"/>
      <c r="J943" s="4"/>
      <c r="K943" s="4"/>
      <c r="L943" s="4"/>
      <c r="M943" s="4"/>
      <c r="N943" s="4"/>
      <c r="O943" s="4"/>
      <c r="P943" s="4"/>
      <c r="Q943" s="4"/>
      <c r="R943" s="4"/>
      <c r="S943" s="4"/>
      <c r="T943" s="4"/>
      <c r="U943" s="4"/>
      <c r="V943" s="4"/>
      <c r="W943" s="4"/>
      <c r="X943" s="4"/>
      <c r="Y943" s="4"/>
      <c r="Z943" s="4"/>
    </row>
    <row r="944" ht="9.75" customHeight="1">
      <c r="A944" s="4"/>
      <c r="B944" s="4"/>
      <c r="C944" s="4"/>
      <c r="D944" s="165"/>
      <c r="E944" s="165"/>
      <c r="F944" s="165"/>
      <c r="G944" s="165"/>
      <c r="H944" s="165"/>
      <c r="I944" s="4"/>
      <c r="J944" s="4"/>
      <c r="K944" s="4"/>
      <c r="L944" s="4"/>
      <c r="M944" s="4"/>
      <c r="N944" s="4"/>
      <c r="O944" s="4"/>
      <c r="P944" s="4"/>
      <c r="Q944" s="4"/>
      <c r="R944" s="4"/>
      <c r="S944" s="4"/>
      <c r="T944" s="4"/>
      <c r="U944" s="4"/>
      <c r="V944" s="4"/>
      <c r="W944" s="4"/>
      <c r="X944" s="4"/>
      <c r="Y944" s="4"/>
      <c r="Z944" s="4"/>
    </row>
    <row r="945" ht="9.75" customHeight="1">
      <c r="A945" s="4"/>
      <c r="B945" s="4"/>
      <c r="C945" s="4"/>
      <c r="D945" s="165"/>
      <c r="E945" s="165"/>
      <c r="F945" s="165"/>
      <c r="G945" s="165"/>
      <c r="H945" s="165"/>
      <c r="I945" s="4"/>
      <c r="J945" s="4"/>
      <c r="K945" s="4"/>
      <c r="L945" s="4"/>
      <c r="M945" s="4"/>
      <c r="N945" s="4"/>
      <c r="O945" s="4"/>
      <c r="P945" s="4"/>
      <c r="Q945" s="4"/>
      <c r="R945" s="4"/>
      <c r="S945" s="4"/>
      <c r="T945" s="4"/>
      <c r="U945" s="4"/>
      <c r="V945" s="4"/>
      <c r="W945" s="4"/>
      <c r="X945" s="4"/>
      <c r="Y945" s="4"/>
      <c r="Z945" s="4"/>
    </row>
    <row r="946" ht="9.75" customHeight="1">
      <c r="A946" s="4"/>
      <c r="B946" s="4"/>
      <c r="C946" s="4"/>
      <c r="D946" s="165"/>
      <c r="E946" s="165"/>
      <c r="F946" s="165"/>
      <c r="G946" s="165"/>
      <c r="H946" s="165"/>
      <c r="I946" s="4"/>
      <c r="J946" s="4"/>
      <c r="K946" s="4"/>
      <c r="L946" s="4"/>
      <c r="M946" s="4"/>
      <c r="N946" s="4"/>
      <c r="O946" s="4"/>
      <c r="P946" s="4"/>
      <c r="Q946" s="4"/>
      <c r="R946" s="4"/>
      <c r="S946" s="4"/>
      <c r="T946" s="4"/>
      <c r="U946" s="4"/>
      <c r="V946" s="4"/>
      <c r="W946" s="4"/>
      <c r="X946" s="4"/>
      <c r="Y946" s="4"/>
      <c r="Z946" s="4"/>
    </row>
    <row r="947" ht="9.75" customHeight="1">
      <c r="A947" s="4"/>
      <c r="B947" s="4"/>
      <c r="C947" s="4"/>
      <c r="D947" s="165"/>
      <c r="E947" s="165"/>
      <c r="F947" s="165"/>
      <c r="G947" s="165"/>
      <c r="H947" s="165"/>
      <c r="I947" s="4"/>
      <c r="J947" s="4"/>
      <c r="K947" s="4"/>
      <c r="L947" s="4"/>
      <c r="M947" s="4"/>
      <c r="N947" s="4"/>
      <c r="O947" s="4"/>
      <c r="P947" s="4"/>
      <c r="Q947" s="4"/>
      <c r="R947" s="4"/>
      <c r="S947" s="4"/>
      <c r="T947" s="4"/>
      <c r="U947" s="4"/>
      <c r="V947" s="4"/>
      <c r="W947" s="4"/>
      <c r="X947" s="4"/>
      <c r="Y947" s="4"/>
      <c r="Z947" s="4"/>
    </row>
    <row r="948" ht="9.75" customHeight="1">
      <c r="A948" s="4"/>
      <c r="B948" s="4"/>
      <c r="C948" s="4"/>
      <c r="D948" s="165"/>
      <c r="E948" s="165"/>
      <c r="F948" s="165"/>
      <c r="G948" s="165"/>
      <c r="H948" s="165"/>
      <c r="I948" s="4"/>
      <c r="J948" s="4"/>
      <c r="K948" s="4"/>
      <c r="L948" s="4"/>
      <c r="M948" s="4"/>
      <c r="N948" s="4"/>
      <c r="O948" s="4"/>
      <c r="P948" s="4"/>
      <c r="Q948" s="4"/>
      <c r="R948" s="4"/>
      <c r="S948" s="4"/>
      <c r="T948" s="4"/>
      <c r="U948" s="4"/>
      <c r="V948" s="4"/>
      <c r="W948" s="4"/>
      <c r="X948" s="4"/>
      <c r="Y948" s="4"/>
      <c r="Z948" s="4"/>
    </row>
    <row r="949" ht="9.75" customHeight="1">
      <c r="A949" s="4"/>
      <c r="B949" s="4"/>
      <c r="C949" s="4"/>
      <c r="D949" s="165"/>
      <c r="E949" s="165"/>
      <c r="F949" s="165"/>
      <c r="G949" s="165"/>
      <c r="H949" s="165"/>
      <c r="I949" s="4"/>
      <c r="J949" s="4"/>
      <c r="K949" s="4"/>
      <c r="L949" s="4"/>
      <c r="M949" s="4"/>
      <c r="N949" s="4"/>
      <c r="O949" s="4"/>
      <c r="P949" s="4"/>
      <c r="Q949" s="4"/>
      <c r="R949" s="4"/>
      <c r="S949" s="4"/>
      <c r="T949" s="4"/>
      <c r="U949" s="4"/>
      <c r="V949" s="4"/>
      <c r="W949" s="4"/>
      <c r="X949" s="4"/>
      <c r="Y949" s="4"/>
      <c r="Z949" s="4"/>
    </row>
    <row r="950" ht="9.75" customHeight="1">
      <c r="A950" s="4"/>
      <c r="B950" s="4"/>
      <c r="C950" s="4"/>
      <c r="D950" s="165"/>
      <c r="E950" s="165"/>
      <c r="F950" s="165"/>
      <c r="G950" s="165"/>
      <c r="H950" s="165"/>
      <c r="I950" s="4"/>
      <c r="J950" s="4"/>
      <c r="K950" s="4"/>
      <c r="L950" s="4"/>
      <c r="M950" s="4"/>
      <c r="N950" s="4"/>
      <c r="O950" s="4"/>
      <c r="P950" s="4"/>
      <c r="Q950" s="4"/>
      <c r="R950" s="4"/>
      <c r="S950" s="4"/>
      <c r="T950" s="4"/>
      <c r="U950" s="4"/>
      <c r="V950" s="4"/>
      <c r="W950" s="4"/>
      <c r="X950" s="4"/>
      <c r="Y950" s="4"/>
      <c r="Z950" s="4"/>
    </row>
    <row r="951" ht="9.75" customHeight="1">
      <c r="A951" s="4"/>
      <c r="B951" s="4"/>
      <c r="C951" s="4"/>
      <c r="D951" s="165"/>
      <c r="E951" s="165"/>
      <c r="F951" s="165"/>
      <c r="G951" s="165"/>
      <c r="H951" s="165"/>
      <c r="I951" s="4"/>
      <c r="J951" s="4"/>
      <c r="K951" s="4"/>
      <c r="L951" s="4"/>
      <c r="M951" s="4"/>
      <c r="N951" s="4"/>
      <c r="O951" s="4"/>
      <c r="P951" s="4"/>
      <c r="Q951" s="4"/>
      <c r="R951" s="4"/>
      <c r="S951" s="4"/>
      <c r="T951" s="4"/>
      <c r="U951" s="4"/>
      <c r="V951" s="4"/>
      <c r="W951" s="4"/>
      <c r="X951" s="4"/>
      <c r="Y951" s="4"/>
      <c r="Z951" s="4"/>
    </row>
    <row r="952" ht="9.75" customHeight="1">
      <c r="A952" s="4"/>
      <c r="B952" s="4"/>
      <c r="C952" s="4"/>
      <c r="D952" s="165"/>
      <c r="E952" s="165"/>
      <c r="F952" s="165"/>
      <c r="G952" s="165"/>
      <c r="H952" s="165"/>
      <c r="I952" s="4"/>
      <c r="J952" s="4"/>
      <c r="K952" s="4"/>
      <c r="L952" s="4"/>
      <c r="M952" s="4"/>
      <c r="N952" s="4"/>
      <c r="O952" s="4"/>
      <c r="P952" s="4"/>
      <c r="Q952" s="4"/>
      <c r="R952" s="4"/>
      <c r="S952" s="4"/>
      <c r="T952" s="4"/>
      <c r="U952" s="4"/>
      <c r="V952" s="4"/>
      <c r="W952" s="4"/>
      <c r="X952" s="4"/>
      <c r="Y952" s="4"/>
      <c r="Z952" s="4"/>
    </row>
    <row r="953" ht="9.75" customHeight="1">
      <c r="A953" s="4"/>
      <c r="B953" s="4"/>
      <c r="C953" s="4"/>
      <c r="D953" s="165"/>
      <c r="E953" s="165"/>
      <c r="F953" s="165"/>
      <c r="G953" s="165"/>
      <c r="H953" s="165"/>
      <c r="I953" s="4"/>
      <c r="J953" s="4"/>
      <c r="K953" s="4"/>
      <c r="L953" s="4"/>
      <c r="M953" s="4"/>
      <c r="N953" s="4"/>
      <c r="O953" s="4"/>
      <c r="P953" s="4"/>
      <c r="Q953" s="4"/>
      <c r="R953" s="4"/>
      <c r="S953" s="4"/>
      <c r="T953" s="4"/>
      <c r="U953" s="4"/>
      <c r="V953" s="4"/>
      <c r="W953" s="4"/>
      <c r="X953" s="4"/>
      <c r="Y953" s="4"/>
      <c r="Z953" s="4"/>
    </row>
    <row r="954" ht="9.75" customHeight="1">
      <c r="A954" s="4"/>
      <c r="B954" s="4"/>
      <c r="C954" s="4"/>
      <c r="D954" s="165"/>
      <c r="E954" s="165"/>
      <c r="F954" s="165"/>
      <c r="G954" s="165"/>
      <c r="H954" s="165"/>
      <c r="I954" s="4"/>
      <c r="J954" s="4"/>
      <c r="K954" s="4"/>
      <c r="L954" s="4"/>
      <c r="M954" s="4"/>
      <c r="N954" s="4"/>
      <c r="O954" s="4"/>
      <c r="P954" s="4"/>
      <c r="Q954" s="4"/>
      <c r="R954" s="4"/>
      <c r="S954" s="4"/>
      <c r="T954" s="4"/>
      <c r="U954" s="4"/>
      <c r="V954" s="4"/>
      <c r="W954" s="4"/>
      <c r="X954" s="4"/>
      <c r="Y954" s="4"/>
      <c r="Z954" s="4"/>
    </row>
    <row r="955" ht="9.75" customHeight="1">
      <c r="A955" s="4"/>
      <c r="B955" s="4"/>
      <c r="C955" s="4"/>
      <c r="D955" s="165"/>
      <c r="E955" s="165"/>
      <c r="F955" s="165"/>
      <c r="G955" s="165"/>
      <c r="H955" s="165"/>
      <c r="I955" s="4"/>
      <c r="J955" s="4"/>
      <c r="K955" s="4"/>
      <c r="L955" s="4"/>
      <c r="M955" s="4"/>
      <c r="N955" s="4"/>
      <c r="O955" s="4"/>
      <c r="P955" s="4"/>
      <c r="Q955" s="4"/>
      <c r="R955" s="4"/>
      <c r="S955" s="4"/>
      <c r="T955" s="4"/>
      <c r="U955" s="4"/>
      <c r="V955" s="4"/>
      <c r="W955" s="4"/>
      <c r="X955" s="4"/>
      <c r="Y955" s="4"/>
      <c r="Z955" s="4"/>
    </row>
    <row r="956" ht="9.75" customHeight="1">
      <c r="A956" s="4"/>
      <c r="B956" s="4"/>
      <c r="C956" s="4"/>
      <c r="D956" s="165"/>
      <c r="E956" s="165"/>
      <c r="F956" s="165"/>
      <c r="G956" s="165"/>
      <c r="H956" s="165"/>
      <c r="I956" s="4"/>
      <c r="J956" s="4"/>
      <c r="K956" s="4"/>
      <c r="L956" s="4"/>
      <c r="M956" s="4"/>
      <c r="N956" s="4"/>
      <c r="O956" s="4"/>
      <c r="P956" s="4"/>
      <c r="Q956" s="4"/>
      <c r="R956" s="4"/>
      <c r="S956" s="4"/>
      <c r="T956" s="4"/>
      <c r="U956" s="4"/>
      <c r="V956" s="4"/>
      <c r="W956" s="4"/>
      <c r="X956" s="4"/>
      <c r="Y956" s="4"/>
      <c r="Z956" s="4"/>
    </row>
    <row r="957" ht="9.75" customHeight="1">
      <c r="A957" s="4"/>
      <c r="B957" s="4"/>
      <c r="C957" s="4"/>
      <c r="D957" s="165"/>
      <c r="E957" s="165"/>
      <c r="F957" s="165"/>
      <c r="G957" s="165"/>
      <c r="H957" s="165"/>
      <c r="I957" s="4"/>
      <c r="J957" s="4"/>
      <c r="K957" s="4"/>
      <c r="L957" s="4"/>
      <c r="M957" s="4"/>
      <c r="N957" s="4"/>
      <c r="O957" s="4"/>
      <c r="P957" s="4"/>
      <c r="Q957" s="4"/>
      <c r="R957" s="4"/>
      <c r="S957" s="4"/>
      <c r="T957" s="4"/>
      <c r="U957" s="4"/>
      <c r="V957" s="4"/>
      <c r="W957" s="4"/>
      <c r="X957" s="4"/>
      <c r="Y957" s="4"/>
      <c r="Z957" s="4"/>
    </row>
    <row r="958" ht="9.75" customHeight="1">
      <c r="A958" s="4"/>
      <c r="B958" s="4"/>
      <c r="C958" s="4"/>
      <c r="D958" s="165"/>
      <c r="E958" s="165"/>
      <c r="F958" s="165"/>
      <c r="G958" s="165"/>
      <c r="H958" s="165"/>
      <c r="I958" s="4"/>
      <c r="J958" s="4"/>
      <c r="K958" s="4"/>
      <c r="L958" s="4"/>
      <c r="M958" s="4"/>
      <c r="N958" s="4"/>
      <c r="O958" s="4"/>
      <c r="P958" s="4"/>
      <c r="Q958" s="4"/>
      <c r="R958" s="4"/>
      <c r="S958" s="4"/>
      <c r="T958" s="4"/>
      <c r="U958" s="4"/>
      <c r="V958" s="4"/>
      <c r="W958" s="4"/>
      <c r="X958" s="4"/>
      <c r="Y958" s="4"/>
      <c r="Z958" s="4"/>
    </row>
    <row r="959" ht="9.75" customHeight="1">
      <c r="A959" s="4"/>
      <c r="B959" s="4"/>
      <c r="C959" s="4"/>
      <c r="D959" s="165"/>
      <c r="E959" s="165"/>
      <c r="F959" s="165"/>
      <c r="G959" s="165"/>
      <c r="H959" s="165"/>
      <c r="I959" s="4"/>
      <c r="J959" s="4"/>
      <c r="K959" s="4"/>
      <c r="L959" s="4"/>
      <c r="M959" s="4"/>
      <c r="N959" s="4"/>
      <c r="O959" s="4"/>
      <c r="P959" s="4"/>
      <c r="Q959" s="4"/>
      <c r="R959" s="4"/>
      <c r="S959" s="4"/>
      <c r="T959" s="4"/>
      <c r="U959" s="4"/>
      <c r="V959" s="4"/>
      <c r="W959" s="4"/>
      <c r="X959" s="4"/>
      <c r="Y959" s="4"/>
      <c r="Z959" s="4"/>
    </row>
    <row r="960" ht="9.75" customHeight="1">
      <c r="A960" s="4"/>
      <c r="B960" s="4"/>
      <c r="C960" s="4"/>
      <c r="D960" s="165"/>
      <c r="E960" s="165"/>
      <c r="F960" s="165"/>
      <c r="G960" s="165"/>
      <c r="H960" s="165"/>
      <c r="I960" s="4"/>
      <c r="J960" s="4"/>
      <c r="K960" s="4"/>
      <c r="L960" s="4"/>
      <c r="M960" s="4"/>
      <c r="N960" s="4"/>
      <c r="O960" s="4"/>
      <c r="P960" s="4"/>
      <c r="Q960" s="4"/>
      <c r="R960" s="4"/>
      <c r="S960" s="4"/>
      <c r="T960" s="4"/>
      <c r="U960" s="4"/>
      <c r="V960" s="4"/>
      <c r="W960" s="4"/>
      <c r="X960" s="4"/>
      <c r="Y960" s="4"/>
      <c r="Z960" s="4"/>
    </row>
    <row r="961" ht="9.75" customHeight="1">
      <c r="A961" s="4"/>
      <c r="B961" s="4"/>
      <c r="C961" s="4"/>
      <c r="D961" s="165"/>
      <c r="E961" s="165"/>
      <c r="F961" s="165"/>
      <c r="G961" s="165"/>
      <c r="H961" s="165"/>
      <c r="I961" s="4"/>
      <c r="J961" s="4"/>
      <c r="K961" s="4"/>
      <c r="L961" s="4"/>
      <c r="M961" s="4"/>
      <c r="N961" s="4"/>
      <c r="O961" s="4"/>
      <c r="P961" s="4"/>
      <c r="Q961" s="4"/>
      <c r="R961" s="4"/>
      <c r="S961" s="4"/>
      <c r="T961" s="4"/>
      <c r="U961" s="4"/>
      <c r="V961" s="4"/>
      <c r="W961" s="4"/>
      <c r="X961" s="4"/>
      <c r="Y961" s="4"/>
      <c r="Z961" s="4"/>
    </row>
    <row r="962" ht="9.75" customHeight="1">
      <c r="A962" s="4"/>
      <c r="B962" s="4"/>
      <c r="C962" s="4"/>
      <c r="D962" s="165"/>
      <c r="E962" s="165"/>
      <c r="F962" s="165"/>
      <c r="G962" s="165"/>
      <c r="H962" s="165"/>
      <c r="I962" s="4"/>
      <c r="J962" s="4"/>
      <c r="K962" s="4"/>
      <c r="L962" s="4"/>
      <c r="M962" s="4"/>
      <c r="N962" s="4"/>
      <c r="O962" s="4"/>
      <c r="P962" s="4"/>
      <c r="Q962" s="4"/>
      <c r="R962" s="4"/>
      <c r="S962" s="4"/>
      <c r="T962" s="4"/>
      <c r="U962" s="4"/>
      <c r="V962" s="4"/>
      <c r="W962" s="4"/>
      <c r="X962" s="4"/>
      <c r="Y962" s="4"/>
      <c r="Z962" s="4"/>
    </row>
    <row r="963" ht="9.75" customHeight="1">
      <c r="A963" s="4"/>
      <c r="B963" s="4"/>
      <c r="C963" s="4"/>
      <c r="D963" s="165"/>
      <c r="E963" s="165"/>
      <c r="F963" s="165"/>
      <c r="G963" s="165"/>
      <c r="H963" s="165"/>
      <c r="I963" s="4"/>
      <c r="J963" s="4"/>
      <c r="K963" s="4"/>
      <c r="L963" s="4"/>
      <c r="M963" s="4"/>
      <c r="N963" s="4"/>
      <c r="O963" s="4"/>
      <c r="P963" s="4"/>
      <c r="Q963" s="4"/>
      <c r="R963" s="4"/>
      <c r="S963" s="4"/>
      <c r="T963" s="4"/>
      <c r="U963" s="4"/>
      <c r="V963" s="4"/>
      <c r="W963" s="4"/>
      <c r="X963" s="4"/>
      <c r="Y963" s="4"/>
      <c r="Z963" s="4"/>
    </row>
    <row r="964" ht="9.75" customHeight="1">
      <c r="A964" s="4"/>
      <c r="B964" s="4"/>
      <c r="C964" s="4"/>
      <c r="D964" s="165"/>
      <c r="E964" s="165"/>
      <c r="F964" s="165"/>
      <c r="G964" s="165"/>
      <c r="H964" s="165"/>
      <c r="I964" s="4"/>
      <c r="J964" s="4"/>
      <c r="K964" s="4"/>
      <c r="L964" s="4"/>
      <c r="M964" s="4"/>
      <c r="N964" s="4"/>
      <c r="O964" s="4"/>
      <c r="P964" s="4"/>
      <c r="Q964" s="4"/>
      <c r="R964" s="4"/>
      <c r="S964" s="4"/>
      <c r="T964" s="4"/>
      <c r="U964" s="4"/>
      <c r="V964" s="4"/>
      <c r="W964" s="4"/>
      <c r="X964" s="4"/>
      <c r="Y964" s="4"/>
      <c r="Z964" s="4"/>
    </row>
    <row r="965" ht="9.75" customHeight="1">
      <c r="A965" s="4"/>
      <c r="B965" s="4"/>
      <c r="C965" s="4"/>
      <c r="D965" s="165"/>
      <c r="E965" s="165"/>
      <c r="F965" s="165"/>
      <c r="G965" s="165"/>
      <c r="H965" s="165"/>
      <c r="I965" s="4"/>
      <c r="J965" s="4"/>
      <c r="K965" s="4"/>
      <c r="L965" s="4"/>
      <c r="M965" s="4"/>
      <c r="N965" s="4"/>
      <c r="O965" s="4"/>
      <c r="P965" s="4"/>
      <c r="Q965" s="4"/>
      <c r="R965" s="4"/>
      <c r="S965" s="4"/>
      <c r="T965" s="4"/>
      <c r="U965" s="4"/>
      <c r="V965" s="4"/>
      <c r="W965" s="4"/>
      <c r="X965" s="4"/>
      <c r="Y965" s="4"/>
      <c r="Z965" s="4"/>
    </row>
    <row r="966" ht="9.75" customHeight="1">
      <c r="A966" s="4"/>
      <c r="B966" s="4"/>
      <c r="C966" s="4"/>
      <c r="D966" s="165"/>
      <c r="E966" s="165"/>
      <c r="F966" s="165"/>
      <c r="G966" s="165"/>
      <c r="H966" s="165"/>
      <c r="I966" s="4"/>
      <c r="J966" s="4"/>
      <c r="K966" s="4"/>
      <c r="L966" s="4"/>
      <c r="M966" s="4"/>
      <c r="N966" s="4"/>
      <c r="O966" s="4"/>
      <c r="P966" s="4"/>
      <c r="Q966" s="4"/>
      <c r="R966" s="4"/>
      <c r="S966" s="4"/>
      <c r="T966" s="4"/>
      <c r="U966" s="4"/>
      <c r="V966" s="4"/>
      <c r="W966" s="4"/>
      <c r="X966" s="4"/>
      <c r="Y966" s="4"/>
      <c r="Z966" s="4"/>
    </row>
    <row r="967" ht="9.75" customHeight="1">
      <c r="A967" s="4"/>
      <c r="B967" s="4"/>
      <c r="C967" s="4"/>
      <c r="D967" s="165"/>
      <c r="E967" s="165"/>
      <c r="F967" s="165"/>
      <c r="G967" s="165"/>
      <c r="H967" s="165"/>
      <c r="I967" s="4"/>
      <c r="J967" s="4"/>
      <c r="K967" s="4"/>
      <c r="L967" s="4"/>
      <c r="M967" s="4"/>
      <c r="N967" s="4"/>
      <c r="O967" s="4"/>
      <c r="P967" s="4"/>
      <c r="Q967" s="4"/>
      <c r="R967" s="4"/>
      <c r="S967" s="4"/>
      <c r="T967" s="4"/>
      <c r="U967" s="4"/>
      <c r="V967" s="4"/>
      <c r="W967" s="4"/>
      <c r="X967" s="4"/>
      <c r="Y967" s="4"/>
      <c r="Z967" s="4"/>
    </row>
    <row r="968" ht="9.75" customHeight="1">
      <c r="A968" s="4"/>
      <c r="B968" s="4"/>
      <c r="C968" s="4"/>
      <c r="D968" s="165"/>
      <c r="E968" s="165"/>
      <c r="F968" s="165"/>
      <c r="G968" s="165"/>
      <c r="H968" s="165"/>
      <c r="I968" s="4"/>
      <c r="J968" s="4"/>
      <c r="K968" s="4"/>
      <c r="L968" s="4"/>
      <c r="M968" s="4"/>
      <c r="N968" s="4"/>
      <c r="O968" s="4"/>
      <c r="P968" s="4"/>
      <c r="Q968" s="4"/>
      <c r="R968" s="4"/>
      <c r="S968" s="4"/>
      <c r="T968" s="4"/>
      <c r="U968" s="4"/>
      <c r="V968" s="4"/>
      <c r="W968" s="4"/>
      <c r="X968" s="4"/>
      <c r="Y968" s="4"/>
      <c r="Z968" s="4"/>
    </row>
    <row r="969" ht="9.75" customHeight="1">
      <c r="A969" s="4"/>
      <c r="B969" s="4"/>
      <c r="C969" s="4"/>
      <c r="D969" s="165"/>
      <c r="E969" s="165"/>
      <c r="F969" s="165"/>
      <c r="G969" s="165"/>
      <c r="H969" s="165"/>
      <c r="I969" s="4"/>
      <c r="J969" s="4"/>
      <c r="K969" s="4"/>
      <c r="L969" s="4"/>
      <c r="M969" s="4"/>
      <c r="N969" s="4"/>
      <c r="O969" s="4"/>
      <c r="P969" s="4"/>
      <c r="Q969" s="4"/>
      <c r="R969" s="4"/>
      <c r="S969" s="4"/>
      <c r="T969" s="4"/>
      <c r="U969" s="4"/>
      <c r="V969" s="4"/>
      <c r="W969" s="4"/>
      <c r="X969" s="4"/>
      <c r="Y969" s="4"/>
      <c r="Z969" s="4"/>
    </row>
    <row r="970" ht="9.75" customHeight="1">
      <c r="A970" s="4"/>
      <c r="B970" s="4"/>
      <c r="C970" s="4"/>
      <c r="D970" s="165"/>
      <c r="E970" s="165"/>
      <c r="F970" s="165"/>
      <c r="G970" s="165"/>
      <c r="H970" s="165"/>
      <c r="I970" s="4"/>
      <c r="J970" s="4"/>
      <c r="K970" s="4"/>
      <c r="L970" s="4"/>
      <c r="M970" s="4"/>
      <c r="N970" s="4"/>
      <c r="O970" s="4"/>
      <c r="P970" s="4"/>
      <c r="Q970" s="4"/>
      <c r="R970" s="4"/>
      <c r="S970" s="4"/>
      <c r="T970" s="4"/>
      <c r="U970" s="4"/>
      <c r="V970" s="4"/>
      <c r="W970" s="4"/>
      <c r="X970" s="4"/>
      <c r="Y970" s="4"/>
      <c r="Z970" s="4"/>
    </row>
    <row r="971" ht="9.75" customHeight="1">
      <c r="A971" s="4"/>
      <c r="B971" s="4"/>
      <c r="C971" s="4"/>
      <c r="D971" s="165"/>
      <c r="E971" s="165"/>
      <c r="F971" s="165"/>
      <c r="G971" s="165"/>
      <c r="H971" s="165"/>
      <c r="I971" s="4"/>
      <c r="J971" s="4"/>
      <c r="K971" s="4"/>
      <c r="L971" s="4"/>
      <c r="M971" s="4"/>
      <c r="N971" s="4"/>
      <c r="O971" s="4"/>
      <c r="P971" s="4"/>
      <c r="Q971" s="4"/>
      <c r="R971" s="4"/>
      <c r="S971" s="4"/>
      <c r="T971" s="4"/>
      <c r="U971" s="4"/>
      <c r="V971" s="4"/>
      <c r="W971" s="4"/>
      <c r="X971" s="4"/>
      <c r="Y971" s="4"/>
      <c r="Z971" s="4"/>
    </row>
    <row r="972" ht="9.75" customHeight="1">
      <c r="A972" s="4"/>
      <c r="B972" s="4"/>
      <c r="C972" s="4"/>
      <c r="D972" s="165"/>
      <c r="E972" s="165"/>
      <c r="F972" s="165"/>
      <c r="G972" s="165"/>
      <c r="H972" s="165"/>
      <c r="I972" s="4"/>
      <c r="J972" s="4"/>
      <c r="K972" s="4"/>
      <c r="L972" s="4"/>
      <c r="M972" s="4"/>
      <c r="N972" s="4"/>
      <c r="O972" s="4"/>
      <c r="P972" s="4"/>
      <c r="Q972" s="4"/>
      <c r="R972" s="4"/>
      <c r="S972" s="4"/>
      <c r="T972" s="4"/>
      <c r="U972" s="4"/>
      <c r="V972" s="4"/>
      <c r="W972" s="4"/>
      <c r="X972" s="4"/>
      <c r="Y972" s="4"/>
      <c r="Z972" s="4"/>
    </row>
    <row r="973" ht="9.75" customHeight="1">
      <c r="A973" s="4"/>
      <c r="B973" s="4"/>
      <c r="C973" s="4"/>
      <c r="D973" s="165"/>
      <c r="E973" s="165"/>
      <c r="F973" s="165"/>
      <c r="G973" s="165"/>
      <c r="H973" s="165"/>
      <c r="I973" s="4"/>
      <c r="J973" s="4"/>
      <c r="K973" s="4"/>
      <c r="L973" s="4"/>
      <c r="M973" s="4"/>
      <c r="N973" s="4"/>
      <c r="O973" s="4"/>
      <c r="P973" s="4"/>
      <c r="Q973" s="4"/>
      <c r="R973" s="4"/>
      <c r="S973" s="4"/>
      <c r="T973" s="4"/>
      <c r="U973" s="4"/>
      <c r="V973" s="4"/>
      <c r="W973" s="4"/>
      <c r="X973" s="4"/>
      <c r="Y973" s="4"/>
      <c r="Z973" s="4"/>
    </row>
    <row r="974" ht="9.75" customHeight="1">
      <c r="A974" s="4"/>
      <c r="B974" s="4"/>
      <c r="C974" s="4"/>
      <c r="D974" s="165"/>
      <c r="E974" s="165"/>
      <c r="F974" s="165"/>
      <c r="G974" s="165"/>
      <c r="H974" s="165"/>
      <c r="I974" s="4"/>
      <c r="J974" s="4"/>
      <c r="K974" s="4"/>
      <c r="L974" s="4"/>
      <c r="M974" s="4"/>
      <c r="N974" s="4"/>
      <c r="O974" s="4"/>
      <c r="P974" s="4"/>
      <c r="Q974" s="4"/>
      <c r="R974" s="4"/>
      <c r="S974" s="4"/>
      <c r="T974" s="4"/>
      <c r="U974" s="4"/>
      <c r="V974" s="4"/>
      <c r="W974" s="4"/>
      <c r="X974" s="4"/>
      <c r="Y974" s="4"/>
      <c r="Z974" s="4"/>
    </row>
    <row r="975" ht="9.75" customHeight="1">
      <c r="A975" s="4"/>
      <c r="B975" s="4"/>
      <c r="C975" s="4"/>
      <c r="D975" s="165"/>
      <c r="E975" s="165"/>
      <c r="F975" s="165"/>
      <c r="G975" s="165"/>
      <c r="H975" s="165"/>
      <c r="I975" s="4"/>
      <c r="J975" s="4"/>
      <c r="K975" s="4"/>
      <c r="L975" s="4"/>
      <c r="M975" s="4"/>
      <c r="N975" s="4"/>
      <c r="O975" s="4"/>
      <c r="P975" s="4"/>
      <c r="Q975" s="4"/>
      <c r="R975" s="4"/>
      <c r="S975" s="4"/>
      <c r="T975" s="4"/>
      <c r="U975" s="4"/>
      <c r="V975" s="4"/>
      <c r="W975" s="4"/>
      <c r="X975" s="4"/>
      <c r="Y975" s="4"/>
      <c r="Z975" s="4"/>
    </row>
    <row r="976" ht="9.75" customHeight="1">
      <c r="A976" s="4"/>
      <c r="B976" s="4"/>
      <c r="C976" s="4"/>
      <c r="D976" s="165"/>
      <c r="E976" s="165"/>
      <c r="F976" s="165"/>
      <c r="G976" s="165"/>
      <c r="H976" s="165"/>
      <c r="I976" s="4"/>
      <c r="J976" s="4"/>
      <c r="K976" s="4"/>
      <c r="L976" s="4"/>
      <c r="M976" s="4"/>
      <c r="N976" s="4"/>
      <c r="O976" s="4"/>
      <c r="P976" s="4"/>
      <c r="Q976" s="4"/>
      <c r="R976" s="4"/>
      <c r="S976" s="4"/>
      <c r="T976" s="4"/>
      <c r="U976" s="4"/>
      <c r="V976" s="4"/>
      <c r="W976" s="4"/>
      <c r="X976" s="4"/>
      <c r="Y976" s="4"/>
      <c r="Z976" s="4"/>
    </row>
    <row r="977" ht="9.75" customHeight="1">
      <c r="A977" s="4"/>
      <c r="B977" s="4"/>
      <c r="C977" s="4"/>
      <c r="D977" s="165"/>
      <c r="E977" s="165"/>
      <c r="F977" s="165"/>
      <c r="G977" s="165"/>
      <c r="H977" s="165"/>
      <c r="I977" s="4"/>
      <c r="J977" s="4"/>
      <c r="K977" s="4"/>
      <c r="L977" s="4"/>
      <c r="M977" s="4"/>
      <c r="N977" s="4"/>
      <c r="O977" s="4"/>
      <c r="P977" s="4"/>
      <c r="Q977" s="4"/>
      <c r="R977" s="4"/>
      <c r="S977" s="4"/>
      <c r="T977" s="4"/>
      <c r="U977" s="4"/>
      <c r="V977" s="4"/>
      <c r="W977" s="4"/>
      <c r="X977" s="4"/>
      <c r="Y977" s="4"/>
      <c r="Z977" s="4"/>
    </row>
    <row r="978" ht="9.75" customHeight="1">
      <c r="A978" s="4"/>
      <c r="B978" s="4"/>
      <c r="C978" s="4"/>
      <c r="D978" s="165"/>
      <c r="E978" s="165"/>
      <c r="F978" s="165"/>
      <c r="G978" s="165"/>
      <c r="H978" s="165"/>
      <c r="I978" s="4"/>
      <c r="J978" s="4"/>
      <c r="K978" s="4"/>
      <c r="L978" s="4"/>
      <c r="M978" s="4"/>
      <c r="N978" s="4"/>
      <c r="O978" s="4"/>
      <c r="P978" s="4"/>
      <c r="Q978" s="4"/>
      <c r="R978" s="4"/>
      <c r="S978" s="4"/>
      <c r="T978" s="4"/>
      <c r="U978" s="4"/>
      <c r="V978" s="4"/>
      <c r="W978" s="4"/>
      <c r="X978" s="4"/>
      <c r="Y978" s="4"/>
      <c r="Z978" s="4"/>
    </row>
    <row r="979" ht="9.75" customHeight="1">
      <c r="A979" s="4"/>
      <c r="B979" s="4"/>
      <c r="C979" s="4"/>
      <c r="D979" s="165"/>
      <c r="E979" s="165"/>
      <c r="F979" s="165"/>
      <c r="G979" s="165"/>
      <c r="H979" s="165"/>
      <c r="I979" s="4"/>
      <c r="J979" s="4"/>
      <c r="K979" s="4"/>
      <c r="L979" s="4"/>
      <c r="M979" s="4"/>
      <c r="N979" s="4"/>
      <c r="O979" s="4"/>
      <c r="P979" s="4"/>
      <c r="Q979" s="4"/>
      <c r="R979" s="4"/>
      <c r="S979" s="4"/>
      <c r="T979" s="4"/>
      <c r="U979" s="4"/>
      <c r="V979" s="4"/>
      <c r="W979" s="4"/>
      <c r="X979" s="4"/>
      <c r="Y979" s="4"/>
      <c r="Z979" s="4"/>
    </row>
    <row r="980" ht="9.75" customHeight="1">
      <c r="A980" s="4"/>
      <c r="B980" s="4"/>
      <c r="C980" s="4"/>
      <c r="D980" s="165"/>
      <c r="E980" s="165"/>
      <c r="F980" s="165"/>
      <c r="G980" s="165"/>
      <c r="H980" s="165"/>
      <c r="I980" s="4"/>
      <c r="J980" s="4"/>
      <c r="K980" s="4"/>
      <c r="L980" s="4"/>
      <c r="M980" s="4"/>
      <c r="N980" s="4"/>
      <c r="O980" s="4"/>
      <c r="P980" s="4"/>
      <c r="Q980" s="4"/>
      <c r="R980" s="4"/>
      <c r="S980" s="4"/>
      <c r="T980" s="4"/>
      <c r="U980" s="4"/>
      <c r="V980" s="4"/>
      <c r="W980" s="4"/>
      <c r="X980" s="4"/>
      <c r="Y980" s="4"/>
      <c r="Z980" s="4"/>
    </row>
    <row r="981" ht="9.75" customHeight="1">
      <c r="A981" s="4"/>
      <c r="B981" s="4"/>
      <c r="C981" s="4"/>
      <c r="D981" s="165"/>
      <c r="E981" s="165"/>
      <c r="F981" s="165"/>
      <c r="G981" s="165"/>
      <c r="H981" s="165"/>
      <c r="I981" s="4"/>
      <c r="J981" s="4"/>
      <c r="K981" s="4"/>
      <c r="L981" s="4"/>
      <c r="M981" s="4"/>
      <c r="N981" s="4"/>
      <c r="O981" s="4"/>
      <c r="P981" s="4"/>
      <c r="Q981" s="4"/>
      <c r="R981" s="4"/>
      <c r="S981" s="4"/>
      <c r="T981" s="4"/>
      <c r="U981" s="4"/>
      <c r="V981" s="4"/>
      <c r="W981" s="4"/>
      <c r="X981" s="4"/>
      <c r="Y981" s="4"/>
      <c r="Z981" s="4"/>
    </row>
    <row r="982" ht="9.75" customHeight="1">
      <c r="A982" s="4"/>
      <c r="B982" s="4"/>
      <c r="C982" s="4"/>
      <c r="D982" s="165"/>
      <c r="E982" s="165"/>
      <c r="F982" s="165"/>
      <c r="G982" s="165"/>
      <c r="H982" s="165"/>
      <c r="I982" s="4"/>
      <c r="J982" s="4"/>
      <c r="K982" s="4"/>
      <c r="L982" s="4"/>
      <c r="M982" s="4"/>
      <c r="N982" s="4"/>
      <c r="O982" s="4"/>
      <c r="P982" s="4"/>
      <c r="Q982" s="4"/>
      <c r="R982" s="4"/>
      <c r="S982" s="4"/>
      <c r="T982" s="4"/>
      <c r="U982" s="4"/>
      <c r="V982" s="4"/>
      <c r="W982" s="4"/>
      <c r="X982" s="4"/>
      <c r="Y982" s="4"/>
      <c r="Z982" s="4"/>
    </row>
    <row r="983" ht="9.75" customHeight="1">
      <c r="A983" s="4"/>
      <c r="B983" s="4"/>
      <c r="C983" s="4"/>
      <c r="D983" s="165"/>
      <c r="E983" s="165"/>
      <c r="F983" s="165"/>
      <c r="G983" s="165"/>
      <c r="H983" s="165"/>
      <c r="I983" s="4"/>
      <c r="J983" s="4"/>
      <c r="K983" s="4"/>
      <c r="L983" s="4"/>
      <c r="M983" s="4"/>
      <c r="N983" s="4"/>
      <c r="O983" s="4"/>
      <c r="P983" s="4"/>
      <c r="Q983" s="4"/>
      <c r="R983" s="4"/>
      <c r="S983" s="4"/>
      <c r="T983" s="4"/>
      <c r="U983" s="4"/>
      <c r="V983" s="4"/>
      <c r="W983" s="4"/>
      <c r="X983" s="4"/>
      <c r="Y983" s="4"/>
      <c r="Z983" s="4"/>
    </row>
    <row r="984" ht="9.75" customHeight="1">
      <c r="A984" s="4"/>
      <c r="B984" s="4"/>
      <c r="C984" s="4"/>
      <c r="D984" s="165"/>
      <c r="E984" s="165"/>
      <c r="F984" s="165"/>
      <c r="G984" s="165"/>
      <c r="H984" s="165"/>
      <c r="I984" s="4"/>
      <c r="J984" s="4"/>
      <c r="K984" s="4"/>
      <c r="L984" s="4"/>
      <c r="M984" s="4"/>
      <c r="N984" s="4"/>
      <c r="O984" s="4"/>
      <c r="P984" s="4"/>
      <c r="Q984" s="4"/>
      <c r="R984" s="4"/>
      <c r="S984" s="4"/>
      <c r="T984" s="4"/>
      <c r="U984" s="4"/>
      <c r="V984" s="4"/>
      <c r="W984" s="4"/>
      <c r="X984" s="4"/>
      <c r="Y984" s="4"/>
      <c r="Z984" s="4"/>
    </row>
    <row r="985" ht="9.75" customHeight="1">
      <c r="A985" s="4"/>
      <c r="B985" s="4"/>
      <c r="C985" s="4"/>
      <c r="D985" s="165"/>
      <c r="E985" s="165"/>
      <c r="F985" s="165"/>
      <c r="G985" s="165"/>
      <c r="H985" s="165"/>
      <c r="I985" s="4"/>
      <c r="J985" s="4"/>
      <c r="K985" s="4"/>
      <c r="L985" s="4"/>
      <c r="M985" s="4"/>
      <c r="N985" s="4"/>
      <c r="O985" s="4"/>
      <c r="P985" s="4"/>
      <c r="Q985" s="4"/>
      <c r="R985" s="4"/>
      <c r="S985" s="4"/>
      <c r="T985" s="4"/>
      <c r="U985" s="4"/>
      <c r="V985" s="4"/>
      <c r="W985" s="4"/>
      <c r="X985" s="4"/>
      <c r="Y985" s="4"/>
      <c r="Z985" s="4"/>
    </row>
    <row r="986" ht="9.75" customHeight="1">
      <c r="A986" s="4"/>
      <c r="B986" s="4"/>
      <c r="C986" s="4"/>
      <c r="D986" s="165"/>
      <c r="E986" s="165"/>
      <c r="F986" s="165"/>
      <c r="G986" s="165"/>
      <c r="H986" s="165"/>
      <c r="I986" s="4"/>
      <c r="J986" s="4"/>
      <c r="K986" s="4"/>
      <c r="L986" s="4"/>
      <c r="M986" s="4"/>
      <c r="N986" s="4"/>
      <c r="O986" s="4"/>
      <c r="P986" s="4"/>
      <c r="Q986" s="4"/>
      <c r="R986" s="4"/>
      <c r="S986" s="4"/>
      <c r="T986" s="4"/>
      <c r="U986" s="4"/>
      <c r="V986" s="4"/>
      <c r="W986" s="4"/>
      <c r="X986" s="4"/>
      <c r="Y986" s="4"/>
      <c r="Z986" s="4"/>
    </row>
    <row r="987" ht="9.75" customHeight="1">
      <c r="A987" s="4"/>
      <c r="B987" s="4"/>
      <c r="C987" s="4"/>
      <c r="D987" s="165"/>
      <c r="E987" s="165"/>
      <c r="F987" s="165"/>
      <c r="G987" s="165"/>
      <c r="H987" s="165"/>
      <c r="I987" s="4"/>
      <c r="J987" s="4"/>
      <c r="K987" s="4"/>
      <c r="L987" s="4"/>
      <c r="M987" s="4"/>
      <c r="N987" s="4"/>
      <c r="O987" s="4"/>
      <c r="P987" s="4"/>
      <c r="Q987" s="4"/>
      <c r="R987" s="4"/>
      <c r="S987" s="4"/>
      <c r="T987" s="4"/>
      <c r="U987" s="4"/>
      <c r="V987" s="4"/>
      <c r="W987" s="4"/>
      <c r="X987" s="4"/>
      <c r="Y987" s="4"/>
      <c r="Z987" s="4"/>
    </row>
    <row r="988" ht="9.75" customHeight="1">
      <c r="A988" s="4"/>
      <c r="B988" s="4"/>
      <c r="C988" s="4"/>
      <c r="D988" s="165"/>
      <c r="E988" s="165"/>
      <c r="F988" s="165"/>
      <c r="G988" s="165"/>
      <c r="H988" s="165"/>
      <c r="I988" s="4"/>
      <c r="J988" s="4"/>
      <c r="K988" s="4"/>
      <c r="L988" s="4"/>
      <c r="M988" s="4"/>
      <c r="N988" s="4"/>
      <c r="O988" s="4"/>
      <c r="P988" s="4"/>
      <c r="Q988" s="4"/>
      <c r="R988" s="4"/>
      <c r="S988" s="4"/>
      <c r="T988" s="4"/>
      <c r="U988" s="4"/>
      <c r="V988" s="4"/>
      <c r="W988" s="4"/>
      <c r="X988" s="4"/>
      <c r="Y988" s="4"/>
      <c r="Z988" s="4"/>
    </row>
    <row r="989" ht="9.75" customHeight="1">
      <c r="A989" s="4"/>
      <c r="B989" s="4"/>
      <c r="C989" s="4"/>
      <c r="D989" s="165"/>
      <c r="E989" s="165"/>
      <c r="F989" s="165"/>
      <c r="G989" s="165"/>
      <c r="H989" s="165"/>
      <c r="I989" s="4"/>
      <c r="J989" s="4"/>
      <c r="K989" s="4"/>
      <c r="L989" s="4"/>
      <c r="M989" s="4"/>
      <c r="N989" s="4"/>
      <c r="O989" s="4"/>
      <c r="P989" s="4"/>
      <c r="Q989" s="4"/>
      <c r="R989" s="4"/>
      <c r="S989" s="4"/>
      <c r="T989" s="4"/>
      <c r="U989" s="4"/>
      <c r="V989" s="4"/>
      <c r="W989" s="4"/>
      <c r="X989" s="4"/>
      <c r="Y989" s="4"/>
      <c r="Z989" s="4"/>
    </row>
    <row r="990" ht="9.75" customHeight="1">
      <c r="A990" s="4"/>
      <c r="B990" s="4"/>
      <c r="C990" s="4"/>
      <c r="D990" s="165"/>
      <c r="E990" s="165"/>
      <c r="F990" s="165"/>
      <c r="G990" s="165"/>
      <c r="H990" s="165"/>
      <c r="I990" s="4"/>
      <c r="J990" s="4"/>
      <c r="K990" s="4"/>
      <c r="L990" s="4"/>
      <c r="M990" s="4"/>
      <c r="N990" s="4"/>
      <c r="O990" s="4"/>
      <c r="P990" s="4"/>
      <c r="Q990" s="4"/>
      <c r="R990" s="4"/>
      <c r="S990" s="4"/>
      <c r="T990" s="4"/>
      <c r="U990" s="4"/>
      <c r="V990" s="4"/>
      <c r="W990" s="4"/>
      <c r="X990" s="4"/>
      <c r="Y990" s="4"/>
      <c r="Z990" s="4"/>
    </row>
    <row r="991" ht="9.75" customHeight="1">
      <c r="A991" s="4"/>
      <c r="B991" s="4"/>
      <c r="C991" s="4"/>
      <c r="D991" s="165"/>
      <c r="E991" s="165"/>
      <c r="F991" s="165"/>
      <c r="G991" s="165"/>
      <c r="H991" s="165"/>
      <c r="I991" s="4"/>
      <c r="J991" s="4"/>
      <c r="K991" s="4"/>
      <c r="L991" s="4"/>
      <c r="M991" s="4"/>
      <c r="N991" s="4"/>
      <c r="O991" s="4"/>
      <c r="P991" s="4"/>
      <c r="Q991" s="4"/>
      <c r="R991" s="4"/>
      <c r="S991" s="4"/>
      <c r="T991" s="4"/>
      <c r="U991" s="4"/>
      <c r="V991" s="4"/>
      <c r="W991" s="4"/>
      <c r="X991" s="4"/>
      <c r="Y991" s="4"/>
      <c r="Z991" s="4"/>
    </row>
    <row r="992" ht="9.75" customHeight="1">
      <c r="A992" s="4"/>
      <c r="B992" s="4"/>
      <c r="C992" s="4"/>
      <c r="D992" s="165"/>
      <c r="E992" s="165"/>
      <c r="F992" s="165"/>
      <c r="G992" s="165"/>
      <c r="H992" s="165"/>
      <c r="I992" s="4"/>
      <c r="J992" s="4"/>
      <c r="K992" s="4"/>
      <c r="L992" s="4"/>
      <c r="M992" s="4"/>
      <c r="N992" s="4"/>
      <c r="O992" s="4"/>
      <c r="P992" s="4"/>
      <c r="Q992" s="4"/>
      <c r="R992" s="4"/>
      <c r="S992" s="4"/>
      <c r="T992" s="4"/>
      <c r="U992" s="4"/>
      <c r="V992" s="4"/>
      <c r="W992" s="4"/>
      <c r="X992" s="4"/>
      <c r="Y992" s="4"/>
      <c r="Z992" s="4"/>
    </row>
    <row r="993" ht="9.75" customHeight="1">
      <c r="A993" s="4"/>
      <c r="B993" s="4"/>
      <c r="C993" s="4"/>
      <c r="D993" s="165"/>
      <c r="E993" s="165"/>
      <c r="F993" s="165"/>
      <c r="G993" s="165"/>
      <c r="H993" s="165"/>
      <c r="I993" s="4"/>
      <c r="J993" s="4"/>
      <c r="K993" s="4"/>
      <c r="L993" s="4"/>
      <c r="M993" s="4"/>
      <c r="N993" s="4"/>
      <c r="O993" s="4"/>
      <c r="P993" s="4"/>
      <c r="Q993" s="4"/>
      <c r="R993" s="4"/>
      <c r="S993" s="4"/>
      <c r="T993" s="4"/>
      <c r="U993" s="4"/>
      <c r="V993" s="4"/>
      <c r="W993" s="4"/>
      <c r="X993" s="4"/>
      <c r="Y993" s="4"/>
      <c r="Z993" s="4"/>
    </row>
    <row r="994" ht="9.75" customHeight="1">
      <c r="A994" s="4"/>
      <c r="B994" s="4"/>
      <c r="C994" s="4"/>
      <c r="D994" s="165"/>
      <c r="E994" s="165"/>
      <c r="F994" s="165"/>
      <c r="G994" s="165"/>
      <c r="H994" s="165"/>
      <c r="I994" s="4"/>
      <c r="J994" s="4"/>
      <c r="K994" s="4"/>
      <c r="L994" s="4"/>
      <c r="M994" s="4"/>
      <c r="N994" s="4"/>
      <c r="O994" s="4"/>
      <c r="P994" s="4"/>
      <c r="Q994" s="4"/>
      <c r="R994" s="4"/>
      <c r="S994" s="4"/>
      <c r="T994" s="4"/>
      <c r="U994" s="4"/>
      <c r="V994" s="4"/>
      <c r="W994" s="4"/>
      <c r="X994" s="4"/>
      <c r="Y994" s="4"/>
      <c r="Z994" s="4"/>
    </row>
    <row r="995" ht="9.75" customHeight="1">
      <c r="A995" s="4"/>
      <c r="B995" s="4"/>
      <c r="C995" s="4"/>
      <c r="D995" s="165"/>
      <c r="E995" s="165"/>
      <c r="F995" s="165"/>
      <c r="G995" s="165"/>
      <c r="H995" s="165"/>
      <c r="I995" s="4"/>
      <c r="J995" s="4"/>
      <c r="K995" s="4"/>
      <c r="L995" s="4"/>
      <c r="M995" s="4"/>
      <c r="N995" s="4"/>
      <c r="O995" s="4"/>
      <c r="P995" s="4"/>
      <c r="Q995" s="4"/>
      <c r="R995" s="4"/>
      <c r="S995" s="4"/>
      <c r="T995" s="4"/>
      <c r="U995" s="4"/>
      <c r="V995" s="4"/>
      <c r="W995" s="4"/>
      <c r="X995" s="4"/>
      <c r="Y995" s="4"/>
      <c r="Z995" s="4"/>
    </row>
    <row r="996" ht="9.75" customHeight="1">
      <c r="A996" s="4"/>
      <c r="B996" s="4"/>
      <c r="C996" s="4"/>
      <c r="D996" s="165"/>
      <c r="E996" s="165"/>
      <c r="F996" s="165"/>
      <c r="G996" s="165"/>
      <c r="H996" s="165"/>
      <c r="I996" s="4"/>
      <c r="J996" s="4"/>
      <c r="K996" s="4"/>
      <c r="L996" s="4"/>
      <c r="M996" s="4"/>
      <c r="N996" s="4"/>
      <c r="O996" s="4"/>
      <c r="P996" s="4"/>
      <c r="Q996" s="4"/>
      <c r="R996" s="4"/>
      <c r="S996" s="4"/>
      <c r="T996" s="4"/>
      <c r="U996" s="4"/>
      <c r="V996" s="4"/>
      <c r="W996" s="4"/>
      <c r="X996" s="4"/>
      <c r="Y996" s="4"/>
      <c r="Z996" s="4"/>
    </row>
    <row r="997" ht="9.75" customHeight="1">
      <c r="A997" s="4"/>
      <c r="B997" s="4"/>
      <c r="C997" s="4"/>
      <c r="D997" s="165"/>
      <c r="E997" s="165"/>
      <c r="F997" s="165"/>
      <c r="G997" s="165"/>
      <c r="H997" s="165"/>
      <c r="I997" s="4"/>
      <c r="J997" s="4"/>
      <c r="K997" s="4"/>
      <c r="L997" s="4"/>
      <c r="M997" s="4"/>
      <c r="N997" s="4"/>
      <c r="O997" s="4"/>
      <c r="P997" s="4"/>
      <c r="Q997" s="4"/>
      <c r="R997" s="4"/>
      <c r="S997" s="4"/>
      <c r="T997" s="4"/>
      <c r="U997" s="4"/>
      <c r="V997" s="4"/>
      <c r="W997" s="4"/>
      <c r="X997" s="4"/>
      <c r="Y997" s="4"/>
      <c r="Z997" s="4"/>
    </row>
    <row r="998" ht="9.75" customHeight="1">
      <c r="A998" s="4"/>
      <c r="B998" s="4"/>
      <c r="C998" s="4"/>
      <c r="D998" s="165"/>
      <c r="E998" s="165"/>
      <c r="F998" s="165"/>
      <c r="G998" s="165"/>
      <c r="H998" s="165"/>
      <c r="I998" s="4"/>
      <c r="J998" s="4"/>
      <c r="K998" s="4"/>
      <c r="L998" s="4"/>
      <c r="M998" s="4"/>
      <c r="N998" s="4"/>
      <c r="O998" s="4"/>
      <c r="P998" s="4"/>
      <c r="Q998" s="4"/>
      <c r="R998" s="4"/>
      <c r="S998" s="4"/>
      <c r="T998" s="4"/>
      <c r="U998" s="4"/>
      <c r="V998" s="4"/>
      <c r="W998" s="4"/>
      <c r="X998" s="4"/>
      <c r="Y998" s="4"/>
      <c r="Z998" s="4"/>
    </row>
    <row r="999" ht="9.75" customHeight="1">
      <c r="A999" s="4"/>
      <c r="B999" s="4"/>
      <c r="C999" s="4"/>
      <c r="D999" s="165"/>
      <c r="E999" s="165"/>
      <c r="F999" s="165"/>
      <c r="G999" s="165"/>
      <c r="H999" s="165"/>
      <c r="I999" s="4"/>
      <c r="J999" s="4"/>
      <c r="K999" s="4"/>
      <c r="L999" s="4"/>
      <c r="M999" s="4"/>
      <c r="N999" s="4"/>
      <c r="O999" s="4"/>
      <c r="P999" s="4"/>
      <c r="Q999" s="4"/>
      <c r="R999" s="4"/>
      <c r="S999" s="4"/>
      <c r="T999" s="4"/>
      <c r="U999" s="4"/>
      <c r="V999" s="4"/>
      <c r="W999" s="4"/>
      <c r="X999" s="4"/>
      <c r="Y999" s="4"/>
      <c r="Z999" s="4"/>
    </row>
    <row r="1000" ht="9.75" customHeight="1">
      <c r="A1000" s="4"/>
      <c r="B1000" s="4"/>
      <c r="C1000" s="4"/>
      <c r="D1000" s="165"/>
      <c r="E1000" s="165"/>
      <c r="F1000" s="165"/>
      <c r="G1000" s="165"/>
      <c r="H1000" s="165"/>
      <c r="I1000" s="4"/>
      <c r="J1000" s="4"/>
      <c r="K1000" s="4"/>
      <c r="L1000" s="4"/>
      <c r="M1000" s="4"/>
      <c r="N1000" s="4"/>
      <c r="O1000" s="4"/>
      <c r="P1000" s="4"/>
      <c r="Q1000" s="4"/>
      <c r="R1000" s="4"/>
      <c r="S1000" s="4"/>
      <c r="T1000" s="4"/>
      <c r="U1000" s="4"/>
      <c r="V1000" s="4"/>
      <c r="W1000" s="4"/>
      <c r="X1000" s="4"/>
      <c r="Y1000" s="4"/>
      <c r="Z1000" s="4"/>
    </row>
  </sheetData>
  <mergeCells count="13">
    <mergeCell ref="B6:D6"/>
    <mergeCell ref="B7:D7"/>
    <mergeCell ref="B8:D8"/>
    <mergeCell ref="B9:D9"/>
    <mergeCell ref="C10:D10"/>
    <mergeCell ref="A13:G13"/>
    <mergeCell ref="A1:G1"/>
    <mergeCell ref="B2:D2"/>
    <mergeCell ref="B3:D3"/>
    <mergeCell ref="H3:H4"/>
    <mergeCell ref="I3:I4"/>
    <mergeCell ref="B4:D4"/>
    <mergeCell ref="B5:D5"/>
  </mergeCells>
  <printOptions/>
  <pageMargins bottom="0.75" footer="0.0" header="0.0" left="0.7" right="0.7" top="0.75"/>
  <pageSetup paperSize="9" scale="74" orientation="portrait"/>
  <headerFooter>
    <oddFooter>&amp;L_x000D_#000000 Data sensitivity - Restricted</oddFooter>
  </headerFooter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5.0"/>
    <col customWidth="1" min="2" max="2" width="50.86"/>
    <col customWidth="1" min="3" max="3" width="5.71"/>
    <col customWidth="1" min="4" max="26" width="11.43"/>
  </cols>
  <sheetData>
    <row r="1" ht="15.0" customHeight="1">
      <c r="A1" s="471"/>
      <c r="B1" s="472"/>
      <c r="C1" s="472"/>
      <c r="D1" s="472"/>
      <c r="E1" s="472"/>
      <c r="F1" s="473"/>
      <c r="G1" s="474"/>
      <c r="H1" s="474"/>
      <c r="I1" s="474"/>
      <c r="J1" s="474"/>
      <c r="K1" s="474"/>
      <c r="L1" s="474"/>
      <c r="M1" s="474"/>
      <c r="N1" s="474"/>
      <c r="O1" s="474"/>
      <c r="P1" s="474"/>
      <c r="Q1" s="474"/>
      <c r="R1" s="474"/>
      <c r="S1" s="474"/>
      <c r="T1" s="474"/>
      <c r="U1" s="474"/>
      <c r="V1" s="474"/>
      <c r="W1" s="474"/>
      <c r="X1" s="474"/>
      <c r="Y1" s="474"/>
      <c r="Z1" s="474"/>
    </row>
    <row r="2" ht="12.0" customHeight="1">
      <c r="A2" s="475"/>
      <c r="F2" s="476"/>
      <c r="G2" s="474"/>
      <c r="H2" s="474"/>
      <c r="I2" s="474"/>
      <c r="J2" s="474"/>
      <c r="K2" s="474"/>
      <c r="L2" s="474"/>
      <c r="M2" s="474"/>
      <c r="N2" s="474"/>
      <c r="O2" s="474"/>
      <c r="P2" s="474"/>
      <c r="Q2" s="474"/>
      <c r="R2" s="474"/>
      <c r="S2" s="474"/>
      <c r="T2" s="474"/>
      <c r="U2" s="474"/>
      <c r="V2" s="474"/>
      <c r="W2" s="474"/>
      <c r="X2" s="474"/>
      <c r="Y2" s="474"/>
      <c r="Z2" s="474"/>
    </row>
    <row r="3" ht="12.75" customHeight="1">
      <c r="A3" s="477"/>
      <c r="B3" s="478"/>
      <c r="C3" s="478"/>
      <c r="D3" s="478"/>
      <c r="E3" s="478"/>
      <c r="F3" s="479"/>
      <c r="G3" s="474"/>
      <c r="H3" s="474"/>
      <c r="I3" s="474"/>
      <c r="J3" s="474"/>
      <c r="K3" s="474"/>
      <c r="L3" s="474"/>
      <c r="M3" s="474"/>
      <c r="N3" s="474"/>
      <c r="O3" s="474"/>
      <c r="P3" s="474"/>
      <c r="Q3" s="474"/>
      <c r="R3" s="474"/>
      <c r="S3" s="474"/>
      <c r="T3" s="474"/>
      <c r="U3" s="474"/>
      <c r="V3" s="474"/>
      <c r="W3" s="474"/>
      <c r="X3" s="474"/>
      <c r="Y3" s="474"/>
      <c r="Z3" s="474"/>
    </row>
    <row r="4" ht="8.25" customHeight="1">
      <c r="A4" s="480"/>
      <c r="B4" s="323"/>
      <c r="C4" s="323"/>
      <c r="D4" s="323"/>
      <c r="E4" s="323"/>
      <c r="F4" s="323"/>
      <c r="G4" s="474"/>
      <c r="H4" s="474"/>
      <c r="I4" s="474"/>
      <c r="J4" s="474"/>
      <c r="K4" s="474"/>
      <c r="L4" s="474"/>
      <c r="M4" s="474"/>
      <c r="N4" s="474"/>
      <c r="O4" s="474"/>
      <c r="P4" s="474"/>
      <c r="Q4" s="474"/>
      <c r="R4" s="474"/>
      <c r="S4" s="474"/>
      <c r="T4" s="474"/>
      <c r="U4" s="474"/>
      <c r="V4" s="474"/>
      <c r="W4" s="474"/>
      <c r="X4" s="474"/>
      <c r="Y4" s="474"/>
      <c r="Z4" s="474"/>
    </row>
    <row r="5" ht="30.0" customHeight="1">
      <c r="A5" s="481" t="s">
        <v>15</v>
      </c>
      <c r="B5" s="482" t="s">
        <v>706</v>
      </c>
      <c r="C5" s="482" t="s">
        <v>17</v>
      </c>
      <c r="D5" s="482" t="s">
        <v>707</v>
      </c>
      <c r="E5" s="483" t="s">
        <v>708</v>
      </c>
      <c r="F5" s="484" t="s">
        <v>709</v>
      </c>
      <c r="G5" s="485"/>
      <c r="H5" s="485"/>
      <c r="I5" s="485"/>
      <c r="J5" s="485"/>
      <c r="K5" s="485"/>
      <c r="L5" s="485"/>
      <c r="M5" s="485"/>
      <c r="N5" s="485"/>
      <c r="O5" s="485"/>
      <c r="P5" s="485"/>
      <c r="Q5" s="485"/>
      <c r="R5" s="485"/>
      <c r="S5" s="485"/>
      <c r="T5" s="485"/>
      <c r="U5" s="485"/>
      <c r="V5" s="485"/>
      <c r="W5" s="485"/>
      <c r="X5" s="485"/>
      <c r="Y5" s="485"/>
      <c r="Z5" s="485"/>
    </row>
    <row r="6" ht="12.75" customHeight="1">
      <c r="A6" s="486" t="s">
        <v>712</v>
      </c>
      <c r="B6" s="415"/>
      <c r="C6" s="415"/>
      <c r="D6" s="415"/>
      <c r="E6" s="415"/>
      <c r="F6" s="223"/>
      <c r="G6" s="474"/>
      <c r="H6" s="487"/>
      <c r="I6" s="474"/>
      <c r="J6" s="474"/>
      <c r="K6" s="474"/>
      <c r="L6" s="474"/>
      <c r="M6" s="474"/>
      <c r="N6" s="474"/>
      <c r="O6" s="474"/>
      <c r="P6" s="474"/>
      <c r="Q6" s="474"/>
      <c r="R6" s="474"/>
      <c r="S6" s="474"/>
      <c r="T6" s="474"/>
      <c r="U6" s="474"/>
      <c r="V6" s="474"/>
      <c r="W6" s="474"/>
      <c r="X6" s="474"/>
      <c r="Y6" s="474"/>
      <c r="Z6" s="474"/>
    </row>
    <row r="7" ht="12.0" customHeight="1">
      <c r="A7" s="488" t="s">
        <v>911</v>
      </c>
      <c r="B7" s="489" t="s">
        <v>25</v>
      </c>
      <c r="C7" s="490"/>
      <c r="D7" s="490"/>
      <c r="E7" s="491"/>
      <c r="F7" s="492"/>
      <c r="G7" s="474"/>
      <c r="H7" s="487"/>
      <c r="I7" s="474"/>
      <c r="J7" s="474"/>
      <c r="K7" s="474"/>
      <c r="L7" s="474"/>
      <c r="M7" s="474"/>
      <c r="N7" s="474"/>
      <c r="O7" s="474"/>
      <c r="P7" s="474"/>
      <c r="Q7" s="474"/>
      <c r="R7" s="474"/>
      <c r="S7" s="474"/>
      <c r="T7" s="474"/>
      <c r="U7" s="474"/>
      <c r="V7" s="474"/>
      <c r="W7" s="474"/>
      <c r="X7" s="474"/>
      <c r="Y7" s="474"/>
      <c r="Z7" s="474"/>
    </row>
    <row r="8" ht="12.0" customHeight="1">
      <c r="A8" s="488"/>
      <c r="B8" s="493" t="s">
        <v>26</v>
      </c>
      <c r="C8" s="490" t="s">
        <v>32</v>
      </c>
      <c r="D8" s="490"/>
      <c r="E8" s="491"/>
      <c r="F8" s="492"/>
      <c r="G8" s="474"/>
      <c r="H8" s="487"/>
      <c r="I8" s="474"/>
      <c r="J8" s="474"/>
      <c r="K8" s="474"/>
      <c r="L8" s="474"/>
      <c r="M8" s="474"/>
      <c r="N8" s="474"/>
      <c r="O8" s="474"/>
      <c r="P8" s="474"/>
      <c r="Q8" s="474"/>
      <c r="R8" s="474"/>
      <c r="S8" s="474"/>
      <c r="T8" s="474"/>
      <c r="U8" s="474"/>
      <c r="V8" s="474"/>
      <c r="W8" s="474"/>
      <c r="X8" s="474"/>
      <c r="Y8" s="474"/>
      <c r="Z8" s="474"/>
    </row>
    <row r="9" ht="12.0" customHeight="1">
      <c r="A9" s="488"/>
      <c r="B9" s="493" t="s">
        <v>912</v>
      </c>
      <c r="C9" s="490" t="s">
        <v>32</v>
      </c>
      <c r="D9" s="490"/>
      <c r="E9" s="491"/>
      <c r="F9" s="492"/>
      <c r="G9" s="474"/>
      <c r="H9" s="487"/>
      <c r="I9" s="474"/>
      <c r="J9" s="474"/>
      <c r="K9" s="474"/>
      <c r="L9" s="474"/>
      <c r="M9" s="474"/>
      <c r="N9" s="474"/>
      <c r="O9" s="474"/>
      <c r="P9" s="474"/>
      <c r="Q9" s="474"/>
      <c r="R9" s="474"/>
      <c r="S9" s="474"/>
      <c r="T9" s="474"/>
      <c r="U9" s="474"/>
      <c r="V9" s="474"/>
      <c r="W9" s="474"/>
      <c r="X9" s="474"/>
      <c r="Y9" s="474"/>
      <c r="Z9" s="474"/>
    </row>
    <row r="10" ht="12.0" customHeight="1">
      <c r="A10" s="494"/>
      <c r="B10" s="495" t="str">
        <f>"Sous total : " &amp; A7&amp;" - "&amp;B7</f>
        <v>Sous total : 1.3 - Etudes, Plans, DOE</v>
      </c>
      <c r="C10" s="496"/>
      <c r="D10" s="496"/>
      <c r="E10" s="497"/>
      <c r="F10" s="498"/>
      <c r="G10" s="474"/>
      <c r="H10" s="487"/>
      <c r="I10" s="474"/>
      <c r="J10" s="474"/>
      <c r="K10" s="474"/>
      <c r="L10" s="474"/>
      <c r="M10" s="474"/>
      <c r="N10" s="474"/>
      <c r="O10" s="474"/>
      <c r="P10" s="474"/>
      <c r="Q10" s="474"/>
      <c r="R10" s="474"/>
      <c r="S10" s="474"/>
      <c r="T10" s="474"/>
      <c r="U10" s="474"/>
      <c r="V10" s="474"/>
      <c r="W10" s="474"/>
      <c r="X10" s="474"/>
      <c r="Y10" s="474"/>
      <c r="Z10" s="474"/>
    </row>
    <row r="11" ht="12.0" customHeight="1">
      <c r="A11" s="499" t="s">
        <v>913</v>
      </c>
      <c r="B11" s="500" t="s">
        <v>29</v>
      </c>
      <c r="C11" s="501"/>
      <c r="D11" s="501"/>
      <c r="E11" s="502"/>
      <c r="F11" s="503"/>
      <c r="G11" s="504"/>
      <c r="H11" s="504"/>
      <c r="I11" s="504"/>
      <c r="J11" s="504"/>
      <c r="K11" s="504"/>
      <c r="L11" s="504"/>
      <c r="M11" s="504"/>
      <c r="N11" s="504"/>
      <c r="O11" s="504"/>
      <c r="P11" s="504"/>
      <c r="Q11" s="504"/>
      <c r="R11" s="504"/>
      <c r="S11" s="504"/>
      <c r="T11" s="504"/>
      <c r="U11" s="504"/>
      <c r="V11" s="504"/>
      <c r="W11" s="504"/>
      <c r="X11" s="504"/>
      <c r="Y11" s="504"/>
      <c r="Z11" s="504"/>
    </row>
    <row r="12" ht="12.0" customHeight="1">
      <c r="A12" s="488"/>
      <c r="B12" s="493" t="s">
        <v>30</v>
      </c>
      <c r="C12" s="490" t="s">
        <v>32</v>
      </c>
      <c r="D12" s="490"/>
      <c r="E12" s="491"/>
      <c r="F12" s="492"/>
      <c r="G12" s="504"/>
      <c r="H12" s="504"/>
      <c r="I12" s="504"/>
      <c r="J12" s="504"/>
      <c r="K12" s="504"/>
      <c r="L12" s="504"/>
      <c r="M12" s="504"/>
      <c r="N12" s="504"/>
      <c r="O12" s="504"/>
      <c r="P12" s="504"/>
      <c r="Q12" s="504"/>
      <c r="R12" s="504"/>
      <c r="S12" s="504"/>
      <c r="T12" s="504"/>
      <c r="U12" s="504"/>
      <c r="V12" s="504"/>
      <c r="W12" s="504"/>
      <c r="X12" s="504"/>
      <c r="Y12" s="504"/>
      <c r="Z12" s="504"/>
    </row>
    <row r="13" ht="12.0" customHeight="1">
      <c r="A13" s="488"/>
      <c r="B13" s="493" t="s">
        <v>33</v>
      </c>
      <c r="C13" s="490" t="s">
        <v>34</v>
      </c>
      <c r="D13" s="490"/>
      <c r="E13" s="491"/>
      <c r="F13" s="492"/>
      <c r="G13" s="504"/>
      <c r="H13" s="504"/>
      <c r="I13" s="504"/>
      <c r="J13" s="504"/>
      <c r="K13" s="504"/>
      <c r="L13" s="504"/>
      <c r="M13" s="504"/>
      <c r="N13" s="504"/>
      <c r="O13" s="504"/>
      <c r="P13" s="504"/>
      <c r="Q13" s="504"/>
      <c r="R13" s="504"/>
      <c r="S13" s="504"/>
      <c r="T13" s="504"/>
      <c r="U13" s="504"/>
      <c r="V13" s="504"/>
      <c r="W13" s="504"/>
      <c r="X13" s="504"/>
      <c r="Y13" s="504"/>
      <c r="Z13" s="504"/>
    </row>
    <row r="14" ht="12.0" customHeight="1">
      <c r="A14" s="488"/>
      <c r="B14" s="493" t="s">
        <v>914</v>
      </c>
      <c r="C14" s="490" t="s">
        <v>32</v>
      </c>
      <c r="D14" s="490"/>
      <c r="E14" s="491"/>
      <c r="F14" s="492"/>
      <c r="G14" s="504"/>
      <c r="H14" s="504"/>
      <c r="I14" s="504"/>
      <c r="J14" s="504"/>
      <c r="K14" s="504"/>
      <c r="L14" s="504"/>
      <c r="M14" s="504"/>
      <c r="N14" s="504"/>
      <c r="O14" s="504"/>
      <c r="P14" s="504"/>
      <c r="Q14" s="504"/>
      <c r="R14" s="504"/>
      <c r="S14" s="504"/>
      <c r="T14" s="504"/>
      <c r="U14" s="504"/>
      <c r="V14" s="504"/>
      <c r="W14" s="504"/>
      <c r="X14" s="504"/>
      <c r="Y14" s="504"/>
      <c r="Z14" s="504"/>
    </row>
    <row r="15" ht="12.0" customHeight="1">
      <c r="A15" s="494"/>
      <c r="B15" s="495" t="str">
        <f>"Sous total : " &amp; A11&amp;" - "&amp;B11</f>
        <v>Sous total : 1.6 - Essais, mise en service</v>
      </c>
      <c r="C15" s="496"/>
      <c r="D15" s="496"/>
      <c r="E15" s="497"/>
      <c r="F15" s="498"/>
      <c r="G15" s="504"/>
      <c r="H15" s="504"/>
      <c r="I15" s="504"/>
      <c r="J15" s="504"/>
      <c r="K15" s="504"/>
      <c r="L15" s="504"/>
      <c r="M15" s="504"/>
      <c r="N15" s="504"/>
      <c r="O15" s="504"/>
      <c r="P15" s="504"/>
      <c r="Q15" s="504"/>
      <c r="R15" s="504"/>
      <c r="S15" s="504"/>
      <c r="T15" s="504"/>
      <c r="U15" s="504"/>
      <c r="V15" s="504"/>
      <c r="W15" s="504"/>
      <c r="X15" s="504"/>
      <c r="Y15" s="504"/>
      <c r="Z15" s="504"/>
    </row>
    <row r="16" ht="12.0" customHeight="1">
      <c r="A16" s="499" t="s">
        <v>915</v>
      </c>
      <c r="B16" s="500" t="s">
        <v>38</v>
      </c>
      <c r="C16" s="501"/>
      <c r="D16" s="501"/>
      <c r="E16" s="502"/>
      <c r="F16" s="503"/>
      <c r="G16" s="474"/>
      <c r="H16" s="487"/>
      <c r="I16" s="474"/>
      <c r="J16" s="474"/>
      <c r="K16" s="474"/>
      <c r="L16" s="474"/>
      <c r="M16" s="474"/>
      <c r="N16" s="474"/>
      <c r="O16" s="474"/>
      <c r="P16" s="474"/>
      <c r="Q16" s="474"/>
      <c r="R16" s="474"/>
      <c r="S16" s="474"/>
      <c r="T16" s="474"/>
      <c r="U16" s="474"/>
      <c r="V16" s="474"/>
      <c r="W16" s="474"/>
      <c r="X16" s="474"/>
      <c r="Y16" s="474"/>
      <c r="Z16" s="474"/>
    </row>
    <row r="17" ht="12.0" customHeight="1">
      <c r="A17" s="488"/>
      <c r="B17" s="505" t="s">
        <v>916</v>
      </c>
      <c r="C17" s="490" t="s">
        <v>34</v>
      </c>
      <c r="D17" s="490"/>
      <c r="E17" s="491"/>
      <c r="F17" s="492"/>
      <c r="G17" s="474"/>
      <c r="H17" s="487"/>
      <c r="I17" s="474"/>
      <c r="J17" s="474"/>
      <c r="K17" s="474"/>
      <c r="L17" s="474"/>
      <c r="M17" s="474"/>
      <c r="N17" s="474"/>
      <c r="O17" s="474"/>
      <c r="P17" s="474"/>
      <c r="Q17" s="474"/>
      <c r="R17" s="474"/>
      <c r="S17" s="474"/>
      <c r="T17" s="474"/>
      <c r="U17" s="474"/>
      <c r="V17" s="474"/>
      <c r="W17" s="474"/>
      <c r="X17" s="474"/>
      <c r="Y17" s="474"/>
      <c r="Z17" s="474"/>
    </row>
    <row r="18" ht="12.0" customHeight="1">
      <c r="A18" s="488"/>
      <c r="B18" s="493" t="s">
        <v>41</v>
      </c>
      <c r="C18" s="490" t="s">
        <v>34</v>
      </c>
      <c r="D18" s="490"/>
      <c r="E18" s="491"/>
      <c r="F18" s="492"/>
      <c r="G18" s="474"/>
      <c r="H18" s="487"/>
      <c r="I18" s="474"/>
      <c r="J18" s="474"/>
      <c r="K18" s="474"/>
      <c r="L18" s="474"/>
      <c r="M18" s="474"/>
      <c r="N18" s="474"/>
      <c r="O18" s="474"/>
      <c r="P18" s="474"/>
      <c r="Q18" s="474"/>
      <c r="R18" s="474"/>
      <c r="S18" s="474"/>
      <c r="T18" s="474"/>
      <c r="U18" s="474"/>
      <c r="V18" s="474"/>
      <c r="W18" s="474"/>
      <c r="X18" s="474"/>
      <c r="Y18" s="474"/>
      <c r="Z18" s="474"/>
    </row>
    <row r="19" ht="12.0" customHeight="1">
      <c r="A19" s="488"/>
      <c r="B19" s="493" t="s">
        <v>42</v>
      </c>
      <c r="C19" s="490" t="s">
        <v>32</v>
      </c>
      <c r="D19" s="490"/>
      <c r="E19" s="491"/>
      <c r="F19" s="492"/>
      <c r="G19" s="474"/>
      <c r="H19" s="487"/>
      <c r="I19" s="474"/>
      <c r="J19" s="474"/>
      <c r="K19" s="474"/>
      <c r="L19" s="474"/>
      <c r="M19" s="474"/>
      <c r="N19" s="474"/>
      <c r="O19" s="474"/>
      <c r="P19" s="474"/>
      <c r="Q19" s="474"/>
      <c r="R19" s="474"/>
      <c r="S19" s="474"/>
      <c r="T19" s="474"/>
      <c r="U19" s="474"/>
      <c r="V19" s="474"/>
      <c r="W19" s="474"/>
      <c r="X19" s="474"/>
      <c r="Y19" s="474"/>
      <c r="Z19" s="474"/>
    </row>
    <row r="20" ht="12.0" customHeight="1">
      <c r="A20" s="494"/>
      <c r="B20" s="495" t="str">
        <f>"Sous total : " &amp; A16&amp;" - "&amp;B16</f>
        <v>Sous total : 2.2 - Installation de chantier</v>
      </c>
      <c r="C20" s="496"/>
      <c r="D20" s="496"/>
      <c r="E20" s="497"/>
      <c r="F20" s="498"/>
      <c r="G20" s="474"/>
      <c r="H20" s="487"/>
      <c r="I20" s="474"/>
      <c r="J20" s="474"/>
      <c r="K20" s="474"/>
      <c r="L20" s="474"/>
      <c r="M20" s="474"/>
      <c r="N20" s="474"/>
      <c r="O20" s="474"/>
      <c r="P20" s="474"/>
      <c r="Q20" s="474"/>
      <c r="R20" s="474"/>
      <c r="S20" s="474"/>
      <c r="T20" s="474"/>
      <c r="U20" s="474"/>
      <c r="V20" s="474"/>
      <c r="W20" s="474"/>
      <c r="X20" s="474"/>
      <c r="Y20" s="474"/>
      <c r="Z20" s="474"/>
    </row>
    <row r="21" ht="14.25" customHeight="1">
      <c r="A21" s="499"/>
      <c r="B21" s="500" t="s">
        <v>44</v>
      </c>
      <c r="C21" s="501"/>
      <c r="D21" s="501"/>
      <c r="E21" s="502"/>
      <c r="F21" s="503"/>
      <c r="G21" s="474"/>
      <c r="H21" s="487"/>
      <c r="I21" s="474"/>
      <c r="J21" s="474"/>
      <c r="K21" s="474"/>
      <c r="L21" s="474"/>
      <c r="M21" s="474"/>
      <c r="N21" s="474"/>
      <c r="O21" s="474"/>
      <c r="P21" s="474"/>
      <c r="Q21" s="474"/>
      <c r="R21" s="474"/>
      <c r="S21" s="474"/>
      <c r="T21" s="474"/>
      <c r="U21" s="474"/>
      <c r="V21" s="474"/>
      <c r="W21" s="474"/>
      <c r="X21" s="474"/>
      <c r="Y21" s="474"/>
      <c r="Z21" s="474"/>
    </row>
    <row r="22" ht="12.75" customHeight="1">
      <c r="A22" s="488"/>
      <c r="B22" s="493" t="s">
        <v>45</v>
      </c>
      <c r="C22" s="490" t="s">
        <v>32</v>
      </c>
      <c r="D22" s="490"/>
      <c r="E22" s="491"/>
      <c r="F22" s="492"/>
      <c r="G22" s="474"/>
      <c r="H22" s="487"/>
      <c r="I22" s="474"/>
      <c r="J22" s="474"/>
      <c r="K22" s="474"/>
      <c r="L22" s="474"/>
      <c r="M22" s="474"/>
      <c r="N22" s="474"/>
      <c r="O22" s="474"/>
      <c r="P22" s="474"/>
      <c r="Q22" s="474"/>
      <c r="R22" s="474"/>
      <c r="S22" s="474"/>
      <c r="T22" s="474"/>
      <c r="U22" s="474"/>
      <c r="V22" s="474"/>
      <c r="W22" s="474"/>
      <c r="X22" s="474"/>
      <c r="Y22" s="474"/>
      <c r="Z22" s="474"/>
    </row>
    <row r="23" ht="12.75" customHeight="1">
      <c r="A23" s="488"/>
      <c r="B23" s="493" t="s">
        <v>46</v>
      </c>
      <c r="C23" s="490" t="s">
        <v>32</v>
      </c>
      <c r="D23" s="490"/>
      <c r="E23" s="491"/>
      <c r="F23" s="492"/>
      <c r="G23" s="474"/>
      <c r="H23" s="487"/>
      <c r="I23" s="474"/>
      <c r="J23" s="474"/>
      <c r="K23" s="474"/>
      <c r="L23" s="474"/>
      <c r="M23" s="474"/>
      <c r="N23" s="474"/>
      <c r="O23" s="474"/>
      <c r="P23" s="474"/>
      <c r="Q23" s="474"/>
      <c r="R23" s="474"/>
      <c r="S23" s="474"/>
      <c r="T23" s="474"/>
      <c r="U23" s="474"/>
      <c r="V23" s="474"/>
      <c r="W23" s="474"/>
      <c r="X23" s="474"/>
      <c r="Y23" s="474"/>
      <c r="Z23" s="474"/>
    </row>
    <row r="24" ht="13.5" customHeight="1">
      <c r="A24" s="494"/>
      <c r="B24" s="495" t="str">
        <f>"Sous total : " &amp; A21&amp;" - "&amp;B21</f>
        <v>Sous total :  - Installation existantes</v>
      </c>
      <c r="C24" s="496"/>
      <c r="D24" s="496"/>
      <c r="E24" s="497"/>
      <c r="F24" s="498"/>
      <c r="G24" s="474"/>
      <c r="H24" s="487"/>
      <c r="I24" s="474"/>
      <c r="J24" s="474"/>
      <c r="K24" s="474"/>
      <c r="L24" s="474"/>
      <c r="M24" s="474"/>
      <c r="N24" s="474"/>
      <c r="O24" s="474"/>
      <c r="P24" s="474"/>
      <c r="Q24" s="474"/>
      <c r="R24" s="474"/>
      <c r="S24" s="474"/>
      <c r="T24" s="474"/>
      <c r="U24" s="474"/>
      <c r="V24" s="474"/>
      <c r="W24" s="474"/>
      <c r="X24" s="474"/>
      <c r="Y24" s="474"/>
      <c r="Z24" s="474"/>
    </row>
    <row r="25" ht="12.0" customHeight="1">
      <c r="A25" s="499" t="s">
        <v>917</v>
      </c>
      <c r="B25" s="500" t="s">
        <v>49</v>
      </c>
      <c r="C25" s="501"/>
      <c r="D25" s="501"/>
      <c r="E25" s="502"/>
      <c r="F25" s="503"/>
      <c r="G25" s="474"/>
      <c r="H25" s="487"/>
      <c r="I25" s="474"/>
      <c r="J25" s="474"/>
      <c r="K25" s="474"/>
      <c r="L25" s="474"/>
      <c r="M25" s="474"/>
      <c r="N25" s="474"/>
      <c r="O25" s="474"/>
      <c r="P25" s="474"/>
      <c r="Q25" s="474"/>
      <c r="R25" s="474"/>
      <c r="S25" s="474"/>
      <c r="T25" s="474"/>
      <c r="U25" s="474"/>
      <c r="V25" s="474"/>
      <c r="W25" s="474"/>
      <c r="X25" s="474"/>
      <c r="Y25" s="474"/>
      <c r="Z25" s="474"/>
    </row>
    <row r="26" ht="12.0" customHeight="1">
      <c r="A26" s="488"/>
      <c r="B26" s="493" t="s">
        <v>918</v>
      </c>
      <c r="C26" s="490" t="s">
        <v>51</v>
      </c>
      <c r="D26" s="490"/>
      <c r="E26" s="491"/>
      <c r="F26" s="492"/>
      <c r="G26" s="474"/>
      <c r="H26" s="487"/>
      <c r="I26" s="474"/>
      <c r="J26" s="474"/>
      <c r="K26" s="474"/>
      <c r="L26" s="474"/>
      <c r="M26" s="474"/>
      <c r="N26" s="474"/>
      <c r="O26" s="474"/>
      <c r="P26" s="474"/>
      <c r="Q26" s="474"/>
      <c r="R26" s="474"/>
      <c r="S26" s="474"/>
      <c r="T26" s="474"/>
      <c r="U26" s="474"/>
      <c r="V26" s="474"/>
      <c r="W26" s="474"/>
      <c r="X26" s="474"/>
      <c r="Y26" s="474"/>
      <c r="Z26" s="474"/>
    </row>
    <row r="27" ht="12.0" customHeight="1">
      <c r="A27" s="488"/>
      <c r="B27" s="493" t="s">
        <v>718</v>
      </c>
      <c r="C27" s="490" t="s">
        <v>34</v>
      </c>
      <c r="D27" s="490"/>
      <c r="E27" s="491"/>
      <c r="F27" s="492"/>
      <c r="G27" s="474"/>
      <c r="H27" s="487"/>
      <c r="I27" s="474"/>
      <c r="J27" s="474"/>
      <c r="K27" s="474"/>
      <c r="L27" s="474"/>
      <c r="M27" s="474"/>
      <c r="N27" s="474"/>
      <c r="O27" s="474"/>
      <c r="P27" s="474"/>
      <c r="Q27" s="474"/>
      <c r="R27" s="474"/>
      <c r="S27" s="474"/>
      <c r="T27" s="474"/>
      <c r="U27" s="474"/>
      <c r="V27" s="474"/>
      <c r="W27" s="474"/>
      <c r="X27" s="474"/>
      <c r="Y27" s="474"/>
      <c r="Z27" s="474"/>
    </row>
    <row r="28" ht="12.0" customHeight="1">
      <c r="A28" s="488"/>
      <c r="B28" s="493" t="s">
        <v>719</v>
      </c>
      <c r="C28" s="490" t="s">
        <v>32</v>
      </c>
      <c r="D28" s="490"/>
      <c r="E28" s="491"/>
      <c r="F28" s="492"/>
      <c r="G28" s="474"/>
      <c r="H28" s="487"/>
      <c r="I28" s="474"/>
      <c r="J28" s="474"/>
      <c r="K28" s="474"/>
      <c r="L28" s="474"/>
      <c r="M28" s="474"/>
      <c r="N28" s="474"/>
      <c r="O28" s="474"/>
      <c r="P28" s="474"/>
      <c r="Q28" s="474"/>
      <c r="R28" s="474"/>
      <c r="S28" s="474"/>
      <c r="T28" s="474"/>
      <c r="U28" s="474"/>
      <c r="V28" s="474"/>
      <c r="W28" s="474"/>
      <c r="X28" s="474"/>
      <c r="Y28" s="474"/>
      <c r="Z28" s="474"/>
    </row>
    <row r="29" ht="12.0" customHeight="1">
      <c r="A29" s="488"/>
      <c r="B29" s="493" t="s">
        <v>720</v>
      </c>
      <c r="C29" s="490" t="s">
        <v>32</v>
      </c>
      <c r="D29" s="490"/>
      <c r="E29" s="491"/>
      <c r="F29" s="492"/>
      <c r="G29" s="474"/>
      <c r="H29" s="487"/>
      <c r="I29" s="474"/>
      <c r="J29" s="474"/>
      <c r="K29" s="474"/>
      <c r="L29" s="474"/>
      <c r="M29" s="474"/>
      <c r="N29" s="474"/>
      <c r="O29" s="474"/>
      <c r="P29" s="474"/>
      <c r="Q29" s="474"/>
      <c r="R29" s="474"/>
      <c r="S29" s="474"/>
      <c r="T29" s="474"/>
      <c r="U29" s="474"/>
      <c r="V29" s="474"/>
      <c r="W29" s="474"/>
      <c r="X29" s="474"/>
      <c r="Y29" s="474"/>
      <c r="Z29" s="474"/>
    </row>
    <row r="30" ht="12.0" customHeight="1">
      <c r="A30" s="494"/>
      <c r="B30" s="495" t="str">
        <f>"Sous total : " &amp; A25&amp;" - "&amp;B25</f>
        <v>Sous total : 2.4 - Réseau de terre</v>
      </c>
      <c r="C30" s="496"/>
      <c r="D30" s="496"/>
      <c r="E30" s="497"/>
      <c r="F30" s="498"/>
      <c r="G30" s="474"/>
      <c r="H30" s="487"/>
      <c r="I30" s="474"/>
      <c r="J30" s="474"/>
      <c r="K30" s="474"/>
      <c r="L30" s="474"/>
      <c r="M30" s="474"/>
      <c r="N30" s="474"/>
      <c r="O30" s="474"/>
      <c r="P30" s="474"/>
      <c r="Q30" s="474"/>
      <c r="R30" s="474"/>
      <c r="S30" s="474"/>
      <c r="T30" s="474"/>
      <c r="U30" s="474"/>
      <c r="V30" s="474"/>
      <c r="W30" s="474"/>
      <c r="X30" s="474"/>
      <c r="Y30" s="474"/>
      <c r="Z30" s="474"/>
    </row>
    <row r="31" ht="12.0" customHeight="1">
      <c r="A31" s="499" t="s">
        <v>919</v>
      </c>
      <c r="B31" s="500" t="s">
        <v>920</v>
      </c>
      <c r="C31" s="501"/>
      <c r="D31" s="501"/>
      <c r="E31" s="502"/>
      <c r="F31" s="503"/>
      <c r="G31" s="474"/>
      <c r="H31" s="487"/>
      <c r="I31" s="474"/>
      <c r="J31" s="474"/>
      <c r="K31" s="474"/>
      <c r="L31" s="474"/>
      <c r="M31" s="474"/>
      <c r="N31" s="474"/>
      <c r="O31" s="474"/>
      <c r="P31" s="474"/>
      <c r="Q31" s="474"/>
      <c r="R31" s="474"/>
      <c r="S31" s="474"/>
      <c r="T31" s="474"/>
      <c r="U31" s="474"/>
      <c r="V31" s="474"/>
      <c r="W31" s="474"/>
      <c r="X31" s="474"/>
      <c r="Y31" s="474"/>
      <c r="Z31" s="474"/>
    </row>
    <row r="32" ht="12.0" customHeight="1">
      <c r="A32" s="488"/>
      <c r="B32" s="493" t="s">
        <v>136</v>
      </c>
      <c r="C32" s="490" t="s">
        <v>34</v>
      </c>
      <c r="D32" s="490"/>
      <c r="E32" s="491"/>
      <c r="F32" s="492"/>
      <c r="G32" s="474"/>
      <c r="H32" s="487"/>
      <c r="I32" s="474"/>
      <c r="J32" s="474"/>
      <c r="K32" s="474"/>
      <c r="L32" s="474"/>
      <c r="M32" s="474"/>
      <c r="N32" s="474"/>
      <c r="O32" s="474"/>
      <c r="P32" s="474"/>
      <c r="Q32" s="474"/>
      <c r="R32" s="474"/>
      <c r="S32" s="474"/>
      <c r="T32" s="474"/>
      <c r="U32" s="474"/>
      <c r="V32" s="474"/>
      <c r="W32" s="474"/>
      <c r="X32" s="474"/>
      <c r="Y32" s="474"/>
      <c r="Z32" s="474"/>
    </row>
    <row r="33" ht="12.0" customHeight="1">
      <c r="A33" s="488"/>
      <c r="B33" s="493" t="s">
        <v>137</v>
      </c>
      <c r="C33" s="490" t="s">
        <v>34</v>
      </c>
      <c r="D33" s="490"/>
      <c r="E33" s="491"/>
      <c r="F33" s="492"/>
      <c r="G33" s="474"/>
      <c r="H33" s="487"/>
      <c r="I33" s="474"/>
      <c r="J33" s="474"/>
      <c r="K33" s="474"/>
      <c r="L33" s="474"/>
      <c r="M33" s="474"/>
      <c r="N33" s="474"/>
      <c r="O33" s="474"/>
      <c r="P33" s="474"/>
      <c r="Q33" s="474"/>
      <c r="R33" s="474"/>
      <c r="S33" s="474"/>
      <c r="T33" s="474"/>
      <c r="U33" s="474"/>
      <c r="V33" s="474"/>
      <c r="W33" s="474"/>
      <c r="X33" s="474"/>
      <c r="Y33" s="474"/>
      <c r="Z33" s="474"/>
    </row>
    <row r="34" ht="12.0" customHeight="1">
      <c r="A34" s="488"/>
      <c r="B34" s="493" t="s">
        <v>138</v>
      </c>
      <c r="C34" s="490" t="s">
        <v>32</v>
      </c>
      <c r="D34" s="490"/>
      <c r="E34" s="491"/>
      <c r="F34" s="492"/>
      <c r="G34" s="474"/>
      <c r="H34" s="487"/>
      <c r="I34" s="474"/>
      <c r="J34" s="474"/>
      <c r="K34" s="474"/>
      <c r="L34" s="474"/>
      <c r="M34" s="474"/>
      <c r="N34" s="474"/>
      <c r="O34" s="474"/>
      <c r="P34" s="474"/>
      <c r="Q34" s="474"/>
      <c r="R34" s="474"/>
      <c r="S34" s="474"/>
      <c r="T34" s="474"/>
      <c r="U34" s="474"/>
      <c r="V34" s="474"/>
      <c r="W34" s="474"/>
      <c r="X34" s="474"/>
      <c r="Y34" s="474"/>
      <c r="Z34" s="474"/>
    </row>
    <row r="35" ht="12.0" customHeight="1">
      <c r="A35" s="488"/>
      <c r="B35" s="493" t="s">
        <v>139</v>
      </c>
      <c r="C35" s="490" t="s">
        <v>32</v>
      </c>
      <c r="D35" s="490"/>
      <c r="E35" s="491"/>
      <c r="F35" s="492"/>
      <c r="G35" s="474"/>
      <c r="H35" s="487"/>
      <c r="I35" s="474"/>
      <c r="J35" s="474"/>
      <c r="K35" s="474"/>
      <c r="L35" s="474"/>
      <c r="M35" s="474"/>
      <c r="N35" s="474"/>
      <c r="O35" s="474"/>
      <c r="P35" s="474"/>
      <c r="Q35" s="474"/>
      <c r="R35" s="474"/>
      <c r="S35" s="474"/>
      <c r="T35" s="474"/>
      <c r="U35" s="474"/>
      <c r="V35" s="474"/>
      <c r="W35" s="474"/>
      <c r="X35" s="474"/>
      <c r="Y35" s="474"/>
      <c r="Z35" s="474"/>
    </row>
    <row r="36" ht="12.0" customHeight="1">
      <c r="A36" s="488"/>
      <c r="B36" s="493" t="s">
        <v>140</v>
      </c>
      <c r="C36" s="490" t="s">
        <v>34</v>
      </c>
      <c r="D36" s="490"/>
      <c r="E36" s="491"/>
      <c r="F36" s="492"/>
      <c r="G36" s="474"/>
      <c r="H36" s="487"/>
      <c r="I36" s="474"/>
      <c r="J36" s="474"/>
      <c r="K36" s="474"/>
      <c r="L36" s="474"/>
      <c r="M36" s="474"/>
      <c r="N36" s="474"/>
      <c r="O36" s="474"/>
      <c r="P36" s="474"/>
      <c r="Q36" s="474"/>
      <c r="R36" s="474"/>
      <c r="S36" s="474"/>
      <c r="T36" s="474"/>
      <c r="U36" s="474"/>
      <c r="V36" s="474"/>
      <c r="W36" s="474"/>
      <c r="X36" s="474"/>
      <c r="Y36" s="474"/>
      <c r="Z36" s="474"/>
    </row>
    <row r="37" ht="12.0" customHeight="1">
      <c r="A37" s="488"/>
      <c r="B37" s="493" t="s">
        <v>141</v>
      </c>
      <c r="C37" s="490" t="s">
        <v>32</v>
      </c>
      <c r="D37" s="490"/>
      <c r="E37" s="491"/>
      <c r="F37" s="492"/>
      <c r="G37" s="474"/>
      <c r="H37" s="487"/>
      <c r="I37" s="474"/>
      <c r="J37" s="474"/>
      <c r="K37" s="474"/>
      <c r="L37" s="474"/>
      <c r="M37" s="474"/>
      <c r="N37" s="474"/>
      <c r="O37" s="474"/>
      <c r="P37" s="474"/>
      <c r="Q37" s="474"/>
      <c r="R37" s="474"/>
      <c r="S37" s="474"/>
      <c r="T37" s="474"/>
      <c r="U37" s="474"/>
      <c r="V37" s="474"/>
      <c r="W37" s="474"/>
      <c r="X37" s="474"/>
      <c r="Y37" s="474"/>
      <c r="Z37" s="474"/>
    </row>
    <row r="38" ht="12.0" customHeight="1">
      <c r="A38" s="494"/>
      <c r="B38" s="495" t="str">
        <f>"Sous total : " &amp; A31&amp;" - "&amp;B31</f>
        <v>Sous total : 2.5 - Branchements</v>
      </c>
      <c r="C38" s="496"/>
      <c r="D38" s="496"/>
      <c r="E38" s="497"/>
      <c r="F38" s="498"/>
      <c r="G38" s="474"/>
      <c r="H38" s="487"/>
      <c r="I38" s="474"/>
      <c r="J38" s="474"/>
      <c r="K38" s="474"/>
      <c r="L38" s="474"/>
      <c r="M38" s="474"/>
      <c r="N38" s="474"/>
      <c r="O38" s="474"/>
      <c r="P38" s="474"/>
      <c r="Q38" s="474"/>
      <c r="R38" s="474"/>
      <c r="S38" s="474"/>
      <c r="T38" s="474"/>
      <c r="U38" s="474"/>
      <c r="V38" s="474"/>
      <c r="W38" s="474"/>
      <c r="X38" s="474"/>
      <c r="Y38" s="474"/>
      <c r="Z38" s="474"/>
    </row>
    <row r="39" ht="12.0" customHeight="1">
      <c r="A39" s="499" t="s">
        <v>921</v>
      </c>
      <c r="B39" s="500" t="s">
        <v>216</v>
      </c>
      <c r="C39" s="501"/>
      <c r="D39" s="501"/>
      <c r="E39" s="502"/>
      <c r="F39" s="503"/>
      <c r="G39" s="474"/>
      <c r="H39" s="487"/>
      <c r="I39" s="474"/>
      <c r="J39" s="474"/>
      <c r="K39" s="474"/>
      <c r="L39" s="474"/>
      <c r="M39" s="474"/>
      <c r="N39" s="474"/>
      <c r="O39" s="474"/>
      <c r="P39" s="474"/>
      <c r="Q39" s="474"/>
      <c r="R39" s="474"/>
      <c r="S39" s="474"/>
      <c r="T39" s="474"/>
      <c r="U39" s="474"/>
      <c r="V39" s="474"/>
      <c r="W39" s="474"/>
      <c r="X39" s="474"/>
      <c r="Y39" s="474"/>
      <c r="Z39" s="474"/>
    </row>
    <row r="40" ht="12.0" customHeight="1">
      <c r="A40" s="488"/>
      <c r="B40" s="493" t="s">
        <v>217</v>
      </c>
      <c r="C40" s="490" t="s">
        <v>34</v>
      </c>
      <c r="D40" s="490"/>
      <c r="E40" s="491"/>
      <c r="F40" s="492"/>
      <c r="G40" s="474"/>
      <c r="H40" s="487"/>
      <c r="I40" s="474"/>
      <c r="J40" s="474"/>
      <c r="K40" s="474"/>
      <c r="L40" s="474"/>
      <c r="M40" s="474"/>
      <c r="N40" s="474"/>
      <c r="O40" s="474"/>
      <c r="P40" s="474"/>
      <c r="Q40" s="474"/>
      <c r="R40" s="474"/>
      <c r="S40" s="474"/>
      <c r="T40" s="474"/>
      <c r="U40" s="474"/>
      <c r="V40" s="474"/>
      <c r="W40" s="474"/>
      <c r="X40" s="474"/>
      <c r="Y40" s="474"/>
      <c r="Z40" s="474"/>
    </row>
    <row r="41" ht="12.0" customHeight="1">
      <c r="A41" s="494"/>
      <c r="B41" s="495" t="str">
        <f>"Sous total : " &amp; A39&amp;" - "&amp;B39</f>
        <v>Sous total : 2.6 - Protection contre les effets indirects de la foudre</v>
      </c>
      <c r="C41" s="496"/>
      <c r="D41" s="496"/>
      <c r="E41" s="497"/>
      <c r="F41" s="498"/>
      <c r="G41" s="474"/>
      <c r="H41" s="487"/>
      <c r="I41" s="474"/>
      <c r="J41" s="474"/>
      <c r="K41" s="474"/>
      <c r="L41" s="474"/>
      <c r="M41" s="474"/>
      <c r="N41" s="474"/>
      <c r="O41" s="474"/>
      <c r="P41" s="474"/>
      <c r="Q41" s="474"/>
      <c r="R41" s="474"/>
      <c r="S41" s="474"/>
      <c r="T41" s="474"/>
      <c r="U41" s="474"/>
      <c r="V41" s="474"/>
      <c r="W41" s="474"/>
      <c r="X41" s="474"/>
      <c r="Y41" s="474"/>
      <c r="Z41" s="474"/>
    </row>
    <row r="42" ht="12.0" customHeight="1">
      <c r="A42" s="499"/>
      <c r="B42" s="500" t="s">
        <v>63</v>
      </c>
      <c r="C42" s="501"/>
      <c r="D42" s="501"/>
      <c r="E42" s="502"/>
      <c r="F42" s="503"/>
      <c r="G42" s="474"/>
      <c r="H42" s="487"/>
      <c r="I42" s="474"/>
      <c r="J42" s="474"/>
      <c r="K42" s="474"/>
      <c r="L42" s="474"/>
      <c r="M42" s="474"/>
      <c r="N42" s="474"/>
      <c r="O42" s="474"/>
      <c r="P42" s="474"/>
      <c r="Q42" s="474"/>
      <c r="R42" s="474"/>
      <c r="S42" s="474"/>
      <c r="T42" s="474"/>
      <c r="U42" s="474"/>
      <c r="V42" s="474"/>
      <c r="W42" s="474"/>
      <c r="X42" s="474"/>
      <c r="Y42" s="474"/>
      <c r="Z42" s="474"/>
    </row>
    <row r="43" ht="12.0" customHeight="1">
      <c r="A43" s="488"/>
      <c r="B43" s="493" t="s">
        <v>110</v>
      </c>
      <c r="C43" s="490" t="s">
        <v>32</v>
      </c>
      <c r="D43" s="490"/>
      <c r="E43" s="491"/>
      <c r="F43" s="492"/>
      <c r="G43" s="474"/>
      <c r="H43" s="487"/>
      <c r="I43" s="474"/>
      <c r="J43" s="474"/>
      <c r="K43" s="474"/>
      <c r="L43" s="474"/>
      <c r="M43" s="474"/>
      <c r="N43" s="474"/>
      <c r="O43" s="474"/>
      <c r="P43" s="474"/>
      <c r="Q43" s="474"/>
      <c r="R43" s="474"/>
      <c r="S43" s="474"/>
      <c r="T43" s="474"/>
      <c r="U43" s="474"/>
      <c r="V43" s="474"/>
      <c r="W43" s="474"/>
      <c r="X43" s="474"/>
      <c r="Y43" s="474"/>
      <c r="Z43" s="474"/>
    </row>
    <row r="44" ht="12.0" customHeight="1">
      <c r="A44" s="488"/>
      <c r="B44" s="493" t="s">
        <v>111</v>
      </c>
      <c r="C44" s="490" t="s">
        <v>34</v>
      </c>
      <c r="D44" s="490"/>
      <c r="E44" s="491"/>
      <c r="F44" s="492"/>
      <c r="G44" s="474"/>
      <c r="H44" s="487"/>
      <c r="I44" s="474"/>
      <c r="J44" s="474"/>
      <c r="K44" s="474"/>
      <c r="L44" s="474"/>
      <c r="M44" s="474"/>
      <c r="N44" s="474"/>
      <c r="O44" s="474"/>
      <c r="P44" s="474"/>
      <c r="Q44" s="474"/>
      <c r="R44" s="474"/>
      <c r="S44" s="474"/>
      <c r="T44" s="474"/>
      <c r="U44" s="474"/>
      <c r="V44" s="474"/>
      <c r="W44" s="474"/>
      <c r="X44" s="474"/>
      <c r="Y44" s="474"/>
      <c r="Z44" s="474"/>
    </row>
    <row r="45" ht="12.0" customHeight="1">
      <c r="A45" s="488"/>
      <c r="B45" s="493" t="s">
        <v>112</v>
      </c>
      <c r="C45" s="490" t="s">
        <v>34</v>
      </c>
      <c r="D45" s="490"/>
      <c r="E45" s="491"/>
      <c r="F45" s="492"/>
      <c r="G45" s="474"/>
      <c r="H45" s="487"/>
      <c r="I45" s="474"/>
      <c r="J45" s="474"/>
      <c r="K45" s="474"/>
      <c r="L45" s="474"/>
      <c r="M45" s="474"/>
      <c r="N45" s="474"/>
      <c r="O45" s="474"/>
      <c r="P45" s="474"/>
      <c r="Q45" s="474"/>
      <c r="R45" s="474"/>
      <c r="S45" s="474"/>
      <c r="T45" s="474"/>
      <c r="U45" s="474"/>
      <c r="V45" s="474"/>
      <c r="W45" s="474"/>
      <c r="X45" s="474"/>
      <c r="Y45" s="474"/>
      <c r="Z45" s="474"/>
    </row>
    <row r="46" ht="12.0" customHeight="1">
      <c r="A46" s="488"/>
      <c r="B46" s="493" t="s">
        <v>113</v>
      </c>
      <c r="C46" s="490" t="s">
        <v>34</v>
      </c>
      <c r="D46" s="490"/>
      <c r="E46" s="491"/>
      <c r="F46" s="492"/>
      <c r="G46" s="474"/>
      <c r="H46" s="487"/>
      <c r="I46" s="474"/>
      <c r="J46" s="474"/>
      <c r="K46" s="474"/>
      <c r="L46" s="474"/>
      <c r="M46" s="474"/>
      <c r="N46" s="474"/>
      <c r="O46" s="474"/>
      <c r="P46" s="474"/>
      <c r="Q46" s="474"/>
      <c r="R46" s="474"/>
      <c r="S46" s="474"/>
      <c r="T46" s="474"/>
      <c r="U46" s="474"/>
      <c r="V46" s="474"/>
      <c r="W46" s="474"/>
      <c r="X46" s="474"/>
      <c r="Y46" s="474"/>
      <c r="Z46" s="474"/>
    </row>
    <row r="47" ht="12.0" customHeight="1">
      <c r="A47" s="488"/>
      <c r="B47" s="493" t="s">
        <v>114</v>
      </c>
      <c r="C47" s="490" t="s">
        <v>34</v>
      </c>
      <c r="D47" s="490"/>
      <c r="E47" s="491"/>
      <c r="F47" s="492"/>
      <c r="G47" s="474"/>
      <c r="H47" s="487"/>
      <c r="I47" s="474"/>
      <c r="J47" s="474"/>
      <c r="K47" s="474"/>
      <c r="L47" s="474"/>
      <c r="M47" s="474"/>
      <c r="N47" s="474"/>
      <c r="O47" s="474"/>
      <c r="P47" s="474"/>
      <c r="Q47" s="474"/>
      <c r="R47" s="474"/>
      <c r="S47" s="474"/>
      <c r="T47" s="474"/>
      <c r="U47" s="474"/>
      <c r="V47" s="474"/>
      <c r="W47" s="474"/>
      <c r="X47" s="474"/>
      <c r="Y47" s="474"/>
      <c r="Z47" s="474"/>
    </row>
    <row r="48" ht="12.0" customHeight="1">
      <c r="A48" s="488"/>
      <c r="B48" s="493" t="s">
        <v>115</v>
      </c>
      <c r="C48" s="490" t="s">
        <v>51</v>
      </c>
      <c r="D48" s="490"/>
      <c r="E48" s="491"/>
      <c r="F48" s="492"/>
      <c r="G48" s="474"/>
      <c r="H48" s="487"/>
      <c r="I48" s="474"/>
      <c r="J48" s="474"/>
      <c r="K48" s="474"/>
      <c r="L48" s="474"/>
      <c r="M48" s="474"/>
      <c r="N48" s="474"/>
      <c r="O48" s="474"/>
      <c r="P48" s="474"/>
      <c r="Q48" s="474"/>
      <c r="R48" s="474"/>
      <c r="S48" s="474"/>
      <c r="T48" s="474"/>
      <c r="U48" s="474"/>
      <c r="V48" s="474"/>
      <c r="W48" s="474"/>
      <c r="X48" s="474"/>
      <c r="Y48" s="474"/>
      <c r="Z48" s="474"/>
    </row>
    <row r="49" ht="12.0" customHeight="1">
      <c r="A49" s="488"/>
      <c r="B49" s="493" t="s">
        <v>116</v>
      </c>
      <c r="C49" s="490" t="s">
        <v>51</v>
      </c>
      <c r="D49" s="490"/>
      <c r="E49" s="491"/>
      <c r="F49" s="492"/>
      <c r="G49" s="474"/>
      <c r="H49" s="487"/>
      <c r="I49" s="474"/>
      <c r="J49" s="474"/>
      <c r="K49" s="474"/>
      <c r="L49" s="474"/>
      <c r="M49" s="474"/>
      <c r="N49" s="474"/>
      <c r="O49" s="474"/>
      <c r="P49" s="474"/>
      <c r="Q49" s="474"/>
      <c r="R49" s="474"/>
      <c r="S49" s="474"/>
      <c r="T49" s="474"/>
      <c r="U49" s="474"/>
      <c r="V49" s="474"/>
      <c r="W49" s="474"/>
      <c r="X49" s="474"/>
      <c r="Y49" s="474"/>
      <c r="Z49" s="474"/>
    </row>
    <row r="50" ht="12.0" customHeight="1">
      <c r="A50" s="488"/>
      <c r="B50" s="493" t="s">
        <v>117</v>
      </c>
      <c r="C50" s="490" t="s">
        <v>32</v>
      </c>
      <c r="D50" s="490"/>
      <c r="E50" s="491"/>
      <c r="F50" s="492"/>
      <c r="G50" s="474"/>
      <c r="H50" s="487"/>
      <c r="I50" s="474"/>
      <c r="J50" s="474"/>
      <c r="K50" s="474"/>
      <c r="L50" s="474"/>
      <c r="M50" s="474"/>
      <c r="N50" s="474"/>
      <c r="O50" s="474"/>
      <c r="P50" s="474"/>
      <c r="Q50" s="474"/>
      <c r="R50" s="474"/>
      <c r="S50" s="474"/>
      <c r="T50" s="474"/>
      <c r="U50" s="474"/>
      <c r="V50" s="474"/>
      <c r="W50" s="474"/>
      <c r="X50" s="474"/>
      <c r="Y50" s="474"/>
      <c r="Z50" s="474"/>
    </row>
    <row r="51" ht="12.0" customHeight="1">
      <c r="A51" s="488"/>
      <c r="B51" s="493" t="s">
        <v>118</v>
      </c>
      <c r="C51" s="490" t="s">
        <v>32</v>
      </c>
      <c r="D51" s="490"/>
      <c r="E51" s="491"/>
      <c r="F51" s="492"/>
      <c r="G51" s="474"/>
      <c r="H51" s="487"/>
      <c r="I51" s="474"/>
      <c r="J51" s="474"/>
      <c r="K51" s="474"/>
      <c r="L51" s="474"/>
      <c r="M51" s="474"/>
      <c r="N51" s="474"/>
      <c r="O51" s="474"/>
      <c r="P51" s="474"/>
      <c r="Q51" s="474"/>
      <c r="R51" s="474"/>
      <c r="S51" s="474"/>
      <c r="T51" s="474"/>
      <c r="U51" s="474"/>
      <c r="V51" s="474"/>
      <c r="W51" s="474"/>
      <c r="X51" s="474"/>
      <c r="Y51" s="474"/>
      <c r="Z51" s="474"/>
    </row>
    <row r="52" ht="12.0" customHeight="1">
      <c r="A52" s="488"/>
      <c r="B52" s="493" t="s">
        <v>119</v>
      </c>
      <c r="C52" s="490" t="s">
        <v>32</v>
      </c>
      <c r="D52" s="490"/>
      <c r="E52" s="491"/>
      <c r="F52" s="492"/>
      <c r="G52" s="474"/>
      <c r="H52" s="487"/>
      <c r="I52" s="474"/>
      <c r="J52" s="474"/>
      <c r="K52" s="474"/>
      <c r="L52" s="474"/>
      <c r="M52" s="474"/>
      <c r="N52" s="474"/>
      <c r="O52" s="474"/>
      <c r="P52" s="474"/>
      <c r="Q52" s="474"/>
      <c r="R52" s="474"/>
      <c r="S52" s="474"/>
      <c r="T52" s="474"/>
      <c r="U52" s="474"/>
      <c r="V52" s="474"/>
      <c r="W52" s="474"/>
      <c r="X52" s="474"/>
      <c r="Y52" s="474"/>
      <c r="Z52" s="474"/>
    </row>
    <row r="53" ht="12.0" customHeight="1">
      <c r="A53" s="494"/>
      <c r="B53" s="495" t="str">
        <f>"Sous total : " &amp; A42&amp;" - "&amp;B42</f>
        <v>Sous total :  - Poste de transformation</v>
      </c>
      <c r="C53" s="496"/>
      <c r="D53" s="496"/>
      <c r="E53" s="497"/>
      <c r="F53" s="498"/>
      <c r="G53" s="474"/>
      <c r="H53" s="487"/>
      <c r="I53" s="474"/>
      <c r="J53" s="474"/>
      <c r="K53" s="474"/>
      <c r="L53" s="474"/>
      <c r="M53" s="474"/>
      <c r="N53" s="474"/>
      <c r="O53" s="474"/>
      <c r="P53" s="474"/>
      <c r="Q53" s="474"/>
      <c r="R53" s="474"/>
      <c r="S53" s="474"/>
      <c r="T53" s="474"/>
      <c r="U53" s="474"/>
      <c r="V53" s="474"/>
      <c r="W53" s="474"/>
      <c r="X53" s="474"/>
      <c r="Y53" s="474"/>
      <c r="Z53" s="474"/>
    </row>
    <row r="54" ht="12.0" customHeight="1">
      <c r="A54" s="499" t="s">
        <v>922</v>
      </c>
      <c r="B54" s="500" t="s">
        <v>219</v>
      </c>
      <c r="C54" s="501"/>
      <c r="D54" s="501"/>
      <c r="E54" s="502"/>
      <c r="F54" s="503"/>
      <c r="G54" s="474"/>
      <c r="H54" s="487"/>
      <c r="I54" s="474"/>
      <c r="J54" s="474"/>
      <c r="K54" s="474"/>
      <c r="L54" s="474"/>
      <c r="M54" s="474"/>
      <c r="N54" s="474"/>
      <c r="O54" s="474"/>
      <c r="P54" s="474"/>
      <c r="Q54" s="474"/>
      <c r="R54" s="474"/>
      <c r="S54" s="474"/>
      <c r="T54" s="474"/>
      <c r="U54" s="474"/>
      <c r="V54" s="474"/>
      <c r="W54" s="474"/>
      <c r="X54" s="474"/>
      <c r="Y54" s="474"/>
      <c r="Z54" s="474"/>
    </row>
    <row r="55" ht="12.0" customHeight="1">
      <c r="A55" s="488"/>
      <c r="B55" s="493" t="s">
        <v>923</v>
      </c>
      <c r="C55" s="490" t="s">
        <v>34</v>
      </c>
      <c r="D55" s="490"/>
      <c r="E55" s="491"/>
      <c r="F55" s="492"/>
      <c r="G55" s="474"/>
      <c r="H55" s="487"/>
      <c r="I55" s="474"/>
      <c r="J55" s="474"/>
      <c r="K55" s="474"/>
      <c r="L55" s="474"/>
      <c r="M55" s="474"/>
      <c r="N55" s="474"/>
      <c r="O55" s="474"/>
      <c r="P55" s="474"/>
      <c r="Q55" s="474"/>
      <c r="R55" s="474"/>
      <c r="S55" s="474"/>
      <c r="T55" s="474"/>
      <c r="U55" s="474"/>
      <c r="V55" s="474"/>
      <c r="W55" s="474"/>
      <c r="X55" s="474"/>
      <c r="Y55" s="474"/>
      <c r="Z55" s="474"/>
    </row>
    <row r="56" ht="12.0" customHeight="1">
      <c r="A56" s="494"/>
      <c r="B56" s="495" t="str">
        <f>"Sous total : " &amp; A54&amp;" - "&amp;B54</f>
        <v>Sous total : 2.7 - Tableau général basse Tension (TGBT)</v>
      </c>
      <c r="C56" s="496"/>
      <c r="D56" s="496"/>
      <c r="E56" s="497"/>
      <c r="F56" s="498"/>
      <c r="G56" s="474"/>
      <c r="H56" s="487"/>
      <c r="I56" s="474"/>
      <c r="J56" s="474"/>
      <c r="K56" s="474"/>
      <c r="L56" s="474"/>
      <c r="M56" s="474"/>
      <c r="N56" s="474"/>
      <c r="O56" s="474"/>
      <c r="P56" s="474"/>
      <c r="Q56" s="474"/>
      <c r="R56" s="474"/>
      <c r="S56" s="474"/>
      <c r="T56" s="474"/>
      <c r="U56" s="474"/>
      <c r="V56" s="474"/>
      <c r="W56" s="474"/>
      <c r="X56" s="474"/>
      <c r="Y56" s="474"/>
      <c r="Z56" s="474"/>
    </row>
    <row r="57" ht="12.0" customHeight="1">
      <c r="A57" s="499" t="s">
        <v>924</v>
      </c>
      <c r="B57" s="500" t="s">
        <v>925</v>
      </c>
      <c r="C57" s="501"/>
      <c r="D57" s="501"/>
      <c r="E57" s="502"/>
      <c r="F57" s="503"/>
      <c r="G57" s="474"/>
      <c r="H57" s="487"/>
      <c r="I57" s="474"/>
      <c r="J57" s="474"/>
      <c r="K57" s="474"/>
      <c r="L57" s="474"/>
      <c r="M57" s="474"/>
      <c r="N57" s="474"/>
      <c r="O57" s="474"/>
      <c r="P57" s="474"/>
      <c r="Q57" s="474"/>
      <c r="R57" s="474"/>
      <c r="S57" s="474"/>
      <c r="T57" s="474"/>
      <c r="U57" s="474"/>
      <c r="V57" s="474"/>
      <c r="W57" s="474"/>
      <c r="X57" s="474"/>
      <c r="Y57" s="474"/>
      <c r="Z57" s="474"/>
    </row>
    <row r="58" ht="12.0" customHeight="1">
      <c r="A58" s="488"/>
      <c r="B58" s="493" t="s">
        <v>926</v>
      </c>
      <c r="C58" s="490" t="s">
        <v>34</v>
      </c>
      <c r="D58" s="490"/>
      <c r="E58" s="491"/>
      <c r="F58" s="492"/>
      <c r="G58" s="474"/>
      <c r="H58" s="487"/>
      <c r="I58" s="474"/>
      <c r="J58" s="474"/>
      <c r="K58" s="474"/>
      <c r="L58" s="474"/>
      <c r="M58" s="474"/>
      <c r="N58" s="474"/>
      <c r="O58" s="474"/>
      <c r="P58" s="474"/>
      <c r="Q58" s="474"/>
      <c r="R58" s="474"/>
      <c r="S58" s="474"/>
      <c r="T58" s="474"/>
      <c r="U58" s="474"/>
      <c r="V58" s="474"/>
      <c r="W58" s="474"/>
      <c r="X58" s="474"/>
      <c r="Y58" s="474"/>
      <c r="Z58" s="474"/>
    </row>
    <row r="59" ht="12.0" customHeight="1">
      <c r="A59" s="488"/>
      <c r="B59" s="493" t="s">
        <v>927</v>
      </c>
      <c r="C59" s="490" t="s">
        <v>34</v>
      </c>
      <c r="D59" s="490"/>
      <c r="E59" s="491"/>
      <c r="F59" s="492"/>
      <c r="G59" s="474"/>
      <c r="H59" s="487"/>
      <c r="I59" s="474"/>
      <c r="J59" s="474"/>
      <c r="K59" s="474"/>
      <c r="L59" s="474"/>
      <c r="M59" s="474"/>
      <c r="N59" s="474"/>
      <c r="O59" s="474"/>
      <c r="P59" s="474"/>
      <c r="Q59" s="474"/>
      <c r="R59" s="474"/>
      <c r="S59" s="474"/>
      <c r="T59" s="474"/>
      <c r="U59" s="474"/>
      <c r="V59" s="474"/>
      <c r="W59" s="474"/>
      <c r="X59" s="474"/>
      <c r="Y59" s="474"/>
      <c r="Z59" s="474"/>
    </row>
    <row r="60" ht="12.0" customHeight="1">
      <c r="A60" s="488"/>
      <c r="B60" s="493" t="s">
        <v>928</v>
      </c>
      <c r="C60" s="490" t="s">
        <v>34</v>
      </c>
      <c r="D60" s="490"/>
      <c r="E60" s="491"/>
      <c r="F60" s="492"/>
      <c r="G60" s="474"/>
      <c r="H60" s="487"/>
      <c r="I60" s="474"/>
      <c r="J60" s="474"/>
      <c r="K60" s="474"/>
      <c r="L60" s="474"/>
      <c r="M60" s="474"/>
      <c r="N60" s="474"/>
      <c r="O60" s="474"/>
      <c r="P60" s="474"/>
      <c r="Q60" s="474"/>
      <c r="R60" s="474"/>
      <c r="S60" s="474"/>
      <c r="T60" s="474"/>
      <c r="U60" s="474"/>
      <c r="V60" s="474"/>
      <c r="W60" s="474"/>
      <c r="X60" s="474"/>
      <c r="Y60" s="474"/>
      <c r="Z60" s="474"/>
    </row>
    <row r="61" ht="12.0" customHeight="1">
      <c r="A61" s="488"/>
      <c r="B61" s="493" t="s">
        <v>929</v>
      </c>
      <c r="C61" s="490" t="s">
        <v>34</v>
      </c>
      <c r="D61" s="490"/>
      <c r="E61" s="491"/>
      <c r="F61" s="492"/>
      <c r="G61" s="474"/>
      <c r="H61" s="487"/>
      <c r="I61" s="474"/>
      <c r="J61" s="474"/>
      <c r="K61" s="474"/>
      <c r="L61" s="474"/>
      <c r="M61" s="474"/>
      <c r="N61" s="474"/>
      <c r="O61" s="474"/>
      <c r="P61" s="474"/>
      <c r="Q61" s="474"/>
      <c r="R61" s="474"/>
      <c r="S61" s="474"/>
      <c r="T61" s="474"/>
      <c r="U61" s="474"/>
      <c r="V61" s="474"/>
      <c r="W61" s="474"/>
      <c r="X61" s="474"/>
      <c r="Y61" s="474"/>
      <c r="Z61" s="474"/>
    </row>
    <row r="62" ht="12.0" customHeight="1">
      <c r="A62" s="494"/>
      <c r="B62" s="495" t="str">
        <f>"Sous total : " &amp; A57&amp;" - "&amp;B57</f>
        <v>Sous total : 2.8 - Tableaux divisionnaires de distribution (TD)</v>
      </c>
      <c r="C62" s="496"/>
      <c r="D62" s="496"/>
      <c r="E62" s="497"/>
      <c r="F62" s="498"/>
      <c r="G62" s="474"/>
      <c r="H62" s="487"/>
      <c r="I62" s="474"/>
      <c r="J62" s="474"/>
      <c r="K62" s="474"/>
      <c r="L62" s="474"/>
      <c r="M62" s="474"/>
      <c r="N62" s="474"/>
      <c r="O62" s="474"/>
      <c r="P62" s="474"/>
      <c r="Q62" s="474"/>
      <c r="R62" s="474"/>
      <c r="S62" s="474"/>
      <c r="T62" s="474"/>
      <c r="U62" s="474"/>
      <c r="V62" s="474"/>
      <c r="W62" s="474"/>
      <c r="X62" s="474"/>
      <c r="Y62" s="474"/>
      <c r="Z62" s="474"/>
    </row>
    <row r="63" ht="12.0" customHeight="1">
      <c r="A63" s="506" t="s">
        <v>930</v>
      </c>
      <c r="B63" s="500" t="s">
        <v>931</v>
      </c>
      <c r="C63" s="501"/>
      <c r="D63" s="501"/>
      <c r="E63" s="502"/>
      <c r="F63" s="503"/>
      <c r="G63" s="504"/>
      <c r="H63" s="487"/>
      <c r="I63" s="474"/>
      <c r="J63" s="504"/>
      <c r="K63" s="504"/>
      <c r="L63" s="504"/>
      <c r="M63" s="504"/>
      <c r="N63" s="504"/>
      <c r="O63" s="504"/>
      <c r="P63" s="504"/>
      <c r="Q63" s="504"/>
      <c r="R63" s="504"/>
      <c r="S63" s="504"/>
      <c r="T63" s="504"/>
      <c r="U63" s="504"/>
      <c r="V63" s="504"/>
      <c r="W63" s="504"/>
      <c r="X63" s="504"/>
      <c r="Y63" s="504"/>
      <c r="Z63" s="504"/>
    </row>
    <row r="64" ht="12.0" customHeight="1">
      <c r="A64" s="488"/>
      <c r="B64" s="493" t="s">
        <v>932</v>
      </c>
      <c r="C64" s="490" t="s">
        <v>51</v>
      </c>
      <c r="D64" s="490"/>
      <c r="E64" s="491"/>
      <c r="F64" s="492"/>
      <c r="G64" s="504"/>
      <c r="H64" s="487"/>
      <c r="I64" s="474"/>
      <c r="J64" s="504"/>
      <c r="K64" s="504"/>
      <c r="L64" s="504"/>
      <c r="M64" s="504"/>
      <c r="N64" s="504"/>
      <c r="O64" s="504"/>
      <c r="P64" s="504"/>
      <c r="Q64" s="504"/>
      <c r="R64" s="504"/>
      <c r="S64" s="504"/>
      <c r="T64" s="504"/>
      <c r="U64" s="504"/>
      <c r="V64" s="504"/>
      <c r="W64" s="504"/>
      <c r="X64" s="504"/>
      <c r="Y64" s="504"/>
      <c r="Z64" s="504"/>
    </row>
    <row r="65" ht="12.0" customHeight="1">
      <c r="A65" s="488"/>
      <c r="B65" s="493" t="s">
        <v>933</v>
      </c>
      <c r="C65" s="490" t="s">
        <v>51</v>
      </c>
      <c r="D65" s="490"/>
      <c r="E65" s="491"/>
      <c r="F65" s="492"/>
      <c r="G65" s="504"/>
      <c r="H65" s="487"/>
      <c r="I65" s="474"/>
      <c r="J65" s="504"/>
      <c r="K65" s="504"/>
      <c r="L65" s="504"/>
      <c r="M65" s="504"/>
      <c r="N65" s="504"/>
      <c r="O65" s="504"/>
      <c r="P65" s="504"/>
      <c r="Q65" s="504"/>
      <c r="R65" s="504"/>
      <c r="S65" s="504"/>
      <c r="T65" s="504"/>
      <c r="U65" s="504"/>
      <c r="V65" s="504"/>
      <c r="W65" s="504"/>
      <c r="X65" s="504"/>
      <c r="Y65" s="504"/>
      <c r="Z65" s="504"/>
    </row>
    <row r="66" ht="12.0" customHeight="1">
      <c r="A66" s="488"/>
      <c r="B66" s="493" t="s">
        <v>934</v>
      </c>
      <c r="C66" s="490" t="s">
        <v>51</v>
      </c>
      <c r="D66" s="490"/>
      <c r="E66" s="491"/>
      <c r="F66" s="492"/>
      <c r="G66" s="504"/>
      <c r="H66" s="487"/>
      <c r="I66" s="474"/>
      <c r="J66" s="504"/>
      <c r="K66" s="504"/>
      <c r="L66" s="504"/>
      <c r="M66" s="504"/>
      <c r="N66" s="504"/>
      <c r="O66" s="504"/>
      <c r="P66" s="504"/>
      <c r="Q66" s="504"/>
      <c r="R66" s="504"/>
      <c r="S66" s="504"/>
      <c r="T66" s="504"/>
      <c r="U66" s="504"/>
      <c r="V66" s="504"/>
      <c r="W66" s="504"/>
      <c r="X66" s="504"/>
      <c r="Y66" s="504"/>
      <c r="Z66" s="504"/>
    </row>
    <row r="67" ht="12.0" customHeight="1">
      <c r="A67" s="488"/>
      <c r="B67" s="493" t="s">
        <v>263</v>
      </c>
      <c r="C67" s="490" t="s">
        <v>51</v>
      </c>
      <c r="D67" s="490"/>
      <c r="E67" s="491"/>
      <c r="F67" s="492"/>
      <c r="G67" s="504"/>
      <c r="H67" s="487"/>
      <c r="I67" s="474"/>
      <c r="J67" s="504"/>
      <c r="K67" s="504"/>
      <c r="L67" s="504"/>
      <c r="M67" s="504"/>
      <c r="N67" s="504"/>
      <c r="O67" s="504"/>
      <c r="P67" s="504"/>
      <c r="Q67" s="504"/>
      <c r="R67" s="504"/>
      <c r="S67" s="504"/>
      <c r="T67" s="504"/>
      <c r="U67" s="504"/>
      <c r="V67" s="504"/>
      <c r="W67" s="504"/>
      <c r="X67" s="504"/>
      <c r="Y67" s="504"/>
      <c r="Z67" s="504"/>
    </row>
    <row r="68" ht="12.0" customHeight="1">
      <c r="A68" s="488"/>
      <c r="B68" s="493" t="s">
        <v>272</v>
      </c>
      <c r="C68" s="490" t="s">
        <v>51</v>
      </c>
      <c r="D68" s="490"/>
      <c r="E68" s="491"/>
      <c r="F68" s="492"/>
      <c r="G68" s="504"/>
      <c r="H68" s="487"/>
      <c r="I68" s="474"/>
      <c r="J68" s="504"/>
      <c r="K68" s="504"/>
      <c r="L68" s="504"/>
      <c r="M68" s="504"/>
      <c r="N68" s="504"/>
      <c r="O68" s="504"/>
      <c r="P68" s="504"/>
      <c r="Q68" s="504"/>
      <c r="R68" s="504"/>
      <c r="S68" s="504"/>
      <c r="T68" s="504"/>
      <c r="U68" s="504"/>
      <c r="V68" s="504"/>
      <c r="W68" s="504"/>
      <c r="X68" s="504"/>
      <c r="Y68" s="504"/>
      <c r="Z68" s="504"/>
    </row>
    <row r="69" ht="12.0" customHeight="1">
      <c r="A69" s="488"/>
      <c r="B69" s="493" t="s">
        <v>273</v>
      </c>
      <c r="C69" s="490" t="s">
        <v>32</v>
      </c>
      <c r="D69" s="490"/>
      <c r="E69" s="491"/>
      <c r="F69" s="492"/>
      <c r="G69" s="504"/>
      <c r="H69" s="487"/>
      <c r="I69" s="474"/>
      <c r="J69" s="504"/>
      <c r="K69" s="504"/>
      <c r="L69" s="504"/>
      <c r="M69" s="504"/>
      <c r="N69" s="504"/>
      <c r="O69" s="504"/>
      <c r="P69" s="504"/>
      <c r="Q69" s="504"/>
      <c r="R69" s="504"/>
      <c r="S69" s="504"/>
      <c r="T69" s="504"/>
      <c r="U69" s="504"/>
      <c r="V69" s="504"/>
      <c r="W69" s="504"/>
      <c r="X69" s="504"/>
      <c r="Y69" s="504"/>
      <c r="Z69" s="504"/>
    </row>
    <row r="70" ht="12.0" customHeight="1">
      <c r="A70" s="494"/>
      <c r="B70" s="495" t="str">
        <f>"Sous total : " &amp; A63&amp;" - "&amp;B63</f>
        <v>Sous total : 2.11 - Distribution</v>
      </c>
      <c r="C70" s="496"/>
      <c r="D70" s="496"/>
      <c r="E70" s="497"/>
      <c r="F70" s="498"/>
      <c r="G70" s="504"/>
      <c r="H70" s="487"/>
      <c r="I70" s="474"/>
      <c r="J70" s="504"/>
      <c r="K70" s="504"/>
      <c r="L70" s="504"/>
      <c r="M70" s="504"/>
      <c r="N70" s="504"/>
      <c r="O70" s="504"/>
      <c r="P70" s="504"/>
      <c r="Q70" s="504"/>
      <c r="R70" s="504"/>
      <c r="S70" s="504"/>
      <c r="T70" s="504"/>
      <c r="U70" s="504"/>
      <c r="V70" s="504"/>
      <c r="W70" s="504"/>
      <c r="X70" s="504"/>
      <c r="Y70" s="504"/>
      <c r="Z70" s="504"/>
    </row>
    <row r="71" ht="12.0" customHeight="1">
      <c r="A71" s="506" t="s">
        <v>935</v>
      </c>
      <c r="B71" s="500" t="s">
        <v>275</v>
      </c>
      <c r="C71" s="501"/>
      <c r="D71" s="501"/>
      <c r="E71" s="502"/>
      <c r="F71" s="503"/>
      <c r="G71" s="504"/>
      <c r="H71" s="487"/>
      <c r="I71" s="474"/>
      <c r="J71" s="504"/>
      <c r="K71" s="504"/>
      <c r="L71" s="504"/>
      <c r="M71" s="504"/>
      <c r="N71" s="504"/>
      <c r="O71" s="504"/>
      <c r="P71" s="504"/>
      <c r="Q71" s="504"/>
      <c r="R71" s="504"/>
      <c r="S71" s="504"/>
      <c r="T71" s="504"/>
      <c r="U71" s="504"/>
      <c r="V71" s="504"/>
      <c r="W71" s="504"/>
      <c r="X71" s="504"/>
      <c r="Y71" s="504"/>
      <c r="Z71" s="504"/>
    </row>
    <row r="72" ht="12.0" customHeight="1">
      <c r="A72" s="488"/>
      <c r="B72" s="507" t="s">
        <v>288</v>
      </c>
      <c r="C72" s="508" t="s">
        <v>34</v>
      </c>
      <c r="D72" s="490"/>
      <c r="E72" s="491"/>
      <c r="F72" s="492"/>
      <c r="G72" s="504"/>
      <c r="H72" s="487"/>
      <c r="I72" s="474"/>
      <c r="J72" s="504"/>
      <c r="K72" s="504"/>
      <c r="L72" s="504"/>
      <c r="M72" s="504"/>
      <c r="N72" s="504"/>
      <c r="O72" s="504"/>
      <c r="P72" s="504"/>
      <c r="Q72" s="504"/>
      <c r="R72" s="504"/>
      <c r="S72" s="504"/>
      <c r="T72" s="504"/>
      <c r="U72" s="504"/>
      <c r="V72" s="504"/>
      <c r="W72" s="504"/>
      <c r="X72" s="504"/>
      <c r="Y72" s="504"/>
      <c r="Z72" s="504"/>
    </row>
    <row r="73" ht="12.0" customHeight="1">
      <c r="A73" s="488"/>
      <c r="B73" s="507" t="s">
        <v>289</v>
      </c>
      <c r="C73" s="508" t="s">
        <v>34</v>
      </c>
      <c r="D73" s="490"/>
      <c r="E73" s="491"/>
      <c r="F73" s="492"/>
      <c r="G73" s="504"/>
      <c r="H73" s="487"/>
      <c r="I73" s="474"/>
      <c r="J73" s="504"/>
      <c r="K73" s="504"/>
      <c r="L73" s="504"/>
      <c r="M73" s="504"/>
      <c r="N73" s="504"/>
      <c r="O73" s="504"/>
      <c r="P73" s="504"/>
      <c r="Q73" s="504"/>
      <c r="R73" s="504"/>
      <c r="S73" s="504"/>
      <c r="T73" s="504"/>
      <c r="U73" s="504"/>
      <c r="V73" s="504"/>
      <c r="W73" s="504"/>
      <c r="X73" s="504"/>
      <c r="Y73" s="504"/>
      <c r="Z73" s="504"/>
    </row>
    <row r="74" ht="12.0" customHeight="1">
      <c r="A74" s="488"/>
      <c r="B74" s="507" t="s">
        <v>290</v>
      </c>
      <c r="C74" s="508" t="s">
        <v>34</v>
      </c>
      <c r="D74" s="490"/>
      <c r="E74" s="491"/>
      <c r="F74" s="492"/>
      <c r="G74" s="504"/>
      <c r="H74" s="487"/>
      <c r="I74" s="474"/>
      <c r="J74" s="504"/>
      <c r="K74" s="504"/>
      <c r="L74" s="504"/>
      <c r="M74" s="504"/>
      <c r="N74" s="504"/>
      <c r="O74" s="504"/>
      <c r="P74" s="504"/>
      <c r="Q74" s="504"/>
      <c r="R74" s="504"/>
      <c r="S74" s="504"/>
      <c r="T74" s="504"/>
      <c r="U74" s="504"/>
      <c r="V74" s="504"/>
      <c r="W74" s="504"/>
      <c r="X74" s="504"/>
      <c r="Y74" s="504"/>
      <c r="Z74" s="504"/>
    </row>
    <row r="75" ht="12.0" customHeight="1">
      <c r="A75" s="488"/>
      <c r="B75" s="507" t="s">
        <v>291</v>
      </c>
      <c r="C75" s="508" t="s">
        <v>34</v>
      </c>
      <c r="D75" s="490"/>
      <c r="E75" s="491"/>
      <c r="F75" s="492"/>
      <c r="G75" s="504"/>
      <c r="H75" s="487"/>
      <c r="I75" s="474"/>
      <c r="J75" s="504"/>
      <c r="K75" s="504"/>
      <c r="L75" s="504"/>
      <c r="M75" s="504"/>
      <c r="N75" s="504"/>
      <c r="O75" s="504"/>
      <c r="P75" s="504"/>
      <c r="Q75" s="504"/>
      <c r="R75" s="504"/>
      <c r="S75" s="504"/>
      <c r="T75" s="504"/>
      <c r="U75" s="504"/>
      <c r="V75" s="504"/>
      <c r="W75" s="504"/>
      <c r="X75" s="504"/>
      <c r="Y75" s="504"/>
      <c r="Z75" s="504"/>
    </row>
    <row r="76" ht="12.0" customHeight="1">
      <c r="A76" s="488"/>
      <c r="B76" s="507" t="s">
        <v>292</v>
      </c>
      <c r="C76" s="508" t="s">
        <v>34</v>
      </c>
      <c r="D76" s="490"/>
      <c r="E76" s="491"/>
      <c r="F76" s="492"/>
      <c r="G76" s="504"/>
      <c r="H76" s="487"/>
      <c r="I76" s="474"/>
      <c r="J76" s="504"/>
      <c r="K76" s="504"/>
      <c r="L76" s="504"/>
      <c r="M76" s="504"/>
      <c r="N76" s="504"/>
      <c r="O76" s="504"/>
      <c r="P76" s="504"/>
      <c r="Q76" s="504"/>
      <c r="R76" s="504"/>
      <c r="S76" s="504"/>
      <c r="T76" s="504"/>
      <c r="U76" s="504"/>
      <c r="V76" s="504"/>
      <c r="W76" s="504"/>
      <c r="X76" s="504"/>
      <c r="Y76" s="504"/>
      <c r="Z76" s="504"/>
    </row>
    <row r="77" ht="12.0" customHeight="1">
      <c r="A77" s="488"/>
      <c r="B77" s="507" t="s">
        <v>293</v>
      </c>
      <c r="C77" s="508" t="s">
        <v>34</v>
      </c>
      <c r="D77" s="490"/>
      <c r="E77" s="491"/>
      <c r="F77" s="492"/>
      <c r="G77" s="504"/>
      <c r="H77" s="487"/>
      <c r="I77" s="474"/>
      <c r="J77" s="504"/>
      <c r="K77" s="504"/>
      <c r="L77" s="504"/>
      <c r="M77" s="504"/>
      <c r="N77" s="504"/>
      <c r="O77" s="504"/>
      <c r="P77" s="504"/>
      <c r="Q77" s="504"/>
      <c r="R77" s="504"/>
      <c r="S77" s="504"/>
      <c r="T77" s="504"/>
      <c r="U77" s="504"/>
      <c r="V77" s="504"/>
      <c r="W77" s="504"/>
      <c r="X77" s="504"/>
      <c r="Y77" s="504"/>
      <c r="Z77" s="504"/>
    </row>
    <row r="78" ht="12.0" customHeight="1">
      <c r="A78" s="488"/>
      <c r="B78" s="507" t="s">
        <v>294</v>
      </c>
      <c r="C78" s="508" t="s">
        <v>34</v>
      </c>
      <c r="D78" s="490"/>
      <c r="E78" s="491"/>
      <c r="F78" s="492"/>
      <c r="G78" s="504"/>
      <c r="H78" s="487"/>
      <c r="I78" s="474"/>
      <c r="J78" s="504"/>
      <c r="K78" s="504"/>
      <c r="L78" s="504"/>
      <c r="M78" s="504"/>
      <c r="N78" s="504"/>
      <c r="O78" s="504"/>
      <c r="P78" s="504"/>
      <c r="Q78" s="504"/>
      <c r="R78" s="504"/>
      <c r="S78" s="504"/>
      <c r="T78" s="504"/>
      <c r="U78" s="504"/>
      <c r="V78" s="504"/>
      <c r="W78" s="504"/>
      <c r="X78" s="504"/>
      <c r="Y78" s="504"/>
      <c r="Z78" s="504"/>
    </row>
    <row r="79" ht="12.0" customHeight="1">
      <c r="A79" s="488"/>
      <c r="B79" s="507" t="s">
        <v>295</v>
      </c>
      <c r="C79" s="508" t="s">
        <v>34</v>
      </c>
      <c r="D79" s="490"/>
      <c r="E79" s="491"/>
      <c r="F79" s="492"/>
      <c r="G79" s="504"/>
      <c r="H79" s="487"/>
      <c r="I79" s="474"/>
      <c r="J79" s="504"/>
      <c r="K79" s="504"/>
      <c r="L79" s="504"/>
      <c r="M79" s="504"/>
      <c r="N79" s="504"/>
      <c r="O79" s="504"/>
      <c r="P79" s="504"/>
      <c r="Q79" s="504"/>
      <c r="R79" s="504"/>
      <c r="S79" s="504"/>
      <c r="T79" s="504"/>
      <c r="U79" s="504"/>
      <c r="V79" s="504"/>
      <c r="W79" s="504"/>
      <c r="X79" s="504"/>
      <c r="Y79" s="504"/>
      <c r="Z79" s="504"/>
    </row>
    <row r="80" ht="12.0" customHeight="1">
      <c r="A80" s="488"/>
      <c r="B80" s="507" t="s">
        <v>296</v>
      </c>
      <c r="C80" s="508" t="s">
        <v>34</v>
      </c>
      <c r="D80" s="490"/>
      <c r="E80" s="491"/>
      <c r="F80" s="492"/>
      <c r="G80" s="504"/>
      <c r="H80" s="487"/>
      <c r="I80" s="474"/>
      <c r="J80" s="504"/>
      <c r="K80" s="504"/>
      <c r="L80" s="504"/>
      <c r="M80" s="504"/>
      <c r="N80" s="504"/>
      <c r="O80" s="504"/>
      <c r="P80" s="504"/>
      <c r="Q80" s="504"/>
      <c r="R80" s="504"/>
      <c r="S80" s="504"/>
      <c r="T80" s="504"/>
      <c r="U80" s="504"/>
      <c r="V80" s="504"/>
      <c r="W80" s="504"/>
      <c r="X80" s="504"/>
      <c r="Y80" s="504"/>
      <c r="Z80" s="504"/>
    </row>
    <row r="81" ht="12.0" customHeight="1">
      <c r="A81" s="488"/>
      <c r="B81" s="507" t="s">
        <v>297</v>
      </c>
      <c r="C81" s="508" t="s">
        <v>34</v>
      </c>
      <c r="D81" s="509"/>
      <c r="E81" s="510"/>
      <c r="F81" s="511"/>
      <c r="G81" s="504"/>
      <c r="H81" s="487"/>
      <c r="I81" s="474"/>
      <c r="J81" s="504"/>
      <c r="K81" s="504"/>
      <c r="L81" s="504"/>
      <c r="M81" s="504"/>
      <c r="N81" s="504"/>
      <c r="O81" s="504"/>
      <c r="P81" s="504"/>
      <c r="Q81" s="504"/>
      <c r="R81" s="504"/>
      <c r="S81" s="504"/>
      <c r="T81" s="504"/>
      <c r="U81" s="504"/>
      <c r="V81" s="504"/>
      <c r="W81" s="504"/>
      <c r="X81" s="504"/>
      <c r="Y81" s="504"/>
      <c r="Z81" s="504"/>
    </row>
    <row r="82" ht="12.0" customHeight="1">
      <c r="A82" s="488"/>
      <c r="B82" s="507" t="s">
        <v>298</v>
      </c>
      <c r="C82" s="508" t="s">
        <v>34</v>
      </c>
      <c r="D82" s="490"/>
      <c r="E82" s="491"/>
      <c r="F82" s="492"/>
      <c r="G82" s="504"/>
      <c r="H82" s="487"/>
      <c r="I82" s="474"/>
      <c r="J82" s="504"/>
      <c r="K82" s="504"/>
      <c r="L82" s="504"/>
      <c r="M82" s="504"/>
      <c r="N82" s="504"/>
      <c r="O82" s="504"/>
      <c r="P82" s="504"/>
      <c r="Q82" s="504"/>
      <c r="R82" s="504"/>
      <c r="S82" s="504"/>
      <c r="T82" s="504"/>
      <c r="U82" s="504"/>
      <c r="V82" s="504"/>
      <c r="W82" s="504"/>
      <c r="X82" s="504"/>
      <c r="Y82" s="504"/>
      <c r="Z82" s="504"/>
    </row>
    <row r="83" ht="12.0" customHeight="1">
      <c r="A83" s="488"/>
      <c r="B83" s="493" t="s">
        <v>299</v>
      </c>
      <c r="C83" s="508" t="s">
        <v>34</v>
      </c>
      <c r="D83" s="490"/>
      <c r="E83" s="491"/>
      <c r="F83" s="492"/>
      <c r="G83" s="504"/>
      <c r="H83" s="487"/>
      <c r="I83" s="474"/>
      <c r="J83" s="504"/>
      <c r="K83" s="504"/>
      <c r="L83" s="504"/>
      <c r="M83" s="504"/>
      <c r="N83" s="504"/>
      <c r="O83" s="504"/>
      <c r="P83" s="504"/>
      <c r="Q83" s="504"/>
      <c r="R83" s="504"/>
      <c r="S83" s="504"/>
      <c r="T83" s="504"/>
      <c r="U83" s="504"/>
      <c r="V83" s="504"/>
      <c r="W83" s="504"/>
      <c r="X83" s="504"/>
      <c r="Y83" s="504"/>
      <c r="Z83" s="504"/>
    </row>
    <row r="84" ht="12.0" customHeight="1">
      <c r="A84" s="488"/>
      <c r="B84" s="493" t="s">
        <v>300</v>
      </c>
      <c r="C84" s="508" t="s">
        <v>32</v>
      </c>
      <c r="D84" s="509"/>
      <c r="E84" s="510"/>
      <c r="F84" s="511"/>
      <c r="G84" s="504"/>
      <c r="H84" s="487"/>
      <c r="I84" s="474"/>
      <c r="J84" s="504"/>
      <c r="K84" s="504"/>
      <c r="L84" s="504"/>
      <c r="M84" s="504"/>
      <c r="N84" s="504"/>
      <c r="O84" s="504"/>
      <c r="P84" s="504"/>
      <c r="Q84" s="504"/>
      <c r="R84" s="504"/>
      <c r="S84" s="504"/>
      <c r="T84" s="504"/>
      <c r="U84" s="504"/>
      <c r="V84" s="504"/>
      <c r="W84" s="504"/>
      <c r="X84" s="504"/>
      <c r="Y84" s="504"/>
      <c r="Z84" s="504"/>
    </row>
    <row r="85" ht="12.0" customHeight="1">
      <c r="A85" s="494"/>
      <c r="B85" s="495" t="str">
        <f>"Sous total : " &amp; A71&amp;" - "&amp;B71</f>
        <v>Sous total : 2.12 - Appareillage</v>
      </c>
      <c r="C85" s="496"/>
      <c r="D85" s="496"/>
      <c r="E85" s="497"/>
      <c r="F85" s="498"/>
      <c r="G85" s="504"/>
      <c r="H85" s="487"/>
      <c r="I85" s="474"/>
      <c r="J85" s="504"/>
      <c r="K85" s="504"/>
      <c r="L85" s="504"/>
      <c r="M85" s="504"/>
      <c r="N85" s="504"/>
      <c r="O85" s="504"/>
      <c r="P85" s="504"/>
      <c r="Q85" s="504"/>
      <c r="R85" s="504"/>
      <c r="S85" s="504"/>
      <c r="T85" s="504"/>
      <c r="U85" s="504"/>
      <c r="V85" s="504"/>
      <c r="W85" s="504"/>
      <c r="X85" s="504"/>
      <c r="Y85" s="504"/>
      <c r="Z85" s="504"/>
    </row>
    <row r="86" ht="12.0" customHeight="1">
      <c r="A86" s="499" t="s">
        <v>936</v>
      </c>
      <c r="B86" s="500" t="s">
        <v>302</v>
      </c>
      <c r="C86" s="501"/>
      <c r="D86" s="501"/>
      <c r="E86" s="502"/>
      <c r="F86" s="503"/>
      <c r="G86" s="504"/>
      <c r="H86" s="487"/>
      <c r="I86" s="474"/>
      <c r="J86" s="504"/>
      <c r="K86" s="504"/>
      <c r="L86" s="504"/>
      <c r="M86" s="504"/>
      <c r="N86" s="504"/>
      <c r="O86" s="504"/>
      <c r="P86" s="504"/>
      <c r="Q86" s="504"/>
      <c r="R86" s="504"/>
      <c r="S86" s="504"/>
      <c r="T86" s="504"/>
      <c r="U86" s="504"/>
      <c r="V86" s="504"/>
      <c r="W86" s="504"/>
      <c r="X86" s="504"/>
      <c r="Y86" s="504"/>
      <c r="Z86" s="504"/>
    </row>
    <row r="87" ht="12.0" customHeight="1">
      <c r="A87" s="488"/>
      <c r="B87" s="493" t="s">
        <v>937</v>
      </c>
      <c r="C87" s="490" t="s">
        <v>34</v>
      </c>
      <c r="D87" s="490"/>
      <c r="E87" s="491"/>
      <c r="F87" s="492"/>
      <c r="G87" s="504"/>
      <c r="H87" s="487"/>
      <c r="I87" s="474"/>
      <c r="J87" s="504"/>
      <c r="K87" s="504"/>
      <c r="L87" s="504"/>
      <c r="M87" s="504"/>
      <c r="N87" s="504"/>
      <c r="O87" s="504"/>
      <c r="P87" s="504"/>
      <c r="Q87" s="504"/>
      <c r="R87" s="504"/>
      <c r="S87" s="504"/>
      <c r="T87" s="504"/>
      <c r="U87" s="504"/>
      <c r="V87" s="504"/>
      <c r="W87" s="504"/>
      <c r="X87" s="504"/>
      <c r="Y87" s="504"/>
      <c r="Z87" s="504"/>
    </row>
    <row r="88" ht="12.0" customHeight="1">
      <c r="A88" s="488"/>
      <c r="B88" s="493" t="s">
        <v>938</v>
      </c>
      <c r="C88" s="490" t="s">
        <v>34</v>
      </c>
      <c r="D88" s="490"/>
      <c r="E88" s="491"/>
      <c r="F88" s="492"/>
      <c r="G88" s="504"/>
      <c r="H88" s="487"/>
      <c r="I88" s="474"/>
      <c r="J88" s="504"/>
      <c r="K88" s="504"/>
      <c r="L88" s="504"/>
      <c r="M88" s="504"/>
      <c r="N88" s="504"/>
      <c r="O88" s="504"/>
      <c r="P88" s="504"/>
      <c r="Q88" s="504"/>
      <c r="R88" s="504"/>
      <c r="S88" s="504"/>
      <c r="T88" s="504"/>
      <c r="U88" s="504"/>
      <c r="V88" s="504"/>
      <c r="W88" s="504"/>
      <c r="X88" s="504"/>
      <c r="Y88" s="504"/>
      <c r="Z88" s="504"/>
    </row>
    <row r="89" ht="12.0" customHeight="1">
      <c r="A89" s="488"/>
      <c r="B89" s="493" t="s">
        <v>939</v>
      </c>
      <c r="C89" s="490" t="s">
        <v>34</v>
      </c>
      <c r="D89" s="490"/>
      <c r="E89" s="491"/>
      <c r="F89" s="492"/>
      <c r="G89" s="504"/>
      <c r="H89" s="487"/>
      <c r="I89" s="474"/>
      <c r="J89" s="504"/>
      <c r="K89" s="504"/>
      <c r="L89" s="504"/>
      <c r="M89" s="504"/>
      <c r="N89" s="504"/>
      <c r="O89" s="504"/>
      <c r="P89" s="504"/>
      <c r="Q89" s="504"/>
      <c r="R89" s="504"/>
      <c r="S89" s="504"/>
      <c r="T89" s="504"/>
      <c r="U89" s="504"/>
      <c r="V89" s="504"/>
      <c r="W89" s="504"/>
      <c r="X89" s="504"/>
      <c r="Y89" s="504"/>
      <c r="Z89" s="504"/>
    </row>
    <row r="90" ht="12.0" customHeight="1">
      <c r="A90" s="488"/>
      <c r="B90" s="493" t="s">
        <v>940</v>
      </c>
      <c r="C90" s="490" t="s">
        <v>34</v>
      </c>
      <c r="D90" s="490"/>
      <c r="E90" s="491"/>
      <c r="F90" s="492"/>
      <c r="G90" s="504"/>
      <c r="H90" s="487"/>
      <c r="I90" s="474"/>
      <c r="J90" s="504"/>
      <c r="K90" s="504"/>
      <c r="L90" s="504"/>
      <c r="M90" s="504"/>
      <c r="N90" s="504"/>
      <c r="O90" s="504"/>
      <c r="P90" s="504"/>
      <c r="Q90" s="504"/>
      <c r="R90" s="504"/>
      <c r="S90" s="504"/>
      <c r="T90" s="504"/>
      <c r="U90" s="504"/>
      <c r="V90" s="504"/>
      <c r="W90" s="504"/>
      <c r="X90" s="504"/>
      <c r="Y90" s="504"/>
      <c r="Z90" s="504"/>
    </row>
    <row r="91" ht="12.0" customHeight="1">
      <c r="A91" s="488"/>
      <c r="B91" s="493" t="s">
        <v>941</v>
      </c>
      <c r="C91" s="490" t="s">
        <v>34</v>
      </c>
      <c r="D91" s="490"/>
      <c r="E91" s="491"/>
      <c r="F91" s="492"/>
      <c r="G91" s="504"/>
      <c r="H91" s="487"/>
      <c r="I91" s="474"/>
      <c r="J91" s="504"/>
      <c r="K91" s="504"/>
      <c r="L91" s="504"/>
      <c r="M91" s="504"/>
      <c r="N91" s="504"/>
      <c r="O91" s="504"/>
      <c r="P91" s="504"/>
      <c r="Q91" s="504"/>
      <c r="R91" s="504"/>
      <c r="S91" s="504"/>
      <c r="T91" s="504"/>
      <c r="U91" s="504"/>
      <c r="V91" s="504"/>
      <c r="W91" s="504"/>
      <c r="X91" s="504"/>
      <c r="Y91" s="504"/>
      <c r="Z91" s="504"/>
    </row>
    <row r="92" ht="12.0" customHeight="1">
      <c r="A92" s="488"/>
      <c r="B92" s="493" t="s">
        <v>942</v>
      </c>
      <c r="C92" s="490" t="s">
        <v>34</v>
      </c>
      <c r="D92" s="490"/>
      <c r="E92" s="491"/>
      <c r="F92" s="492"/>
      <c r="G92" s="504"/>
      <c r="H92" s="487"/>
      <c r="I92" s="474"/>
      <c r="J92" s="504"/>
      <c r="K92" s="504"/>
      <c r="L92" s="504"/>
      <c r="M92" s="504"/>
      <c r="N92" s="504"/>
      <c r="O92" s="504"/>
      <c r="P92" s="504"/>
      <c r="Q92" s="504"/>
      <c r="R92" s="504"/>
      <c r="S92" s="504"/>
      <c r="T92" s="504"/>
      <c r="U92" s="504"/>
      <c r="V92" s="504"/>
      <c r="W92" s="504"/>
      <c r="X92" s="504"/>
      <c r="Y92" s="504"/>
      <c r="Z92" s="504"/>
    </row>
    <row r="93" ht="12.0" customHeight="1">
      <c r="A93" s="488"/>
      <c r="B93" s="493" t="s">
        <v>943</v>
      </c>
      <c r="C93" s="490" t="s">
        <v>34</v>
      </c>
      <c r="D93" s="490"/>
      <c r="E93" s="491"/>
      <c r="F93" s="492"/>
      <c r="G93" s="504"/>
      <c r="H93" s="487"/>
      <c r="I93" s="474"/>
      <c r="J93" s="504"/>
      <c r="K93" s="504"/>
      <c r="L93" s="504"/>
      <c r="M93" s="504"/>
      <c r="N93" s="504"/>
      <c r="O93" s="504"/>
      <c r="P93" s="504"/>
      <c r="Q93" s="504"/>
      <c r="R93" s="504"/>
      <c r="S93" s="504"/>
      <c r="T93" s="504"/>
      <c r="U93" s="504"/>
      <c r="V93" s="504"/>
      <c r="W93" s="504"/>
      <c r="X93" s="504"/>
      <c r="Y93" s="504"/>
      <c r="Z93" s="504"/>
    </row>
    <row r="94" ht="12.0" customHeight="1">
      <c r="A94" s="488"/>
      <c r="B94" s="493" t="s">
        <v>944</v>
      </c>
      <c r="C94" s="490" t="s">
        <v>34</v>
      </c>
      <c r="D94" s="490"/>
      <c r="E94" s="491"/>
      <c r="F94" s="492"/>
      <c r="G94" s="504"/>
      <c r="H94" s="487"/>
      <c r="I94" s="474"/>
      <c r="J94" s="504"/>
      <c r="K94" s="504"/>
      <c r="L94" s="504"/>
      <c r="M94" s="504"/>
      <c r="N94" s="504"/>
      <c r="O94" s="504"/>
      <c r="P94" s="504"/>
      <c r="Q94" s="504"/>
      <c r="R94" s="504"/>
      <c r="S94" s="504"/>
      <c r="T94" s="504"/>
      <c r="U94" s="504"/>
      <c r="V94" s="504"/>
      <c r="W94" s="504"/>
      <c r="X94" s="504"/>
      <c r="Y94" s="504"/>
      <c r="Z94" s="504"/>
    </row>
    <row r="95" ht="12.0" customHeight="1">
      <c r="A95" s="488"/>
      <c r="B95" s="493" t="s">
        <v>328</v>
      </c>
      <c r="C95" s="490" t="s">
        <v>32</v>
      </c>
      <c r="D95" s="490"/>
      <c r="E95" s="491"/>
      <c r="F95" s="492"/>
      <c r="G95" s="504"/>
      <c r="H95" s="487"/>
      <c r="I95" s="474"/>
      <c r="J95" s="504"/>
      <c r="K95" s="504"/>
      <c r="L95" s="504"/>
      <c r="M95" s="504"/>
      <c r="N95" s="504"/>
      <c r="O95" s="504"/>
      <c r="P95" s="504"/>
      <c r="Q95" s="504"/>
      <c r="R95" s="504"/>
      <c r="S95" s="504"/>
      <c r="T95" s="504"/>
      <c r="U95" s="504"/>
      <c r="V95" s="504"/>
      <c r="W95" s="504"/>
      <c r="X95" s="504"/>
      <c r="Y95" s="504"/>
      <c r="Z95" s="504"/>
    </row>
    <row r="96" ht="12.0" customHeight="1">
      <c r="A96" s="494"/>
      <c r="B96" s="495" t="str">
        <f>"Sous total : " &amp; A86&amp;" - "&amp;B86</f>
        <v>Sous total : 2.13 - Eclairage</v>
      </c>
      <c r="C96" s="496"/>
      <c r="D96" s="496"/>
      <c r="E96" s="497"/>
      <c r="F96" s="498"/>
      <c r="G96" s="504"/>
      <c r="H96" s="487"/>
      <c r="I96" s="474"/>
      <c r="J96" s="504"/>
      <c r="K96" s="504"/>
      <c r="L96" s="504"/>
      <c r="M96" s="504"/>
      <c r="N96" s="504"/>
      <c r="O96" s="504"/>
      <c r="P96" s="504"/>
      <c r="Q96" s="504"/>
      <c r="R96" s="504"/>
      <c r="S96" s="504"/>
      <c r="T96" s="504"/>
      <c r="U96" s="504"/>
      <c r="V96" s="504"/>
      <c r="W96" s="504"/>
      <c r="X96" s="504"/>
      <c r="Y96" s="504"/>
      <c r="Z96" s="504"/>
    </row>
    <row r="97" ht="12.0" customHeight="1">
      <c r="A97" s="499" t="s">
        <v>945</v>
      </c>
      <c r="B97" s="500" t="s">
        <v>330</v>
      </c>
      <c r="C97" s="501"/>
      <c r="D97" s="501"/>
      <c r="E97" s="502"/>
      <c r="F97" s="503"/>
      <c r="G97" s="504"/>
      <c r="H97" s="487"/>
      <c r="I97" s="474"/>
      <c r="J97" s="504"/>
      <c r="K97" s="504"/>
      <c r="L97" s="504"/>
      <c r="M97" s="504"/>
      <c r="N97" s="504"/>
      <c r="O97" s="504"/>
      <c r="P97" s="504"/>
      <c r="Q97" s="504"/>
      <c r="R97" s="504"/>
      <c r="S97" s="504"/>
      <c r="T97" s="504"/>
      <c r="U97" s="504"/>
      <c r="V97" s="504"/>
      <c r="W97" s="504"/>
      <c r="X97" s="504"/>
      <c r="Y97" s="504"/>
      <c r="Z97" s="504"/>
    </row>
    <row r="98" ht="12.0" customHeight="1">
      <c r="A98" s="488"/>
      <c r="B98" s="493" t="s">
        <v>342</v>
      </c>
      <c r="C98" s="490" t="s">
        <v>34</v>
      </c>
      <c r="D98" s="490"/>
      <c r="E98" s="491"/>
      <c r="F98" s="492"/>
      <c r="G98" s="504"/>
      <c r="H98" s="487"/>
      <c r="I98" s="474"/>
      <c r="J98" s="504"/>
      <c r="K98" s="504"/>
      <c r="L98" s="504"/>
      <c r="M98" s="504"/>
      <c r="N98" s="504"/>
      <c r="O98" s="504"/>
      <c r="P98" s="504"/>
      <c r="Q98" s="504"/>
      <c r="R98" s="504"/>
      <c r="S98" s="504"/>
      <c r="T98" s="504"/>
      <c r="U98" s="504"/>
      <c r="V98" s="504"/>
      <c r="W98" s="504"/>
      <c r="X98" s="504"/>
      <c r="Y98" s="504"/>
      <c r="Z98" s="504"/>
    </row>
    <row r="99" ht="12.0" customHeight="1">
      <c r="A99" s="488"/>
      <c r="B99" s="493" t="s">
        <v>343</v>
      </c>
      <c r="C99" s="490" t="s">
        <v>34</v>
      </c>
      <c r="D99" s="490"/>
      <c r="E99" s="491"/>
      <c r="F99" s="492"/>
      <c r="G99" s="504"/>
      <c r="H99" s="487"/>
      <c r="I99" s="474"/>
      <c r="J99" s="504"/>
      <c r="K99" s="504"/>
      <c r="L99" s="504"/>
      <c r="M99" s="504"/>
      <c r="N99" s="504"/>
      <c r="O99" s="504"/>
      <c r="P99" s="504"/>
      <c r="Q99" s="504"/>
      <c r="R99" s="504"/>
      <c r="S99" s="504"/>
      <c r="T99" s="504"/>
      <c r="U99" s="504"/>
      <c r="V99" s="504"/>
      <c r="W99" s="504"/>
      <c r="X99" s="504"/>
      <c r="Y99" s="504"/>
      <c r="Z99" s="504"/>
    </row>
    <row r="100" ht="12.0" customHeight="1">
      <c r="A100" s="488"/>
      <c r="B100" s="493" t="s">
        <v>344</v>
      </c>
      <c r="C100" s="490" t="s">
        <v>34</v>
      </c>
      <c r="D100" s="490"/>
      <c r="E100" s="491"/>
      <c r="F100" s="492"/>
      <c r="G100" s="504"/>
      <c r="H100" s="487"/>
      <c r="I100" s="474"/>
      <c r="J100" s="504"/>
      <c r="K100" s="504"/>
      <c r="L100" s="504"/>
      <c r="M100" s="504"/>
      <c r="N100" s="504"/>
      <c r="O100" s="504"/>
      <c r="P100" s="504"/>
      <c r="Q100" s="504"/>
      <c r="R100" s="504"/>
      <c r="S100" s="504"/>
      <c r="T100" s="504"/>
      <c r="U100" s="504"/>
      <c r="V100" s="504"/>
      <c r="W100" s="504"/>
      <c r="X100" s="504"/>
      <c r="Y100" s="504"/>
      <c r="Z100" s="504"/>
    </row>
    <row r="101" ht="12.0" customHeight="1">
      <c r="A101" s="488"/>
      <c r="B101" s="493" t="s">
        <v>345</v>
      </c>
      <c r="C101" s="490" t="s">
        <v>34</v>
      </c>
      <c r="D101" s="490"/>
      <c r="E101" s="491"/>
      <c r="F101" s="492"/>
      <c r="G101" s="504"/>
      <c r="H101" s="487"/>
      <c r="I101" s="474"/>
      <c r="J101" s="504"/>
      <c r="K101" s="504"/>
      <c r="L101" s="504"/>
      <c r="M101" s="504"/>
      <c r="N101" s="504"/>
      <c r="O101" s="504"/>
      <c r="P101" s="504"/>
      <c r="Q101" s="504"/>
      <c r="R101" s="504"/>
      <c r="S101" s="504"/>
      <c r="T101" s="504"/>
      <c r="U101" s="504"/>
      <c r="V101" s="504"/>
      <c r="W101" s="504"/>
      <c r="X101" s="504"/>
      <c r="Y101" s="504"/>
      <c r="Z101" s="504"/>
    </row>
    <row r="102" ht="12.0" customHeight="1">
      <c r="A102" s="488"/>
      <c r="B102" s="493" t="s">
        <v>346</v>
      </c>
      <c r="C102" s="490" t="s">
        <v>32</v>
      </c>
      <c r="D102" s="490"/>
      <c r="E102" s="491"/>
      <c r="F102" s="492"/>
      <c r="G102" s="504"/>
      <c r="H102" s="487"/>
      <c r="I102" s="474"/>
      <c r="J102" s="504"/>
      <c r="K102" s="504"/>
      <c r="L102" s="504"/>
      <c r="M102" s="504"/>
      <c r="N102" s="504"/>
      <c r="O102" s="504"/>
      <c r="P102" s="504"/>
      <c r="Q102" s="504"/>
      <c r="R102" s="504"/>
      <c r="S102" s="504"/>
      <c r="T102" s="504"/>
      <c r="U102" s="504"/>
      <c r="V102" s="504"/>
      <c r="W102" s="504"/>
      <c r="X102" s="504"/>
      <c r="Y102" s="504"/>
      <c r="Z102" s="504"/>
    </row>
    <row r="103" ht="12.0" customHeight="1">
      <c r="A103" s="494"/>
      <c r="B103" s="495" t="str">
        <f>"Sous total : " &amp; A97&amp;" - "&amp;B97</f>
        <v>Sous total : 2.15 - Eclairage de sécurité</v>
      </c>
      <c r="C103" s="496"/>
      <c r="D103" s="496"/>
      <c r="E103" s="497"/>
      <c r="F103" s="498"/>
      <c r="G103" s="504"/>
      <c r="H103" s="487"/>
      <c r="I103" s="474"/>
      <c r="J103" s="504"/>
      <c r="K103" s="504"/>
      <c r="L103" s="504"/>
      <c r="M103" s="504"/>
      <c r="N103" s="504"/>
      <c r="O103" s="504"/>
      <c r="P103" s="504"/>
      <c r="Q103" s="504"/>
      <c r="R103" s="504"/>
      <c r="S103" s="504"/>
      <c r="T103" s="504"/>
      <c r="U103" s="504"/>
      <c r="V103" s="504"/>
      <c r="W103" s="504"/>
      <c r="X103" s="504"/>
      <c r="Y103" s="504"/>
      <c r="Z103" s="504"/>
    </row>
    <row r="104" ht="12.0" customHeight="1">
      <c r="A104" s="499" t="s">
        <v>946</v>
      </c>
      <c r="B104" s="500" t="s">
        <v>348</v>
      </c>
      <c r="C104" s="501"/>
      <c r="D104" s="501"/>
      <c r="E104" s="502"/>
      <c r="F104" s="503"/>
      <c r="G104" s="504"/>
      <c r="H104" s="487"/>
      <c r="I104" s="474"/>
      <c r="J104" s="504"/>
      <c r="K104" s="504"/>
      <c r="L104" s="504"/>
      <c r="M104" s="504"/>
      <c r="N104" s="504"/>
      <c r="O104" s="504"/>
      <c r="P104" s="504"/>
      <c r="Q104" s="504"/>
      <c r="R104" s="504"/>
      <c r="S104" s="504"/>
      <c r="T104" s="504"/>
      <c r="U104" s="504"/>
      <c r="V104" s="504"/>
      <c r="W104" s="504"/>
      <c r="X104" s="504"/>
      <c r="Y104" s="504"/>
      <c r="Z104" s="504"/>
    </row>
    <row r="105" ht="12.0" customHeight="1">
      <c r="A105" s="488"/>
      <c r="B105" s="512" t="s">
        <v>357</v>
      </c>
      <c r="C105" s="508"/>
      <c r="D105" s="490"/>
      <c r="E105" s="491"/>
      <c r="F105" s="492"/>
      <c r="G105" s="504"/>
      <c r="H105" s="487"/>
      <c r="I105" s="474"/>
      <c r="J105" s="504"/>
      <c r="K105" s="504"/>
      <c r="L105" s="504"/>
      <c r="M105" s="504"/>
      <c r="N105" s="504"/>
      <c r="O105" s="504"/>
      <c r="P105" s="504"/>
      <c r="Q105" s="504"/>
      <c r="R105" s="504"/>
      <c r="S105" s="504"/>
      <c r="T105" s="504"/>
      <c r="U105" s="504"/>
      <c r="V105" s="504"/>
      <c r="W105" s="504"/>
      <c r="X105" s="504"/>
      <c r="Y105" s="504"/>
      <c r="Z105" s="504"/>
    </row>
    <row r="106" ht="12.0" customHeight="1">
      <c r="A106" s="488"/>
      <c r="B106" s="512" t="s">
        <v>358</v>
      </c>
      <c r="C106" s="508" t="s">
        <v>51</v>
      </c>
      <c r="D106" s="490"/>
      <c r="E106" s="491"/>
      <c r="F106" s="492"/>
      <c r="G106" s="504"/>
      <c r="H106" s="504"/>
      <c r="I106" s="504"/>
      <c r="J106" s="504"/>
      <c r="K106" s="504"/>
      <c r="L106" s="504"/>
      <c r="M106" s="504"/>
      <c r="N106" s="504"/>
      <c r="O106" s="504"/>
      <c r="P106" s="504"/>
      <c r="Q106" s="504"/>
      <c r="R106" s="504"/>
      <c r="S106" s="504"/>
      <c r="T106" s="504"/>
      <c r="U106" s="504"/>
      <c r="V106" s="504"/>
      <c r="W106" s="504"/>
      <c r="X106" s="504"/>
      <c r="Y106" s="504"/>
      <c r="Z106" s="504"/>
    </row>
    <row r="107" ht="12.0" customHeight="1">
      <c r="A107" s="488"/>
      <c r="B107" s="512" t="s">
        <v>359</v>
      </c>
      <c r="C107" s="508" t="s">
        <v>51</v>
      </c>
      <c r="D107" s="490"/>
      <c r="E107" s="491"/>
      <c r="F107" s="492"/>
      <c r="G107" s="504"/>
      <c r="H107" s="504"/>
      <c r="I107" s="504"/>
      <c r="J107" s="504"/>
      <c r="K107" s="504"/>
      <c r="L107" s="504"/>
      <c r="M107" s="504"/>
      <c r="N107" s="504"/>
      <c r="O107" s="504"/>
      <c r="P107" s="504"/>
      <c r="Q107" s="504"/>
      <c r="R107" s="504"/>
      <c r="S107" s="504"/>
      <c r="T107" s="504"/>
      <c r="U107" s="504"/>
      <c r="V107" s="504"/>
      <c r="W107" s="504"/>
      <c r="X107" s="504"/>
      <c r="Y107" s="504"/>
      <c r="Z107" s="504"/>
    </row>
    <row r="108" ht="12.0" customHeight="1">
      <c r="A108" s="488"/>
      <c r="B108" s="512" t="s">
        <v>360</v>
      </c>
      <c r="C108" s="508" t="s">
        <v>51</v>
      </c>
      <c r="D108" s="490"/>
      <c r="E108" s="491"/>
      <c r="F108" s="492"/>
      <c r="G108" s="504"/>
      <c r="H108" s="504"/>
      <c r="I108" s="504"/>
      <c r="J108" s="504"/>
      <c r="K108" s="504"/>
      <c r="L108" s="504"/>
      <c r="M108" s="504"/>
      <c r="N108" s="504"/>
      <c r="O108" s="504"/>
      <c r="P108" s="504"/>
      <c r="Q108" s="504"/>
      <c r="R108" s="504"/>
      <c r="S108" s="504"/>
      <c r="T108" s="504"/>
      <c r="U108" s="504"/>
      <c r="V108" s="504"/>
      <c r="W108" s="504"/>
      <c r="X108" s="504"/>
      <c r="Y108" s="504"/>
      <c r="Z108" s="504"/>
    </row>
    <row r="109" ht="12.0" customHeight="1">
      <c r="A109" s="488"/>
      <c r="B109" s="512" t="s">
        <v>361</v>
      </c>
      <c r="C109" s="508" t="s">
        <v>51</v>
      </c>
      <c r="D109" s="490"/>
      <c r="E109" s="491"/>
      <c r="F109" s="492"/>
      <c r="G109" s="504"/>
      <c r="H109" s="504"/>
      <c r="I109" s="504"/>
      <c r="J109" s="504"/>
      <c r="K109" s="504"/>
      <c r="L109" s="504"/>
      <c r="M109" s="504"/>
      <c r="N109" s="504"/>
      <c r="O109" s="504"/>
      <c r="P109" s="504"/>
      <c r="Q109" s="504"/>
      <c r="R109" s="504"/>
      <c r="S109" s="504"/>
      <c r="T109" s="504"/>
      <c r="U109" s="504"/>
      <c r="V109" s="504"/>
      <c r="W109" s="504"/>
      <c r="X109" s="504"/>
      <c r="Y109" s="504"/>
      <c r="Z109" s="504"/>
    </row>
    <row r="110" ht="12.0" customHeight="1">
      <c r="A110" s="488"/>
      <c r="B110" s="512" t="s">
        <v>362</v>
      </c>
      <c r="C110" s="508" t="s">
        <v>51</v>
      </c>
      <c r="D110" s="490"/>
      <c r="E110" s="491"/>
      <c r="F110" s="492"/>
      <c r="G110" s="504"/>
      <c r="H110" s="504"/>
      <c r="I110" s="504"/>
      <c r="J110" s="504"/>
      <c r="K110" s="504"/>
      <c r="L110" s="504"/>
      <c r="M110" s="504"/>
      <c r="N110" s="504"/>
      <c r="O110" s="504"/>
      <c r="P110" s="504"/>
      <c r="Q110" s="504"/>
      <c r="R110" s="504"/>
      <c r="S110" s="504"/>
      <c r="T110" s="504"/>
      <c r="U110" s="504"/>
      <c r="V110" s="504"/>
      <c r="W110" s="504"/>
      <c r="X110" s="504"/>
      <c r="Y110" s="504"/>
      <c r="Z110" s="504"/>
    </row>
    <row r="111" ht="12.0" customHeight="1">
      <c r="A111" s="488"/>
      <c r="B111" s="512" t="s">
        <v>363</v>
      </c>
      <c r="C111" s="508" t="s">
        <v>51</v>
      </c>
      <c r="D111" s="490"/>
      <c r="E111" s="491"/>
      <c r="F111" s="492"/>
      <c r="G111" s="504"/>
      <c r="H111" s="504"/>
      <c r="I111" s="504"/>
      <c r="J111" s="504"/>
      <c r="K111" s="504"/>
      <c r="L111" s="504"/>
      <c r="M111" s="504"/>
      <c r="N111" s="504"/>
      <c r="O111" s="504"/>
      <c r="P111" s="504"/>
      <c r="Q111" s="504"/>
      <c r="R111" s="504"/>
      <c r="S111" s="504"/>
      <c r="T111" s="504"/>
      <c r="U111" s="504"/>
      <c r="V111" s="504"/>
      <c r="W111" s="504"/>
      <c r="X111" s="504"/>
      <c r="Y111" s="504"/>
      <c r="Z111" s="504"/>
    </row>
    <row r="112" ht="12.0" customHeight="1">
      <c r="A112" s="488"/>
      <c r="B112" s="512" t="s">
        <v>364</v>
      </c>
      <c r="C112" s="508" t="s">
        <v>51</v>
      </c>
      <c r="D112" s="490"/>
      <c r="E112" s="491"/>
      <c r="F112" s="492"/>
      <c r="G112" s="504"/>
      <c r="H112" s="504"/>
      <c r="I112" s="504"/>
      <c r="J112" s="504"/>
      <c r="K112" s="504"/>
      <c r="L112" s="504"/>
      <c r="M112" s="504"/>
      <c r="N112" s="504"/>
      <c r="O112" s="504"/>
      <c r="P112" s="504"/>
      <c r="Q112" s="504"/>
      <c r="R112" s="504"/>
      <c r="S112" s="504"/>
      <c r="T112" s="504"/>
      <c r="U112" s="504"/>
      <c r="V112" s="504"/>
      <c r="W112" s="504"/>
      <c r="X112" s="504"/>
      <c r="Y112" s="504"/>
      <c r="Z112" s="504"/>
    </row>
    <row r="113" ht="12.0" customHeight="1">
      <c r="A113" s="488"/>
      <c r="B113" s="512" t="s">
        <v>365</v>
      </c>
      <c r="C113" s="508" t="s">
        <v>51</v>
      </c>
      <c r="D113" s="490"/>
      <c r="E113" s="491"/>
      <c r="F113" s="492"/>
      <c r="G113" s="504"/>
      <c r="H113" s="504"/>
      <c r="I113" s="504"/>
      <c r="J113" s="504"/>
      <c r="K113" s="504"/>
      <c r="L113" s="504"/>
      <c r="M113" s="504"/>
      <c r="N113" s="504"/>
      <c r="O113" s="504"/>
      <c r="P113" s="504"/>
      <c r="Q113" s="504"/>
      <c r="R113" s="504"/>
      <c r="S113" s="504"/>
      <c r="T113" s="504"/>
      <c r="U113" s="504"/>
      <c r="V113" s="504"/>
      <c r="W113" s="504"/>
      <c r="X113" s="504"/>
      <c r="Y113" s="504"/>
      <c r="Z113" s="504"/>
    </row>
    <row r="114" ht="12.0" customHeight="1">
      <c r="A114" s="488"/>
      <c r="B114" s="512" t="s">
        <v>366</v>
      </c>
      <c r="C114" s="508" t="s">
        <v>51</v>
      </c>
      <c r="D114" s="490"/>
      <c r="E114" s="491"/>
      <c r="F114" s="492"/>
      <c r="G114" s="504"/>
      <c r="H114" s="504"/>
      <c r="I114" s="504"/>
      <c r="J114" s="504"/>
      <c r="K114" s="504"/>
      <c r="L114" s="504"/>
      <c r="M114" s="504"/>
      <c r="N114" s="504"/>
      <c r="O114" s="504"/>
      <c r="P114" s="504"/>
      <c r="Q114" s="504"/>
      <c r="R114" s="504"/>
      <c r="S114" s="504"/>
      <c r="T114" s="504"/>
      <c r="U114" s="504"/>
      <c r="V114" s="504"/>
      <c r="W114" s="504"/>
      <c r="X114" s="504"/>
      <c r="Y114" s="504"/>
      <c r="Z114" s="504"/>
    </row>
    <row r="115" ht="12.0" customHeight="1">
      <c r="A115" s="488"/>
      <c r="B115" s="512" t="s">
        <v>367</v>
      </c>
      <c r="C115" s="508" t="s">
        <v>51</v>
      </c>
      <c r="D115" s="490"/>
      <c r="E115" s="491"/>
      <c r="F115" s="492"/>
      <c r="G115" s="504"/>
      <c r="H115" s="504"/>
      <c r="I115" s="504"/>
      <c r="J115" s="504"/>
      <c r="K115" s="504"/>
      <c r="L115" s="504"/>
      <c r="M115" s="504"/>
      <c r="N115" s="504"/>
      <c r="O115" s="504"/>
      <c r="P115" s="504"/>
      <c r="Q115" s="504"/>
      <c r="R115" s="504"/>
      <c r="S115" s="504"/>
      <c r="T115" s="504"/>
      <c r="U115" s="504"/>
      <c r="V115" s="504"/>
      <c r="W115" s="504"/>
      <c r="X115" s="504"/>
      <c r="Y115" s="504"/>
      <c r="Z115" s="504"/>
    </row>
    <row r="116" ht="12.0" customHeight="1">
      <c r="A116" s="488"/>
      <c r="B116" s="512" t="s">
        <v>368</v>
      </c>
      <c r="C116" s="508" t="s">
        <v>51</v>
      </c>
      <c r="D116" s="490"/>
      <c r="E116" s="491"/>
      <c r="F116" s="492"/>
      <c r="G116" s="504"/>
      <c r="H116" s="504"/>
      <c r="I116" s="504"/>
      <c r="J116" s="504"/>
      <c r="K116" s="504"/>
      <c r="L116" s="504"/>
      <c r="M116" s="504"/>
      <c r="N116" s="504"/>
      <c r="O116" s="504"/>
      <c r="P116" s="504"/>
      <c r="Q116" s="504"/>
      <c r="R116" s="504"/>
      <c r="S116" s="504"/>
      <c r="T116" s="504"/>
      <c r="U116" s="504"/>
      <c r="V116" s="504"/>
      <c r="W116" s="504"/>
      <c r="X116" s="504"/>
      <c r="Y116" s="504"/>
      <c r="Z116" s="504"/>
    </row>
    <row r="117" ht="12.0" customHeight="1">
      <c r="A117" s="488"/>
      <c r="B117" s="512" t="s">
        <v>369</v>
      </c>
      <c r="C117" s="508" t="s">
        <v>51</v>
      </c>
      <c r="D117" s="490"/>
      <c r="E117" s="491"/>
      <c r="F117" s="492"/>
      <c r="G117" s="504"/>
      <c r="H117" s="504"/>
      <c r="I117" s="504"/>
      <c r="J117" s="504"/>
      <c r="K117" s="504"/>
      <c r="L117" s="504"/>
      <c r="M117" s="504"/>
      <c r="N117" s="504"/>
      <c r="O117" s="504"/>
      <c r="P117" s="504"/>
      <c r="Q117" s="504"/>
      <c r="R117" s="504"/>
      <c r="S117" s="504"/>
      <c r="T117" s="504"/>
      <c r="U117" s="504"/>
      <c r="V117" s="504"/>
      <c r="W117" s="504"/>
      <c r="X117" s="504"/>
      <c r="Y117" s="504"/>
      <c r="Z117" s="504"/>
    </row>
    <row r="118" ht="12.0" customHeight="1">
      <c r="A118" s="488"/>
      <c r="B118" s="512" t="s">
        <v>370</v>
      </c>
      <c r="C118" s="508"/>
      <c r="D118" s="490"/>
      <c r="E118" s="491"/>
      <c r="F118" s="492"/>
      <c r="G118" s="504"/>
      <c r="H118" s="504"/>
      <c r="I118" s="504"/>
      <c r="J118" s="504"/>
      <c r="K118" s="504"/>
      <c r="L118" s="504"/>
      <c r="M118" s="504"/>
      <c r="N118" s="504"/>
      <c r="O118" s="504"/>
      <c r="P118" s="504"/>
      <c r="Q118" s="504"/>
      <c r="R118" s="504"/>
      <c r="S118" s="504"/>
      <c r="T118" s="504"/>
      <c r="U118" s="504"/>
      <c r="V118" s="504"/>
      <c r="W118" s="504"/>
      <c r="X118" s="504"/>
      <c r="Y118" s="504"/>
      <c r="Z118" s="504"/>
    </row>
    <row r="119" ht="12.0" customHeight="1">
      <c r="A119" s="488"/>
      <c r="B119" s="512" t="s">
        <v>371</v>
      </c>
      <c r="C119" s="508"/>
      <c r="D119" s="490"/>
      <c r="E119" s="491"/>
      <c r="F119" s="492"/>
      <c r="G119" s="504"/>
      <c r="H119" s="504"/>
      <c r="I119" s="504"/>
      <c r="J119" s="504"/>
      <c r="K119" s="504"/>
      <c r="L119" s="504"/>
      <c r="M119" s="504"/>
      <c r="N119" s="504"/>
      <c r="O119" s="504"/>
      <c r="P119" s="504"/>
      <c r="Q119" s="504"/>
      <c r="R119" s="504"/>
      <c r="S119" s="504"/>
      <c r="T119" s="504"/>
      <c r="U119" s="504"/>
      <c r="V119" s="504"/>
      <c r="W119" s="504"/>
      <c r="X119" s="504"/>
      <c r="Y119" s="504"/>
      <c r="Z119" s="504"/>
    </row>
    <row r="120" ht="12.0" customHeight="1">
      <c r="A120" s="488"/>
      <c r="B120" s="512" t="s">
        <v>372</v>
      </c>
      <c r="C120" s="508"/>
      <c r="D120" s="490"/>
      <c r="E120" s="491"/>
      <c r="F120" s="492"/>
      <c r="G120" s="504"/>
      <c r="H120" s="504"/>
      <c r="I120" s="504"/>
      <c r="J120" s="504"/>
      <c r="K120" s="504"/>
      <c r="L120" s="504"/>
      <c r="M120" s="504"/>
      <c r="N120" s="504"/>
      <c r="O120" s="504"/>
      <c r="P120" s="504"/>
      <c r="Q120" s="504"/>
      <c r="R120" s="504"/>
      <c r="S120" s="504"/>
      <c r="T120" s="504"/>
      <c r="U120" s="504"/>
      <c r="V120" s="504"/>
      <c r="W120" s="504"/>
      <c r="X120" s="504"/>
      <c r="Y120" s="504"/>
      <c r="Z120" s="504"/>
    </row>
    <row r="121" ht="12.0" customHeight="1">
      <c r="A121" s="488"/>
      <c r="B121" s="512"/>
      <c r="C121" s="508"/>
      <c r="D121" s="490"/>
      <c r="E121" s="491"/>
      <c r="F121" s="492"/>
      <c r="G121" s="504"/>
      <c r="H121" s="504"/>
      <c r="I121" s="504"/>
      <c r="J121" s="504"/>
      <c r="K121" s="504"/>
      <c r="L121" s="504"/>
      <c r="M121" s="504"/>
      <c r="N121" s="504"/>
      <c r="O121" s="504"/>
      <c r="P121" s="504"/>
      <c r="Q121" s="504"/>
      <c r="R121" s="504"/>
      <c r="S121" s="504"/>
      <c r="T121" s="504"/>
      <c r="U121" s="504"/>
      <c r="V121" s="504"/>
      <c r="W121" s="504"/>
      <c r="X121" s="504"/>
      <c r="Y121" s="504"/>
      <c r="Z121" s="504"/>
    </row>
    <row r="122" ht="12.0" customHeight="1">
      <c r="A122" s="488"/>
      <c r="B122" s="512" t="s">
        <v>373</v>
      </c>
      <c r="C122" s="508"/>
      <c r="D122" s="509"/>
      <c r="E122" s="510"/>
      <c r="F122" s="511"/>
      <c r="G122" s="504"/>
      <c r="H122" s="504"/>
      <c r="I122" s="504"/>
      <c r="J122" s="504"/>
      <c r="K122" s="504"/>
      <c r="L122" s="504"/>
      <c r="M122" s="504"/>
      <c r="N122" s="504"/>
      <c r="O122" s="504"/>
      <c r="P122" s="504"/>
      <c r="Q122" s="504"/>
      <c r="R122" s="504"/>
      <c r="S122" s="504"/>
      <c r="T122" s="504"/>
      <c r="U122" s="504"/>
      <c r="V122" s="504"/>
      <c r="W122" s="504"/>
      <c r="X122" s="504"/>
      <c r="Y122" s="504"/>
      <c r="Z122" s="504"/>
    </row>
    <row r="123" ht="12.0" customHeight="1">
      <c r="A123" s="488"/>
      <c r="B123" s="512" t="s">
        <v>374</v>
      </c>
      <c r="C123" s="508" t="s">
        <v>51</v>
      </c>
      <c r="D123" s="509"/>
      <c r="E123" s="510"/>
      <c r="F123" s="511"/>
      <c r="G123" s="504"/>
      <c r="H123" s="504"/>
      <c r="I123" s="504"/>
      <c r="J123" s="504"/>
      <c r="K123" s="504"/>
      <c r="L123" s="504"/>
      <c r="M123" s="504"/>
      <c r="N123" s="504"/>
      <c r="O123" s="504"/>
      <c r="P123" s="504"/>
      <c r="Q123" s="504"/>
      <c r="R123" s="504"/>
      <c r="S123" s="504"/>
      <c r="T123" s="504"/>
      <c r="U123" s="504"/>
      <c r="V123" s="504"/>
      <c r="W123" s="504"/>
      <c r="X123" s="504"/>
      <c r="Y123" s="504"/>
      <c r="Z123" s="504"/>
    </row>
    <row r="124" ht="12.0" customHeight="1">
      <c r="A124" s="488"/>
      <c r="B124" s="512" t="s">
        <v>375</v>
      </c>
      <c r="C124" s="508" t="s">
        <v>32</v>
      </c>
      <c r="D124" s="509"/>
      <c r="E124" s="510"/>
      <c r="F124" s="511"/>
      <c r="G124" s="504"/>
      <c r="H124" s="504"/>
      <c r="I124" s="504"/>
      <c r="J124" s="504"/>
      <c r="K124" s="504"/>
      <c r="L124" s="504"/>
      <c r="M124" s="504"/>
      <c r="N124" s="504"/>
      <c r="O124" s="504"/>
      <c r="P124" s="504"/>
      <c r="Q124" s="504"/>
      <c r="R124" s="504"/>
      <c r="S124" s="504"/>
      <c r="T124" s="504"/>
      <c r="U124" s="504"/>
      <c r="V124" s="504"/>
      <c r="W124" s="504"/>
      <c r="X124" s="504"/>
      <c r="Y124" s="504"/>
      <c r="Z124" s="504"/>
    </row>
    <row r="125" ht="12.0" customHeight="1">
      <c r="A125" s="494"/>
      <c r="B125" s="495" t="str">
        <f>"Sous total : " &amp; A104&amp;" - "&amp;B104</f>
        <v>Sous total : 2.16 - Alimentations spécifiques</v>
      </c>
      <c r="C125" s="496"/>
      <c r="D125" s="496"/>
      <c r="E125" s="497"/>
      <c r="F125" s="498"/>
      <c r="G125" s="504"/>
      <c r="H125" s="504"/>
      <c r="I125" s="504"/>
      <c r="J125" s="504"/>
      <c r="K125" s="504"/>
      <c r="L125" s="504"/>
      <c r="M125" s="504"/>
      <c r="N125" s="504"/>
      <c r="O125" s="504"/>
      <c r="P125" s="504"/>
      <c r="Q125" s="504"/>
      <c r="R125" s="504"/>
      <c r="S125" s="504"/>
      <c r="T125" s="504"/>
      <c r="U125" s="504"/>
      <c r="V125" s="504"/>
      <c r="W125" s="504"/>
      <c r="X125" s="504"/>
      <c r="Y125" s="504"/>
      <c r="Z125" s="504"/>
    </row>
    <row r="126" ht="12.0" customHeight="1">
      <c r="A126" s="506" t="s">
        <v>947</v>
      </c>
      <c r="B126" s="500" t="s">
        <v>948</v>
      </c>
      <c r="C126" s="501"/>
      <c r="D126" s="501"/>
      <c r="E126" s="502"/>
      <c r="F126" s="503"/>
      <c r="G126" s="504"/>
      <c r="H126" s="504"/>
      <c r="I126" s="504"/>
      <c r="J126" s="504"/>
      <c r="K126" s="504"/>
      <c r="L126" s="504"/>
      <c r="M126" s="504"/>
      <c r="N126" s="504"/>
      <c r="O126" s="504"/>
      <c r="P126" s="504"/>
      <c r="Q126" s="504"/>
      <c r="R126" s="504"/>
      <c r="S126" s="504"/>
      <c r="T126" s="504"/>
      <c r="U126" s="504"/>
      <c r="V126" s="504"/>
      <c r="W126" s="504"/>
      <c r="X126" s="504"/>
      <c r="Y126" s="504"/>
      <c r="Z126" s="504"/>
    </row>
    <row r="127" ht="12.0" customHeight="1">
      <c r="A127" s="488"/>
      <c r="B127" s="512" t="s">
        <v>949</v>
      </c>
      <c r="C127" s="508" t="s">
        <v>32</v>
      </c>
      <c r="D127" s="509"/>
      <c r="E127" s="510"/>
      <c r="F127" s="511"/>
      <c r="G127" s="504"/>
      <c r="H127" s="504"/>
      <c r="I127" s="504"/>
      <c r="J127" s="504"/>
      <c r="K127" s="504"/>
      <c r="L127" s="504"/>
      <c r="M127" s="504"/>
      <c r="N127" s="504"/>
      <c r="O127" s="504"/>
      <c r="P127" s="504"/>
      <c r="Q127" s="504"/>
      <c r="R127" s="504"/>
      <c r="S127" s="504"/>
      <c r="T127" s="504"/>
      <c r="U127" s="504"/>
      <c r="V127" s="504"/>
      <c r="W127" s="504"/>
      <c r="X127" s="504"/>
      <c r="Y127" s="504"/>
      <c r="Z127" s="504"/>
    </row>
    <row r="128" ht="12.0" customHeight="1">
      <c r="A128" s="488"/>
      <c r="B128" s="512" t="s">
        <v>950</v>
      </c>
      <c r="C128" s="508" t="s">
        <v>34</v>
      </c>
      <c r="D128" s="509"/>
      <c r="E128" s="510"/>
      <c r="F128" s="511"/>
      <c r="G128" s="504"/>
      <c r="H128" s="504"/>
      <c r="I128" s="504"/>
      <c r="J128" s="504"/>
      <c r="K128" s="504"/>
      <c r="L128" s="504"/>
      <c r="M128" s="504"/>
      <c r="N128" s="504"/>
      <c r="O128" s="504"/>
      <c r="P128" s="504"/>
      <c r="Q128" s="504"/>
      <c r="R128" s="504"/>
      <c r="S128" s="504"/>
      <c r="T128" s="504"/>
      <c r="U128" s="504"/>
      <c r="V128" s="504"/>
      <c r="W128" s="504"/>
      <c r="X128" s="504"/>
      <c r="Y128" s="504"/>
      <c r="Z128" s="504"/>
    </row>
    <row r="129" ht="12.0" customHeight="1">
      <c r="A129" s="494"/>
      <c r="B129" s="495" t="str">
        <f>"Sous total : " &amp; A126&amp;" - "&amp;B126</f>
        <v>Sous total : 2.18 - Renvoi d'alarme sur Système GTC</v>
      </c>
      <c r="C129" s="496"/>
      <c r="D129" s="496"/>
      <c r="E129" s="497"/>
      <c r="F129" s="498"/>
      <c r="G129" s="504"/>
      <c r="H129" s="504"/>
      <c r="I129" s="504"/>
      <c r="J129" s="504"/>
      <c r="K129" s="504"/>
      <c r="L129" s="504"/>
      <c r="M129" s="504"/>
      <c r="N129" s="504"/>
      <c r="O129" s="504"/>
      <c r="P129" s="504"/>
      <c r="Q129" s="504"/>
      <c r="R129" s="504"/>
      <c r="S129" s="504"/>
      <c r="T129" s="504"/>
      <c r="U129" s="504"/>
      <c r="V129" s="504"/>
      <c r="W129" s="504"/>
      <c r="X129" s="504"/>
      <c r="Y129" s="504"/>
      <c r="Z129" s="504"/>
    </row>
    <row r="130" ht="12.75" customHeight="1">
      <c r="A130" s="486" t="s">
        <v>951</v>
      </c>
      <c r="B130" s="415"/>
      <c r="C130" s="415"/>
      <c r="D130" s="415"/>
      <c r="E130" s="415"/>
      <c r="F130" s="223"/>
      <c r="G130" s="474"/>
      <c r="H130" s="487"/>
      <c r="I130" s="474"/>
      <c r="J130" s="474"/>
      <c r="K130" s="474"/>
      <c r="L130" s="474"/>
      <c r="M130" s="474"/>
      <c r="N130" s="474"/>
      <c r="O130" s="474"/>
      <c r="P130" s="474"/>
      <c r="Q130" s="474"/>
      <c r="R130" s="474"/>
      <c r="S130" s="474"/>
      <c r="T130" s="474"/>
      <c r="U130" s="474"/>
      <c r="V130" s="474"/>
      <c r="W130" s="474"/>
      <c r="X130" s="474"/>
      <c r="Y130" s="474"/>
      <c r="Z130" s="474"/>
    </row>
    <row r="131" ht="12.0" customHeight="1">
      <c r="A131" s="488" t="s">
        <v>952</v>
      </c>
      <c r="B131" s="489" t="s">
        <v>801</v>
      </c>
      <c r="C131" s="490"/>
      <c r="D131" s="490"/>
      <c r="E131" s="491"/>
      <c r="F131" s="492"/>
      <c r="G131" s="504"/>
      <c r="H131" s="504"/>
      <c r="I131" s="504"/>
      <c r="J131" s="504"/>
      <c r="K131" s="504"/>
      <c r="L131" s="504"/>
      <c r="M131" s="504"/>
      <c r="N131" s="504"/>
      <c r="O131" s="504"/>
      <c r="P131" s="504"/>
      <c r="Q131" s="504"/>
      <c r="R131" s="504"/>
      <c r="S131" s="504"/>
      <c r="T131" s="504"/>
      <c r="U131" s="504"/>
      <c r="V131" s="504"/>
      <c r="W131" s="504"/>
      <c r="X131" s="504"/>
      <c r="Y131" s="504"/>
      <c r="Z131" s="504"/>
    </row>
    <row r="132" ht="12.0" customHeight="1">
      <c r="A132" s="488"/>
      <c r="B132" s="493" t="s">
        <v>447</v>
      </c>
      <c r="C132" s="490" t="s">
        <v>34</v>
      </c>
      <c r="D132" s="490"/>
      <c r="E132" s="491"/>
      <c r="F132" s="492"/>
      <c r="G132" s="504"/>
      <c r="H132" s="504"/>
      <c r="I132" s="504"/>
      <c r="J132" s="504"/>
      <c r="K132" s="504"/>
      <c r="L132" s="504"/>
      <c r="M132" s="504"/>
      <c r="N132" s="504"/>
      <c r="O132" s="504"/>
      <c r="P132" s="504"/>
      <c r="Q132" s="504"/>
      <c r="R132" s="504"/>
      <c r="S132" s="504"/>
      <c r="T132" s="504"/>
      <c r="U132" s="504"/>
      <c r="V132" s="504"/>
      <c r="W132" s="504"/>
      <c r="X132" s="504"/>
      <c r="Y132" s="504"/>
      <c r="Z132" s="504"/>
    </row>
    <row r="133" ht="12.0" customHeight="1">
      <c r="A133" s="488"/>
      <c r="B133" s="493" t="s">
        <v>448</v>
      </c>
      <c r="C133" s="490" t="s">
        <v>34</v>
      </c>
      <c r="D133" s="490"/>
      <c r="E133" s="491"/>
      <c r="F133" s="492"/>
      <c r="G133" s="504"/>
      <c r="H133" s="504"/>
      <c r="I133" s="504"/>
      <c r="J133" s="504"/>
      <c r="K133" s="504"/>
      <c r="L133" s="504"/>
      <c r="M133" s="504"/>
      <c r="N133" s="504"/>
      <c r="O133" s="504"/>
      <c r="P133" s="504"/>
      <c r="Q133" s="504"/>
      <c r="R133" s="504"/>
      <c r="S133" s="504"/>
      <c r="T133" s="504"/>
      <c r="U133" s="504"/>
      <c r="V133" s="504"/>
      <c r="W133" s="504"/>
      <c r="X133" s="504"/>
      <c r="Y133" s="504"/>
      <c r="Z133" s="504"/>
    </row>
    <row r="134" ht="12.0" customHeight="1">
      <c r="A134" s="488"/>
      <c r="B134" s="493" t="s">
        <v>449</v>
      </c>
      <c r="C134" s="490" t="s">
        <v>34</v>
      </c>
      <c r="D134" s="490"/>
      <c r="E134" s="491"/>
      <c r="F134" s="492"/>
      <c r="G134" s="504"/>
      <c r="H134" s="504"/>
      <c r="I134" s="504"/>
      <c r="J134" s="504"/>
      <c r="K134" s="504"/>
      <c r="L134" s="504"/>
      <c r="M134" s="504"/>
      <c r="N134" s="504"/>
      <c r="O134" s="504"/>
      <c r="P134" s="504"/>
      <c r="Q134" s="504"/>
      <c r="R134" s="504"/>
      <c r="S134" s="504"/>
      <c r="T134" s="504"/>
      <c r="U134" s="504"/>
      <c r="V134" s="504"/>
      <c r="W134" s="504"/>
      <c r="X134" s="504"/>
      <c r="Y134" s="504"/>
      <c r="Z134" s="504"/>
    </row>
    <row r="135" ht="12.0" customHeight="1">
      <c r="A135" s="488"/>
      <c r="B135" s="493" t="s">
        <v>450</v>
      </c>
      <c r="C135" s="490" t="s">
        <v>34</v>
      </c>
      <c r="D135" s="490"/>
      <c r="E135" s="491"/>
      <c r="F135" s="492"/>
      <c r="G135" s="504"/>
      <c r="H135" s="504"/>
      <c r="I135" s="504"/>
      <c r="J135" s="504"/>
      <c r="K135" s="504"/>
      <c r="L135" s="504"/>
      <c r="M135" s="504"/>
      <c r="N135" s="504"/>
      <c r="O135" s="504"/>
      <c r="P135" s="504"/>
      <c r="Q135" s="504"/>
      <c r="R135" s="504"/>
      <c r="S135" s="504"/>
      <c r="T135" s="504"/>
      <c r="U135" s="504"/>
      <c r="V135" s="504"/>
      <c r="W135" s="504"/>
      <c r="X135" s="504"/>
      <c r="Y135" s="504"/>
      <c r="Z135" s="504"/>
    </row>
    <row r="136" ht="12.0" customHeight="1">
      <c r="A136" s="488"/>
      <c r="B136" s="493" t="s">
        <v>451</v>
      </c>
      <c r="C136" s="490" t="s">
        <v>51</v>
      </c>
      <c r="D136" s="490"/>
      <c r="E136" s="491"/>
      <c r="F136" s="492"/>
      <c r="G136" s="504"/>
      <c r="H136" s="504"/>
      <c r="I136" s="504"/>
      <c r="J136" s="504"/>
      <c r="K136" s="504"/>
      <c r="L136" s="504"/>
      <c r="M136" s="504"/>
      <c r="N136" s="504"/>
      <c r="O136" s="504"/>
      <c r="P136" s="504"/>
      <c r="Q136" s="504"/>
      <c r="R136" s="504"/>
      <c r="S136" s="504"/>
      <c r="T136" s="504"/>
      <c r="U136" s="504"/>
      <c r="V136" s="504"/>
      <c r="W136" s="504"/>
      <c r="X136" s="504"/>
      <c r="Y136" s="504"/>
      <c r="Z136" s="504"/>
    </row>
    <row r="137" ht="12.0" customHeight="1">
      <c r="A137" s="488"/>
      <c r="B137" s="493" t="s">
        <v>452</v>
      </c>
      <c r="C137" s="490" t="s">
        <v>32</v>
      </c>
      <c r="D137" s="490"/>
      <c r="E137" s="491"/>
      <c r="F137" s="492"/>
      <c r="G137" s="504"/>
      <c r="H137" s="504"/>
      <c r="I137" s="504"/>
      <c r="J137" s="504"/>
      <c r="K137" s="504"/>
      <c r="L137" s="504"/>
      <c r="M137" s="504"/>
      <c r="N137" s="504"/>
      <c r="O137" s="504"/>
      <c r="P137" s="504"/>
      <c r="Q137" s="504"/>
      <c r="R137" s="504"/>
      <c r="S137" s="504"/>
      <c r="T137" s="504"/>
      <c r="U137" s="504"/>
      <c r="V137" s="504"/>
      <c r="W137" s="504"/>
      <c r="X137" s="504"/>
      <c r="Y137" s="504"/>
      <c r="Z137" s="504"/>
    </row>
    <row r="138" ht="12.0" customHeight="1">
      <c r="A138" s="488"/>
      <c r="B138" s="493"/>
      <c r="C138" s="490"/>
      <c r="D138" s="490"/>
      <c r="E138" s="491"/>
      <c r="F138" s="492"/>
      <c r="G138" s="504"/>
      <c r="H138" s="504"/>
      <c r="I138" s="504"/>
      <c r="J138" s="504"/>
      <c r="K138" s="504"/>
      <c r="L138" s="504"/>
      <c r="M138" s="504"/>
      <c r="N138" s="504"/>
      <c r="O138" s="504"/>
      <c r="P138" s="504"/>
      <c r="Q138" s="504"/>
      <c r="R138" s="504"/>
      <c r="S138" s="504"/>
      <c r="T138" s="504"/>
      <c r="U138" s="504"/>
      <c r="V138" s="504"/>
      <c r="W138" s="504"/>
      <c r="X138" s="504"/>
      <c r="Y138" s="504"/>
      <c r="Z138" s="504"/>
    </row>
    <row r="139" ht="12.0" customHeight="1">
      <c r="A139" s="488"/>
      <c r="B139" s="493" t="s">
        <v>453</v>
      </c>
      <c r="C139" s="490"/>
      <c r="D139" s="490"/>
      <c r="E139" s="491"/>
      <c r="F139" s="492"/>
      <c r="G139" s="504"/>
      <c r="H139" s="504"/>
      <c r="I139" s="504"/>
      <c r="J139" s="504"/>
      <c r="K139" s="504"/>
      <c r="L139" s="504"/>
      <c r="M139" s="504"/>
      <c r="N139" s="504"/>
      <c r="O139" s="504"/>
      <c r="P139" s="504"/>
      <c r="Q139" s="504"/>
      <c r="R139" s="504"/>
      <c r="S139" s="504"/>
      <c r="T139" s="504"/>
      <c r="U139" s="504"/>
      <c r="V139" s="504"/>
      <c r="W139" s="504"/>
      <c r="X139" s="504"/>
      <c r="Y139" s="504"/>
      <c r="Z139" s="504"/>
    </row>
    <row r="140" ht="12.0" customHeight="1">
      <c r="A140" s="488"/>
      <c r="B140" s="493" t="s">
        <v>454</v>
      </c>
      <c r="C140" s="490" t="s">
        <v>51</v>
      </c>
      <c r="D140" s="490"/>
      <c r="E140" s="491"/>
      <c r="F140" s="492"/>
      <c r="G140" s="504"/>
      <c r="H140" s="504"/>
      <c r="I140" s="504"/>
      <c r="J140" s="504"/>
      <c r="K140" s="504"/>
      <c r="L140" s="504"/>
      <c r="M140" s="504"/>
      <c r="N140" s="504"/>
      <c r="O140" s="504"/>
      <c r="P140" s="504"/>
      <c r="Q140" s="504"/>
      <c r="R140" s="504"/>
      <c r="S140" s="504"/>
      <c r="T140" s="504"/>
      <c r="U140" s="504"/>
      <c r="V140" s="504"/>
      <c r="W140" s="504"/>
      <c r="X140" s="504"/>
      <c r="Y140" s="504"/>
      <c r="Z140" s="504"/>
    </row>
    <row r="141" ht="12.0" customHeight="1">
      <c r="A141" s="488"/>
      <c r="B141" s="493" t="s">
        <v>455</v>
      </c>
      <c r="C141" s="490" t="s">
        <v>34</v>
      </c>
      <c r="D141" s="490"/>
      <c r="E141" s="491"/>
      <c r="F141" s="492"/>
      <c r="G141" s="504"/>
      <c r="H141" s="504"/>
      <c r="I141" s="504"/>
      <c r="J141" s="504"/>
      <c r="K141" s="504"/>
      <c r="L141" s="504"/>
      <c r="M141" s="504"/>
      <c r="N141" s="504"/>
      <c r="O141" s="504"/>
      <c r="P141" s="504"/>
      <c r="Q141" s="504"/>
      <c r="R141" s="504"/>
      <c r="S141" s="504"/>
      <c r="T141" s="504"/>
      <c r="U141" s="504"/>
      <c r="V141" s="504"/>
      <c r="W141" s="504"/>
      <c r="X141" s="504"/>
      <c r="Y141" s="504"/>
      <c r="Z141" s="504"/>
    </row>
    <row r="142" ht="12.0" customHeight="1">
      <c r="A142" s="488"/>
      <c r="B142" s="493" t="s">
        <v>456</v>
      </c>
      <c r="C142" s="490" t="s">
        <v>34</v>
      </c>
      <c r="D142" s="490"/>
      <c r="E142" s="491"/>
      <c r="F142" s="492"/>
      <c r="G142" s="504"/>
      <c r="H142" s="504"/>
      <c r="I142" s="504"/>
      <c r="J142" s="504"/>
      <c r="K142" s="504"/>
      <c r="L142" s="504"/>
      <c r="M142" s="504"/>
      <c r="N142" s="504"/>
      <c r="O142" s="504"/>
      <c r="P142" s="504"/>
      <c r="Q142" s="504"/>
      <c r="R142" s="504"/>
      <c r="S142" s="504"/>
      <c r="T142" s="504"/>
      <c r="U142" s="504"/>
      <c r="V142" s="504"/>
      <c r="W142" s="504"/>
      <c r="X142" s="504"/>
      <c r="Y142" s="504"/>
      <c r="Z142" s="504"/>
    </row>
    <row r="143" ht="12.0" customHeight="1">
      <c r="A143" s="488"/>
      <c r="B143" s="493" t="s">
        <v>445</v>
      </c>
      <c r="C143" s="490" t="s">
        <v>32</v>
      </c>
      <c r="D143" s="490"/>
      <c r="E143" s="491"/>
      <c r="F143" s="492"/>
      <c r="G143" s="504"/>
      <c r="H143" s="504"/>
      <c r="I143" s="504"/>
      <c r="J143" s="504"/>
      <c r="K143" s="504"/>
      <c r="L143" s="504"/>
      <c r="M143" s="504"/>
      <c r="N143" s="504"/>
      <c r="O143" s="504"/>
      <c r="P143" s="504"/>
      <c r="Q143" s="504"/>
      <c r="R143" s="504"/>
      <c r="S143" s="504"/>
      <c r="T143" s="504"/>
      <c r="U143" s="504"/>
      <c r="V143" s="504"/>
      <c r="W143" s="504"/>
      <c r="X143" s="504"/>
      <c r="Y143" s="504"/>
      <c r="Z143" s="504"/>
    </row>
    <row r="144" ht="12.0" customHeight="1">
      <c r="A144" s="494"/>
      <c r="B144" s="495" t="str">
        <f>"Sous total : " &amp; A131&amp;" - "&amp;B131</f>
        <v>Sous total : 3.1 - précâblage VDI</v>
      </c>
      <c r="C144" s="496"/>
      <c r="D144" s="496"/>
      <c r="E144" s="497"/>
      <c r="F144" s="498"/>
      <c r="G144" s="504"/>
      <c r="H144" s="504"/>
      <c r="I144" s="504"/>
      <c r="J144" s="504"/>
      <c r="K144" s="504"/>
      <c r="L144" s="504"/>
      <c r="M144" s="504"/>
      <c r="N144" s="504"/>
      <c r="O144" s="504"/>
      <c r="P144" s="504"/>
      <c r="Q144" s="504"/>
      <c r="R144" s="504"/>
      <c r="S144" s="504"/>
      <c r="T144" s="504"/>
      <c r="U144" s="504"/>
      <c r="V144" s="504"/>
      <c r="W144" s="504"/>
      <c r="X144" s="504"/>
      <c r="Y144" s="504"/>
      <c r="Z144" s="504"/>
    </row>
    <row r="145" ht="12.0" customHeight="1">
      <c r="A145" s="499" t="s">
        <v>953</v>
      </c>
      <c r="B145" s="500" t="s">
        <v>458</v>
      </c>
      <c r="C145" s="501"/>
      <c r="D145" s="501"/>
      <c r="E145" s="502"/>
      <c r="F145" s="503"/>
      <c r="G145" s="504"/>
      <c r="H145" s="504"/>
      <c r="I145" s="504"/>
      <c r="J145" s="504"/>
      <c r="K145" s="504"/>
      <c r="L145" s="504"/>
      <c r="M145" s="504"/>
      <c r="N145" s="504"/>
      <c r="O145" s="504"/>
      <c r="P145" s="504"/>
      <c r="Q145" s="504"/>
      <c r="R145" s="504"/>
      <c r="S145" s="504"/>
      <c r="T145" s="504"/>
      <c r="U145" s="504"/>
      <c r="V145" s="504"/>
      <c r="W145" s="504"/>
      <c r="X145" s="504"/>
      <c r="Y145" s="504"/>
      <c r="Z145" s="504"/>
    </row>
    <row r="146" ht="12.0" customHeight="1">
      <c r="A146" s="488"/>
      <c r="B146" s="493" t="s">
        <v>954</v>
      </c>
      <c r="C146" s="490" t="s">
        <v>34</v>
      </c>
      <c r="D146" s="490"/>
      <c r="E146" s="491"/>
      <c r="F146" s="492"/>
      <c r="G146" s="504"/>
      <c r="H146" s="504"/>
      <c r="I146" s="504"/>
      <c r="J146" s="504"/>
      <c r="K146" s="504"/>
      <c r="L146" s="504"/>
      <c r="M146" s="504"/>
      <c r="N146" s="504"/>
      <c r="O146" s="504"/>
      <c r="P146" s="504"/>
      <c r="Q146" s="504"/>
      <c r="R146" s="504"/>
      <c r="S146" s="504"/>
      <c r="T146" s="504"/>
      <c r="U146" s="504"/>
      <c r="V146" s="504"/>
      <c r="W146" s="504"/>
      <c r="X146" s="504"/>
      <c r="Y146" s="504"/>
      <c r="Z146" s="504"/>
    </row>
    <row r="147" ht="12.0" customHeight="1">
      <c r="A147" s="488"/>
      <c r="B147" s="493" t="s">
        <v>450</v>
      </c>
      <c r="C147" s="490" t="s">
        <v>34</v>
      </c>
      <c r="D147" s="490"/>
      <c r="E147" s="491"/>
      <c r="F147" s="492"/>
      <c r="G147" s="504"/>
      <c r="H147" s="504"/>
      <c r="I147" s="504"/>
      <c r="J147" s="504"/>
      <c r="K147" s="504"/>
      <c r="L147" s="504"/>
      <c r="M147" s="504"/>
      <c r="N147" s="504"/>
      <c r="O147" s="504"/>
      <c r="P147" s="504"/>
      <c r="Q147" s="504"/>
      <c r="R147" s="504"/>
      <c r="S147" s="504"/>
      <c r="T147" s="504"/>
      <c r="U147" s="504"/>
      <c r="V147" s="504"/>
      <c r="W147" s="504"/>
      <c r="X147" s="504"/>
      <c r="Y147" s="504"/>
      <c r="Z147" s="504"/>
    </row>
    <row r="148" ht="12.0" customHeight="1">
      <c r="A148" s="488"/>
      <c r="B148" s="493" t="s">
        <v>466</v>
      </c>
      <c r="C148" s="490" t="s">
        <v>32</v>
      </c>
      <c r="D148" s="490"/>
      <c r="E148" s="491"/>
      <c r="F148" s="492"/>
      <c r="G148" s="504"/>
      <c r="H148" s="504"/>
      <c r="I148" s="504"/>
      <c r="J148" s="504"/>
      <c r="K148" s="504"/>
      <c r="L148" s="504"/>
      <c r="M148" s="504"/>
      <c r="N148" s="504"/>
      <c r="O148" s="504"/>
      <c r="P148" s="504"/>
      <c r="Q148" s="504"/>
      <c r="R148" s="504"/>
      <c r="S148" s="504"/>
      <c r="T148" s="504"/>
      <c r="U148" s="504"/>
      <c r="V148" s="504"/>
      <c r="W148" s="504"/>
      <c r="X148" s="504"/>
      <c r="Y148" s="504"/>
      <c r="Z148" s="504"/>
    </row>
    <row r="149" ht="12.0" customHeight="1">
      <c r="A149" s="494"/>
      <c r="B149" s="495" t="str">
        <f>"Sous total : " &amp; A145&amp;" - "&amp;B145</f>
        <v>Sous total : 3.2 - Système wifi</v>
      </c>
      <c r="C149" s="496"/>
      <c r="D149" s="496"/>
      <c r="E149" s="497"/>
      <c r="F149" s="498"/>
      <c r="G149" s="504"/>
      <c r="H149" s="504"/>
      <c r="I149" s="504"/>
      <c r="J149" s="504"/>
      <c r="K149" s="504"/>
      <c r="L149" s="504"/>
      <c r="M149" s="504"/>
      <c r="N149" s="504"/>
      <c r="O149" s="504"/>
      <c r="P149" s="504"/>
      <c r="Q149" s="504"/>
      <c r="R149" s="504"/>
      <c r="S149" s="504"/>
      <c r="T149" s="504"/>
      <c r="U149" s="504"/>
      <c r="V149" s="504"/>
      <c r="W149" s="504"/>
      <c r="X149" s="504"/>
      <c r="Y149" s="504"/>
      <c r="Z149" s="504"/>
    </row>
    <row r="150" ht="12.0" customHeight="1">
      <c r="A150" s="499" t="s">
        <v>955</v>
      </c>
      <c r="B150" s="500" t="s">
        <v>468</v>
      </c>
      <c r="C150" s="501"/>
      <c r="D150" s="501"/>
      <c r="E150" s="502"/>
      <c r="F150" s="503"/>
      <c r="G150" s="504"/>
      <c r="H150" s="504"/>
      <c r="I150" s="504"/>
      <c r="J150" s="504"/>
      <c r="K150" s="504"/>
      <c r="L150" s="504"/>
      <c r="M150" s="504"/>
      <c r="N150" s="504"/>
      <c r="O150" s="504"/>
      <c r="P150" s="504"/>
      <c r="Q150" s="504"/>
      <c r="R150" s="504"/>
      <c r="S150" s="504"/>
      <c r="T150" s="504"/>
      <c r="U150" s="504"/>
      <c r="V150" s="504"/>
      <c r="W150" s="504"/>
      <c r="X150" s="504"/>
      <c r="Y150" s="504"/>
      <c r="Z150" s="504"/>
    </row>
    <row r="151" ht="12.0" customHeight="1">
      <c r="A151" s="488"/>
      <c r="B151" s="493" t="s">
        <v>956</v>
      </c>
      <c r="C151" s="490" t="s">
        <v>34</v>
      </c>
      <c r="D151" s="490"/>
      <c r="E151" s="491"/>
      <c r="F151" s="492"/>
      <c r="G151" s="504"/>
      <c r="H151" s="504"/>
      <c r="I151" s="504"/>
      <c r="J151" s="504"/>
      <c r="K151" s="504"/>
      <c r="L151" s="504"/>
      <c r="M151" s="504"/>
      <c r="N151" s="504"/>
      <c r="O151" s="504"/>
      <c r="P151" s="504"/>
      <c r="Q151" s="504"/>
      <c r="R151" s="504"/>
      <c r="S151" s="504"/>
      <c r="T151" s="504"/>
      <c r="U151" s="504"/>
      <c r="V151" s="504"/>
      <c r="W151" s="504"/>
      <c r="X151" s="504"/>
      <c r="Y151" s="504"/>
      <c r="Z151" s="504"/>
    </row>
    <row r="152" ht="12.0" customHeight="1">
      <c r="A152" s="488"/>
      <c r="B152" s="493" t="s">
        <v>957</v>
      </c>
      <c r="C152" s="490" t="s">
        <v>34</v>
      </c>
      <c r="D152" s="490"/>
      <c r="E152" s="491"/>
      <c r="F152" s="492"/>
      <c r="G152" s="504"/>
      <c r="H152" s="504"/>
      <c r="I152" s="504"/>
      <c r="J152" s="504"/>
      <c r="K152" s="504"/>
      <c r="L152" s="504"/>
      <c r="M152" s="504"/>
      <c r="N152" s="504"/>
      <c r="O152" s="504"/>
      <c r="P152" s="504"/>
      <c r="Q152" s="504"/>
      <c r="R152" s="504"/>
      <c r="S152" s="504"/>
      <c r="T152" s="504"/>
      <c r="U152" s="504"/>
      <c r="V152" s="504"/>
      <c r="W152" s="504"/>
      <c r="X152" s="504"/>
      <c r="Y152" s="504"/>
      <c r="Z152" s="504"/>
    </row>
    <row r="153" ht="12.0" customHeight="1">
      <c r="A153" s="488"/>
      <c r="B153" s="493" t="s">
        <v>958</v>
      </c>
      <c r="C153" s="490" t="s">
        <v>34</v>
      </c>
      <c r="D153" s="490"/>
      <c r="E153" s="491"/>
      <c r="F153" s="492"/>
      <c r="G153" s="504"/>
      <c r="H153" s="504"/>
      <c r="I153" s="504"/>
      <c r="J153" s="504"/>
      <c r="K153" s="504"/>
      <c r="L153" s="504"/>
      <c r="M153" s="504"/>
      <c r="N153" s="504"/>
      <c r="O153" s="504"/>
      <c r="P153" s="504"/>
      <c r="Q153" s="504"/>
      <c r="R153" s="504"/>
      <c r="S153" s="504"/>
      <c r="T153" s="504"/>
      <c r="U153" s="504"/>
      <c r="V153" s="504"/>
      <c r="W153" s="504"/>
      <c r="X153" s="504"/>
      <c r="Y153" s="504"/>
      <c r="Z153" s="504"/>
    </row>
    <row r="154" ht="12.0" customHeight="1">
      <c r="A154" s="488"/>
      <c r="B154" s="493" t="s">
        <v>959</v>
      </c>
      <c r="C154" s="490" t="s">
        <v>34</v>
      </c>
      <c r="D154" s="490"/>
      <c r="E154" s="491"/>
      <c r="F154" s="492"/>
      <c r="G154" s="504"/>
      <c r="H154" s="504"/>
      <c r="I154" s="504"/>
      <c r="J154" s="504"/>
      <c r="K154" s="504"/>
      <c r="L154" s="504"/>
      <c r="M154" s="504"/>
      <c r="N154" s="504"/>
      <c r="O154" s="504"/>
      <c r="P154" s="504"/>
      <c r="Q154" s="504"/>
      <c r="R154" s="504"/>
      <c r="S154" s="504"/>
      <c r="T154" s="504"/>
      <c r="U154" s="504"/>
      <c r="V154" s="504"/>
      <c r="W154" s="504"/>
      <c r="X154" s="504"/>
      <c r="Y154" s="504"/>
      <c r="Z154" s="504"/>
    </row>
    <row r="155" ht="12.0" customHeight="1">
      <c r="A155" s="488"/>
      <c r="B155" s="493" t="s">
        <v>534</v>
      </c>
      <c r="C155" s="490" t="s">
        <v>32</v>
      </c>
      <c r="D155" s="490"/>
      <c r="E155" s="491"/>
      <c r="F155" s="492"/>
      <c r="G155" s="504"/>
      <c r="H155" s="504"/>
      <c r="I155" s="504"/>
      <c r="J155" s="504"/>
      <c r="K155" s="504"/>
      <c r="L155" s="504"/>
      <c r="M155" s="504"/>
      <c r="N155" s="504"/>
      <c r="O155" s="504"/>
      <c r="P155" s="504"/>
      <c r="Q155" s="504"/>
      <c r="R155" s="504"/>
      <c r="S155" s="504"/>
      <c r="T155" s="504"/>
      <c r="U155" s="504"/>
      <c r="V155" s="504"/>
      <c r="W155" s="504"/>
      <c r="X155" s="504"/>
      <c r="Y155" s="504"/>
      <c r="Z155" s="504"/>
    </row>
    <row r="156" ht="12.0" customHeight="1">
      <c r="A156" s="494"/>
      <c r="B156" s="495" t="str">
        <f>"Sous total : " &amp; A150&amp;" - "&amp;B150</f>
        <v>Sous total : 3.3 - Téléphonie</v>
      </c>
      <c r="C156" s="496"/>
      <c r="D156" s="496"/>
      <c r="E156" s="497"/>
      <c r="F156" s="498"/>
      <c r="G156" s="504"/>
      <c r="H156" s="504"/>
      <c r="I156" s="504"/>
      <c r="J156" s="504"/>
      <c r="K156" s="504"/>
      <c r="L156" s="504"/>
      <c r="M156" s="504"/>
      <c r="N156" s="504"/>
      <c r="O156" s="504"/>
      <c r="P156" s="504"/>
      <c r="Q156" s="504"/>
      <c r="R156" s="504"/>
      <c r="S156" s="504"/>
      <c r="T156" s="504"/>
      <c r="U156" s="504"/>
      <c r="V156" s="504"/>
      <c r="W156" s="504"/>
      <c r="X156" s="504"/>
      <c r="Y156" s="504"/>
      <c r="Z156" s="504"/>
    </row>
    <row r="157" ht="12.0" customHeight="1">
      <c r="A157" s="499" t="s">
        <v>960</v>
      </c>
      <c r="B157" s="500" t="s">
        <v>486</v>
      </c>
      <c r="C157" s="501"/>
      <c r="D157" s="501"/>
      <c r="E157" s="502"/>
      <c r="F157" s="503"/>
      <c r="G157" s="504"/>
      <c r="H157" s="504"/>
      <c r="I157" s="504"/>
      <c r="J157" s="504"/>
      <c r="K157" s="504"/>
      <c r="L157" s="504"/>
      <c r="M157" s="504"/>
      <c r="N157" s="504"/>
      <c r="O157" s="504"/>
      <c r="P157" s="504"/>
      <c r="Q157" s="504"/>
      <c r="R157" s="504"/>
      <c r="S157" s="504"/>
      <c r="T157" s="504"/>
      <c r="U157" s="504"/>
      <c r="V157" s="504"/>
      <c r="W157" s="504"/>
      <c r="X157" s="504"/>
      <c r="Y157" s="504"/>
      <c r="Z157" s="504"/>
    </row>
    <row r="158" ht="12.0" customHeight="1">
      <c r="A158" s="488"/>
      <c r="B158" s="512" t="s">
        <v>508</v>
      </c>
      <c r="C158" s="508" t="s">
        <v>34</v>
      </c>
      <c r="D158" s="490"/>
      <c r="E158" s="491"/>
      <c r="F158" s="492"/>
      <c r="G158" s="504"/>
      <c r="H158" s="504"/>
      <c r="I158" s="504"/>
      <c r="J158" s="504"/>
      <c r="K158" s="504"/>
      <c r="L158" s="504"/>
      <c r="M158" s="504"/>
      <c r="N158" s="504"/>
      <c r="O158" s="504"/>
      <c r="P158" s="504"/>
      <c r="Q158" s="504"/>
      <c r="R158" s="504"/>
      <c r="S158" s="504"/>
      <c r="T158" s="504"/>
      <c r="U158" s="504"/>
      <c r="V158" s="504"/>
      <c r="W158" s="504"/>
      <c r="X158" s="504"/>
      <c r="Y158" s="504"/>
      <c r="Z158" s="504"/>
    </row>
    <row r="159" ht="12.0" customHeight="1">
      <c r="A159" s="488"/>
      <c r="B159" s="512" t="s">
        <v>509</v>
      </c>
      <c r="C159" s="508" t="s">
        <v>34</v>
      </c>
      <c r="D159" s="490"/>
      <c r="E159" s="491"/>
      <c r="F159" s="492"/>
      <c r="G159" s="504"/>
      <c r="H159" s="504"/>
      <c r="I159" s="504"/>
      <c r="J159" s="504"/>
      <c r="K159" s="504"/>
      <c r="L159" s="504"/>
      <c r="M159" s="504"/>
      <c r="N159" s="504"/>
      <c r="O159" s="504"/>
      <c r="P159" s="504"/>
      <c r="Q159" s="504"/>
      <c r="R159" s="504"/>
      <c r="S159" s="504"/>
      <c r="T159" s="504"/>
      <c r="U159" s="504"/>
      <c r="V159" s="504"/>
      <c r="W159" s="504"/>
      <c r="X159" s="504"/>
      <c r="Y159" s="504"/>
      <c r="Z159" s="504"/>
    </row>
    <row r="160" ht="12.0" customHeight="1">
      <c r="A160" s="488"/>
      <c r="B160" s="507" t="s">
        <v>510</v>
      </c>
      <c r="C160" s="508" t="s">
        <v>34</v>
      </c>
      <c r="D160" s="490"/>
      <c r="E160" s="491"/>
      <c r="F160" s="492"/>
      <c r="G160" s="504"/>
      <c r="H160" s="504"/>
      <c r="I160" s="504"/>
      <c r="J160" s="504"/>
      <c r="K160" s="504"/>
      <c r="L160" s="504"/>
      <c r="M160" s="504"/>
      <c r="N160" s="504"/>
      <c r="O160" s="504"/>
      <c r="P160" s="504"/>
      <c r="Q160" s="504"/>
      <c r="R160" s="504"/>
      <c r="S160" s="504"/>
      <c r="T160" s="504"/>
      <c r="U160" s="504"/>
      <c r="V160" s="504"/>
      <c r="W160" s="504"/>
      <c r="X160" s="504"/>
      <c r="Y160" s="504"/>
      <c r="Z160" s="504"/>
    </row>
    <row r="161" ht="12.0" customHeight="1">
      <c r="A161" s="488"/>
      <c r="B161" s="507" t="s">
        <v>511</v>
      </c>
      <c r="C161" s="508" t="s">
        <v>34</v>
      </c>
      <c r="D161" s="490"/>
      <c r="E161" s="491"/>
      <c r="F161" s="492"/>
      <c r="G161" s="504"/>
      <c r="H161" s="504"/>
      <c r="I161" s="504"/>
      <c r="J161" s="504"/>
      <c r="K161" s="504"/>
      <c r="L161" s="504"/>
      <c r="M161" s="504"/>
      <c r="N161" s="504"/>
      <c r="O161" s="504"/>
      <c r="P161" s="504"/>
      <c r="Q161" s="504"/>
      <c r="R161" s="504"/>
      <c r="S161" s="504"/>
      <c r="T161" s="504"/>
      <c r="U161" s="504"/>
      <c r="V161" s="504"/>
      <c r="W161" s="504"/>
      <c r="X161" s="504"/>
      <c r="Y161" s="504"/>
      <c r="Z161" s="504"/>
    </row>
    <row r="162" ht="12.0" customHeight="1">
      <c r="A162" s="488"/>
      <c r="B162" s="507" t="s">
        <v>512</v>
      </c>
      <c r="C162" s="508" t="s">
        <v>34</v>
      </c>
      <c r="D162" s="490"/>
      <c r="E162" s="491"/>
      <c r="F162" s="492"/>
      <c r="G162" s="504"/>
      <c r="H162" s="504"/>
      <c r="I162" s="504"/>
      <c r="J162" s="504"/>
      <c r="K162" s="504"/>
      <c r="L162" s="504"/>
      <c r="M162" s="504"/>
      <c r="N162" s="504"/>
      <c r="O162" s="504"/>
      <c r="P162" s="504"/>
      <c r="Q162" s="504"/>
      <c r="R162" s="504"/>
      <c r="S162" s="504"/>
      <c r="T162" s="504"/>
      <c r="U162" s="504"/>
      <c r="V162" s="504"/>
      <c r="W162" s="504"/>
      <c r="X162" s="504"/>
      <c r="Y162" s="504"/>
      <c r="Z162" s="504"/>
    </row>
    <row r="163" ht="12.0" customHeight="1">
      <c r="A163" s="488"/>
      <c r="B163" s="507" t="s">
        <v>513</v>
      </c>
      <c r="C163" s="508" t="s">
        <v>34</v>
      </c>
      <c r="D163" s="490"/>
      <c r="E163" s="491"/>
      <c r="F163" s="492"/>
      <c r="G163" s="504"/>
      <c r="H163" s="504"/>
      <c r="I163" s="504"/>
      <c r="J163" s="504"/>
      <c r="K163" s="504"/>
      <c r="L163" s="504"/>
      <c r="M163" s="504"/>
      <c r="N163" s="504"/>
      <c r="O163" s="504"/>
      <c r="P163" s="504"/>
      <c r="Q163" s="504"/>
      <c r="R163" s="504"/>
      <c r="S163" s="504"/>
      <c r="T163" s="504"/>
      <c r="U163" s="504"/>
      <c r="V163" s="504"/>
      <c r="W163" s="504"/>
      <c r="X163" s="504"/>
      <c r="Y163" s="504"/>
      <c r="Z163" s="504"/>
    </row>
    <row r="164" ht="12.0" customHeight="1">
      <c r="A164" s="488"/>
      <c r="B164" s="507" t="s">
        <v>514</v>
      </c>
      <c r="C164" s="508" t="s">
        <v>32</v>
      </c>
      <c r="D164" s="490"/>
      <c r="E164" s="491"/>
      <c r="F164" s="492"/>
      <c r="G164" s="504"/>
      <c r="H164" s="504"/>
      <c r="I164" s="504"/>
      <c r="J164" s="504"/>
      <c r="K164" s="504"/>
      <c r="L164" s="504"/>
      <c r="M164" s="504"/>
      <c r="N164" s="504"/>
      <c r="O164" s="504"/>
      <c r="P164" s="504"/>
      <c r="Q164" s="504"/>
      <c r="R164" s="504"/>
      <c r="S164" s="504"/>
      <c r="T164" s="504"/>
      <c r="U164" s="504"/>
      <c r="V164" s="504"/>
      <c r="W164" s="504"/>
      <c r="X164" s="504"/>
      <c r="Y164" s="504"/>
      <c r="Z164" s="504"/>
    </row>
    <row r="165" ht="12.0" customHeight="1">
      <c r="A165" s="488"/>
      <c r="B165" s="507" t="s">
        <v>515</v>
      </c>
      <c r="C165" s="508"/>
      <c r="D165" s="490"/>
      <c r="E165" s="491"/>
      <c r="F165" s="492"/>
      <c r="G165" s="504"/>
      <c r="H165" s="504"/>
      <c r="I165" s="504"/>
      <c r="J165" s="504"/>
      <c r="K165" s="504"/>
      <c r="L165" s="504"/>
      <c r="M165" s="504"/>
      <c r="N165" s="504"/>
      <c r="O165" s="504"/>
      <c r="P165" s="504"/>
      <c r="Q165" s="504"/>
      <c r="R165" s="504"/>
      <c r="S165" s="504"/>
      <c r="T165" s="504"/>
      <c r="U165" s="504"/>
      <c r="V165" s="504"/>
      <c r="W165" s="504"/>
      <c r="X165" s="504"/>
      <c r="Y165" s="504"/>
      <c r="Z165" s="504"/>
    </row>
    <row r="166" ht="12.0" customHeight="1">
      <c r="A166" s="488"/>
      <c r="B166" s="507" t="s">
        <v>516</v>
      </c>
      <c r="C166" s="508" t="s">
        <v>34</v>
      </c>
      <c r="D166" s="490"/>
      <c r="E166" s="491"/>
      <c r="F166" s="492"/>
      <c r="G166" s="504"/>
      <c r="H166" s="504"/>
      <c r="I166" s="504"/>
      <c r="J166" s="504"/>
      <c r="K166" s="504"/>
      <c r="L166" s="504"/>
      <c r="M166" s="504"/>
      <c r="N166" s="504"/>
      <c r="O166" s="504"/>
      <c r="P166" s="504"/>
      <c r="Q166" s="504"/>
      <c r="R166" s="504"/>
      <c r="S166" s="504"/>
      <c r="T166" s="504"/>
      <c r="U166" s="504"/>
      <c r="V166" s="504"/>
      <c r="W166" s="504"/>
      <c r="X166" s="504"/>
      <c r="Y166" s="504"/>
      <c r="Z166" s="504"/>
    </row>
    <row r="167" ht="12.0" customHeight="1">
      <c r="A167" s="488"/>
      <c r="B167" s="507" t="s">
        <v>517</v>
      </c>
      <c r="C167" s="508" t="s">
        <v>32</v>
      </c>
      <c r="D167" s="490"/>
      <c r="E167" s="491"/>
      <c r="F167" s="492"/>
      <c r="G167" s="504"/>
      <c r="H167" s="504"/>
      <c r="I167" s="504"/>
      <c r="J167" s="504"/>
      <c r="K167" s="504"/>
      <c r="L167" s="504"/>
      <c r="M167" s="504"/>
      <c r="N167" s="504"/>
      <c r="O167" s="504"/>
      <c r="P167" s="504"/>
      <c r="Q167" s="504"/>
      <c r="R167" s="504"/>
      <c r="S167" s="504"/>
      <c r="T167" s="504"/>
      <c r="U167" s="504"/>
      <c r="V167" s="504"/>
      <c r="W167" s="504"/>
      <c r="X167" s="504"/>
      <c r="Y167" s="504"/>
      <c r="Z167" s="504"/>
    </row>
    <row r="168" ht="12.0" customHeight="1">
      <c r="A168" s="494"/>
      <c r="B168" s="495" t="str">
        <f>"Sous total : " &amp; A157&amp;" - "&amp;B157</f>
        <v>Sous total : 3.4 - Système de sécurité incendie</v>
      </c>
      <c r="C168" s="496"/>
      <c r="D168" s="496"/>
      <c r="E168" s="497"/>
      <c r="F168" s="498"/>
      <c r="G168" s="504"/>
      <c r="H168" s="504"/>
      <c r="I168" s="504"/>
      <c r="J168" s="504"/>
      <c r="K168" s="504"/>
      <c r="L168" s="504"/>
      <c r="M168" s="504"/>
      <c r="N168" s="504"/>
      <c r="O168" s="504"/>
      <c r="P168" s="504"/>
      <c r="Q168" s="504"/>
      <c r="R168" s="504"/>
      <c r="S168" s="504"/>
      <c r="T168" s="504"/>
      <c r="U168" s="504"/>
      <c r="V168" s="504"/>
      <c r="W168" s="504"/>
      <c r="X168" s="504"/>
      <c r="Y168" s="504"/>
      <c r="Z168" s="504"/>
    </row>
    <row r="169" ht="12.0" customHeight="1">
      <c r="A169" s="499" t="s">
        <v>961</v>
      </c>
      <c r="B169" s="500" t="s">
        <v>825</v>
      </c>
      <c r="C169" s="501"/>
      <c r="D169" s="501"/>
      <c r="E169" s="502"/>
      <c r="F169" s="503"/>
      <c r="G169" s="504"/>
      <c r="H169" s="504"/>
      <c r="I169" s="504"/>
      <c r="J169" s="504"/>
      <c r="K169" s="504"/>
      <c r="L169" s="504"/>
      <c r="M169" s="504"/>
      <c r="N169" s="504"/>
      <c r="O169" s="504"/>
      <c r="P169" s="504"/>
      <c r="Q169" s="504"/>
      <c r="R169" s="504"/>
      <c r="S169" s="504"/>
      <c r="T169" s="504"/>
      <c r="U169" s="504"/>
      <c r="V169" s="504"/>
      <c r="W169" s="504"/>
      <c r="X169" s="504"/>
      <c r="Y169" s="504"/>
      <c r="Z169" s="504"/>
    </row>
    <row r="170" ht="12.0" customHeight="1">
      <c r="A170" s="488"/>
      <c r="B170" s="507" t="s">
        <v>539</v>
      </c>
      <c r="C170" s="508"/>
      <c r="D170" s="490"/>
      <c r="E170" s="491"/>
      <c r="F170" s="492"/>
      <c r="G170" s="504"/>
      <c r="H170" s="504"/>
      <c r="I170" s="504"/>
      <c r="J170" s="504"/>
      <c r="K170" s="504"/>
      <c r="L170" s="504"/>
      <c r="M170" s="504"/>
      <c r="N170" s="504"/>
      <c r="O170" s="504"/>
      <c r="P170" s="504"/>
      <c r="Q170" s="504"/>
      <c r="R170" s="504"/>
      <c r="S170" s="504"/>
      <c r="T170" s="504"/>
      <c r="U170" s="504"/>
      <c r="V170" s="504"/>
      <c r="W170" s="504"/>
      <c r="X170" s="504"/>
      <c r="Y170" s="504"/>
      <c r="Z170" s="504"/>
    </row>
    <row r="171" ht="12.0" customHeight="1">
      <c r="A171" s="488"/>
      <c r="B171" s="507" t="s">
        <v>544</v>
      </c>
      <c r="C171" s="508"/>
      <c r="D171" s="490"/>
      <c r="E171" s="491"/>
      <c r="F171" s="492"/>
      <c r="G171" s="504"/>
      <c r="H171" s="504"/>
      <c r="I171" s="504"/>
      <c r="J171" s="504"/>
      <c r="K171" s="504"/>
      <c r="L171" s="504"/>
      <c r="M171" s="504"/>
      <c r="N171" s="504"/>
      <c r="O171" s="504"/>
      <c r="P171" s="504"/>
      <c r="Q171" s="504"/>
      <c r="R171" s="504"/>
      <c r="S171" s="504"/>
      <c r="T171" s="504"/>
      <c r="U171" s="504"/>
      <c r="V171" s="504"/>
      <c r="W171" s="504"/>
      <c r="X171" s="504"/>
      <c r="Y171" s="504"/>
      <c r="Z171" s="504"/>
    </row>
    <row r="172" ht="12.0" customHeight="1">
      <c r="A172" s="488"/>
      <c r="B172" s="507" t="s">
        <v>545</v>
      </c>
      <c r="C172" s="508"/>
      <c r="D172" s="490"/>
      <c r="E172" s="491"/>
      <c r="F172" s="492"/>
      <c r="G172" s="504"/>
      <c r="H172" s="504"/>
      <c r="I172" s="504"/>
      <c r="J172" s="504"/>
      <c r="K172" s="504"/>
      <c r="L172" s="504"/>
      <c r="M172" s="504"/>
      <c r="N172" s="504"/>
      <c r="O172" s="504"/>
      <c r="P172" s="504"/>
      <c r="Q172" s="504"/>
      <c r="R172" s="504"/>
      <c r="S172" s="504"/>
      <c r="T172" s="504"/>
      <c r="U172" s="504"/>
      <c r="V172" s="504"/>
      <c r="W172" s="504"/>
      <c r="X172" s="504"/>
      <c r="Y172" s="504"/>
      <c r="Z172" s="504"/>
    </row>
    <row r="173" ht="12.0" customHeight="1">
      <c r="A173" s="488"/>
      <c r="B173" s="507" t="s">
        <v>534</v>
      </c>
      <c r="C173" s="508"/>
      <c r="D173" s="490"/>
      <c r="E173" s="491"/>
      <c r="F173" s="492"/>
      <c r="G173" s="504"/>
      <c r="H173" s="504"/>
      <c r="I173" s="504"/>
      <c r="J173" s="504"/>
      <c r="K173" s="504"/>
      <c r="L173" s="504"/>
      <c r="M173" s="504"/>
      <c r="N173" s="504"/>
      <c r="O173" s="504"/>
      <c r="P173" s="504"/>
      <c r="Q173" s="504"/>
      <c r="R173" s="504"/>
      <c r="S173" s="504"/>
      <c r="T173" s="504"/>
      <c r="U173" s="504"/>
      <c r="V173" s="504"/>
      <c r="W173" s="504"/>
      <c r="X173" s="504"/>
      <c r="Y173" s="504"/>
      <c r="Z173" s="504"/>
    </row>
    <row r="174" ht="12.0" customHeight="1">
      <c r="A174" s="494"/>
      <c r="B174" s="495" t="str">
        <f>"Sous total : " &amp; A169&amp;" - "&amp;B169</f>
        <v>Sous total : 3.5 - Distribution de l'heure</v>
      </c>
      <c r="C174" s="496"/>
      <c r="D174" s="496"/>
      <c r="E174" s="497"/>
      <c r="F174" s="498"/>
      <c r="G174" s="504"/>
      <c r="H174" s="504"/>
      <c r="I174" s="504"/>
      <c r="J174" s="504"/>
      <c r="K174" s="504"/>
      <c r="L174" s="504"/>
      <c r="M174" s="504"/>
      <c r="N174" s="504"/>
      <c r="O174" s="504"/>
      <c r="P174" s="504"/>
      <c r="Q174" s="504"/>
      <c r="R174" s="504"/>
      <c r="S174" s="504"/>
      <c r="T174" s="504"/>
      <c r="U174" s="504"/>
      <c r="V174" s="504"/>
      <c r="W174" s="504"/>
      <c r="X174" s="504"/>
      <c r="Y174" s="504"/>
      <c r="Z174" s="504"/>
    </row>
    <row r="175" ht="12.0" customHeight="1">
      <c r="A175" s="499"/>
      <c r="B175" s="500" t="s">
        <v>547</v>
      </c>
      <c r="C175" s="501"/>
      <c r="D175" s="501"/>
      <c r="E175" s="502"/>
      <c r="F175" s="503"/>
      <c r="G175" s="504"/>
      <c r="H175" s="504"/>
      <c r="I175" s="504"/>
      <c r="J175" s="504"/>
      <c r="K175" s="504"/>
      <c r="L175" s="504"/>
      <c r="M175" s="504"/>
      <c r="N175" s="504"/>
      <c r="O175" s="504"/>
      <c r="P175" s="504"/>
      <c r="Q175" s="504"/>
      <c r="R175" s="504"/>
      <c r="S175" s="504"/>
      <c r="T175" s="504"/>
      <c r="U175" s="504"/>
      <c r="V175" s="504"/>
      <c r="W175" s="504"/>
      <c r="X175" s="504"/>
      <c r="Y175" s="504"/>
      <c r="Z175" s="504"/>
    </row>
    <row r="176" ht="12.0" customHeight="1">
      <c r="A176" s="488"/>
      <c r="B176" s="507" t="s">
        <v>560</v>
      </c>
      <c r="C176" s="508" t="s">
        <v>34</v>
      </c>
      <c r="D176" s="490"/>
      <c r="E176" s="491"/>
      <c r="F176" s="492"/>
      <c r="G176" s="504"/>
      <c r="H176" s="504"/>
      <c r="I176" s="504"/>
      <c r="J176" s="504"/>
      <c r="K176" s="504"/>
      <c r="L176" s="504"/>
      <c r="M176" s="504"/>
      <c r="N176" s="504"/>
      <c r="O176" s="504"/>
      <c r="P176" s="504"/>
      <c r="Q176" s="504"/>
      <c r="R176" s="504"/>
      <c r="S176" s="504"/>
      <c r="T176" s="504"/>
      <c r="U176" s="504"/>
      <c r="V176" s="504"/>
      <c r="W176" s="504"/>
      <c r="X176" s="504"/>
      <c r="Y176" s="504"/>
      <c r="Z176" s="504"/>
    </row>
    <row r="177" ht="12.0" customHeight="1">
      <c r="A177" s="488"/>
      <c r="B177" s="507" t="s">
        <v>561</v>
      </c>
      <c r="C177" s="508" t="s">
        <v>34</v>
      </c>
      <c r="D177" s="490"/>
      <c r="E177" s="491"/>
      <c r="F177" s="492"/>
      <c r="G177" s="504"/>
      <c r="H177" s="504"/>
      <c r="I177" s="504"/>
      <c r="J177" s="504"/>
      <c r="K177" s="504"/>
      <c r="L177" s="504"/>
      <c r="M177" s="504"/>
      <c r="N177" s="504"/>
      <c r="O177" s="504"/>
      <c r="P177" s="504"/>
      <c r="Q177" s="504"/>
      <c r="R177" s="504"/>
      <c r="S177" s="504"/>
      <c r="T177" s="504"/>
      <c r="U177" s="504"/>
      <c r="V177" s="504"/>
      <c r="W177" s="504"/>
      <c r="X177" s="504"/>
      <c r="Y177" s="504"/>
      <c r="Z177" s="504"/>
    </row>
    <row r="178" ht="12.0" customHeight="1">
      <c r="A178" s="488"/>
      <c r="B178" s="507" t="s">
        <v>562</v>
      </c>
      <c r="C178" s="508" t="s">
        <v>34</v>
      </c>
      <c r="D178" s="490"/>
      <c r="E178" s="491"/>
      <c r="F178" s="492"/>
      <c r="G178" s="504"/>
      <c r="H178" s="504"/>
      <c r="I178" s="504"/>
      <c r="J178" s="504"/>
      <c r="K178" s="504"/>
      <c r="L178" s="504"/>
      <c r="M178" s="504"/>
      <c r="N178" s="504"/>
      <c r="O178" s="504"/>
      <c r="P178" s="504"/>
      <c r="Q178" s="504"/>
      <c r="R178" s="504"/>
      <c r="S178" s="504"/>
      <c r="T178" s="504"/>
      <c r="U178" s="504"/>
      <c r="V178" s="504"/>
      <c r="W178" s="504"/>
      <c r="X178" s="504"/>
      <c r="Y178" s="504"/>
      <c r="Z178" s="504"/>
    </row>
    <row r="179" ht="12.0" customHeight="1">
      <c r="A179" s="488"/>
      <c r="B179" s="507" t="s">
        <v>563</v>
      </c>
      <c r="C179" s="508" t="s">
        <v>34</v>
      </c>
      <c r="D179" s="490"/>
      <c r="E179" s="491"/>
      <c r="F179" s="492"/>
      <c r="G179" s="504"/>
      <c r="H179" s="504"/>
      <c r="I179" s="504"/>
      <c r="J179" s="504"/>
      <c r="K179" s="504"/>
      <c r="L179" s="504"/>
      <c r="M179" s="504"/>
      <c r="N179" s="504"/>
      <c r="O179" s="504"/>
      <c r="P179" s="504"/>
      <c r="Q179" s="504"/>
      <c r="R179" s="504"/>
      <c r="S179" s="504"/>
      <c r="T179" s="504"/>
      <c r="U179" s="504"/>
      <c r="V179" s="504"/>
      <c r="W179" s="504"/>
      <c r="X179" s="504"/>
      <c r="Y179" s="504"/>
      <c r="Z179" s="504"/>
    </row>
    <row r="180" ht="12.0" customHeight="1">
      <c r="A180" s="488"/>
      <c r="B180" s="507" t="s">
        <v>564</v>
      </c>
      <c r="C180" s="508" t="s">
        <v>32</v>
      </c>
      <c r="D180" s="490"/>
      <c r="E180" s="491"/>
      <c r="F180" s="492"/>
      <c r="G180" s="504"/>
      <c r="H180" s="504"/>
      <c r="I180" s="504"/>
      <c r="J180" s="504"/>
      <c r="K180" s="504"/>
      <c r="L180" s="504"/>
      <c r="M180" s="504"/>
      <c r="N180" s="504"/>
      <c r="O180" s="504"/>
      <c r="P180" s="504"/>
      <c r="Q180" s="504"/>
      <c r="R180" s="504"/>
      <c r="S180" s="504"/>
      <c r="T180" s="504"/>
      <c r="U180" s="504"/>
      <c r="V180" s="504"/>
      <c r="W180" s="504"/>
      <c r="X180" s="504"/>
      <c r="Y180" s="504"/>
      <c r="Z180" s="504"/>
    </row>
    <row r="181" ht="12.0" customHeight="1">
      <c r="A181" s="494"/>
      <c r="B181" s="495" t="str">
        <f>"Sous total : " &amp; A175&amp;" - "&amp;B175</f>
        <v>Sous total :  - Contrôle d'accès</v>
      </c>
      <c r="C181" s="496"/>
      <c r="D181" s="496"/>
      <c r="E181" s="497"/>
      <c r="F181" s="498"/>
      <c r="G181" s="504"/>
      <c r="H181" s="504"/>
      <c r="I181" s="504"/>
      <c r="J181" s="504"/>
      <c r="K181" s="504"/>
      <c r="L181" s="504"/>
      <c r="M181" s="504"/>
      <c r="N181" s="504"/>
      <c r="O181" s="504"/>
      <c r="P181" s="504"/>
      <c r="Q181" s="504"/>
      <c r="R181" s="504"/>
      <c r="S181" s="504"/>
      <c r="T181" s="504"/>
      <c r="U181" s="504"/>
      <c r="V181" s="504"/>
      <c r="W181" s="504"/>
      <c r="X181" s="504"/>
      <c r="Y181" s="504"/>
      <c r="Z181" s="504"/>
    </row>
    <row r="182" ht="12.0" customHeight="1">
      <c r="A182" s="499"/>
      <c r="B182" s="500" t="s">
        <v>521</v>
      </c>
      <c r="C182" s="501"/>
      <c r="D182" s="501"/>
      <c r="E182" s="502"/>
      <c r="F182" s="503"/>
      <c r="G182" s="504"/>
      <c r="H182" s="504"/>
      <c r="I182" s="504"/>
      <c r="J182" s="504"/>
      <c r="K182" s="504"/>
      <c r="L182" s="504"/>
      <c r="M182" s="504"/>
      <c r="N182" s="504"/>
      <c r="O182" s="504"/>
      <c r="P182" s="504"/>
      <c r="Q182" s="504"/>
      <c r="R182" s="504"/>
      <c r="S182" s="504"/>
      <c r="T182" s="504"/>
      <c r="U182" s="504"/>
      <c r="V182" s="504"/>
      <c r="W182" s="504"/>
      <c r="X182" s="504"/>
      <c r="Y182" s="504"/>
      <c r="Z182" s="504"/>
    </row>
    <row r="183" ht="12.0" customHeight="1">
      <c r="A183" s="488"/>
      <c r="B183" s="507" t="s">
        <v>528</v>
      </c>
      <c r="C183" s="509"/>
      <c r="D183" s="509"/>
      <c r="E183" s="510"/>
      <c r="F183" s="511"/>
      <c r="G183" s="504"/>
      <c r="H183" s="504"/>
      <c r="I183" s="504"/>
      <c r="J183" s="504"/>
      <c r="K183" s="504"/>
      <c r="L183" s="504"/>
      <c r="M183" s="504"/>
      <c r="N183" s="504"/>
      <c r="O183" s="504"/>
      <c r="P183" s="504"/>
      <c r="Q183" s="504"/>
      <c r="R183" s="504"/>
      <c r="S183" s="504"/>
      <c r="T183" s="504"/>
      <c r="U183" s="504"/>
      <c r="V183" s="504"/>
      <c r="W183" s="504"/>
      <c r="X183" s="504"/>
      <c r="Y183" s="504"/>
      <c r="Z183" s="504"/>
    </row>
    <row r="184" ht="12.0" customHeight="1">
      <c r="A184" s="488"/>
      <c r="B184" s="507" t="s">
        <v>962</v>
      </c>
      <c r="C184" s="509"/>
      <c r="D184" s="509"/>
      <c r="E184" s="510"/>
      <c r="F184" s="511"/>
      <c r="G184" s="504"/>
      <c r="H184" s="504"/>
      <c r="I184" s="504"/>
      <c r="J184" s="504"/>
      <c r="K184" s="504"/>
      <c r="L184" s="504"/>
      <c r="M184" s="504"/>
      <c r="N184" s="504"/>
      <c r="O184" s="504"/>
      <c r="P184" s="504"/>
      <c r="Q184" s="504"/>
      <c r="R184" s="504"/>
      <c r="S184" s="504"/>
      <c r="T184" s="504"/>
      <c r="U184" s="504"/>
      <c r="V184" s="504"/>
      <c r="W184" s="504"/>
      <c r="X184" s="504"/>
      <c r="Y184" s="504"/>
      <c r="Z184" s="504"/>
    </row>
    <row r="185" ht="12.0" customHeight="1">
      <c r="A185" s="488"/>
      <c r="B185" s="507" t="s">
        <v>963</v>
      </c>
      <c r="C185" s="509"/>
      <c r="D185" s="509"/>
      <c r="E185" s="510"/>
      <c r="F185" s="511"/>
      <c r="G185" s="504"/>
      <c r="H185" s="504"/>
      <c r="I185" s="504"/>
      <c r="J185" s="504"/>
      <c r="K185" s="504"/>
      <c r="L185" s="504"/>
      <c r="M185" s="504"/>
      <c r="N185" s="504"/>
      <c r="O185" s="504"/>
      <c r="P185" s="504"/>
      <c r="Q185" s="504"/>
      <c r="R185" s="504"/>
      <c r="S185" s="504"/>
      <c r="T185" s="504"/>
      <c r="U185" s="504"/>
      <c r="V185" s="504"/>
      <c r="W185" s="504"/>
      <c r="X185" s="504"/>
      <c r="Y185" s="504"/>
      <c r="Z185" s="504"/>
    </row>
    <row r="186" ht="12.0" customHeight="1">
      <c r="A186" s="488"/>
      <c r="B186" s="507" t="s">
        <v>531</v>
      </c>
      <c r="C186" s="509"/>
      <c r="D186" s="509"/>
      <c r="E186" s="510"/>
      <c r="F186" s="511"/>
      <c r="G186" s="504"/>
      <c r="H186" s="504"/>
      <c r="I186" s="504"/>
      <c r="J186" s="504"/>
      <c r="K186" s="504"/>
      <c r="L186" s="504"/>
      <c r="M186" s="504"/>
      <c r="N186" s="504"/>
      <c r="O186" s="504"/>
      <c r="P186" s="504"/>
      <c r="Q186" s="504"/>
      <c r="R186" s="504"/>
      <c r="S186" s="504"/>
      <c r="T186" s="504"/>
      <c r="U186" s="504"/>
      <c r="V186" s="504"/>
      <c r="W186" s="504"/>
      <c r="X186" s="504"/>
      <c r="Y186" s="504"/>
      <c r="Z186" s="504"/>
    </row>
    <row r="187" ht="12.0" customHeight="1">
      <c r="A187" s="488"/>
      <c r="B187" s="507" t="s">
        <v>532</v>
      </c>
      <c r="C187" s="509"/>
      <c r="D187" s="509"/>
      <c r="E187" s="510"/>
      <c r="F187" s="511"/>
      <c r="G187" s="504"/>
      <c r="H187" s="504"/>
      <c r="I187" s="504"/>
      <c r="J187" s="504"/>
      <c r="K187" s="504"/>
      <c r="L187" s="504"/>
      <c r="M187" s="504"/>
      <c r="N187" s="504"/>
      <c r="O187" s="504"/>
      <c r="P187" s="504"/>
      <c r="Q187" s="504"/>
      <c r="R187" s="504"/>
      <c r="S187" s="504"/>
      <c r="T187" s="504"/>
      <c r="U187" s="504"/>
      <c r="V187" s="504"/>
      <c r="W187" s="504"/>
      <c r="X187" s="504"/>
      <c r="Y187" s="504"/>
      <c r="Z187" s="504"/>
    </row>
    <row r="188" ht="12.0" customHeight="1">
      <c r="A188" s="488"/>
      <c r="B188" s="507" t="s">
        <v>533</v>
      </c>
      <c r="C188" s="509"/>
      <c r="D188" s="509"/>
      <c r="E188" s="510"/>
      <c r="F188" s="511"/>
      <c r="G188" s="504"/>
      <c r="H188" s="504"/>
      <c r="I188" s="504"/>
      <c r="J188" s="504"/>
      <c r="K188" s="504"/>
      <c r="L188" s="504"/>
      <c r="M188" s="504"/>
      <c r="N188" s="504"/>
      <c r="O188" s="504"/>
      <c r="P188" s="504"/>
      <c r="Q188" s="504"/>
      <c r="R188" s="504"/>
      <c r="S188" s="504"/>
      <c r="T188" s="504"/>
      <c r="U188" s="504"/>
      <c r="V188" s="504"/>
      <c r="W188" s="504"/>
      <c r="X188" s="504"/>
      <c r="Y188" s="504"/>
      <c r="Z188" s="504"/>
    </row>
    <row r="189" ht="12.0" customHeight="1">
      <c r="A189" s="488"/>
      <c r="B189" s="507" t="s">
        <v>534</v>
      </c>
      <c r="C189" s="509"/>
      <c r="D189" s="509"/>
      <c r="E189" s="510"/>
      <c r="F189" s="511"/>
      <c r="G189" s="504"/>
      <c r="H189" s="504"/>
      <c r="I189" s="504"/>
      <c r="J189" s="504"/>
      <c r="K189" s="504"/>
      <c r="L189" s="504"/>
      <c r="M189" s="504"/>
      <c r="N189" s="504"/>
      <c r="O189" s="504"/>
      <c r="P189" s="504"/>
      <c r="Q189" s="504"/>
      <c r="R189" s="504"/>
      <c r="S189" s="504"/>
      <c r="T189" s="504"/>
      <c r="U189" s="504"/>
      <c r="V189" s="504"/>
      <c r="W189" s="504"/>
      <c r="X189" s="504"/>
      <c r="Y189" s="504"/>
      <c r="Z189" s="504"/>
    </row>
    <row r="190" ht="12.0" customHeight="1">
      <c r="A190" s="488"/>
      <c r="B190" s="507" t="s">
        <v>535</v>
      </c>
      <c r="C190" s="509"/>
      <c r="D190" s="509"/>
      <c r="E190" s="510"/>
      <c r="F190" s="511"/>
      <c r="G190" s="504"/>
      <c r="H190" s="504"/>
      <c r="I190" s="504"/>
      <c r="J190" s="504"/>
      <c r="K190" s="504"/>
      <c r="L190" s="504"/>
      <c r="M190" s="504"/>
      <c r="N190" s="504"/>
      <c r="O190" s="504"/>
      <c r="P190" s="504"/>
      <c r="Q190" s="504"/>
      <c r="R190" s="504"/>
      <c r="S190" s="504"/>
      <c r="T190" s="504"/>
      <c r="U190" s="504"/>
      <c r="V190" s="504"/>
      <c r="W190" s="504"/>
      <c r="X190" s="504"/>
      <c r="Y190" s="504"/>
      <c r="Z190" s="504"/>
    </row>
    <row r="191" ht="12.0" customHeight="1">
      <c r="A191" s="488"/>
      <c r="B191" s="507" t="s">
        <v>516</v>
      </c>
      <c r="C191" s="509"/>
      <c r="D191" s="509"/>
      <c r="E191" s="510"/>
      <c r="F191" s="511"/>
      <c r="G191" s="504"/>
      <c r="H191" s="504"/>
      <c r="I191" s="504"/>
      <c r="J191" s="504"/>
      <c r="K191" s="504"/>
      <c r="L191" s="504"/>
      <c r="M191" s="504"/>
      <c r="N191" s="504"/>
      <c r="O191" s="504"/>
      <c r="P191" s="504"/>
      <c r="Q191" s="504"/>
      <c r="R191" s="504"/>
      <c r="S191" s="504"/>
      <c r="T191" s="504"/>
      <c r="U191" s="504"/>
      <c r="V191" s="504"/>
      <c r="W191" s="504"/>
      <c r="X191" s="504"/>
      <c r="Y191" s="504"/>
      <c r="Z191" s="504"/>
    </row>
    <row r="192" ht="12.0" customHeight="1">
      <c r="A192" s="494"/>
      <c r="B192" s="495" t="str">
        <f>"Sous total : " &amp; A182&amp;" - "&amp;B182</f>
        <v>Sous total :  - Système d'appel malade</v>
      </c>
      <c r="C192" s="496"/>
      <c r="D192" s="496"/>
      <c r="E192" s="497"/>
      <c r="F192" s="498"/>
      <c r="G192" s="504"/>
      <c r="H192" s="504"/>
      <c r="I192" s="504"/>
      <c r="J192" s="504"/>
      <c r="K192" s="504"/>
      <c r="L192" s="504"/>
      <c r="M192" s="504"/>
      <c r="N192" s="504"/>
      <c r="O192" s="504"/>
      <c r="P192" s="504"/>
      <c r="Q192" s="504"/>
      <c r="R192" s="504"/>
      <c r="S192" s="504"/>
      <c r="T192" s="504"/>
      <c r="U192" s="504"/>
      <c r="V192" s="504"/>
      <c r="W192" s="504"/>
      <c r="X192" s="504"/>
      <c r="Y192" s="504"/>
      <c r="Z192" s="504"/>
    </row>
    <row r="193" ht="12.0" customHeight="1">
      <c r="A193" s="513" t="s">
        <v>964</v>
      </c>
      <c r="B193" s="500" t="s">
        <v>580</v>
      </c>
      <c r="C193" s="501"/>
      <c r="D193" s="501"/>
      <c r="E193" s="502"/>
      <c r="F193" s="503"/>
      <c r="G193" s="504"/>
      <c r="H193" s="504"/>
      <c r="I193" s="504"/>
      <c r="J193" s="504"/>
      <c r="K193" s="504"/>
      <c r="L193" s="504"/>
      <c r="M193" s="504"/>
      <c r="N193" s="504"/>
      <c r="O193" s="504"/>
      <c r="P193" s="504"/>
      <c r="Q193" s="504"/>
      <c r="R193" s="504"/>
      <c r="S193" s="504"/>
      <c r="T193" s="504"/>
      <c r="U193" s="504"/>
      <c r="V193" s="504"/>
      <c r="W193" s="504"/>
      <c r="X193" s="504"/>
      <c r="Y193" s="504"/>
      <c r="Z193" s="504"/>
    </row>
    <row r="194" ht="11.25" customHeight="1">
      <c r="A194" s="514"/>
      <c r="B194" s="507" t="s">
        <v>584</v>
      </c>
      <c r="C194" s="508" t="s">
        <v>34</v>
      </c>
      <c r="D194" s="490"/>
      <c r="E194" s="491"/>
      <c r="F194" s="492"/>
      <c r="G194" s="504"/>
      <c r="H194" s="504"/>
      <c r="I194" s="504"/>
      <c r="J194" s="504"/>
      <c r="K194" s="504"/>
      <c r="L194" s="504"/>
      <c r="M194" s="504"/>
      <c r="N194" s="504"/>
      <c r="O194" s="504"/>
      <c r="P194" s="504"/>
      <c r="Q194" s="504"/>
      <c r="R194" s="504"/>
      <c r="S194" s="504"/>
      <c r="T194" s="504"/>
      <c r="U194" s="504"/>
      <c r="V194" s="504"/>
      <c r="W194" s="504"/>
      <c r="X194" s="504"/>
      <c r="Y194" s="504"/>
      <c r="Z194" s="504"/>
    </row>
    <row r="195" ht="11.25" customHeight="1">
      <c r="A195" s="514"/>
      <c r="B195" s="507" t="s">
        <v>585</v>
      </c>
      <c r="C195" s="508" t="s">
        <v>34</v>
      </c>
      <c r="D195" s="490"/>
      <c r="E195" s="491"/>
      <c r="F195" s="492"/>
      <c r="G195" s="504"/>
      <c r="H195" s="504"/>
      <c r="I195" s="504"/>
      <c r="J195" s="504"/>
      <c r="K195" s="504"/>
      <c r="L195" s="504"/>
      <c r="M195" s="504"/>
      <c r="N195" s="504"/>
      <c r="O195" s="504"/>
      <c r="P195" s="504"/>
      <c r="Q195" s="504"/>
      <c r="R195" s="504"/>
      <c r="S195" s="504"/>
      <c r="T195" s="504"/>
      <c r="U195" s="504"/>
      <c r="V195" s="504"/>
      <c r="W195" s="504"/>
      <c r="X195" s="504"/>
      <c r="Y195" s="504"/>
      <c r="Z195" s="504"/>
    </row>
    <row r="196" ht="11.25" customHeight="1">
      <c r="A196" s="514"/>
      <c r="B196" s="507" t="s">
        <v>586</v>
      </c>
      <c r="C196" s="508" t="s">
        <v>32</v>
      </c>
      <c r="D196" s="490"/>
      <c r="E196" s="491"/>
      <c r="F196" s="492"/>
      <c r="G196" s="504"/>
      <c r="H196" s="504"/>
      <c r="I196" s="504"/>
      <c r="J196" s="504"/>
      <c r="K196" s="504"/>
      <c r="L196" s="504"/>
      <c r="M196" s="504"/>
      <c r="N196" s="504"/>
      <c r="O196" s="504"/>
      <c r="P196" s="504"/>
      <c r="Q196" s="504"/>
      <c r="R196" s="504"/>
      <c r="S196" s="504"/>
      <c r="T196" s="504"/>
      <c r="U196" s="504"/>
      <c r="V196" s="504"/>
      <c r="W196" s="504"/>
      <c r="X196" s="504"/>
      <c r="Y196" s="504"/>
      <c r="Z196" s="504"/>
    </row>
    <row r="197" ht="11.25" customHeight="1">
      <c r="A197" s="514"/>
      <c r="B197" s="507" t="s">
        <v>587</v>
      </c>
      <c r="C197" s="508" t="s">
        <v>32</v>
      </c>
      <c r="D197" s="490"/>
      <c r="E197" s="491"/>
      <c r="F197" s="492"/>
      <c r="G197" s="504"/>
      <c r="H197" s="504"/>
      <c r="I197" s="504"/>
      <c r="J197" s="504"/>
      <c r="K197" s="504"/>
      <c r="L197" s="504"/>
      <c r="M197" s="504"/>
      <c r="N197" s="504"/>
      <c r="O197" s="504"/>
      <c r="P197" s="504"/>
      <c r="Q197" s="504"/>
      <c r="R197" s="504"/>
      <c r="S197" s="504"/>
      <c r="T197" s="504"/>
      <c r="U197" s="504"/>
      <c r="V197" s="504"/>
      <c r="W197" s="504"/>
      <c r="X197" s="504"/>
      <c r="Y197" s="504"/>
      <c r="Z197" s="504"/>
    </row>
    <row r="198" ht="12.0" customHeight="1">
      <c r="A198" s="515"/>
      <c r="B198" s="495" t="str">
        <f>"Sous total : " &amp; A193&amp;" - "&amp;B193</f>
        <v>Sous total : 3.6 - Interphonie / Visiophonie</v>
      </c>
      <c r="C198" s="496"/>
      <c r="D198" s="496"/>
      <c r="E198" s="497"/>
      <c r="F198" s="498"/>
      <c r="G198" s="504"/>
      <c r="H198" s="504"/>
      <c r="I198" s="504"/>
      <c r="J198" s="504"/>
      <c r="K198" s="504"/>
      <c r="L198" s="504"/>
      <c r="M198" s="504"/>
      <c r="N198" s="504"/>
      <c r="O198" s="504"/>
      <c r="P198" s="504"/>
      <c r="Q198" s="504"/>
      <c r="R198" s="504"/>
      <c r="S198" s="504"/>
      <c r="T198" s="504"/>
      <c r="U198" s="504"/>
      <c r="V198" s="504"/>
      <c r="W198" s="504"/>
      <c r="X198" s="504"/>
      <c r="Y198" s="504"/>
      <c r="Z198" s="504"/>
    </row>
    <row r="199" ht="12.0" customHeight="1">
      <c r="A199" s="516"/>
      <c r="B199" s="500" t="s">
        <v>589</v>
      </c>
      <c r="C199" s="517"/>
      <c r="D199" s="517"/>
      <c r="E199" s="518"/>
      <c r="F199" s="519"/>
      <c r="G199" s="504"/>
      <c r="H199" s="504"/>
      <c r="I199" s="504"/>
      <c r="J199" s="504"/>
      <c r="K199" s="504"/>
      <c r="L199" s="504"/>
      <c r="M199" s="504"/>
      <c r="N199" s="504"/>
      <c r="O199" s="504"/>
      <c r="P199" s="504"/>
      <c r="Q199" s="504"/>
      <c r="R199" s="504"/>
      <c r="S199" s="504"/>
      <c r="T199" s="504"/>
      <c r="U199" s="504"/>
      <c r="V199" s="504"/>
      <c r="W199" s="504"/>
      <c r="X199" s="504"/>
      <c r="Y199" s="504"/>
      <c r="Z199" s="504"/>
    </row>
    <row r="200" ht="12.0" customHeight="1">
      <c r="A200" s="520"/>
      <c r="B200" s="507" t="s">
        <v>590</v>
      </c>
      <c r="C200" s="508" t="s">
        <v>34</v>
      </c>
      <c r="D200" s="490"/>
      <c r="E200" s="491"/>
      <c r="F200" s="492"/>
      <c r="G200" s="504"/>
      <c r="H200" s="504"/>
      <c r="I200" s="504"/>
      <c r="J200" s="504"/>
      <c r="K200" s="504"/>
      <c r="L200" s="504"/>
      <c r="M200" s="504"/>
      <c r="N200" s="504"/>
      <c r="O200" s="504"/>
      <c r="P200" s="504"/>
      <c r="Q200" s="504"/>
      <c r="R200" s="504"/>
      <c r="S200" s="504"/>
      <c r="T200" s="504"/>
      <c r="U200" s="504"/>
      <c r="V200" s="504"/>
      <c r="W200" s="504"/>
      <c r="X200" s="504"/>
      <c r="Y200" s="504"/>
      <c r="Z200" s="504"/>
    </row>
    <row r="201" ht="12.0" customHeight="1">
      <c r="A201" s="520"/>
      <c r="B201" s="507" t="s">
        <v>591</v>
      </c>
      <c r="C201" s="508" t="s">
        <v>34</v>
      </c>
      <c r="D201" s="490"/>
      <c r="E201" s="491"/>
      <c r="F201" s="492"/>
      <c r="G201" s="504"/>
      <c r="H201" s="504"/>
      <c r="I201" s="504"/>
      <c r="J201" s="504"/>
      <c r="K201" s="504"/>
      <c r="L201" s="504"/>
      <c r="M201" s="504"/>
      <c r="N201" s="504"/>
      <c r="O201" s="504"/>
      <c r="P201" s="504"/>
      <c r="Q201" s="504"/>
      <c r="R201" s="504"/>
      <c r="S201" s="504"/>
      <c r="T201" s="504"/>
      <c r="U201" s="504"/>
      <c r="V201" s="504"/>
      <c r="W201" s="504"/>
      <c r="X201" s="504"/>
      <c r="Y201" s="504"/>
      <c r="Z201" s="504"/>
    </row>
    <row r="202" ht="12.0" customHeight="1">
      <c r="A202" s="521"/>
      <c r="B202" s="495" t="str">
        <f>"Sous total : " &amp; A199&amp;" - "&amp;B199</f>
        <v>Sous total :  - Interphonie de sécurité</v>
      </c>
      <c r="C202" s="496"/>
      <c r="D202" s="496"/>
      <c r="E202" s="497"/>
      <c r="F202" s="498"/>
      <c r="G202" s="504"/>
      <c r="H202" s="504"/>
      <c r="I202" s="504"/>
      <c r="J202" s="504"/>
      <c r="K202" s="504"/>
      <c r="L202" s="504"/>
      <c r="M202" s="504"/>
      <c r="N202" s="504"/>
      <c r="O202" s="504"/>
      <c r="P202" s="504"/>
      <c r="Q202" s="504"/>
      <c r="R202" s="504"/>
      <c r="S202" s="504"/>
      <c r="T202" s="504"/>
      <c r="U202" s="504"/>
      <c r="V202" s="504"/>
      <c r="W202" s="504"/>
      <c r="X202" s="504"/>
      <c r="Y202" s="504"/>
      <c r="Z202" s="504"/>
    </row>
    <row r="203" ht="12.0" customHeight="1">
      <c r="A203" s="499"/>
      <c r="B203" s="500" t="s">
        <v>823</v>
      </c>
      <c r="C203" s="501"/>
      <c r="D203" s="501"/>
      <c r="E203" s="502"/>
      <c r="F203" s="503"/>
      <c r="G203" s="504"/>
      <c r="H203" s="504"/>
      <c r="I203" s="504"/>
      <c r="J203" s="504"/>
      <c r="K203" s="504"/>
      <c r="L203" s="504"/>
      <c r="M203" s="504"/>
      <c r="N203" s="504"/>
      <c r="O203" s="504"/>
      <c r="P203" s="504"/>
      <c r="Q203" s="504"/>
      <c r="R203" s="504"/>
      <c r="S203" s="504"/>
      <c r="T203" s="504"/>
      <c r="U203" s="504"/>
      <c r="V203" s="504"/>
      <c r="W203" s="504"/>
      <c r="X203" s="504"/>
      <c r="Y203" s="504"/>
      <c r="Z203" s="504"/>
    </row>
    <row r="204" ht="12.0" customHeight="1">
      <c r="A204" s="488"/>
      <c r="B204" s="507" t="s">
        <v>599</v>
      </c>
      <c r="C204" s="508" t="s">
        <v>32</v>
      </c>
      <c r="D204" s="490"/>
      <c r="E204" s="491"/>
      <c r="F204" s="492"/>
      <c r="G204" s="504"/>
      <c r="H204" s="504"/>
      <c r="I204" s="504"/>
      <c r="J204" s="504"/>
      <c r="K204" s="504"/>
      <c r="L204" s="504"/>
      <c r="M204" s="504"/>
      <c r="N204" s="504"/>
      <c r="O204" s="504"/>
      <c r="P204" s="504"/>
      <c r="Q204" s="504"/>
      <c r="R204" s="504"/>
      <c r="S204" s="504"/>
      <c r="T204" s="504"/>
      <c r="U204" s="504"/>
      <c r="V204" s="504"/>
      <c r="W204" s="504"/>
      <c r="X204" s="504"/>
      <c r="Y204" s="504"/>
      <c r="Z204" s="504"/>
    </row>
    <row r="205" ht="12.0" customHeight="1">
      <c r="A205" s="488"/>
      <c r="B205" s="507" t="s">
        <v>600</v>
      </c>
      <c r="C205" s="508" t="s">
        <v>34</v>
      </c>
      <c r="D205" s="490"/>
      <c r="E205" s="491"/>
      <c r="F205" s="492"/>
      <c r="G205" s="504"/>
      <c r="H205" s="504"/>
      <c r="I205" s="504"/>
      <c r="J205" s="504"/>
      <c r="K205" s="504"/>
      <c r="L205" s="504"/>
      <c r="M205" s="504"/>
      <c r="N205" s="504"/>
      <c r="O205" s="504"/>
      <c r="P205" s="504"/>
      <c r="Q205" s="504"/>
      <c r="R205" s="504"/>
      <c r="S205" s="504"/>
      <c r="T205" s="504"/>
      <c r="U205" s="504"/>
      <c r="V205" s="504"/>
      <c r="W205" s="504"/>
      <c r="X205" s="504"/>
      <c r="Y205" s="504"/>
      <c r="Z205" s="504"/>
    </row>
    <row r="206" ht="12.0" customHeight="1">
      <c r="A206" s="488"/>
      <c r="B206" s="507" t="s">
        <v>601</v>
      </c>
      <c r="C206" s="508" t="s">
        <v>34</v>
      </c>
      <c r="D206" s="490"/>
      <c r="E206" s="491"/>
      <c r="F206" s="492"/>
      <c r="G206" s="504"/>
      <c r="H206" s="504"/>
      <c r="I206" s="504"/>
      <c r="J206" s="504"/>
      <c r="K206" s="504"/>
      <c r="L206" s="504"/>
      <c r="M206" s="504"/>
      <c r="N206" s="504"/>
      <c r="O206" s="504"/>
      <c r="P206" s="504"/>
      <c r="Q206" s="504"/>
      <c r="R206" s="504"/>
      <c r="S206" s="504"/>
      <c r="T206" s="504"/>
      <c r="U206" s="504"/>
      <c r="V206" s="504"/>
      <c r="W206" s="504"/>
      <c r="X206" s="504"/>
      <c r="Y206" s="504"/>
      <c r="Z206" s="504"/>
    </row>
    <row r="207" ht="12.0" customHeight="1">
      <c r="A207" s="488"/>
      <c r="B207" s="507" t="s">
        <v>602</v>
      </c>
      <c r="C207" s="508" t="s">
        <v>34</v>
      </c>
      <c r="D207" s="490"/>
      <c r="E207" s="491"/>
      <c r="F207" s="492"/>
      <c r="G207" s="504"/>
      <c r="H207" s="504"/>
      <c r="I207" s="504"/>
      <c r="J207" s="504"/>
      <c r="K207" s="504"/>
      <c r="L207" s="504"/>
      <c r="M207" s="504"/>
      <c r="N207" s="504"/>
      <c r="O207" s="504"/>
      <c r="P207" s="504"/>
      <c r="Q207" s="504"/>
      <c r="R207" s="504"/>
      <c r="S207" s="504"/>
      <c r="T207" s="504"/>
      <c r="U207" s="504"/>
      <c r="V207" s="504"/>
      <c r="W207" s="504"/>
      <c r="X207" s="504"/>
      <c r="Y207" s="504"/>
      <c r="Z207" s="504"/>
    </row>
    <row r="208" ht="12.0" customHeight="1">
      <c r="A208" s="488"/>
      <c r="B208" s="507" t="s">
        <v>586</v>
      </c>
      <c r="C208" s="508" t="s">
        <v>32</v>
      </c>
      <c r="D208" s="490"/>
      <c r="E208" s="491"/>
      <c r="F208" s="492"/>
      <c r="G208" s="504"/>
      <c r="H208" s="504"/>
      <c r="I208" s="504"/>
      <c r="J208" s="504"/>
      <c r="K208" s="504"/>
      <c r="L208" s="504"/>
      <c r="M208" s="504"/>
      <c r="N208" s="504"/>
      <c r="O208" s="504"/>
      <c r="P208" s="504"/>
      <c r="Q208" s="504"/>
      <c r="R208" s="504"/>
      <c r="S208" s="504"/>
      <c r="T208" s="504"/>
      <c r="U208" s="504"/>
      <c r="V208" s="504"/>
      <c r="W208" s="504"/>
      <c r="X208" s="504"/>
      <c r="Y208" s="504"/>
      <c r="Z208" s="504"/>
    </row>
    <row r="209" ht="12.0" customHeight="1">
      <c r="A209" s="488"/>
      <c r="B209" s="507" t="s">
        <v>603</v>
      </c>
      <c r="C209" s="508" t="s">
        <v>32</v>
      </c>
      <c r="D209" s="490"/>
      <c r="E209" s="491"/>
      <c r="F209" s="492"/>
      <c r="G209" s="504"/>
      <c r="H209" s="504"/>
      <c r="I209" s="504"/>
      <c r="J209" s="504"/>
      <c r="K209" s="504"/>
      <c r="L209" s="504"/>
      <c r="M209" s="504"/>
      <c r="N209" s="504"/>
      <c r="O209" s="504"/>
      <c r="P209" s="504"/>
      <c r="Q209" s="504"/>
      <c r="R209" s="504"/>
      <c r="S209" s="504"/>
      <c r="T209" s="504"/>
      <c r="U209" s="504"/>
      <c r="V209" s="504"/>
      <c r="W209" s="504"/>
      <c r="X209" s="504"/>
      <c r="Y209" s="504"/>
      <c r="Z209" s="504"/>
    </row>
    <row r="210" ht="12.0" customHeight="1">
      <c r="A210" s="494"/>
      <c r="B210" s="495" t="str">
        <f>"Sous total : " &amp; A203&amp;" - "&amp;B203</f>
        <v>Sous total :  - télévision</v>
      </c>
      <c r="C210" s="496"/>
      <c r="D210" s="496"/>
      <c r="E210" s="497"/>
      <c r="F210" s="498"/>
      <c r="G210" s="504"/>
      <c r="H210" s="504"/>
      <c r="I210" s="504"/>
      <c r="J210" s="504"/>
      <c r="K210" s="504"/>
      <c r="L210" s="504"/>
      <c r="M210" s="504"/>
      <c r="N210" s="504"/>
      <c r="O210" s="504"/>
      <c r="P210" s="504"/>
      <c r="Q210" s="504"/>
      <c r="R210" s="504"/>
      <c r="S210" s="504"/>
      <c r="T210" s="504"/>
      <c r="U210" s="504"/>
      <c r="V210" s="504"/>
      <c r="W210" s="504"/>
      <c r="X210" s="504"/>
      <c r="Y210" s="504"/>
      <c r="Z210" s="504"/>
    </row>
    <row r="211" ht="12.0" customHeight="1">
      <c r="A211" s="522"/>
      <c r="B211" s="500" t="s">
        <v>605</v>
      </c>
      <c r="C211" s="501"/>
      <c r="D211" s="501"/>
      <c r="E211" s="502"/>
      <c r="F211" s="503"/>
      <c r="G211" s="504"/>
      <c r="H211" s="504"/>
      <c r="I211" s="504"/>
      <c r="J211" s="504"/>
      <c r="K211" s="504"/>
      <c r="L211" s="504"/>
      <c r="M211" s="504"/>
      <c r="N211" s="504"/>
      <c r="O211" s="504"/>
      <c r="P211" s="504"/>
      <c r="Q211" s="504"/>
      <c r="R211" s="504"/>
      <c r="S211" s="504"/>
      <c r="T211" s="504"/>
      <c r="U211" s="504"/>
      <c r="V211" s="504"/>
      <c r="W211" s="504"/>
      <c r="X211" s="504"/>
      <c r="Y211" s="504"/>
      <c r="Z211" s="504"/>
    </row>
    <row r="212" ht="12.0" customHeight="1">
      <c r="A212" s="523"/>
      <c r="B212" s="507" t="s">
        <v>608</v>
      </c>
      <c r="C212" s="508"/>
      <c r="D212" s="490"/>
      <c r="E212" s="491"/>
      <c r="F212" s="492"/>
      <c r="G212" s="504"/>
      <c r="H212" s="504"/>
      <c r="I212" s="504"/>
      <c r="J212" s="504"/>
      <c r="K212" s="504"/>
      <c r="L212" s="504"/>
      <c r="M212" s="504"/>
      <c r="N212" s="504"/>
      <c r="O212" s="504"/>
      <c r="P212" s="504"/>
      <c r="Q212" s="504"/>
      <c r="R212" s="504"/>
      <c r="S212" s="504"/>
      <c r="T212" s="504"/>
      <c r="U212" s="504"/>
      <c r="V212" s="504"/>
      <c r="W212" s="504"/>
      <c r="X212" s="504"/>
      <c r="Y212" s="504"/>
      <c r="Z212" s="504"/>
    </row>
    <row r="213" ht="12.0" customHeight="1">
      <c r="A213" s="523"/>
      <c r="B213" s="507" t="s">
        <v>609</v>
      </c>
      <c r="C213" s="508"/>
      <c r="D213" s="490"/>
      <c r="E213" s="491"/>
      <c r="F213" s="492"/>
      <c r="G213" s="504"/>
      <c r="H213" s="504"/>
      <c r="I213" s="504"/>
      <c r="J213" s="504"/>
      <c r="K213" s="504"/>
      <c r="L213" s="504"/>
      <c r="M213" s="504"/>
      <c r="N213" s="504"/>
      <c r="O213" s="504"/>
      <c r="P213" s="504"/>
      <c r="Q213" s="504"/>
      <c r="R213" s="504"/>
      <c r="S213" s="504"/>
      <c r="T213" s="504"/>
      <c r="U213" s="504"/>
      <c r="V213" s="504"/>
      <c r="W213" s="504"/>
      <c r="X213" s="504"/>
      <c r="Y213" s="504"/>
      <c r="Z213" s="504"/>
    </row>
    <row r="214" ht="12.0" customHeight="1">
      <c r="A214" s="524"/>
      <c r="B214" s="495" t="str">
        <f>"Sous total : " &amp; A211&amp;" - "&amp;B211</f>
        <v>Sous total :  - Alarme technique</v>
      </c>
      <c r="C214" s="496"/>
      <c r="D214" s="496"/>
      <c r="E214" s="497"/>
      <c r="F214" s="498"/>
      <c r="G214" s="504"/>
      <c r="H214" s="504"/>
      <c r="I214" s="504"/>
      <c r="J214" s="504"/>
      <c r="K214" s="504"/>
      <c r="L214" s="504"/>
      <c r="M214" s="504"/>
      <c r="N214" s="504"/>
      <c r="O214" s="504"/>
      <c r="P214" s="504"/>
      <c r="Q214" s="504"/>
      <c r="R214" s="504"/>
      <c r="S214" s="504"/>
      <c r="T214" s="504"/>
      <c r="U214" s="504"/>
      <c r="V214" s="504"/>
      <c r="W214" s="504"/>
      <c r="X214" s="504"/>
      <c r="Y214" s="504"/>
      <c r="Z214" s="504"/>
    </row>
    <row r="215" ht="12.0" customHeight="1">
      <c r="A215" s="499" t="s">
        <v>965</v>
      </c>
      <c r="B215" s="500" t="s">
        <v>611</v>
      </c>
      <c r="C215" s="501"/>
      <c r="D215" s="501"/>
      <c r="E215" s="502"/>
      <c r="F215" s="503"/>
      <c r="G215" s="504"/>
      <c r="H215" s="504"/>
      <c r="I215" s="504"/>
      <c r="J215" s="504"/>
      <c r="K215" s="504"/>
      <c r="L215" s="504"/>
      <c r="M215" s="504"/>
      <c r="N215" s="504"/>
      <c r="O215" s="504"/>
      <c r="P215" s="504"/>
      <c r="Q215" s="504"/>
      <c r="R215" s="504"/>
      <c r="S215" s="504"/>
      <c r="T215" s="504"/>
      <c r="U215" s="504"/>
      <c r="V215" s="504"/>
      <c r="W215" s="504"/>
      <c r="X215" s="504"/>
      <c r="Y215" s="504"/>
      <c r="Z215" s="504"/>
    </row>
    <row r="216" ht="12.0" customHeight="1">
      <c r="A216" s="488"/>
      <c r="B216" s="507" t="s">
        <v>625</v>
      </c>
      <c r="C216" s="508" t="s">
        <v>34</v>
      </c>
      <c r="D216" s="490"/>
      <c r="E216" s="491"/>
      <c r="F216" s="492"/>
      <c r="G216" s="504"/>
      <c r="H216" s="504"/>
      <c r="I216" s="504"/>
      <c r="J216" s="504"/>
      <c r="K216" s="504"/>
      <c r="L216" s="504"/>
      <c r="M216" s="504"/>
      <c r="N216" s="504"/>
      <c r="O216" s="504"/>
      <c r="P216" s="504"/>
      <c r="Q216" s="504"/>
      <c r="R216" s="504"/>
      <c r="S216" s="504"/>
      <c r="T216" s="504"/>
      <c r="U216" s="504"/>
      <c r="V216" s="504"/>
      <c r="W216" s="504"/>
      <c r="X216" s="504"/>
      <c r="Y216" s="504"/>
      <c r="Z216" s="504"/>
    </row>
    <row r="217" ht="12.0" customHeight="1">
      <c r="A217" s="488"/>
      <c r="B217" s="507" t="s">
        <v>626</v>
      </c>
      <c r="C217" s="508" t="s">
        <v>34</v>
      </c>
      <c r="D217" s="490"/>
      <c r="E217" s="491"/>
      <c r="F217" s="492"/>
      <c r="G217" s="504"/>
      <c r="H217" s="504"/>
      <c r="I217" s="504"/>
      <c r="J217" s="504"/>
      <c r="K217" s="504"/>
      <c r="L217" s="504"/>
      <c r="M217" s="504"/>
      <c r="N217" s="504"/>
      <c r="O217" s="504"/>
      <c r="P217" s="504"/>
      <c r="Q217" s="504"/>
      <c r="R217" s="504"/>
      <c r="S217" s="504"/>
      <c r="T217" s="504"/>
      <c r="U217" s="504"/>
      <c r="V217" s="504"/>
      <c r="W217" s="504"/>
      <c r="X217" s="504"/>
      <c r="Y217" s="504"/>
      <c r="Z217" s="504"/>
    </row>
    <row r="218" ht="12.0" customHeight="1">
      <c r="A218" s="488"/>
      <c r="B218" s="507" t="s">
        <v>627</v>
      </c>
      <c r="C218" s="508" t="s">
        <v>34</v>
      </c>
      <c r="D218" s="490"/>
      <c r="E218" s="491"/>
      <c r="F218" s="492"/>
      <c r="G218" s="504"/>
      <c r="H218" s="504"/>
      <c r="I218" s="504"/>
      <c r="J218" s="504"/>
      <c r="K218" s="504"/>
      <c r="L218" s="504"/>
      <c r="M218" s="504"/>
      <c r="N218" s="504"/>
      <c r="O218" s="504"/>
      <c r="P218" s="504"/>
      <c r="Q218" s="504"/>
      <c r="R218" s="504"/>
      <c r="S218" s="504"/>
      <c r="T218" s="504"/>
      <c r="U218" s="504"/>
      <c r="V218" s="504"/>
      <c r="W218" s="504"/>
      <c r="X218" s="504"/>
      <c r="Y218" s="504"/>
      <c r="Z218" s="504"/>
    </row>
    <row r="219" ht="12.0" customHeight="1">
      <c r="A219" s="488"/>
      <c r="B219" s="507" t="s">
        <v>628</v>
      </c>
      <c r="C219" s="508" t="s">
        <v>34</v>
      </c>
      <c r="D219" s="490"/>
      <c r="E219" s="491"/>
      <c r="F219" s="492"/>
      <c r="G219" s="504"/>
      <c r="H219" s="504"/>
      <c r="I219" s="504"/>
      <c r="J219" s="504"/>
      <c r="K219" s="504"/>
      <c r="L219" s="504"/>
      <c r="M219" s="504"/>
      <c r="N219" s="504"/>
      <c r="O219" s="504"/>
      <c r="P219" s="504"/>
      <c r="Q219" s="504"/>
      <c r="R219" s="504"/>
      <c r="S219" s="504"/>
      <c r="T219" s="504"/>
      <c r="U219" s="504"/>
      <c r="V219" s="504"/>
      <c r="W219" s="504"/>
      <c r="X219" s="504"/>
      <c r="Y219" s="504"/>
      <c r="Z219" s="504"/>
    </row>
    <row r="220" ht="12.0" customHeight="1">
      <c r="A220" s="488"/>
      <c r="B220" s="507" t="s">
        <v>629</v>
      </c>
      <c r="C220" s="508" t="s">
        <v>34</v>
      </c>
      <c r="D220" s="490"/>
      <c r="E220" s="491"/>
      <c r="F220" s="492"/>
      <c r="G220" s="504"/>
      <c r="H220" s="504"/>
      <c r="I220" s="504"/>
      <c r="J220" s="504"/>
      <c r="K220" s="504"/>
      <c r="L220" s="504"/>
      <c r="M220" s="504"/>
      <c r="N220" s="504"/>
      <c r="O220" s="504"/>
      <c r="P220" s="504"/>
      <c r="Q220" s="504"/>
      <c r="R220" s="504"/>
      <c r="S220" s="504"/>
      <c r="T220" s="504"/>
      <c r="U220" s="504"/>
      <c r="V220" s="504"/>
      <c r="W220" s="504"/>
      <c r="X220" s="504"/>
      <c r="Y220" s="504"/>
      <c r="Z220" s="504"/>
    </row>
    <row r="221" ht="12.0" customHeight="1">
      <c r="A221" s="488"/>
      <c r="B221" s="507" t="s">
        <v>630</v>
      </c>
      <c r="C221" s="508" t="s">
        <v>51</v>
      </c>
      <c r="D221" s="490"/>
      <c r="E221" s="491"/>
      <c r="F221" s="492"/>
      <c r="G221" s="504"/>
      <c r="H221" s="504"/>
      <c r="I221" s="504"/>
      <c r="J221" s="504"/>
      <c r="K221" s="504"/>
      <c r="L221" s="504"/>
      <c r="M221" s="504"/>
      <c r="N221" s="504"/>
      <c r="O221" s="504"/>
      <c r="P221" s="504"/>
      <c r="Q221" s="504"/>
      <c r="R221" s="504"/>
      <c r="S221" s="504"/>
      <c r="T221" s="504"/>
      <c r="U221" s="504"/>
      <c r="V221" s="504"/>
      <c r="W221" s="504"/>
      <c r="X221" s="504"/>
      <c r="Y221" s="504"/>
      <c r="Z221" s="504"/>
    </row>
    <row r="222" ht="12.0" customHeight="1">
      <c r="A222" s="488"/>
      <c r="B222" s="507" t="s">
        <v>587</v>
      </c>
      <c r="C222" s="508" t="s">
        <v>32</v>
      </c>
      <c r="D222" s="490"/>
      <c r="E222" s="491"/>
      <c r="F222" s="492"/>
      <c r="G222" s="504"/>
      <c r="H222" s="504"/>
      <c r="I222" s="504"/>
      <c r="J222" s="504"/>
      <c r="K222" s="504"/>
      <c r="L222" s="504"/>
      <c r="M222" s="504"/>
      <c r="N222" s="504"/>
      <c r="O222" s="504"/>
      <c r="P222" s="504"/>
      <c r="Q222" s="504"/>
      <c r="R222" s="504"/>
      <c r="S222" s="504"/>
      <c r="T222" s="504"/>
      <c r="U222" s="504"/>
      <c r="V222" s="504"/>
      <c r="W222" s="504"/>
      <c r="X222" s="504"/>
      <c r="Y222" s="504"/>
      <c r="Z222" s="504"/>
    </row>
    <row r="223" ht="12.0" customHeight="1">
      <c r="A223" s="494"/>
      <c r="B223" s="495" t="str">
        <f>"Sous total : " &amp; A215&amp;" - "&amp;B215</f>
        <v>Sous total : 3.7 - Système anti intrusion</v>
      </c>
      <c r="C223" s="496"/>
      <c r="D223" s="496"/>
      <c r="E223" s="497"/>
      <c r="F223" s="498"/>
      <c r="G223" s="504"/>
      <c r="H223" s="504"/>
      <c r="I223" s="504"/>
      <c r="J223" s="504"/>
      <c r="K223" s="504"/>
      <c r="L223" s="504"/>
      <c r="M223" s="504"/>
      <c r="N223" s="504"/>
      <c r="O223" s="504"/>
      <c r="P223" s="504"/>
      <c r="Q223" s="504"/>
      <c r="R223" s="504"/>
      <c r="S223" s="504"/>
      <c r="T223" s="504"/>
      <c r="U223" s="504"/>
      <c r="V223" s="504"/>
      <c r="W223" s="504"/>
      <c r="X223" s="504"/>
      <c r="Y223" s="504"/>
      <c r="Z223" s="504"/>
    </row>
    <row r="224" ht="12.0" customHeight="1">
      <c r="A224" s="499" t="s">
        <v>966</v>
      </c>
      <c r="B224" s="500" t="s">
        <v>661</v>
      </c>
      <c r="C224" s="501"/>
      <c r="D224" s="501"/>
      <c r="E224" s="502"/>
      <c r="F224" s="503"/>
      <c r="G224" s="504"/>
      <c r="H224" s="504"/>
      <c r="I224" s="504"/>
      <c r="J224" s="504"/>
      <c r="K224" s="504"/>
      <c r="L224" s="504"/>
      <c r="M224" s="504"/>
      <c r="N224" s="504"/>
      <c r="O224" s="504"/>
      <c r="P224" s="504"/>
      <c r="Q224" s="504"/>
      <c r="R224" s="504"/>
      <c r="S224" s="504"/>
      <c r="T224" s="504"/>
      <c r="U224" s="504"/>
      <c r="V224" s="504"/>
      <c r="W224" s="504"/>
      <c r="X224" s="504"/>
      <c r="Y224" s="504"/>
      <c r="Z224" s="504"/>
    </row>
    <row r="225" ht="12.0" customHeight="1">
      <c r="A225" s="523"/>
      <c r="B225" s="507" t="s">
        <v>672</v>
      </c>
      <c r="C225" s="508" t="s">
        <v>34</v>
      </c>
      <c r="D225" s="490"/>
      <c r="E225" s="491"/>
      <c r="F225" s="492"/>
      <c r="G225" s="504"/>
      <c r="H225" s="504"/>
      <c r="I225" s="504"/>
      <c r="J225" s="504"/>
      <c r="K225" s="504"/>
      <c r="L225" s="504"/>
      <c r="M225" s="504"/>
      <c r="N225" s="504"/>
      <c r="O225" s="504"/>
      <c r="P225" s="504"/>
      <c r="Q225" s="504"/>
      <c r="R225" s="504"/>
      <c r="S225" s="504"/>
      <c r="T225" s="504"/>
      <c r="U225" s="504"/>
      <c r="V225" s="504"/>
      <c r="W225" s="504"/>
      <c r="X225" s="504"/>
      <c r="Y225" s="504"/>
      <c r="Z225" s="504"/>
    </row>
    <row r="226" ht="12.0" customHeight="1">
      <c r="A226" s="523"/>
      <c r="B226" s="507" t="s">
        <v>512</v>
      </c>
      <c r="C226" s="508" t="s">
        <v>34</v>
      </c>
      <c r="D226" s="490"/>
      <c r="E226" s="491"/>
      <c r="F226" s="492"/>
      <c r="G226" s="504"/>
      <c r="H226" s="504"/>
      <c r="I226" s="504"/>
      <c r="J226" s="504"/>
      <c r="K226" s="504"/>
      <c r="L226" s="504"/>
      <c r="M226" s="504"/>
      <c r="N226" s="504"/>
      <c r="O226" s="504"/>
      <c r="P226" s="504"/>
      <c r="Q226" s="504"/>
      <c r="R226" s="504"/>
      <c r="S226" s="504"/>
      <c r="T226" s="504"/>
      <c r="U226" s="504"/>
      <c r="V226" s="504"/>
      <c r="W226" s="504"/>
      <c r="X226" s="504"/>
      <c r="Y226" s="504"/>
      <c r="Z226" s="504"/>
    </row>
    <row r="227" ht="12.0" customHeight="1">
      <c r="A227" s="523"/>
      <c r="B227" s="507" t="s">
        <v>673</v>
      </c>
      <c r="C227" s="508" t="s">
        <v>32</v>
      </c>
      <c r="D227" s="490"/>
      <c r="E227" s="491"/>
      <c r="F227" s="492"/>
      <c r="G227" s="504"/>
      <c r="H227" s="504"/>
      <c r="I227" s="504"/>
      <c r="J227" s="504"/>
      <c r="K227" s="504"/>
      <c r="L227" s="504"/>
      <c r="M227" s="504"/>
      <c r="N227" s="504"/>
      <c r="O227" s="504"/>
      <c r="P227" s="504"/>
      <c r="Q227" s="504"/>
      <c r="R227" s="504"/>
      <c r="S227" s="504"/>
      <c r="T227" s="504"/>
      <c r="U227" s="504"/>
      <c r="V227" s="504"/>
      <c r="W227" s="504"/>
      <c r="X227" s="504"/>
      <c r="Y227" s="504"/>
      <c r="Z227" s="504"/>
    </row>
    <row r="228" ht="12.0" customHeight="1">
      <c r="A228" s="523"/>
      <c r="B228" s="507" t="s">
        <v>534</v>
      </c>
      <c r="C228" s="508" t="s">
        <v>32</v>
      </c>
      <c r="D228" s="490"/>
      <c r="E228" s="491"/>
      <c r="F228" s="492"/>
      <c r="G228" s="504"/>
      <c r="H228" s="504"/>
      <c r="I228" s="504"/>
      <c r="J228" s="504"/>
      <c r="K228" s="504"/>
      <c r="L228" s="504"/>
      <c r="M228" s="504"/>
      <c r="N228" s="504"/>
      <c r="O228" s="504"/>
      <c r="P228" s="504"/>
      <c r="Q228" s="504"/>
      <c r="R228" s="504"/>
      <c r="S228" s="504"/>
      <c r="T228" s="504"/>
      <c r="U228" s="504"/>
      <c r="V228" s="504"/>
      <c r="W228" s="504"/>
      <c r="X228" s="504"/>
      <c r="Y228" s="504"/>
      <c r="Z228" s="504"/>
    </row>
    <row r="229" ht="12.0" customHeight="1">
      <c r="A229" s="523"/>
      <c r="B229" s="507" t="s">
        <v>674</v>
      </c>
      <c r="C229" s="508" t="s">
        <v>32</v>
      </c>
      <c r="D229" s="490"/>
      <c r="E229" s="491"/>
      <c r="F229" s="492"/>
      <c r="G229" s="504"/>
      <c r="H229" s="504"/>
      <c r="I229" s="504"/>
      <c r="J229" s="504"/>
      <c r="K229" s="504"/>
      <c r="L229" s="504"/>
      <c r="M229" s="504"/>
      <c r="N229" s="504"/>
      <c r="O229" s="504"/>
      <c r="P229" s="504"/>
      <c r="Q229" s="504"/>
      <c r="R229" s="504"/>
      <c r="S229" s="504"/>
      <c r="T229" s="504"/>
      <c r="U229" s="504"/>
      <c r="V229" s="504"/>
      <c r="W229" s="504"/>
      <c r="X229" s="504"/>
      <c r="Y229" s="504"/>
      <c r="Z229" s="504"/>
    </row>
    <row r="230" ht="12.0" customHeight="1">
      <c r="A230" s="524"/>
      <c r="B230" s="495" t="str">
        <f>"Sous total : " &amp; A224&amp;" - "&amp;B224</f>
        <v>Sous total : 3.8 - Sonorisation</v>
      </c>
      <c r="C230" s="496"/>
      <c r="D230" s="496"/>
      <c r="E230" s="497"/>
      <c r="F230" s="498"/>
      <c r="G230" s="504"/>
      <c r="H230" s="504"/>
      <c r="I230" s="504"/>
      <c r="J230" s="504"/>
      <c r="K230" s="504"/>
      <c r="L230" s="504"/>
      <c r="M230" s="504"/>
      <c r="N230" s="504"/>
      <c r="O230" s="504"/>
      <c r="P230" s="504"/>
      <c r="Q230" s="504"/>
      <c r="R230" s="504"/>
      <c r="S230" s="504"/>
      <c r="T230" s="504"/>
      <c r="U230" s="504"/>
      <c r="V230" s="504"/>
      <c r="W230" s="504"/>
      <c r="X230" s="504"/>
      <c r="Y230" s="504"/>
      <c r="Z230" s="504"/>
    </row>
    <row r="231" ht="12.0" customHeight="1">
      <c r="A231" s="499"/>
      <c r="B231" s="500" t="s">
        <v>632</v>
      </c>
      <c r="C231" s="501"/>
      <c r="D231" s="501"/>
      <c r="E231" s="502"/>
      <c r="F231" s="503"/>
      <c r="G231" s="504"/>
      <c r="H231" s="504"/>
      <c r="I231" s="504"/>
      <c r="J231" s="504"/>
      <c r="K231" s="504"/>
      <c r="L231" s="504"/>
      <c r="M231" s="504"/>
      <c r="N231" s="504"/>
      <c r="O231" s="504"/>
      <c r="P231" s="504"/>
      <c r="Q231" s="504"/>
      <c r="R231" s="504"/>
      <c r="S231" s="504"/>
      <c r="T231" s="504"/>
      <c r="U231" s="504"/>
      <c r="V231" s="504"/>
      <c r="W231" s="504"/>
      <c r="X231" s="504"/>
      <c r="Y231" s="504"/>
      <c r="Z231" s="504"/>
    </row>
    <row r="232" ht="12.0" customHeight="1">
      <c r="A232" s="488"/>
      <c r="B232" s="507" t="s">
        <v>643</v>
      </c>
      <c r="C232" s="508" t="s">
        <v>34</v>
      </c>
      <c r="D232" s="490"/>
      <c r="E232" s="491"/>
      <c r="F232" s="492"/>
      <c r="G232" s="504"/>
      <c r="H232" s="504"/>
      <c r="I232" s="504"/>
      <c r="J232" s="504"/>
      <c r="K232" s="504"/>
      <c r="L232" s="504"/>
      <c r="M232" s="504"/>
      <c r="N232" s="504"/>
      <c r="O232" s="504"/>
      <c r="P232" s="504"/>
      <c r="Q232" s="504"/>
      <c r="R232" s="504"/>
      <c r="S232" s="504"/>
      <c r="T232" s="504"/>
      <c r="U232" s="504"/>
      <c r="V232" s="504"/>
      <c r="W232" s="504"/>
      <c r="X232" s="504"/>
      <c r="Y232" s="504"/>
      <c r="Z232" s="504"/>
    </row>
    <row r="233" ht="12.0" customHeight="1">
      <c r="A233" s="488"/>
      <c r="B233" s="507" t="s">
        <v>644</v>
      </c>
      <c r="C233" s="508" t="s">
        <v>34</v>
      </c>
      <c r="D233" s="490"/>
      <c r="E233" s="491"/>
      <c r="F233" s="492"/>
      <c r="G233" s="504"/>
      <c r="H233" s="504"/>
      <c r="I233" s="504"/>
      <c r="J233" s="504"/>
      <c r="K233" s="504"/>
      <c r="L233" s="504"/>
      <c r="M233" s="504"/>
      <c r="N233" s="504"/>
      <c r="O233" s="504"/>
      <c r="P233" s="504"/>
      <c r="Q233" s="504"/>
      <c r="R233" s="504"/>
      <c r="S233" s="504"/>
      <c r="T233" s="504"/>
      <c r="U233" s="504"/>
      <c r="V233" s="504"/>
      <c r="W233" s="504"/>
      <c r="X233" s="504"/>
      <c r="Y233" s="504"/>
      <c r="Z233" s="504"/>
    </row>
    <row r="234" ht="12.0" customHeight="1">
      <c r="A234" s="488"/>
      <c r="B234" s="507" t="s">
        <v>645</v>
      </c>
      <c r="C234" s="508" t="s">
        <v>34</v>
      </c>
      <c r="D234" s="490"/>
      <c r="E234" s="491"/>
      <c r="F234" s="492"/>
      <c r="G234" s="504"/>
      <c r="H234" s="504"/>
      <c r="I234" s="504"/>
      <c r="J234" s="504"/>
      <c r="K234" s="504"/>
      <c r="L234" s="504"/>
      <c r="M234" s="504"/>
      <c r="N234" s="504"/>
      <c r="O234" s="504"/>
      <c r="P234" s="504"/>
      <c r="Q234" s="504"/>
      <c r="R234" s="504"/>
      <c r="S234" s="504"/>
      <c r="T234" s="504"/>
      <c r="U234" s="504"/>
      <c r="V234" s="504"/>
      <c r="W234" s="504"/>
      <c r="X234" s="504"/>
      <c r="Y234" s="504"/>
      <c r="Z234" s="504"/>
    </row>
    <row r="235" ht="12.0" customHeight="1">
      <c r="A235" s="488"/>
      <c r="B235" s="507" t="s">
        <v>646</v>
      </c>
      <c r="C235" s="508" t="s">
        <v>34</v>
      </c>
      <c r="D235" s="490"/>
      <c r="E235" s="491"/>
      <c r="F235" s="492"/>
      <c r="G235" s="504"/>
      <c r="H235" s="504"/>
      <c r="I235" s="504"/>
      <c r="J235" s="504"/>
      <c r="K235" s="504"/>
      <c r="L235" s="504"/>
      <c r="M235" s="504"/>
      <c r="N235" s="504"/>
      <c r="O235" s="504"/>
      <c r="P235" s="504"/>
      <c r="Q235" s="504"/>
      <c r="R235" s="504"/>
      <c r="S235" s="504"/>
      <c r="T235" s="504"/>
      <c r="U235" s="504"/>
      <c r="V235" s="504"/>
      <c r="W235" s="504"/>
      <c r="X235" s="504"/>
      <c r="Y235" s="504"/>
      <c r="Z235" s="504"/>
    </row>
    <row r="236" ht="12.0" customHeight="1">
      <c r="A236" s="488"/>
      <c r="B236" s="507" t="s">
        <v>647</v>
      </c>
      <c r="C236" s="508" t="s">
        <v>34</v>
      </c>
      <c r="D236" s="490"/>
      <c r="E236" s="491"/>
      <c r="F236" s="492"/>
      <c r="G236" s="504"/>
      <c r="H236" s="504"/>
      <c r="I236" s="504"/>
      <c r="J236" s="504"/>
      <c r="K236" s="504"/>
      <c r="L236" s="504"/>
      <c r="M236" s="504"/>
      <c r="N236" s="504"/>
      <c r="O236" s="504"/>
      <c r="P236" s="504"/>
      <c r="Q236" s="504"/>
      <c r="R236" s="504"/>
      <c r="S236" s="504"/>
      <c r="T236" s="504"/>
      <c r="U236" s="504"/>
      <c r="V236" s="504"/>
      <c r="W236" s="504"/>
      <c r="X236" s="504"/>
      <c r="Y236" s="504"/>
      <c r="Z236" s="504"/>
    </row>
    <row r="237" ht="12.0" customHeight="1">
      <c r="A237" s="488"/>
      <c r="B237" s="507" t="s">
        <v>587</v>
      </c>
      <c r="C237" s="508" t="s">
        <v>32</v>
      </c>
      <c r="D237" s="490"/>
      <c r="E237" s="491"/>
      <c r="F237" s="492"/>
      <c r="G237" s="504"/>
      <c r="H237" s="504"/>
      <c r="I237" s="504"/>
      <c r="J237" s="504"/>
      <c r="K237" s="504"/>
      <c r="L237" s="504"/>
      <c r="M237" s="504"/>
      <c r="N237" s="504"/>
      <c r="O237" s="504"/>
      <c r="P237" s="504"/>
      <c r="Q237" s="504"/>
      <c r="R237" s="504"/>
      <c r="S237" s="504"/>
      <c r="T237" s="504"/>
      <c r="U237" s="504"/>
      <c r="V237" s="504"/>
      <c r="W237" s="504"/>
      <c r="X237" s="504"/>
      <c r="Y237" s="504"/>
      <c r="Z237" s="504"/>
    </row>
    <row r="238" ht="12.0" customHeight="1">
      <c r="A238" s="488"/>
      <c r="B238" s="507" t="s">
        <v>648</v>
      </c>
      <c r="C238" s="508" t="s">
        <v>32</v>
      </c>
      <c r="D238" s="490"/>
      <c r="E238" s="491"/>
      <c r="F238" s="492"/>
      <c r="G238" s="504"/>
      <c r="H238" s="504"/>
      <c r="I238" s="504"/>
      <c r="J238" s="504"/>
      <c r="K238" s="504"/>
      <c r="L238" s="504"/>
      <c r="M238" s="504"/>
      <c r="N238" s="504"/>
      <c r="O238" s="504"/>
      <c r="P238" s="504"/>
      <c r="Q238" s="504"/>
      <c r="R238" s="504"/>
      <c r="S238" s="504"/>
      <c r="T238" s="504"/>
      <c r="U238" s="504"/>
      <c r="V238" s="504"/>
      <c r="W238" s="504"/>
      <c r="X238" s="504"/>
      <c r="Y238" s="504"/>
      <c r="Z238" s="504"/>
    </row>
    <row r="239" ht="12.0" customHeight="1">
      <c r="A239" s="488"/>
      <c r="B239" s="507" t="s">
        <v>375</v>
      </c>
      <c r="C239" s="508" t="s">
        <v>32</v>
      </c>
      <c r="D239" s="490"/>
      <c r="E239" s="491"/>
      <c r="F239" s="492"/>
      <c r="G239" s="504"/>
      <c r="H239" s="504"/>
      <c r="I239" s="504"/>
      <c r="J239" s="504"/>
      <c r="K239" s="504"/>
      <c r="L239" s="504"/>
      <c r="M239" s="504"/>
      <c r="N239" s="504"/>
      <c r="O239" s="504"/>
      <c r="P239" s="504"/>
      <c r="Q239" s="504"/>
      <c r="R239" s="504"/>
      <c r="S239" s="504"/>
      <c r="T239" s="504"/>
      <c r="U239" s="504"/>
      <c r="V239" s="504"/>
      <c r="W239" s="504"/>
      <c r="X239" s="504"/>
      <c r="Y239" s="504"/>
      <c r="Z239" s="504"/>
    </row>
    <row r="240" ht="12.0" customHeight="1">
      <c r="A240" s="494"/>
      <c r="B240" s="495" t="str">
        <f>"Sous total : " &amp; A231&amp;" - "&amp;B231</f>
        <v>Sous total :  - Vidéo surveillance</v>
      </c>
      <c r="C240" s="496"/>
      <c r="D240" s="496"/>
      <c r="E240" s="497"/>
      <c r="F240" s="498"/>
      <c r="G240" s="504"/>
      <c r="H240" s="504"/>
      <c r="I240" s="504"/>
      <c r="J240" s="504"/>
      <c r="K240" s="504"/>
      <c r="L240" s="504"/>
      <c r="M240" s="504"/>
      <c r="N240" s="504"/>
      <c r="O240" s="504"/>
      <c r="P240" s="504"/>
      <c r="Q240" s="504"/>
      <c r="R240" s="504"/>
      <c r="S240" s="504"/>
      <c r="T240" s="504"/>
      <c r="U240" s="504"/>
      <c r="V240" s="504"/>
      <c r="W240" s="504"/>
      <c r="X240" s="504"/>
      <c r="Y240" s="504"/>
      <c r="Z240" s="504"/>
    </row>
    <row r="241" ht="12.0" customHeight="1">
      <c r="A241" s="480"/>
      <c r="B241" s="485"/>
      <c r="C241" s="525"/>
      <c r="D241" s="525"/>
      <c r="E241" s="526"/>
      <c r="F241" s="526"/>
      <c r="G241" s="474"/>
      <c r="H241" s="474"/>
      <c r="I241" s="474"/>
      <c r="J241" s="474"/>
      <c r="K241" s="474"/>
      <c r="L241" s="474"/>
      <c r="M241" s="474"/>
      <c r="N241" s="474"/>
      <c r="O241" s="474"/>
      <c r="P241" s="474"/>
      <c r="Q241" s="474"/>
      <c r="R241" s="474"/>
      <c r="S241" s="474"/>
      <c r="T241" s="474"/>
      <c r="U241" s="474"/>
      <c r="V241" s="474"/>
      <c r="W241" s="474"/>
      <c r="X241" s="474"/>
      <c r="Y241" s="474"/>
      <c r="Z241" s="474"/>
    </row>
    <row r="242" ht="15.75" customHeight="1">
      <c r="A242" s="486" t="s">
        <v>967</v>
      </c>
      <c r="B242" s="415"/>
      <c r="C242" s="415"/>
      <c r="D242" s="415"/>
      <c r="E242" s="415"/>
      <c r="F242" s="223"/>
      <c r="G242" s="504"/>
      <c r="H242" s="504"/>
      <c r="I242" s="504"/>
      <c r="J242" s="504"/>
      <c r="K242" s="504"/>
      <c r="L242" s="504"/>
      <c r="M242" s="504"/>
      <c r="N242" s="504"/>
      <c r="O242" s="504"/>
      <c r="P242" s="504"/>
      <c r="Q242" s="504"/>
      <c r="R242" s="504"/>
      <c r="S242" s="504"/>
      <c r="T242" s="504"/>
      <c r="U242" s="504"/>
      <c r="V242" s="504"/>
      <c r="W242" s="504"/>
      <c r="X242" s="504"/>
      <c r="Y242" s="504"/>
      <c r="Z242" s="504"/>
    </row>
    <row r="243" ht="12.0" customHeight="1">
      <c r="A243" s="499"/>
      <c r="B243" s="527" t="str">
        <f>A6</f>
        <v>Courants forts</v>
      </c>
      <c r="C243" s="501"/>
      <c r="D243" s="501"/>
      <c r="E243" s="502"/>
      <c r="F243" s="503"/>
      <c r="G243" s="504"/>
      <c r="H243" s="504"/>
      <c r="I243" s="504"/>
      <c r="J243" s="504"/>
      <c r="K243" s="504"/>
      <c r="L243" s="504"/>
      <c r="M243" s="504"/>
      <c r="N243" s="504"/>
      <c r="O243" s="504"/>
      <c r="P243" s="504"/>
      <c r="Q243" s="504"/>
      <c r="R243" s="504"/>
      <c r="S243" s="504"/>
      <c r="T243" s="504"/>
      <c r="U243" s="504"/>
      <c r="V243" s="504"/>
      <c r="W243" s="504"/>
      <c r="X243" s="504"/>
      <c r="Y243" s="504"/>
      <c r="Z243" s="504"/>
    </row>
    <row r="244" ht="12.0" customHeight="1">
      <c r="A244" s="488" t="str">
        <f t="shared" ref="A244:B244" si="1">A7</f>
        <v>1.3</v>
      </c>
      <c r="B244" s="528" t="str">
        <f t="shared" si="1"/>
        <v>Etudes, Plans, DOE</v>
      </c>
      <c r="C244" s="490"/>
      <c r="D244" s="490"/>
      <c r="E244" s="491"/>
      <c r="F244" s="492"/>
      <c r="G244" s="504"/>
      <c r="H244" s="504"/>
      <c r="I244" s="504"/>
      <c r="J244" s="504"/>
      <c r="K244" s="504"/>
      <c r="L244" s="504"/>
      <c r="M244" s="504"/>
      <c r="N244" s="504"/>
      <c r="O244" s="504"/>
      <c r="P244" s="504"/>
      <c r="Q244" s="504"/>
      <c r="R244" s="504"/>
      <c r="S244" s="504"/>
      <c r="T244" s="504"/>
      <c r="U244" s="504"/>
      <c r="V244" s="504"/>
      <c r="W244" s="504"/>
      <c r="X244" s="504"/>
      <c r="Y244" s="504"/>
      <c r="Z244" s="504"/>
    </row>
    <row r="245" ht="12.0" customHeight="1">
      <c r="A245" s="488" t="str">
        <f t="shared" ref="A245:B245" si="2">A11</f>
        <v>1.6</v>
      </c>
      <c r="B245" s="528" t="str">
        <f t="shared" si="2"/>
        <v>Essais, mise en service</v>
      </c>
      <c r="C245" s="490"/>
      <c r="D245" s="490"/>
      <c r="E245" s="491"/>
      <c r="F245" s="492"/>
      <c r="G245" s="504"/>
      <c r="H245" s="504"/>
      <c r="I245" s="504"/>
      <c r="J245" s="504"/>
      <c r="K245" s="504"/>
      <c r="L245" s="504"/>
      <c r="M245" s="504"/>
      <c r="N245" s="504"/>
      <c r="O245" s="504"/>
      <c r="P245" s="504"/>
      <c r="Q245" s="504"/>
      <c r="R245" s="504"/>
      <c r="S245" s="504"/>
      <c r="T245" s="504"/>
      <c r="U245" s="504"/>
      <c r="V245" s="504"/>
      <c r="W245" s="504"/>
      <c r="X245" s="504"/>
      <c r="Y245" s="504"/>
      <c r="Z245" s="504"/>
    </row>
    <row r="246" ht="12.0" customHeight="1">
      <c r="A246" s="488" t="str">
        <f t="shared" ref="A246:B246" si="3">A16</f>
        <v>2.2</v>
      </c>
      <c r="B246" s="528" t="str">
        <f t="shared" si="3"/>
        <v>Installation de chantier</v>
      </c>
      <c r="C246" s="490"/>
      <c r="D246" s="490"/>
      <c r="E246" s="491"/>
      <c r="F246" s="492"/>
      <c r="G246" s="504"/>
      <c r="H246" s="504"/>
      <c r="I246" s="504"/>
      <c r="J246" s="504"/>
      <c r="K246" s="504"/>
      <c r="L246" s="504"/>
      <c r="M246" s="504"/>
      <c r="N246" s="504"/>
      <c r="O246" s="504"/>
      <c r="P246" s="504"/>
      <c r="Q246" s="504"/>
      <c r="R246" s="504"/>
      <c r="S246" s="504"/>
      <c r="T246" s="504"/>
      <c r="U246" s="504"/>
      <c r="V246" s="504"/>
      <c r="W246" s="504"/>
      <c r="X246" s="504"/>
      <c r="Y246" s="504"/>
      <c r="Z246" s="504"/>
    </row>
    <row r="247" ht="12.0" customHeight="1">
      <c r="A247" s="488" t="str">
        <f t="shared" ref="A247:B247" si="4">A21</f>
        <v/>
      </c>
      <c r="B247" s="528" t="str">
        <f t="shared" si="4"/>
        <v>Installation existantes</v>
      </c>
      <c r="C247" s="490"/>
      <c r="D247" s="490"/>
      <c r="E247" s="491"/>
      <c r="F247" s="492"/>
      <c r="G247" s="504"/>
      <c r="H247" s="504"/>
      <c r="I247" s="504"/>
      <c r="J247" s="504"/>
      <c r="K247" s="504"/>
      <c r="L247" s="504"/>
      <c r="M247" s="504"/>
      <c r="N247" s="504"/>
      <c r="O247" s="504"/>
      <c r="P247" s="504"/>
      <c r="Q247" s="504"/>
      <c r="R247" s="504"/>
      <c r="S247" s="504"/>
      <c r="T247" s="504"/>
      <c r="U247" s="504"/>
      <c r="V247" s="504"/>
      <c r="W247" s="504"/>
      <c r="X247" s="504"/>
      <c r="Y247" s="504"/>
      <c r="Z247" s="504"/>
    </row>
    <row r="248" ht="12.0" customHeight="1">
      <c r="A248" s="488" t="str">
        <f t="shared" ref="A248:B248" si="5">A25</f>
        <v>2.4</v>
      </c>
      <c r="B248" s="528" t="str">
        <f t="shared" si="5"/>
        <v>Réseau de terre</v>
      </c>
      <c r="C248" s="490"/>
      <c r="D248" s="490"/>
      <c r="E248" s="491"/>
      <c r="F248" s="492"/>
      <c r="G248" s="504"/>
      <c r="H248" s="504"/>
      <c r="I248" s="504"/>
      <c r="J248" s="504"/>
      <c r="K248" s="504"/>
      <c r="L248" s="504"/>
      <c r="M248" s="504"/>
      <c r="N248" s="504"/>
      <c r="O248" s="504"/>
      <c r="P248" s="504"/>
      <c r="Q248" s="504"/>
      <c r="R248" s="504"/>
      <c r="S248" s="504"/>
      <c r="T248" s="504"/>
      <c r="U248" s="504"/>
      <c r="V248" s="504"/>
      <c r="W248" s="504"/>
      <c r="X248" s="504"/>
      <c r="Y248" s="504"/>
      <c r="Z248" s="504"/>
    </row>
    <row r="249" ht="12.0" customHeight="1">
      <c r="A249" s="488" t="str">
        <f t="shared" ref="A249:B249" si="6">A31</f>
        <v>2.5</v>
      </c>
      <c r="B249" s="528" t="str">
        <f t="shared" si="6"/>
        <v>Branchements</v>
      </c>
      <c r="C249" s="490"/>
      <c r="D249" s="490"/>
      <c r="E249" s="491"/>
      <c r="F249" s="492"/>
      <c r="G249" s="504"/>
      <c r="H249" s="504"/>
      <c r="I249" s="504"/>
      <c r="J249" s="504"/>
      <c r="K249" s="504"/>
      <c r="L249" s="504"/>
      <c r="M249" s="504"/>
      <c r="N249" s="504"/>
      <c r="O249" s="504"/>
      <c r="P249" s="504"/>
      <c r="Q249" s="504"/>
      <c r="R249" s="504"/>
      <c r="S249" s="504"/>
      <c r="T249" s="504"/>
      <c r="U249" s="504"/>
      <c r="V249" s="504"/>
      <c r="W249" s="504"/>
      <c r="X249" s="504"/>
      <c r="Y249" s="504"/>
      <c r="Z249" s="504"/>
    </row>
    <row r="250" ht="12.0" customHeight="1">
      <c r="A250" s="488" t="str">
        <f t="shared" ref="A250:B250" si="7">A39</f>
        <v>2.6</v>
      </c>
      <c r="B250" s="528" t="str">
        <f t="shared" si="7"/>
        <v>Protection contre les effets indirects de la foudre</v>
      </c>
      <c r="C250" s="490"/>
      <c r="D250" s="490"/>
      <c r="E250" s="491"/>
      <c r="F250" s="492"/>
      <c r="G250" s="504"/>
      <c r="H250" s="504"/>
      <c r="I250" s="504"/>
      <c r="J250" s="504"/>
      <c r="K250" s="504"/>
      <c r="L250" s="504"/>
      <c r="M250" s="504"/>
      <c r="N250" s="504"/>
      <c r="O250" s="504"/>
      <c r="P250" s="504"/>
      <c r="Q250" s="504"/>
      <c r="R250" s="504"/>
      <c r="S250" s="504"/>
      <c r="T250" s="504"/>
      <c r="U250" s="504"/>
      <c r="V250" s="504"/>
      <c r="W250" s="504"/>
      <c r="X250" s="504"/>
      <c r="Y250" s="504"/>
      <c r="Z250" s="504"/>
    </row>
    <row r="251" ht="12.0" customHeight="1">
      <c r="A251" s="488" t="str">
        <f t="shared" ref="A251:B251" si="8">A42</f>
        <v/>
      </c>
      <c r="B251" s="528" t="str">
        <f t="shared" si="8"/>
        <v>Poste de transformation</v>
      </c>
      <c r="C251" s="490"/>
      <c r="D251" s="490"/>
      <c r="E251" s="491"/>
      <c r="F251" s="492"/>
      <c r="G251" s="504"/>
      <c r="H251" s="504"/>
      <c r="I251" s="504"/>
      <c r="J251" s="504"/>
      <c r="K251" s="504"/>
      <c r="L251" s="504"/>
      <c r="M251" s="504"/>
      <c r="N251" s="504"/>
      <c r="O251" s="504"/>
      <c r="P251" s="504"/>
      <c r="Q251" s="504"/>
      <c r="R251" s="504"/>
      <c r="S251" s="504"/>
      <c r="T251" s="504"/>
      <c r="U251" s="504"/>
      <c r="V251" s="504"/>
      <c r="W251" s="504"/>
      <c r="X251" s="504"/>
      <c r="Y251" s="504"/>
      <c r="Z251" s="504"/>
    </row>
    <row r="252" ht="12.0" customHeight="1">
      <c r="A252" s="488" t="str">
        <f t="shared" ref="A252:B252" si="9">A54</f>
        <v>2.7</v>
      </c>
      <c r="B252" s="528" t="str">
        <f t="shared" si="9"/>
        <v>Tableau général basse Tension (TGBT)</v>
      </c>
      <c r="C252" s="490"/>
      <c r="D252" s="490"/>
      <c r="E252" s="491"/>
      <c r="F252" s="492"/>
      <c r="G252" s="504"/>
      <c r="H252" s="504"/>
      <c r="I252" s="504"/>
      <c r="J252" s="504"/>
      <c r="K252" s="504"/>
      <c r="L252" s="504"/>
      <c r="M252" s="504"/>
      <c r="N252" s="504"/>
      <c r="O252" s="504"/>
      <c r="P252" s="504"/>
      <c r="Q252" s="504"/>
      <c r="R252" s="504"/>
      <c r="S252" s="504"/>
      <c r="T252" s="504"/>
      <c r="U252" s="504"/>
      <c r="V252" s="504"/>
      <c r="W252" s="504"/>
      <c r="X252" s="504"/>
      <c r="Y252" s="504"/>
      <c r="Z252" s="504"/>
    </row>
    <row r="253" ht="12.0" customHeight="1">
      <c r="A253" s="488" t="str">
        <f t="shared" ref="A253:B253" si="10">A57</f>
        <v>2.8</v>
      </c>
      <c r="B253" s="528" t="str">
        <f t="shared" si="10"/>
        <v>Tableaux divisionnaires de distribution (TD)</v>
      </c>
      <c r="C253" s="490"/>
      <c r="D253" s="490"/>
      <c r="E253" s="491"/>
      <c r="F253" s="492"/>
      <c r="G253" s="504"/>
      <c r="H253" s="504"/>
      <c r="I253" s="504"/>
      <c r="J253" s="504"/>
      <c r="K253" s="504"/>
      <c r="L253" s="504"/>
      <c r="M253" s="504"/>
      <c r="N253" s="504"/>
      <c r="O253" s="504"/>
      <c r="P253" s="504"/>
      <c r="Q253" s="504"/>
      <c r="R253" s="504"/>
      <c r="S253" s="504"/>
      <c r="T253" s="504"/>
      <c r="U253" s="504"/>
      <c r="V253" s="504"/>
      <c r="W253" s="504"/>
      <c r="X253" s="504"/>
      <c r="Y253" s="504"/>
      <c r="Z253" s="504"/>
    </row>
    <row r="254" ht="12.0" customHeight="1">
      <c r="A254" s="529" t="str">
        <f t="shared" ref="A254:B254" si="11">A63</f>
        <v>2.11</v>
      </c>
      <c r="B254" s="528" t="str">
        <f t="shared" si="11"/>
        <v>Distribution</v>
      </c>
      <c r="C254" s="490"/>
      <c r="D254" s="490"/>
      <c r="E254" s="491"/>
      <c r="F254" s="492"/>
      <c r="G254" s="504"/>
      <c r="H254" s="504"/>
      <c r="I254" s="504"/>
      <c r="J254" s="504"/>
      <c r="K254" s="504"/>
      <c r="L254" s="504"/>
      <c r="M254" s="504"/>
      <c r="N254" s="504"/>
      <c r="O254" s="504"/>
      <c r="P254" s="504"/>
      <c r="Q254" s="504"/>
      <c r="R254" s="504"/>
      <c r="S254" s="504"/>
      <c r="T254" s="504"/>
      <c r="U254" s="504"/>
      <c r="V254" s="504"/>
      <c r="W254" s="504"/>
      <c r="X254" s="504"/>
      <c r="Y254" s="504"/>
      <c r="Z254" s="504"/>
    </row>
    <row r="255" ht="12.0" customHeight="1">
      <c r="A255" s="529" t="str">
        <f t="shared" ref="A255:B255" si="12">A71</f>
        <v>2.12</v>
      </c>
      <c r="B255" s="528" t="str">
        <f t="shared" si="12"/>
        <v>Appareillage</v>
      </c>
      <c r="C255" s="490"/>
      <c r="D255" s="490"/>
      <c r="E255" s="491"/>
      <c r="F255" s="492"/>
      <c r="G255" s="504"/>
      <c r="H255" s="504"/>
      <c r="I255" s="504"/>
      <c r="J255" s="504"/>
      <c r="K255" s="504"/>
      <c r="L255" s="504"/>
      <c r="M255" s="504"/>
      <c r="N255" s="504"/>
      <c r="O255" s="504"/>
      <c r="P255" s="504"/>
      <c r="Q255" s="504"/>
      <c r="R255" s="504"/>
      <c r="S255" s="504"/>
      <c r="T255" s="504"/>
      <c r="U255" s="504"/>
      <c r="V255" s="504"/>
      <c r="W255" s="504"/>
      <c r="X255" s="504"/>
      <c r="Y255" s="504"/>
      <c r="Z255" s="504"/>
    </row>
    <row r="256" ht="12.0" customHeight="1">
      <c r="A256" s="488" t="str">
        <f t="shared" ref="A256:B256" si="13">A86</f>
        <v>2.13</v>
      </c>
      <c r="B256" s="528" t="str">
        <f t="shared" si="13"/>
        <v>Eclairage</v>
      </c>
      <c r="C256" s="490"/>
      <c r="D256" s="490"/>
      <c r="E256" s="491"/>
      <c r="F256" s="492"/>
      <c r="G256" s="504"/>
      <c r="H256" s="504"/>
      <c r="I256" s="504"/>
      <c r="J256" s="504"/>
      <c r="K256" s="504"/>
      <c r="L256" s="504"/>
      <c r="M256" s="504"/>
      <c r="N256" s="504"/>
      <c r="O256" s="504"/>
      <c r="P256" s="504"/>
      <c r="Q256" s="504"/>
      <c r="R256" s="504"/>
      <c r="S256" s="504"/>
      <c r="T256" s="504"/>
      <c r="U256" s="504"/>
      <c r="V256" s="504"/>
      <c r="W256" s="504"/>
      <c r="X256" s="504"/>
      <c r="Y256" s="504"/>
      <c r="Z256" s="504"/>
    </row>
    <row r="257" ht="12.0" customHeight="1">
      <c r="A257" s="488" t="str">
        <f t="shared" ref="A257:B257" si="14">A97</f>
        <v>2.15</v>
      </c>
      <c r="B257" s="528" t="str">
        <f t="shared" si="14"/>
        <v>Eclairage de sécurité</v>
      </c>
      <c r="C257" s="490"/>
      <c r="D257" s="490"/>
      <c r="E257" s="491"/>
      <c r="F257" s="492"/>
      <c r="G257" s="504"/>
      <c r="H257" s="504"/>
      <c r="I257" s="504"/>
      <c r="J257" s="504"/>
      <c r="K257" s="504"/>
      <c r="L257" s="504"/>
      <c r="M257" s="504"/>
      <c r="N257" s="504"/>
      <c r="O257" s="504"/>
      <c r="P257" s="504"/>
      <c r="Q257" s="504"/>
      <c r="R257" s="504"/>
      <c r="S257" s="504"/>
      <c r="T257" s="504"/>
      <c r="U257" s="504"/>
      <c r="V257" s="504"/>
      <c r="W257" s="504"/>
      <c r="X257" s="504"/>
      <c r="Y257" s="504"/>
      <c r="Z257" s="504"/>
    </row>
    <row r="258" ht="12.0" customHeight="1">
      <c r="A258" s="488" t="str">
        <f t="shared" ref="A258:B258" si="15">A104</f>
        <v>2.16</v>
      </c>
      <c r="B258" s="528" t="str">
        <f t="shared" si="15"/>
        <v>Alimentations spécifiques</v>
      </c>
      <c r="C258" s="490"/>
      <c r="D258" s="490"/>
      <c r="E258" s="491"/>
      <c r="F258" s="492"/>
      <c r="G258" s="504"/>
      <c r="H258" s="504"/>
      <c r="I258" s="504"/>
      <c r="J258" s="504"/>
      <c r="K258" s="504"/>
      <c r="L258" s="504"/>
      <c r="M258" s="504"/>
      <c r="N258" s="504"/>
      <c r="O258" s="504"/>
      <c r="P258" s="504"/>
      <c r="Q258" s="504"/>
      <c r="R258" s="504"/>
      <c r="S258" s="504"/>
      <c r="T258" s="504"/>
      <c r="U258" s="504"/>
      <c r="V258" s="504"/>
      <c r="W258" s="504"/>
      <c r="X258" s="504"/>
      <c r="Y258" s="504"/>
      <c r="Z258" s="504"/>
    </row>
    <row r="259" ht="12.0" customHeight="1">
      <c r="A259" s="529" t="str">
        <f t="shared" ref="A259:B259" si="16">A126</f>
        <v>2.18</v>
      </c>
      <c r="B259" s="528" t="str">
        <f t="shared" si="16"/>
        <v>Renvoi d'alarme sur Système GTC</v>
      </c>
      <c r="C259" s="490"/>
      <c r="D259" s="490"/>
      <c r="E259" s="491"/>
      <c r="F259" s="492"/>
      <c r="G259" s="504"/>
      <c r="H259" s="504"/>
      <c r="I259" s="504"/>
      <c r="J259" s="504"/>
      <c r="K259" s="504"/>
      <c r="L259" s="504"/>
      <c r="M259" s="504"/>
      <c r="N259" s="504"/>
      <c r="O259" s="504"/>
      <c r="P259" s="504"/>
      <c r="Q259" s="504"/>
      <c r="R259" s="504"/>
      <c r="S259" s="504"/>
      <c r="T259" s="504"/>
      <c r="U259" s="504"/>
      <c r="V259" s="504"/>
      <c r="W259" s="504"/>
      <c r="X259" s="504"/>
      <c r="Y259" s="504"/>
      <c r="Z259" s="504"/>
    </row>
    <row r="260" ht="12.0" customHeight="1">
      <c r="A260" s="488" t="str">
        <f t="shared" ref="A260:B260" si="17">A131</f>
        <v>3.1</v>
      </c>
      <c r="B260" s="528" t="str">
        <f t="shared" si="17"/>
        <v>précâblage VDI</v>
      </c>
      <c r="C260" s="490"/>
      <c r="D260" s="490"/>
      <c r="E260" s="491"/>
      <c r="F260" s="492"/>
      <c r="G260" s="504"/>
      <c r="H260" s="504"/>
      <c r="I260" s="504"/>
      <c r="J260" s="504"/>
      <c r="K260" s="504"/>
      <c r="L260" s="504"/>
      <c r="M260" s="504"/>
      <c r="N260" s="504"/>
      <c r="O260" s="504"/>
      <c r="P260" s="504"/>
      <c r="Q260" s="504"/>
      <c r="R260" s="504"/>
      <c r="S260" s="504"/>
      <c r="T260" s="504"/>
      <c r="U260" s="504"/>
      <c r="V260" s="504"/>
      <c r="W260" s="504"/>
      <c r="X260" s="504"/>
      <c r="Y260" s="504"/>
      <c r="Z260" s="504"/>
    </row>
    <row r="261" ht="12.0" customHeight="1">
      <c r="A261" s="488" t="str">
        <f t="shared" ref="A261:B261" si="18">A145</f>
        <v>3.2</v>
      </c>
      <c r="B261" s="528" t="str">
        <f t="shared" si="18"/>
        <v>Système wifi</v>
      </c>
      <c r="C261" s="490"/>
      <c r="D261" s="490"/>
      <c r="E261" s="491"/>
      <c r="F261" s="492"/>
      <c r="G261" s="504"/>
      <c r="H261" s="504"/>
      <c r="I261" s="504"/>
      <c r="J261" s="504"/>
      <c r="K261" s="504"/>
      <c r="L261" s="504"/>
      <c r="M261" s="504"/>
      <c r="N261" s="504"/>
      <c r="O261" s="504"/>
      <c r="P261" s="504"/>
      <c r="Q261" s="504"/>
      <c r="R261" s="504"/>
      <c r="S261" s="504"/>
      <c r="T261" s="504"/>
      <c r="U261" s="504"/>
      <c r="V261" s="504"/>
      <c r="W261" s="504"/>
      <c r="X261" s="504"/>
      <c r="Y261" s="504"/>
      <c r="Z261" s="504"/>
    </row>
    <row r="262" ht="12.0" customHeight="1">
      <c r="A262" s="488" t="str">
        <f t="shared" ref="A262:B262" si="19">A150</f>
        <v>3.3</v>
      </c>
      <c r="B262" s="528" t="str">
        <f t="shared" si="19"/>
        <v>Téléphonie</v>
      </c>
      <c r="C262" s="490"/>
      <c r="D262" s="490"/>
      <c r="E262" s="491"/>
      <c r="F262" s="492"/>
      <c r="G262" s="504"/>
      <c r="H262" s="504"/>
      <c r="I262" s="504"/>
      <c r="J262" s="504"/>
      <c r="K262" s="504"/>
      <c r="L262" s="504"/>
      <c r="M262" s="504"/>
      <c r="N262" s="504"/>
      <c r="O262" s="504"/>
      <c r="P262" s="504"/>
      <c r="Q262" s="504"/>
      <c r="R262" s="504"/>
      <c r="S262" s="504"/>
      <c r="T262" s="504"/>
      <c r="U262" s="504"/>
      <c r="V262" s="504"/>
      <c r="W262" s="504"/>
      <c r="X262" s="504"/>
      <c r="Y262" s="504"/>
      <c r="Z262" s="504"/>
    </row>
    <row r="263" ht="12.0" customHeight="1">
      <c r="A263" s="488" t="str">
        <f t="shared" ref="A263:B263" si="20">A157</f>
        <v>3.4</v>
      </c>
      <c r="B263" s="528" t="str">
        <f t="shared" si="20"/>
        <v>Système de sécurité incendie</v>
      </c>
      <c r="C263" s="490"/>
      <c r="D263" s="490"/>
      <c r="E263" s="491"/>
      <c r="F263" s="492"/>
      <c r="G263" s="504"/>
      <c r="H263" s="504"/>
      <c r="I263" s="504"/>
      <c r="J263" s="504"/>
      <c r="K263" s="504"/>
      <c r="L263" s="504"/>
      <c r="M263" s="504"/>
      <c r="N263" s="504"/>
      <c r="O263" s="504"/>
      <c r="P263" s="504"/>
      <c r="Q263" s="504"/>
      <c r="R263" s="504"/>
      <c r="S263" s="504"/>
      <c r="T263" s="504"/>
      <c r="U263" s="504"/>
      <c r="V263" s="504"/>
      <c r="W263" s="504"/>
      <c r="X263" s="504"/>
      <c r="Y263" s="504"/>
      <c r="Z263" s="504"/>
    </row>
    <row r="264" ht="12.0" customHeight="1">
      <c r="A264" s="488" t="str">
        <f t="shared" ref="A264:B264" si="21">A169</f>
        <v>3.5</v>
      </c>
      <c r="B264" s="528" t="str">
        <f t="shared" si="21"/>
        <v>Distribution de l'heure</v>
      </c>
      <c r="C264" s="490"/>
      <c r="D264" s="490"/>
      <c r="E264" s="491"/>
      <c r="F264" s="492"/>
      <c r="G264" s="504"/>
      <c r="H264" s="504"/>
      <c r="I264" s="504"/>
      <c r="J264" s="504"/>
      <c r="K264" s="504"/>
      <c r="L264" s="504"/>
      <c r="M264" s="504"/>
      <c r="N264" s="504"/>
      <c r="O264" s="504"/>
      <c r="P264" s="504"/>
      <c r="Q264" s="504"/>
      <c r="R264" s="504"/>
      <c r="S264" s="504"/>
      <c r="T264" s="504"/>
      <c r="U264" s="504"/>
      <c r="V264" s="504"/>
      <c r="W264" s="504"/>
      <c r="X264" s="504"/>
      <c r="Y264" s="504"/>
      <c r="Z264" s="504"/>
    </row>
    <row r="265" ht="12.0" customHeight="1">
      <c r="A265" s="488" t="str">
        <f t="shared" ref="A265:B265" si="22">A175</f>
        <v/>
      </c>
      <c r="B265" s="528" t="str">
        <f t="shared" si="22"/>
        <v>Contrôle d'accès</v>
      </c>
      <c r="C265" s="490"/>
      <c r="D265" s="490"/>
      <c r="E265" s="491"/>
      <c r="F265" s="492"/>
      <c r="G265" s="504"/>
      <c r="H265" s="504"/>
      <c r="I265" s="504"/>
      <c r="J265" s="504"/>
      <c r="K265" s="504"/>
      <c r="L265" s="504"/>
      <c r="M265" s="504"/>
      <c r="N265" s="504"/>
      <c r="O265" s="504"/>
      <c r="P265" s="504"/>
      <c r="Q265" s="504"/>
      <c r="R265" s="504"/>
      <c r="S265" s="504"/>
      <c r="T265" s="504"/>
      <c r="U265" s="504"/>
      <c r="V265" s="504"/>
      <c r="W265" s="504"/>
      <c r="X265" s="504"/>
      <c r="Y265" s="504"/>
      <c r="Z265" s="504"/>
    </row>
    <row r="266" ht="12.0" customHeight="1">
      <c r="A266" s="488" t="str">
        <f t="shared" ref="A266:B266" si="23">A182</f>
        <v/>
      </c>
      <c r="B266" s="528" t="str">
        <f t="shared" si="23"/>
        <v>Système d'appel malade</v>
      </c>
      <c r="C266" s="490"/>
      <c r="D266" s="490"/>
      <c r="E266" s="491"/>
      <c r="F266" s="492"/>
      <c r="G266" s="504"/>
      <c r="H266" s="504"/>
      <c r="I266" s="504"/>
      <c r="J266" s="504"/>
      <c r="K266" s="504"/>
      <c r="L266" s="504"/>
      <c r="M266" s="504"/>
      <c r="N266" s="504"/>
      <c r="O266" s="504"/>
      <c r="P266" s="504"/>
      <c r="Q266" s="504"/>
      <c r="R266" s="504"/>
      <c r="S266" s="504"/>
      <c r="T266" s="504"/>
      <c r="U266" s="504"/>
      <c r="V266" s="504"/>
      <c r="W266" s="504"/>
      <c r="X266" s="504"/>
      <c r="Y266" s="504"/>
      <c r="Z266" s="504"/>
    </row>
    <row r="267" ht="12.0" customHeight="1">
      <c r="A267" s="488" t="str">
        <f t="shared" ref="A267:B267" si="24">A193</f>
        <v>3.6</v>
      </c>
      <c r="B267" s="528" t="str">
        <f t="shared" si="24"/>
        <v>Interphonie / Visiophonie</v>
      </c>
      <c r="C267" s="490"/>
      <c r="D267" s="490"/>
      <c r="E267" s="491"/>
      <c r="F267" s="492"/>
      <c r="G267" s="504"/>
      <c r="H267" s="504"/>
      <c r="I267" s="504"/>
      <c r="J267" s="504"/>
      <c r="K267" s="504"/>
      <c r="L267" s="504"/>
      <c r="M267" s="504"/>
      <c r="N267" s="504"/>
      <c r="O267" s="504"/>
      <c r="P267" s="504"/>
      <c r="Q267" s="504"/>
      <c r="R267" s="504"/>
      <c r="S267" s="504"/>
      <c r="T267" s="504"/>
      <c r="U267" s="504"/>
      <c r="V267" s="504"/>
      <c r="W267" s="504"/>
      <c r="X267" s="504"/>
      <c r="Y267" s="504"/>
      <c r="Z267" s="504"/>
    </row>
    <row r="268" ht="12.0" customHeight="1">
      <c r="A268" s="488" t="str">
        <f t="shared" ref="A268:B268" si="25">A199</f>
        <v/>
      </c>
      <c r="B268" s="528" t="str">
        <f t="shared" si="25"/>
        <v>Interphonie de sécurité</v>
      </c>
      <c r="C268" s="490"/>
      <c r="D268" s="490"/>
      <c r="E268" s="491"/>
      <c r="F268" s="492"/>
      <c r="G268" s="504"/>
      <c r="H268" s="504"/>
      <c r="I268" s="504"/>
      <c r="J268" s="504"/>
      <c r="K268" s="504"/>
      <c r="L268" s="504"/>
      <c r="M268" s="504"/>
      <c r="N268" s="504"/>
      <c r="O268" s="504"/>
      <c r="P268" s="504"/>
      <c r="Q268" s="504"/>
      <c r="R268" s="504"/>
      <c r="S268" s="504"/>
      <c r="T268" s="504"/>
      <c r="U268" s="504"/>
      <c r="V268" s="504"/>
      <c r="W268" s="504"/>
      <c r="X268" s="504"/>
      <c r="Y268" s="504"/>
      <c r="Z268" s="504"/>
    </row>
    <row r="269" ht="12.0" customHeight="1">
      <c r="A269" s="488" t="str">
        <f t="shared" ref="A269:B269" si="26">A203</f>
        <v/>
      </c>
      <c r="B269" s="528" t="str">
        <f t="shared" si="26"/>
        <v>télévision</v>
      </c>
      <c r="C269" s="490"/>
      <c r="D269" s="490"/>
      <c r="E269" s="491"/>
      <c r="F269" s="492"/>
      <c r="G269" s="504"/>
      <c r="H269" s="504"/>
      <c r="I269" s="504"/>
      <c r="J269" s="504"/>
      <c r="K269" s="504"/>
      <c r="L269" s="504"/>
      <c r="M269" s="504"/>
      <c r="N269" s="504"/>
      <c r="O269" s="504"/>
      <c r="P269" s="504"/>
      <c r="Q269" s="504"/>
      <c r="R269" s="504"/>
      <c r="S269" s="504"/>
      <c r="T269" s="504"/>
      <c r="U269" s="504"/>
      <c r="V269" s="504"/>
      <c r="W269" s="504"/>
      <c r="X269" s="504"/>
      <c r="Y269" s="504"/>
      <c r="Z269" s="504"/>
    </row>
    <row r="270" ht="12.0" customHeight="1">
      <c r="A270" s="488" t="str">
        <f t="shared" ref="A270:B270" si="27">A211</f>
        <v/>
      </c>
      <c r="B270" s="528" t="str">
        <f t="shared" si="27"/>
        <v>Alarme technique</v>
      </c>
      <c r="C270" s="490"/>
      <c r="D270" s="490"/>
      <c r="E270" s="491"/>
      <c r="F270" s="492"/>
      <c r="G270" s="504"/>
      <c r="H270" s="504"/>
      <c r="I270" s="504"/>
      <c r="J270" s="504"/>
      <c r="K270" s="504"/>
      <c r="L270" s="504"/>
      <c r="M270" s="504"/>
      <c r="N270" s="504"/>
      <c r="O270" s="504"/>
      <c r="P270" s="504"/>
      <c r="Q270" s="504"/>
      <c r="R270" s="504"/>
      <c r="S270" s="504"/>
      <c r="T270" s="504"/>
      <c r="U270" s="504"/>
      <c r="V270" s="504"/>
      <c r="W270" s="504"/>
      <c r="X270" s="504"/>
      <c r="Y270" s="504"/>
      <c r="Z270" s="504"/>
    </row>
    <row r="271" ht="12.0" customHeight="1">
      <c r="A271" s="488" t="str">
        <f t="shared" ref="A271:B271" si="28">A215</f>
        <v>3.7</v>
      </c>
      <c r="B271" s="528" t="str">
        <f t="shared" si="28"/>
        <v>Système anti intrusion</v>
      </c>
      <c r="C271" s="490"/>
      <c r="D271" s="490"/>
      <c r="E271" s="491"/>
      <c r="F271" s="492"/>
      <c r="G271" s="504"/>
      <c r="H271" s="504"/>
      <c r="I271" s="504"/>
      <c r="J271" s="504"/>
      <c r="K271" s="504"/>
      <c r="L271" s="504"/>
      <c r="M271" s="504"/>
      <c r="N271" s="504"/>
      <c r="O271" s="504"/>
      <c r="P271" s="504"/>
      <c r="Q271" s="504"/>
      <c r="R271" s="504"/>
      <c r="S271" s="504"/>
      <c r="T271" s="504"/>
      <c r="U271" s="504"/>
      <c r="V271" s="504"/>
      <c r="W271" s="504"/>
      <c r="X271" s="504"/>
      <c r="Y271" s="504"/>
      <c r="Z271" s="504"/>
    </row>
    <row r="272" ht="12.0" customHeight="1">
      <c r="A272" s="488" t="str">
        <f t="shared" ref="A272:B272" si="29">A224</f>
        <v>3.8</v>
      </c>
      <c r="B272" s="528" t="str">
        <f t="shared" si="29"/>
        <v>Sonorisation</v>
      </c>
      <c r="C272" s="490"/>
      <c r="D272" s="490"/>
      <c r="E272" s="491"/>
      <c r="F272" s="492"/>
      <c r="G272" s="504"/>
      <c r="H272" s="504"/>
      <c r="I272" s="504"/>
      <c r="J272" s="504"/>
      <c r="K272" s="504"/>
      <c r="L272" s="504"/>
      <c r="M272" s="504"/>
      <c r="N272" s="504"/>
      <c r="O272" s="504"/>
      <c r="P272" s="504"/>
      <c r="Q272" s="504"/>
      <c r="R272" s="504"/>
      <c r="S272" s="504"/>
      <c r="T272" s="504"/>
      <c r="U272" s="504"/>
      <c r="V272" s="504"/>
      <c r="W272" s="504"/>
      <c r="X272" s="504"/>
      <c r="Y272" s="504"/>
      <c r="Z272" s="504"/>
    </row>
    <row r="273" ht="12.0" customHeight="1">
      <c r="A273" s="530" t="str">
        <f t="shared" ref="A273:B273" si="30">A231</f>
        <v/>
      </c>
      <c r="B273" s="531" t="str">
        <f t="shared" si="30"/>
        <v>Vidéo surveillance</v>
      </c>
      <c r="C273" s="532"/>
      <c r="D273" s="532"/>
      <c r="E273" s="533"/>
      <c r="F273" s="534"/>
      <c r="G273" s="504"/>
      <c r="H273" s="504"/>
      <c r="I273" s="504"/>
      <c r="J273" s="504"/>
      <c r="K273" s="504"/>
      <c r="L273" s="504"/>
      <c r="M273" s="504"/>
      <c r="N273" s="504"/>
      <c r="O273" s="504"/>
      <c r="P273" s="504"/>
      <c r="Q273" s="504"/>
      <c r="R273" s="504"/>
      <c r="S273" s="504"/>
      <c r="T273" s="504"/>
      <c r="U273" s="504"/>
      <c r="V273" s="504"/>
      <c r="W273" s="504"/>
      <c r="X273" s="504"/>
      <c r="Y273" s="504"/>
      <c r="Z273" s="504"/>
    </row>
    <row r="274" ht="12.0" customHeight="1">
      <c r="A274" s="535"/>
      <c r="B274" s="536" t="s">
        <v>889</v>
      </c>
      <c r="C274" s="537"/>
      <c r="D274" s="537"/>
      <c r="E274" s="538"/>
      <c r="F274" s="539"/>
      <c r="G274" s="504"/>
      <c r="H274" s="504"/>
      <c r="I274" s="504"/>
      <c r="J274" s="504"/>
      <c r="K274" s="504"/>
      <c r="L274" s="504"/>
      <c r="M274" s="504"/>
      <c r="N274" s="504"/>
      <c r="O274" s="504"/>
      <c r="P274" s="504"/>
      <c r="Q274" s="504"/>
      <c r="R274" s="504"/>
      <c r="S274" s="504"/>
      <c r="T274" s="504"/>
      <c r="U274" s="504"/>
      <c r="V274" s="504"/>
      <c r="W274" s="504"/>
      <c r="X274" s="504"/>
      <c r="Y274" s="504"/>
      <c r="Z274" s="504"/>
    </row>
    <row r="275" ht="12.0" customHeight="1">
      <c r="A275" s="488"/>
      <c r="B275" s="540" t="s">
        <v>968</v>
      </c>
      <c r="C275" s="490"/>
      <c r="D275" s="490"/>
      <c r="E275" s="491"/>
      <c r="F275" s="492"/>
      <c r="G275" s="504"/>
      <c r="H275" s="504"/>
      <c r="I275" s="504"/>
      <c r="J275" s="504"/>
      <c r="K275" s="504"/>
      <c r="L275" s="504"/>
      <c r="M275" s="504"/>
      <c r="N275" s="504"/>
      <c r="O275" s="504"/>
      <c r="P275" s="504"/>
      <c r="Q275" s="504"/>
      <c r="R275" s="504"/>
      <c r="S275" s="504"/>
      <c r="T275" s="504"/>
      <c r="U275" s="504"/>
      <c r="V275" s="504"/>
      <c r="W275" s="504"/>
      <c r="X275" s="504"/>
      <c r="Y275" s="504"/>
      <c r="Z275" s="504"/>
    </row>
    <row r="276" ht="12.0" customHeight="1">
      <c r="A276" s="494"/>
      <c r="B276" s="541" t="s">
        <v>969</v>
      </c>
      <c r="C276" s="542"/>
      <c r="D276" s="542"/>
      <c r="E276" s="543"/>
      <c r="F276" s="544"/>
      <c r="G276" s="504"/>
      <c r="H276" s="504"/>
      <c r="I276" s="504"/>
      <c r="J276" s="504"/>
      <c r="K276" s="504"/>
      <c r="L276" s="504"/>
      <c r="M276" s="504"/>
      <c r="N276" s="504"/>
      <c r="O276" s="504"/>
      <c r="P276" s="504"/>
      <c r="Q276" s="504"/>
      <c r="R276" s="504"/>
      <c r="S276" s="504"/>
      <c r="T276" s="504"/>
      <c r="U276" s="504"/>
      <c r="V276" s="504"/>
      <c r="W276" s="504"/>
      <c r="X276" s="504"/>
      <c r="Y276" s="504"/>
      <c r="Z276" s="504"/>
    </row>
    <row r="277" ht="12.0" customHeight="1">
      <c r="A277" s="499">
        <v>3.0</v>
      </c>
      <c r="B277" s="545" t="s">
        <v>970</v>
      </c>
      <c r="C277" s="517"/>
      <c r="D277" s="517"/>
      <c r="E277" s="518"/>
      <c r="F277" s="519"/>
      <c r="G277" s="504"/>
      <c r="H277" s="504"/>
      <c r="I277" s="504"/>
      <c r="J277" s="504"/>
      <c r="K277" s="504"/>
      <c r="L277" s="504"/>
      <c r="M277" s="504"/>
      <c r="N277" s="504"/>
      <c r="O277" s="504"/>
      <c r="P277" s="504"/>
      <c r="Q277" s="504"/>
      <c r="R277" s="504"/>
      <c r="S277" s="504"/>
      <c r="T277" s="504"/>
      <c r="U277" s="504"/>
      <c r="V277" s="504"/>
      <c r="W277" s="504"/>
      <c r="X277" s="504"/>
      <c r="Y277" s="504"/>
      <c r="Z277" s="504"/>
    </row>
    <row r="278" ht="12.0" customHeight="1">
      <c r="A278" s="488"/>
      <c r="B278" s="493"/>
      <c r="C278" s="509"/>
      <c r="D278" s="509"/>
      <c r="E278" s="510"/>
      <c r="F278" s="511"/>
      <c r="G278" s="504"/>
      <c r="H278" s="504"/>
      <c r="I278" s="504"/>
      <c r="J278" s="504"/>
      <c r="K278" s="504"/>
      <c r="L278" s="504"/>
      <c r="M278" s="504"/>
      <c r="N278" s="504"/>
      <c r="O278" s="504"/>
      <c r="P278" s="504"/>
      <c r="Q278" s="504"/>
      <c r="R278" s="504"/>
      <c r="S278" s="504"/>
      <c r="T278" s="504"/>
      <c r="U278" s="504"/>
      <c r="V278" s="504"/>
      <c r="W278" s="504"/>
      <c r="X278" s="504"/>
      <c r="Y278" s="504"/>
      <c r="Z278" s="504"/>
    </row>
    <row r="279" ht="12.0" customHeight="1">
      <c r="A279" s="494"/>
      <c r="B279" s="495" t="s">
        <v>713</v>
      </c>
      <c r="C279" s="496"/>
      <c r="D279" s="496"/>
      <c r="E279" s="497"/>
      <c r="F279" s="498"/>
      <c r="G279" s="504"/>
      <c r="H279" s="504"/>
      <c r="I279" s="504"/>
      <c r="J279" s="504"/>
      <c r="K279" s="504"/>
      <c r="L279" s="504"/>
      <c r="M279" s="504"/>
      <c r="N279" s="504"/>
      <c r="O279" s="504"/>
      <c r="P279" s="504"/>
      <c r="Q279" s="504"/>
      <c r="R279" s="504"/>
      <c r="S279" s="504"/>
      <c r="T279" s="504"/>
      <c r="U279" s="504"/>
      <c r="V279" s="504"/>
      <c r="W279" s="504"/>
      <c r="X279" s="504"/>
      <c r="Y279" s="504"/>
      <c r="Z279" s="504"/>
    </row>
    <row r="280" ht="12.0" customHeight="1">
      <c r="A280" s="480"/>
      <c r="B280" s="485"/>
      <c r="C280" s="525"/>
      <c r="D280" s="525"/>
      <c r="E280" s="526"/>
      <c r="F280" s="526"/>
      <c r="G280" s="474"/>
      <c r="H280" s="474"/>
      <c r="I280" s="474"/>
      <c r="J280" s="474"/>
      <c r="K280" s="474"/>
      <c r="L280" s="474"/>
      <c r="M280" s="474"/>
      <c r="N280" s="474"/>
      <c r="O280" s="474"/>
      <c r="P280" s="474"/>
      <c r="Q280" s="474"/>
      <c r="R280" s="474"/>
      <c r="S280" s="474"/>
      <c r="T280" s="474"/>
      <c r="U280" s="474"/>
      <c r="V280" s="474"/>
      <c r="W280" s="474"/>
      <c r="X280" s="474"/>
      <c r="Y280" s="474"/>
      <c r="Z280" s="474"/>
    </row>
    <row r="281" ht="12.0" customHeight="1">
      <c r="A281" s="480"/>
      <c r="B281" s="485"/>
      <c r="C281" s="525"/>
      <c r="D281" s="525"/>
      <c r="E281" s="526"/>
      <c r="F281" s="526"/>
      <c r="G281" s="474"/>
      <c r="H281" s="474"/>
      <c r="I281" s="474"/>
      <c r="J281" s="474"/>
      <c r="K281" s="474"/>
      <c r="L281" s="474"/>
      <c r="M281" s="474"/>
      <c r="N281" s="474"/>
      <c r="O281" s="474"/>
      <c r="P281" s="474"/>
      <c r="Q281" s="474"/>
      <c r="R281" s="474"/>
      <c r="S281" s="474"/>
      <c r="T281" s="474"/>
      <c r="U281" s="474"/>
      <c r="V281" s="474"/>
      <c r="W281" s="474"/>
      <c r="X281" s="474"/>
      <c r="Y281" s="474"/>
      <c r="Z281" s="474"/>
    </row>
    <row r="282" ht="12.0" customHeight="1">
      <c r="A282" s="480"/>
      <c r="B282" s="485"/>
      <c r="C282" s="525"/>
      <c r="D282" s="525"/>
      <c r="E282" s="526"/>
      <c r="F282" s="526"/>
      <c r="G282" s="474"/>
      <c r="H282" s="474"/>
      <c r="I282" s="474"/>
      <c r="J282" s="474"/>
      <c r="K282" s="474"/>
      <c r="L282" s="474"/>
      <c r="M282" s="474"/>
      <c r="N282" s="474"/>
      <c r="O282" s="474"/>
      <c r="P282" s="474"/>
      <c r="Q282" s="474"/>
      <c r="R282" s="474"/>
      <c r="S282" s="474"/>
      <c r="T282" s="474"/>
      <c r="U282" s="474"/>
      <c r="V282" s="474"/>
      <c r="W282" s="474"/>
      <c r="X282" s="474"/>
      <c r="Y282" s="474"/>
      <c r="Z282" s="474"/>
    </row>
    <row r="283" ht="12.0" customHeight="1">
      <c r="A283" s="480"/>
      <c r="B283" s="485"/>
      <c r="C283" s="525"/>
      <c r="D283" s="525"/>
      <c r="E283" s="526"/>
      <c r="F283" s="526"/>
      <c r="G283" s="474"/>
      <c r="H283" s="474"/>
      <c r="I283" s="474"/>
      <c r="J283" s="474"/>
      <c r="K283" s="474"/>
      <c r="L283" s="474"/>
      <c r="M283" s="474"/>
      <c r="N283" s="474"/>
      <c r="O283" s="474"/>
      <c r="P283" s="474"/>
      <c r="Q283" s="474"/>
      <c r="R283" s="474"/>
      <c r="S283" s="474"/>
      <c r="T283" s="474"/>
      <c r="U283" s="474"/>
      <c r="V283" s="474"/>
      <c r="W283" s="474"/>
      <c r="X283" s="474"/>
      <c r="Y283" s="474"/>
      <c r="Z283" s="474"/>
    </row>
    <row r="284" ht="12.0" customHeight="1">
      <c r="A284" s="480"/>
      <c r="B284" s="485"/>
      <c r="C284" s="525"/>
      <c r="D284" s="525"/>
      <c r="E284" s="526"/>
      <c r="F284" s="526"/>
      <c r="G284" s="474"/>
      <c r="H284" s="474"/>
      <c r="I284" s="474"/>
      <c r="J284" s="474"/>
      <c r="K284" s="474"/>
      <c r="L284" s="474"/>
      <c r="M284" s="474"/>
      <c r="N284" s="474"/>
      <c r="O284" s="474"/>
      <c r="P284" s="474"/>
      <c r="Q284" s="474"/>
      <c r="R284" s="474"/>
      <c r="S284" s="474"/>
      <c r="T284" s="474"/>
      <c r="U284" s="474"/>
      <c r="V284" s="474"/>
      <c r="W284" s="474"/>
      <c r="X284" s="474"/>
      <c r="Y284" s="474"/>
      <c r="Z284" s="474"/>
    </row>
    <row r="285" ht="12.0" customHeight="1">
      <c r="A285" s="480"/>
      <c r="B285" s="485"/>
      <c r="C285" s="525"/>
      <c r="D285" s="525"/>
      <c r="E285" s="526"/>
      <c r="F285" s="526"/>
      <c r="G285" s="474"/>
      <c r="H285" s="474"/>
      <c r="I285" s="474"/>
      <c r="J285" s="474"/>
      <c r="K285" s="474"/>
      <c r="L285" s="474"/>
      <c r="M285" s="474"/>
      <c r="N285" s="474"/>
      <c r="O285" s="474"/>
      <c r="P285" s="474"/>
      <c r="Q285" s="474"/>
      <c r="R285" s="474"/>
      <c r="S285" s="474"/>
      <c r="T285" s="474"/>
      <c r="U285" s="474"/>
      <c r="V285" s="474"/>
      <c r="W285" s="474"/>
      <c r="X285" s="474"/>
      <c r="Y285" s="474"/>
      <c r="Z285" s="474"/>
    </row>
    <row r="286" ht="12.0" customHeight="1">
      <c r="A286" s="480"/>
      <c r="B286" s="485"/>
      <c r="C286" s="525"/>
      <c r="D286" s="525"/>
      <c r="E286" s="526"/>
      <c r="F286" s="526"/>
      <c r="G286" s="474"/>
      <c r="H286" s="474"/>
      <c r="I286" s="474"/>
      <c r="J286" s="474"/>
      <c r="K286" s="474"/>
      <c r="L286" s="474"/>
      <c r="M286" s="474"/>
      <c r="N286" s="474"/>
      <c r="O286" s="474"/>
      <c r="P286" s="474"/>
      <c r="Q286" s="474"/>
      <c r="R286" s="474"/>
      <c r="S286" s="474"/>
      <c r="T286" s="474"/>
      <c r="U286" s="474"/>
      <c r="V286" s="474"/>
      <c r="W286" s="474"/>
      <c r="X286" s="474"/>
      <c r="Y286" s="474"/>
      <c r="Z286" s="474"/>
    </row>
    <row r="287" ht="12.0" customHeight="1">
      <c r="A287" s="480"/>
      <c r="B287" s="485"/>
      <c r="C287" s="525"/>
      <c r="D287" s="525"/>
      <c r="E287" s="526"/>
      <c r="F287" s="526"/>
      <c r="G287" s="474"/>
      <c r="H287" s="474"/>
      <c r="I287" s="474"/>
      <c r="J287" s="474"/>
      <c r="K287" s="474"/>
      <c r="L287" s="474"/>
      <c r="M287" s="474"/>
      <c r="N287" s="474"/>
      <c r="O287" s="474"/>
      <c r="P287" s="474"/>
      <c r="Q287" s="474"/>
      <c r="R287" s="474"/>
      <c r="S287" s="474"/>
      <c r="T287" s="474"/>
      <c r="U287" s="474"/>
      <c r="V287" s="474"/>
      <c r="W287" s="474"/>
      <c r="X287" s="474"/>
      <c r="Y287" s="474"/>
      <c r="Z287" s="474"/>
    </row>
    <row r="288" ht="12.0" customHeight="1">
      <c r="A288" s="480"/>
      <c r="B288" s="485"/>
      <c r="C288" s="525"/>
      <c r="D288" s="525"/>
      <c r="E288" s="526"/>
      <c r="F288" s="526"/>
      <c r="G288" s="474"/>
      <c r="H288" s="474"/>
      <c r="I288" s="474"/>
      <c r="J288" s="474"/>
      <c r="K288" s="474"/>
      <c r="L288" s="474"/>
      <c r="M288" s="474"/>
      <c r="N288" s="474"/>
      <c r="O288" s="474"/>
      <c r="P288" s="474"/>
      <c r="Q288" s="474"/>
      <c r="R288" s="474"/>
      <c r="S288" s="474"/>
      <c r="T288" s="474"/>
      <c r="U288" s="474"/>
      <c r="V288" s="474"/>
      <c r="W288" s="474"/>
      <c r="X288" s="474"/>
      <c r="Y288" s="474"/>
      <c r="Z288" s="474"/>
    </row>
    <row r="289" ht="12.0" customHeight="1">
      <c r="A289" s="480"/>
      <c r="B289" s="485"/>
      <c r="C289" s="525"/>
      <c r="D289" s="525"/>
      <c r="E289" s="526"/>
      <c r="F289" s="526"/>
      <c r="G289" s="474"/>
      <c r="H289" s="474"/>
      <c r="I289" s="474"/>
      <c r="J289" s="474"/>
      <c r="K289" s="474"/>
      <c r="L289" s="474"/>
      <c r="M289" s="474"/>
      <c r="N289" s="474"/>
      <c r="O289" s="474"/>
      <c r="P289" s="474"/>
      <c r="Q289" s="474"/>
      <c r="R289" s="474"/>
      <c r="S289" s="474"/>
      <c r="T289" s="474"/>
      <c r="U289" s="474"/>
      <c r="V289" s="474"/>
      <c r="W289" s="474"/>
      <c r="X289" s="474"/>
      <c r="Y289" s="474"/>
      <c r="Z289" s="474"/>
    </row>
    <row r="290" ht="12.0" customHeight="1">
      <c r="A290" s="480"/>
      <c r="B290" s="485"/>
      <c r="C290" s="525"/>
      <c r="D290" s="525"/>
      <c r="E290" s="526"/>
      <c r="F290" s="526"/>
      <c r="G290" s="474"/>
      <c r="H290" s="474"/>
      <c r="I290" s="474"/>
      <c r="J290" s="474"/>
      <c r="K290" s="474"/>
      <c r="L290" s="474"/>
      <c r="M290" s="474"/>
      <c r="N290" s="474"/>
      <c r="O290" s="474"/>
      <c r="P290" s="474"/>
      <c r="Q290" s="474"/>
      <c r="R290" s="474"/>
      <c r="S290" s="474"/>
      <c r="T290" s="474"/>
      <c r="U290" s="474"/>
      <c r="V290" s="474"/>
      <c r="W290" s="474"/>
      <c r="X290" s="474"/>
      <c r="Y290" s="474"/>
      <c r="Z290" s="474"/>
    </row>
    <row r="291" ht="12.0" customHeight="1">
      <c r="A291" s="480"/>
      <c r="B291" s="485"/>
      <c r="C291" s="525"/>
      <c r="D291" s="525"/>
      <c r="E291" s="526"/>
      <c r="F291" s="526"/>
      <c r="G291" s="474"/>
      <c r="H291" s="474"/>
      <c r="I291" s="474"/>
      <c r="J291" s="474"/>
      <c r="K291" s="474"/>
      <c r="L291" s="474"/>
      <c r="M291" s="474"/>
      <c r="N291" s="474"/>
      <c r="O291" s="474"/>
      <c r="P291" s="474"/>
      <c r="Q291" s="474"/>
      <c r="R291" s="474"/>
      <c r="S291" s="474"/>
      <c r="T291" s="474"/>
      <c r="U291" s="474"/>
      <c r="V291" s="474"/>
      <c r="W291" s="474"/>
      <c r="X291" s="474"/>
      <c r="Y291" s="474"/>
      <c r="Z291" s="474"/>
    </row>
    <row r="292" ht="12.0" customHeight="1">
      <c r="A292" s="480"/>
      <c r="B292" s="485"/>
      <c r="C292" s="525"/>
      <c r="D292" s="525"/>
      <c r="E292" s="526"/>
      <c r="F292" s="526"/>
      <c r="G292" s="474"/>
      <c r="H292" s="474"/>
      <c r="I292" s="474"/>
      <c r="J292" s="474"/>
      <c r="K292" s="474"/>
      <c r="L292" s="474"/>
      <c r="M292" s="474"/>
      <c r="N292" s="474"/>
      <c r="O292" s="474"/>
      <c r="P292" s="474"/>
      <c r="Q292" s="474"/>
      <c r="R292" s="474"/>
      <c r="S292" s="474"/>
      <c r="T292" s="474"/>
      <c r="U292" s="474"/>
      <c r="V292" s="474"/>
      <c r="W292" s="474"/>
      <c r="X292" s="474"/>
      <c r="Y292" s="474"/>
      <c r="Z292" s="474"/>
    </row>
    <row r="293" ht="12.0" customHeight="1">
      <c r="A293" s="480"/>
      <c r="B293" s="485"/>
      <c r="C293" s="525"/>
      <c r="D293" s="525"/>
      <c r="E293" s="526"/>
      <c r="F293" s="526"/>
      <c r="G293" s="474"/>
      <c r="H293" s="474"/>
      <c r="I293" s="474"/>
      <c r="J293" s="474"/>
      <c r="K293" s="474"/>
      <c r="L293" s="474"/>
      <c r="M293" s="474"/>
      <c r="N293" s="474"/>
      <c r="O293" s="474"/>
      <c r="P293" s="474"/>
      <c r="Q293" s="474"/>
      <c r="R293" s="474"/>
      <c r="S293" s="474"/>
      <c r="T293" s="474"/>
      <c r="U293" s="474"/>
      <c r="V293" s="474"/>
      <c r="W293" s="474"/>
      <c r="X293" s="474"/>
      <c r="Y293" s="474"/>
      <c r="Z293" s="474"/>
    </row>
    <row r="294" ht="12.0" customHeight="1">
      <c r="A294" s="480"/>
      <c r="B294" s="485"/>
      <c r="C294" s="525"/>
      <c r="D294" s="525"/>
      <c r="E294" s="526"/>
      <c r="F294" s="526"/>
      <c r="G294" s="474"/>
      <c r="H294" s="474"/>
      <c r="I294" s="474"/>
      <c r="J294" s="474"/>
      <c r="K294" s="474"/>
      <c r="L294" s="474"/>
      <c r="M294" s="474"/>
      <c r="N294" s="474"/>
      <c r="O294" s="474"/>
      <c r="P294" s="474"/>
      <c r="Q294" s="474"/>
      <c r="R294" s="474"/>
      <c r="S294" s="474"/>
      <c r="T294" s="474"/>
      <c r="U294" s="474"/>
      <c r="V294" s="474"/>
      <c r="W294" s="474"/>
      <c r="X294" s="474"/>
      <c r="Y294" s="474"/>
      <c r="Z294" s="474"/>
    </row>
    <row r="295" ht="12.0" customHeight="1">
      <c r="A295" s="480"/>
      <c r="B295" s="485"/>
      <c r="C295" s="525"/>
      <c r="D295" s="525"/>
      <c r="E295" s="526"/>
      <c r="F295" s="526"/>
      <c r="G295" s="474"/>
      <c r="H295" s="474"/>
      <c r="I295" s="474"/>
      <c r="J295" s="474"/>
      <c r="K295" s="474"/>
      <c r="L295" s="474"/>
      <c r="M295" s="474"/>
      <c r="N295" s="474"/>
      <c r="O295" s="474"/>
      <c r="P295" s="474"/>
      <c r="Q295" s="474"/>
      <c r="R295" s="474"/>
      <c r="S295" s="474"/>
      <c r="T295" s="474"/>
      <c r="U295" s="474"/>
      <c r="V295" s="474"/>
      <c r="W295" s="474"/>
      <c r="X295" s="474"/>
      <c r="Y295" s="474"/>
      <c r="Z295" s="474"/>
    </row>
    <row r="296" ht="12.0" customHeight="1">
      <c r="A296" s="480"/>
      <c r="B296" s="485"/>
      <c r="C296" s="525"/>
      <c r="D296" s="525"/>
      <c r="E296" s="526"/>
      <c r="F296" s="526"/>
      <c r="G296" s="474"/>
      <c r="H296" s="474"/>
      <c r="I296" s="474"/>
      <c r="J296" s="474"/>
      <c r="K296" s="474"/>
      <c r="L296" s="474"/>
      <c r="M296" s="474"/>
      <c r="N296" s="474"/>
      <c r="O296" s="474"/>
      <c r="P296" s="474"/>
      <c r="Q296" s="474"/>
      <c r="R296" s="474"/>
      <c r="S296" s="474"/>
      <c r="T296" s="474"/>
      <c r="U296" s="474"/>
      <c r="V296" s="474"/>
      <c r="W296" s="474"/>
      <c r="X296" s="474"/>
      <c r="Y296" s="474"/>
      <c r="Z296" s="474"/>
    </row>
    <row r="297" ht="12.0" customHeight="1">
      <c r="A297" s="480"/>
      <c r="B297" s="485"/>
      <c r="C297" s="525"/>
      <c r="D297" s="525"/>
      <c r="E297" s="526"/>
      <c r="F297" s="526"/>
      <c r="G297" s="474"/>
      <c r="H297" s="474"/>
      <c r="I297" s="474"/>
      <c r="J297" s="474"/>
      <c r="K297" s="474"/>
      <c r="L297" s="474"/>
      <c r="M297" s="474"/>
      <c r="N297" s="474"/>
      <c r="O297" s="474"/>
      <c r="P297" s="474"/>
      <c r="Q297" s="474"/>
      <c r="R297" s="474"/>
      <c r="S297" s="474"/>
      <c r="T297" s="474"/>
      <c r="U297" s="474"/>
      <c r="V297" s="474"/>
      <c r="W297" s="474"/>
      <c r="X297" s="474"/>
      <c r="Y297" s="474"/>
      <c r="Z297" s="474"/>
    </row>
    <row r="298" ht="12.0" customHeight="1">
      <c r="A298" s="480"/>
      <c r="B298" s="485"/>
      <c r="C298" s="525"/>
      <c r="D298" s="525"/>
      <c r="E298" s="526"/>
      <c r="F298" s="526"/>
      <c r="G298" s="474"/>
      <c r="H298" s="474"/>
      <c r="I298" s="474"/>
      <c r="J298" s="474"/>
      <c r="K298" s="474"/>
      <c r="L298" s="474"/>
      <c r="M298" s="474"/>
      <c r="N298" s="474"/>
      <c r="O298" s="474"/>
      <c r="P298" s="474"/>
      <c r="Q298" s="474"/>
      <c r="R298" s="474"/>
      <c r="S298" s="474"/>
      <c r="T298" s="474"/>
      <c r="U298" s="474"/>
      <c r="V298" s="474"/>
      <c r="W298" s="474"/>
      <c r="X298" s="474"/>
      <c r="Y298" s="474"/>
      <c r="Z298" s="474"/>
    </row>
    <row r="299" ht="12.0" customHeight="1">
      <c r="A299" s="480"/>
      <c r="B299" s="485"/>
      <c r="C299" s="525"/>
      <c r="D299" s="525"/>
      <c r="E299" s="526"/>
      <c r="F299" s="526"/>
      <c r="G299" s="474"/>
      <c r="H299" s="474"/>
      <c r="I299" s="474"/>
      <c r="J299" s="474"/>
      <c r="K299" s="474"/>
      <c r="L299" s="474"/>
      <c r="M299" s="474"/>
      <c r="N299" s="474"/>
      <c r="O299" s="474"/>
      <c r="P299" s="474"/>
      <c r="Q299" s="474"/>
      <c r="R299" s="474"/>
      <c r="S299" s="474"/>
      <c r="T299" s="474"/>
      <c r="U299" s="474"/>
      <c r="V299" s="474"/>
      <c r="W299" s="474"/>
      <c r="X299" s="474"/>
      <c r="Y299" s="474"/>
      <c r="Z299" s="474"/>
    </row>
    <row r="300" ht="12.0" customHeight="1">
      <c r="A300" s="480"/>
      <c r="B300" s="485"/>
      <c r="C300" s="525"/>
      <c r="D300" s="525"/>
      <c r="E300" s="526"/>
      <c r="F300" s="526"/>
      <c r="G300" s="474"/>
      <c r="H300" s="474"/>
      <c r="I300" s="474"/>
      <c r="J300" s="474"/>
      <c r="K300" s="474"/>
      <c r="L300" s="474"/>
      <c r="M300" s="474"/>
      <c r="N300" s="474"/>
      <c r="O300" s="474"/>
      <c r="P300" s="474"/>
      <c r="Q300" s="474"/>
      <c r="R300" s="474"/>
      <c r="S300" s="474"/>
      <c r="T300" s="474"/>
      <c r="U300" s="474"/>
      <c r="V300" s="474"/>
      <c r="W300" s="474"/>
      <c r="X300" s="474"/>
      <c r="Y300" s="474"/>
      <c r="Z300" s="474"/>
    </row>
    <row r="301" ht="12.0" customHeight="1">
      <c r="A301" s="480"/>
      <c r="B301" s="485"/>
      <c r="C301" s="525"/>
      <c r="D301" s="525"/>
      <c r="E301" s="526"/>
      <c r="F301" s="526"/>
      <c r="G301" s="474"/>
      <c r="H301" s="474"/>
      <c r="I301" s="474"/>
      <c r="J301" s="474"/>
      <c r="K301" s="474"/>
      <c r="L301" s="474"/>
      <c r="M301" s="474"/>
      <c r="N301" s="474"/>
      <c r="O301" s="474"/>
      <c r="P301" s="474"/>
      <c r="Q301" s="474"/>
      <c r="R301" s="474"/>
      <c r="S301" s="474"/>
      <c r="T301" s="474"/>
      <c r="U301" s="474"/>
      <c r="V301" s="474"/>
      <c r="W301" s="474"/>
      <c r="X301" s="474"/>
      <c r="Y301" s="474"/>
      <c r="Z301" s="474"/>
    </row>
    <row r="302" ht="12.0" customHeight="1">
      <c r="A302" s="480"/>
      <c r="B302" s="485"/>
      <c r="C302" s="525"/>
      <c r="D302" s="525"/>
      <c r="E302" s="526"/>
      <c r="F302" s="526"/>
      <c r="G302" s="474"/>
      <c r="H302" s="474"/>
      <c r="I302" s="474"/>
      <c r="J302" s="474"/>
      <c r="K302" s="474"/>
      <c r="L302" s="474"/>
      <c r="M302" s="474"/>
      <c r="N302" s="474"/>
      <c r="O302" s="474"/>
      <c r="P302" s="474"/>
      <c r="Q302" s="474"/>
      <c r="R302" s="474"/>
      <c r="S302" s="474"/>
      <c r="T302" s="474"/>
      <c r="U302" s="474"/>
      <c r="V302" s="474"/>
      <c r="W302" s="474"/>
      <c r="X302" s="474"/>
      <c r="Y302" s="474"/>
      <c r="Z302" s="474"/>
    </row>
    <row r="303" ht="12.0" customHeight="1">
      <c r="A303" s="480"/>
      <c r="B303" s="485"/>
      <c r="C303" s="525"/>
      <c r="D303" s="525"/>
      <c r="E303" s="526"/>
      <c r="F303" s="526"/>
      <c r="G303" s="474"/>
      <c r="H303" s="474"/>
      <c r="I303" s="474"/>
      <c r="J303" s="474"/>
      <c r="K303" s="474"/>
      <c r="L303" s="474"/>
      <c r="M303" s="474"/>
      <c r="N303" s="474"/>
      <c r="O303" s="474"/>
      <c r="P303" s="474"/>
      <c r="Q303" s="474"/>
      <c r="R303" s="474"/>
      <c r="S303" s="474"/>
      <c r="T303" s="474"/>
      <c r="U303" s="474"/>
      <c r="V303" s="474"/>
      <c r="W303" s="474"/>
      <c r="X303" s="474"/>
      <c r="Y303" s="474"/>
      <c r="Z303" s="474"/>
    </row>
    <row r="304" ht="12.0" customHeight="1">
      <c r="A304" s="480"/>
      <c r="B304" s="485"/>
      <c r="C304" s="525"/>
      <c r="D304" s="525"/>
      <c r="E304" s="526"/>
      <c r="F304" s="526"/>
      <c r="G304" s="474"/>
      <c r="H304" s="474"/>
      <c r="I304" s="474"/>
      <c r="J304" s="474"/>
      <c r="K304" s="474"/>
      <c r="L304" s="474"/>
      <c r="M304" s="474"/>
      <c r="N304" s="474"/>
      <c r="O304" s="474"/>
      <c r="P304" s="474"/>
      <c r="Q304" s="474"/>
      <c r="R304" s="474"/>
      <c r="S304" s="474"/>
      <c r="T304" s="474"/>
      <c r="U304" s="474"/>
      <c r="V304" s="474"/>
      <c r="W304" s="474"/>
      <c r="X304" s="474"/>
      <c r="Y304" s="474"/>
      <c r="Z304" s="474"/>
    </row>
    <row r="305" ht="12.0" customHeight="1">
      <c r="A305" s="480"/>
      <c r="B305" s="485"/>
      <c r="C305" s="525"/>
      <c r="D305" s="525"/>
      <c r="E305" s="526"/>
      <c r="F305" s="526"/>
      <c r="G305" s="474"/>
      <c r="H305" s="474"/>
      <c r="I305" s="474"/>
      <c r="J305" s="474"/>
      <c r="K305" s="474"/>
      <c r="L305" s="474"/>
      <c r="M305" s="474"/>
      <c r="N305" s="474"/>
      <c r="O305" s="474"/>
      <c r="P305" s="474"/>
      <c r="Q305" s="474"/>
      <c r="R305" s="474"/>
      <c r="S305" s="474"/>
      <c r="T305" s="474"/>
      <c r="U305" s="474"/>
      <c r="V305" s="474"/>
      <c r="W305" s="474"/>
      <c r="X305" s="474"/>
      <c r="Y305" s="474"/>
      <c r="Z305" s="474"/>
    </row>
    <row r="306" ht="12.0" customHeight="1">
      <c r="A306" s="480"/>
      <c r="B306" s="485"/>
      <c r="C306" s="525"/>
      <c r="D306" s="525"/>
      <c r="E306" s="526"/>
      <c r="F306" s="526"/>
      <c r="G306" s="474"/>
      <c r="H306" s="474"/>
      <c r="I306" s="474"/>
      <c r="J306" s="474"/>
      <c r="K306" s="474"/>
      <c r="L306" s="474"/>
      <c r="M306" s="474"/>
      <c r="N306" s="474"/>
      <c r="O306" s="474"/>
      <c r="P306" s="474"/>
      <c r="Q306" s="474"/>
      <c r="R306" s="474"/>
      <c r="S306" s="474"/>
      <c r="T306" s="474"/>
      <c r="U306" s="474"/>
      <c r="V306" s="474"/>
      <c r="W306" s="474"/>
      <c r="X306" s="474"/>
      <c r="Y306" s="474"/>
      <c r="Z306" s="474"/>
    </row>
    <row r="307" ht="12.0" customHeight="1">
      <c r="A307" s="480"/>
      <c r="B307" s="485"/>
      <c r="C307" s="525"/>
      <c r="D307" s="525"/>
      <c r="E307" s="526"/>
      <c r="F307" s="526"/>
      <c r="G307" s="474"/>
      <c r="H307" s="474"/>
      <c r="I307" s="474"/>
      <c r="J307" s="474"/>
      <c r="K307" s="474"/>
      <c r="L307" s="474"/>
      <c r="M307" s="474"/>
      <c r="N307" s="474"/>
      <c r="O307" s="474"/>
      <c r="P307" s="474"/>
      <c r="Q307" s="474"/>
      <c r="R307" s="474"/>
      <c r="S307" s="474"/>
      <c r="T307" s="474"/>
      <c r="U307" s="474"/>
      <c r="V307" s="474"/>
      <c r="W307" s="474"/>
      <c r="X307" s="474"/>
      <c r="Y307" s="474"/>
      <c r="Z307" s="474"/>
    </row>
    <row r="308" ht="12.0" customHeight="1">
      <c r="A308" s="480"/>
      <c r="B308" s="485"/>
      <c r="C308" s="525"/>
      <c r="D308" s="525"/>
      <c r="E308" s="526"/>
      <c r="F308" s="526"/>
      <c r="G308" s="474"/>
      <c r="H308" s="474"/>
      <c r="I308" s="474"/>
      <c r="J308" s="474"/>
      <c r="K308" s="474"/>
      <c r="L308" s="474"/>
      <c r="M308" s="474"/>
      <c r="N308" s="474"/>
      <c r="O308" s="474"/>
      <c r="P308" s="474"/>
      <c r="Q308" s="474"/>
      <c r="R308" s="474"/>
      <c r="S308" s="474"/>
      <c r="T308" s="474"/>
      <c r="U308" s="474"/>
      <c r="V308" s="474"/>
      <c r="W308" s="474"/>
      <c r="X308" s="474"/>
      <c r="Y308" s="474"/>
      <c r="Z308" s="474"/>
    </row>
    <row r="309" ht="12.0" customHeight="1">
      <c r="A309" s="480"/>
      <c r="B309" s="485"/>
      <c r="C309" s="525"/>
      <c r="D309" s="525"/>
      <c r="E309" s="526"/>
      <c r="F309" s="526"/>
      <c r="G309" s="474"/>
      <c r="H309" s="474"/>
      <c r="I309" s="474"/>
      <c r="J309" s="474"/>
      <c r="K309" s="474"/>
      <c r="L309" s="474"/>
      <c r="M309" s="474"/>
      <c r="N309" s="474"/>
      <c r="O309" s="474"/>
      <c r="P309" s="474"/>
      <c r="Q309" s="474"/>
      <c r="R309" s="474"/>
      <c r="S309" s="474"/>
      <c r="T309" s="474"/>
      <c r="U309" s="474"/>
      <c r="V309" s="474"/>
      <c r="W309" s="474"/>
      <c r="X309" s="474"/>
      <c r="Y309" s="474"/>
      <c r="Z309" s="474"/>
    </row>
    <row r="310" ht="12.0" customHeight="1">
      <c r="A310" s="480"/>
      <c r="B310" s="485"/>
      <c r="C310" s="525"/>
      <c r="D310" s="525"/>
      <c r="E310" s="526"/>
      <c r="F310" s="526"/>
      <c r="G310" s="474"/>
      <c r="H310" s="474"/>
      <c r="I310" s="474"/>
      <c r="J310" s="474"/>
      <c r="K310" s="474"/>
      <c r="L310" s="474"/>
      <c r="M310" s="474"/>
      <c r="N310" s="474"/>
      <c r="O310" s="474"/>
      <c r="P310" s="474"/>
      <c r="Q310" s="474"/>
      <c r="R310" s="474"/>
      <c r="S310" s="474"/>
      <c r="T310" s="474"/>
      <c r="U310" s="474"/>
      <c r="V310" s="474"/>
      <c r="W310" s="474"/>
      <c r="X310" s="474"/>
      <c r="Y310" s="474"/>
      <c r="Z310" s="474"/>
    </row>
    <row r="311" ht="12.0" customHeight="1">
      <c r="A311" s="480"/>
      <c r="B311" s="485"/>
      <c r="C311" s="525"/>
      <c r="D311" s="525"/>
      <c r="E311" s="526"/>
      <c r="F311" s="526"/>
      <c r="G311" s="474"/>
      <c r="H311" s="474"/>
      <c r="I311" s="474"/>
      <c r="J311" s="474"/>
      <c r="K311" s="474"/>
      <c r="L311" s="474"/>
      <c r="M311" s="474"/>
      <c r="N311" s="474"/>
      <c r="O311" s="474"/>
      <c r="P311" s="474"/>
      <c r="Q311" s="474"/>
      <c r="R311" s="474"/>
      <c r="S311" s="474"/>
      <c r="T311" s="474"/>
      <c r="U311" s="474"/>
      <c r="V311" s="474"/>
      <c r="W311" s="474"/>
      <c r="X311" s="474"/>
      <c r="Y311" s="474"/>
      <c r="Z311" s="474"/>
    </row>
    <row r="312" ht="12.0" customHeight="1">
      <c r="A312" s="480"/>
      <c r="B312" s="485"/>
      <c r="C312" s="525"/>
      <c r="D312" s="525"/>
      <c r="E312" s="526"/>
      <c r="F312" s="526"/>
      <c r="G312" s="474"/>
      <c r="H312" s="474"/>
      <c r="I312" s="474"/>
      <c r="J312" s="474"/>
      <c r="K312" s="474"/>
      <c r="L312" s="474"/>
      <c r="M312" s="474"/>
      <c r="N312" s="474"/>
      <c r="O312" s="474"/>
      <c r="P312" s="474"/>
      <c r="Q312" s="474"/>
      <c r="R312" s="474"/>
      <c r="S312" s="474"/>
      <c r="T312" s="474"/>
      <c r="U312" s="474"/>
      <c r="V312" s="474"/>
      <c r="W312" s="474"/>
      <c r="X312" s="474"/>
      <c r="Y312" s="474"/>
      <c r="Z312" s="474"/>
    </row>
    <row r="313" ht="12.0" customHeight="1">
      <c r="A313" s="480"/>
      <c r="B313" s="485"/>
      <c r="C313" s="525"/>
      <c r="D313" s="525"/>
      <c r="E313" s="526"/>
      <c r="F313" s="526"/>
      <c r="G313" s="474"/>
      <c r="H313" s="474"/>
      <c r="I313" s="474"/>
      <c r="J313" s="474"/>
      <c r="K313" s="474"/>
      <c r="L313" s="474"/>
      <c r="M313" s="474"/>
      <c r="N313" s="474"/>
      <c r="O313" s="474"/>
      <c r="P313" s="474"/>
      <c r="Q313" s="474"/>
      <c r="R313" s="474"/>
      <c r="S313" s="474"/>
      <c r="T313" s="474"/>
      <c r="U313" s="474"/>
      <c r="V313" s="474"/>
      <c r="W313" s="474"/>
      <c r="X313" s="474"/>
      <c r="Y313" s="474"/>
      <c r="Z313" s="474"/>
    </row>
    <row r="314" ht="12.0" customHeight="1">
      <c r="A314" s="480"/>
      <c r="B314" s="485"/>
      <c r="C314" s="525"/>
      <c r="D314" s="525"/>
      <c r="E314" s="526"/>
      <c r="F314" s="526"/>
      <c r="G314" s="474"/>
      <c r="H314" s="474"/>
      <c r="I314" s="474"/>
      <c r="J314" s="474"/>
      <c r="K314" s="474"/>
      <c r="L314" s="474"/>
      <c r="M314" s="474"/>
      <c r="N314" s="474"/>
      <c r="O314" s="474"/>
      <c r="P314" s="474"/>
      <c r="Q314" s="474"/>
      <c r="R314" s="474"/>
      <c r="S314" s="474"/>
      <c r="T314" s="474"/>
      <c r="U314" s="474"/>
      <c r="V314" s="474"/>
      <c r="W314" s="474"/>
      <c r="X314" s="474"/>
      <c r="Y314" s="474"/>
      <c r="Z314" s="474"/>
    </row>
    <row r="315" ht="12.0" customHeight="1">
      <c r="A315" s="480"/>
      <c r="B315" s="485"/>
      <c r="C315" s="525"/>
      <c r="D315" s="525"/>
      <c r="E315" s="526"/>
      <c r="F315" s="526"/>
      <c r="G315" s="474"/>
      <c r="H315" s="474"/>
      <c r="I315" s="474"/>
      <c r="J315" s="474"/>
      <c r="K315" s="474"/>
      <c r="L315" s="474"/>
      <c r="M315" s="474"/>
      <c r="N315" s="474"/>
      <c r="O315" s="474"/>
      <c r="P315" s="474"/>
      <c r="Q315" s="474"/>
      <c r="R315" s="474"/>
      <c r="S315" s="474"/>
      <c r="T315" s="474"/>
      <c r="U315" s="474"/>
      <c r="V315" s="474"/>
      <c r="W315" s="474"/>
      <c r="X315" s="474"/>
      <c r="Y315" s="474"/>
      <c r="Z315" s="474"/>
    </row>
    <row r="316" ht="12.0" customHeight="1">
      <c r="A316" s="480"/>
      <c r="B316" s="485"/>
      <c r="C316" s="525"/>
      <c r="D316" s="525"/>
      <c r="E316" s="526"/>
      <c r="F316" s="526"/>
      <c r="G316" s="474"/>
      <c r="H316" s="474"/>
      <c r="I316" s="474"/>
      <c r="J316" s="474"/>
      <c r="K316" s="474"/>
      <c r="L316" s="474"/>
      <c r="M316" s="474"/>
      <c r="N316" s="474"/>
      <c r="O316" s="474"/>
      <c r="P316" s="474"/>
      <c r="Q316" s="474"/>
      <c r="R316" s="474"/>
      <c r="S316" s="474"/>
      <c r="T316" s="474"/>
      <c r="U316" s="474"/>
      <c r="V316" s="474"/>
      <c r="W316" s="474"/>
      <c r="X316" s="474"/>
      <c r="Y316" s="474"/>
      <c r="Z316" s="474"/>
    </row>
    <row r="317" ht="12.0" customHeight="1">
      <c r="A317" s="480"/>
      <c r="B317" s="485"/>
      <c r="C317" s="525"/>
      <c r="D317" s="525"/>
      <c r="E317" s="526"/>
      <c r="F317" s="526"/>
      <c r="G317" s="474"/>
      <c r="H317" s="474"/>
      <c r="I317" s="474"/>
      <c r="J317" s="474"/>
      <c r="K317" s="474"/>
      <c r="L317" s="474"/>
      <c r="M317" s="474"/>
      <c r="N317" s="474"/>
      <c r="O317" s="474"/>
      <c r="P317" s="474"/>
      <c r="Q317" s="474"/>
      <c r="R317" s="474"/>
      <c r="S317" s="474"/>
      <c r="T317" s="474"/>
      <c r="U317" s="474"/>
      <c r="V317" s="474"/>
      <c r="W317" s="474"/>
      <c r="X317" s="474"/>
      <c r="Y317" s="474"/>
      <c r="Z317" s="474"/>
    </row>
    <row r="318" ht="12.0" customHeight="1">
      <c r="A318" s="480"/>
      <c r="B318" s="485"/>
      <c r="C318" s="525"/>
      <c r="D318" s="525"/>
      <c r="E318" s="526"/>
      <c r="F318" s="526"/>
      <c r="G318" s="474"/>
      <c r="H318" s="474"/>
      <c r="I318" s="474"/>
      <c r="J318" s="474"/>
      <c r="K318" s="474"/>
      <c r="L318" s="474"/>
      <c r="M318" s="474"/>
      <c r="N318" s="474"/>
      <c r="O318" s="474"/>
      <c r="P318" s="474"/>
      <c r="Q318" s="474"/>
      <c r="R318" s="474"/>
      <c r="S318" s="474"/>
      <c r="T318" s="474"/>
      <c r="U318" s="474"/>
      <c r="V318" s="474"/>
      <c r="W318" s="474"/>
      <c r="X318" s="474"/>
      <c r="Y318" s="474"/>
      <c r="Z318" s="474"/>
    </row>
    <row r="319" ht="12.0" customHeight="1">
      <c r="A319" s="480"/>
      <c r="B319" s="485"/>
      <c r="C319" s="525"/>
      <c r="D319" s="525"/>
      <c r="E319" s="526"/>
      <c r="F319" s="526"/>
      <c r="G319" s="474"/>
      <c r="H319" s="474"/>
      <c r="I319" s="474"/>
      <c r="J319" s="474"/>
      <c r="K319" s="474"/>
      <c r="L319" s="474"/>
      <c r="M319" s="474"/>
      <c r="N319" s="474"/>
      <c r="O319" s="474"/>
      <c r="P319" s="474"/>
      <c r="Q319" s="474"/>
      <c r="R319" s="474"/>
      <c r="S319" s="474"/>
      <c r="T319" s="474"/>
      <c r="U319" s="474"/>
      <c r="V319" s="474"/>
      <c r="W319" s="474"/>
      <c r="X319" s="474"/>
      <c r="Y319" s="474"/>
      <c r="Z319" s="474"/>
    </row>
    <row r="320" ht="12.0" customHeight="1">
      <c r="A320" s="480"/>
      <c r="B320" s="485"/>
      <c r="C320" s="525"/>
      <c r="D320" s="525"/>
      <c r="E320" s="526"/>
      <c r="F320" s="526"/>
      <c r="G320" s="474"/>
      <c r="H320" s="474"/>
      <c r="I320" s="474"/>
      <c r="J320" s="474"/>
      <c r="K320" s="474"/>
      <c r="L320" s="474"/>
      <c r="M320" s="474"/>
      <c r="N320" s="474"/>
      <c r="O320" s="474"/>
      <c r="P320" s="474"/>
      <c r="Q320" s="474"/>
      <c r="R320" s="474"/>
      <c r="S320" s="474"/>
      <c r="T320" s="474"/>
      <c r="U320" s="474"/>
      <c r="V320" s="474"/>
      <c r="W320" s="474"/>
      <c r="X320" s="474"/>
      <c r="Y320" s="474"/>
      <c r="Z320" s="474"/>
    </row>
    <row r="321" ht="12.0" customHeight="1">
      <c r="A321" s="480"/>
      <c r="B321" s="485"/>
      <c r="C321" s="525"/>
      <c r="D321" s="525"/>
      <c r="E321" s="526"/>
      <c r="F321" s="526"/>
      <c r="G321" s="474"/>
      <c r="H321" s="474"/>
      <c r="I321" s="474"/>
      <c r="J321" s="474"/>
      <c r="K321" s="474"/>
      <c r="L321" s="474"/>
      <c r="M321" s="474"/>
      <c r="N321" s="474"/>
      <c r="O321" s="474"/>
      <c r="P321" s="474"/>
      <c r="Q321" s="474"/>
      <c r="R321" s="474"/>
      <c r="S321" s="474"/>
      <c r="T321" s="474"/>
      <c r="U321" s="474"/>
      <c r="V321" s="474"/>
      <c r="W321" s="474"/>
      <c r="X321" s="474"/>
      <c r="Y321" s="474"/>
      <c r="Z321" s="474"/>
    </row>
    <row r="322" ht="12.0" customHeight="1">
      <c r="A322" s="480"/>
      <c r="B322" s="485"/>
      <c r="C322" s="525"/>
      <c r="D322" s="525"/>
      <c r="E322" s="526"/>
      <c r="F322" s="526"/>
      <c r="G322" s="474"/>
      <c r="H322" s="474"/>
      <c r="I322" s="474"/>
      <c r="J322" s="474"/>
      <c r="K322" s="474"/>
      <c r="L322" s="474"/>
      <c r="M322" s="474"/>
      <c r="N322" s="474"/>
      <c r="O322" s="474"/>
      <c r="P322" s="474"/>
      <c r="Q322" s="474"/>
      <c r="R322" s="474"/>
      <c r="S322" s="474"/>
      <c r="T322" s="474"/>
      <c r="U322" s="474"/>
      <c r="V322" s="474"/>
      <c r="W322" s="474"/>
      <c r="X322" s="474"/>
      <c r="Y322" s="474"/>
      <c r="Z322" s="474"/>
    </row>
    <row r="323" ht="12.0" customHeight="1">
      <c r="A323" s="480"/>
      <c r="B323" s="485"/>
      <c r="C323" s="525"/>
      <c r="D323" s="525"/>
      <c r="E323" s="526"/>
      <c r="F323" s="526"/>
      <c r="G323" s="474"/>
      <c r="H323" s="474"/>
      <c r="I323" s="474"/>
      <c r="J323" s="474"/>
      <c r="K323" s="474"/>
      <c r="L323" s="474"/>
      <c r="M323" s="474"/>
      <c r="N323" s="474"/>
      <c r="O323" s="474"/>
      <c r="P323" s="474"/>
      <c r="Q323" s="474"/>
      <c r="R323" s="474"/>
      <c r="S323" s="474"/>
      <c r="T323" s="474"/>
      <c r="U323" s="474"/>
      <c r="V323" s="474"/>
      <c r="W323" s="474"/>
      <c r="X323" s="474"/>
      <c r="Y323" s="474"/>
      <c r="Z323" s="474"/>
    </row>
    <row r="324" ht="12.0" customHeight="1">
      <c r="A324" s="480"/>
      <c r="B324" s="485"/>
      <c r="C324" s="525"/>
      <c r="D324" s="525"/>
      <c r="E324" s="526"/>
      <c r="F324" s="526"/>
      <c r="G324" s="474"/>
      <c r="H324" s="474"/>
      <c r="I324" s="474"/>
      <c r="J324" s="474"/>
      <c r="K324" s="474"/>
      <c r="L324" s="474"/>
      <c r="M324" s="474"/>
      <c r="N324" s="474"/>
      <c r="O324" s="474"/>
      <c r="P324" s="474"/>
      <c r="Q324" s="474"/>
      <c r="R324" s="474"/>
      <c r="S324" s="474"/>
      <c r="T324" s="474"/>
      <c r="U324" s="474"/>
      <c r="V324" s="474"/>
      <c r="W324" s="474"/>
      <c r="X324" s="474"/>
      <c r="Y324" s="474"/>
      <c r="Z324" s="474"/>
    </row>
    <row r="325" ht="12.0" customHeight="1">
      <c r="A325" s="480"/>
      <c r="B325" s="485"/>
      <c r="C325" s="525"/>
      <c r="D325" s="525"/>
      <c r="E325" s="526"/>
      <c r="F325" s="526"/>
      <c r="G325" s="474"/>
      <c r="H325" s="474"/>
      <c r="I325" s="474"/>
      <c r="J325" s="474"/>
      <c r="K325" s="474"/>
      <c r="L325" s="474"/>
      <c r="M325" s="474"/>
      <c r="N325" s="474"/>
      <c r="O325" s="474"/>
      <c r="P325" s="474"/>
      <c r="Q325" s="474"/>
      <c r="R325" s="474"/>
      <c r="S325" s="474"/>
      <c r="T325" s="474"/>
      <c r="U325" s="474"/>
      <c r="V325" s="474"/>
      <c r="W325" s="474"/>
      <c r="X325" s="474"/>
      <c r="Y325" s="474"/>
      <c r="Z325" s="474"/>
    </row>
    <row r="326" ht="12.0" customHeight="1">
      <c r="A326" s="480"/>
      <c r="B326" s="485"/>
      <c r="C326" s="525"/>
      <c r="D326" s="525"/>
      <c r="E326" s="526"/>
      <c r="F326" s="526"/>
      <c r="G326" s="474"/>
      <c r="H326" s="474"/>
      <c r="I326" s="474"/>
      <c r="J326" s="474"/>
      <c r="K326" s="474"/>
      <c r="L326" s="474"/>
      <c r="M326" s="474"/>
      <c r="N326" s="474"/>
      <c r="O326" s="474"/>
      <c r="P326" s="474"/>
      <c r="Q326" s="474"/>
      <c r="R326" s="474"/>
      <c r="S326" s="474"/>
      <c r="T326" s="474"/>
      <c r="U326" s="474"/>
      <c r="V326" s="474"/>
      <c r="W326" s="474"/>
      <c r="X326" s="474"/>
      <c r="Y326" s="474"/>
      <c r="Z326" s="474"/>
    </row>
    <row r="327" ht="12.0" customHeight="1">
      <c r="A327" s="480"/>
      <c r="B327" s="485"/>
      <c r="C327" s="525"/>
      <c r="D327" s="525"/>
      <c r="E327" s="526"/>
      <c r="F327" s="526"/>
      <c r="G327" s="474"/>
      <c r="H327" s="474"/>
      <c r="I327" s="474"/>
      <c r="J327" s="474"/>
      <c r="K327" s="474"/>
      <c r="L327" s="474"/>
      <c r="M327" s="474"/>
      <c r="N327" s="474"/>
      <c r="O327" s="474"/>
      <c r="P327" s="474"/>
      <c r="Q327" s="474"/>
      <c r="R327" s="474"/>
      <c r="S327" s="474"/>
      <c r="T327" s="474"/>
      <c r="U327" s="474"/>
      <c r="V327" s="474"/>
      <c r="W327" s="474"/>
      <c r="X327" s="474"/>
      <c r="Y327" s="474"/>
      <c r="Z327" s="474"/>
    </row>
    <row r="328" ht="12.0" customHeight="1">
      <c r="A328" s="480"/>
      <c r="B328" s="485"/>
      <c r="C328" s="525"/>
      <c r="D328" s="525"/>
      <c r="E328" s="526"/>
      <c r="F328" s="526"/>
      <c r="G328" s="474"/>
      <c r="H328" s="474"/>
      <c r="I328" s="474"/>
      <c r="J328" s="474"/>
      <c r="K328" s="474"/>
      <c r="L328" s="474"/>
      <c r="M328" s="474"/>
      <c r="N328" s="474"/>
      <c r="O328" s="474"/>
      <c r="P328" s="474"/>
      <c r="Q328" s="474"/>
      <c r="R328" s="474"/>
      <c r="S328" s="474"/>
      <c r="T328" s="474"/>
      <c r="U328" s="474"/>
      <c r="V328" s="474"/>
      <c r="W328" s="474"/>
      <c r="X328" s="474"/>
      <c r="Y328" s="474"/>
      <c r="Z328" s="474"/>
    </row>
    <row r="329" ht="12.0" customHeight="1">
      <c r="A329" s="480"/>
      <c r="B329" s="485"/>
      <c r="C329" s="525"/>
      <c r="D329" s="525"/>
      <c r="E329" s="526"/>
      <c r="F329" s="526"/>
      <c r="G329" s="474"/>
      <c r="H329" s="474"/>
      <c r="I329" s="474"/>
      <c r="J329" s="474"/>
      <c r="K329" s="474"/>
      <c r="L329" s="474"/>
      <c r="M329" s="474"/>
      <c r="N329" s="474"/>
      <c r="O329" s="474"/>
      <c r="P329" s="474"/>
      <c r="Q329" s="474"/>
      <c r="R329" s="474"/>
      <c r="S329" s="474"/>
      <c r="T329" s="474"/>
      <c r="U329" s="474"/>
      <c r="V329" s="474"/>
      <c r="W329" s="474"/>
      <c r="X329" s="474"/>
      <c r="Y329" s="474"/>
      <c r="Z329" s="474"/>
    </row>
    <row r="330" ht="12.0" customHeight="1">
      <c r="A330" s="480"/>
      <c r="B330" s="485"/>
      <c r="C330" s="525"/>
      <c r="D330" s="525"/>
      <c r="E330" s="526"/>
      <c r="F330" s="526"/>
      <c r="G330" s="474"/>
      <c r="H330" s="474"/>
      <c r="I330" s="474"/>
      <c r="J330" s="474"/>
      <c r="K330" s="474"/>
      <c r="L330" s="474"/>
      <c r="M330" s="474"/>
      <c r="N330" s="474"/>
      <c r="O330" s="474"/>
      <c r="P330" s="474"/>
      <c r="Q330" s="474"/>
      <c r="R330" s="474"/>
      <c r="S330" s="474"/>
      <c r="T330" s="474"/>
      <c r="U330" s="474"/>
      <c r="V330" s="474"/>
      <c r="W330" s="474"/>
      <c r="X330" s="474"/>
      <c r="Y330" s="474"/>
      <c r="Z330" s="474"/>
    </row>
    <row r="331" ht="12.0" customHeight="1">
      <c r="A331" s="480"/>
      <c r="B331" s="485"/>
      <c r="C331" s="525"/>
      <c r="D331" s="525"/>
      <c r="E331" s="526"/>
      <c r="F331" s="526"/>
      <c r="G331" s="474"/>
      <c r="H331" s="474"/>
      <c r="I331" s="474"/>
      <c r="J331" s="474"/>
      <c r="K331" s="474"/>
      <c r="L331" s="474"/>
      <c r="M331" s="474"/>
      <c r="N331" s="474"/>
      <c r="O331" s="474"/>
      <c r="P331" s="474"/>
      <c r="Q331" s="474"/>
      <c r="R331" s="474"/>
      <c r="S331" s="474"/>
      <c r="T331" s="474"/>
      <c r="U331" s="474"/>
      <c r="V331" s="474"/>
      <c r="W331" s="474"/>
      <c r="X331" s="474"/>
      <c r="Y331" s="474"/>
      <c r="Z331" s="474"/>
    </row>
    <row r="332" ht="12.0" customHeight="1">
      <c r="A332" s="480"/>
      <c r="B332" s="485"/>
      <c r="C332" s="525"/>
      <c r="D332" s="525"/>
      <c r="E332" s="526"/>
      <c r="F332" s="526"/>
      <c r="G332" s="474"/>
      <c r="H332" s="474"/>
      <c r="I332" s="474"/>
      <c r="J332" s="474"/>
      <c r="K332" s="474"/>
      <c r="L332" s="474"/>
      <c r="M332" s="474"/>
      <c r="N332" s="474"/>
      <c r="O332" s="474"/>
      <c r="P332" s="474"/>
      <c r="Q332" s="474"/>
      <c r="R332" s="474"/>
      <c r="S332" s="474"/>
      <c r="T332" s="474"/>
      <c r="U332" s="474"/>
      <c r="V332" s="474"/>
      <c r="W332" s="474"/>
      <c r="X332" s="474"/>
      <c r="Y332" s="474"/>
      <c r="Z332" s="474"/>
    </row>
    <row r="333" ht="12.0" customHeight="1">
      <c r="A333" s="480"/>
      <c r="B333" s="485"/>
      <c r="C333" s="525"/>
      <c r="D333" s="525"/>
      <c r="E333" s="526"/>
      <c r="F333" s="526"/>
      <c r="G333" s="474"/>
      <c r="H333" s="474"/>
      <c r="I333" s="474"/>
      <c r="J333" s="474"/>
      <c r="K333" s="474"/>
      <c r="L333" s="474"/>
      <c r="M333" s="474"/>
      <c r="N333" s="474"/>
      <c r="O333" s="474"/>
      <c r="P333" s="474"/>
      <c r="Q333" s="474"/>
      <c r="R333" s="474"/>
      <c r="S333" s="474"/>
      <c r="T333" s="474"/>
      <c r="U333" s="474"/>
      <c r="V333" s="474"/>
      <c r="W333" s="474"/>
      <c r="X333" s="474"/>
      <c r="Y333" s="474"/>
      <c r="Z333" s="474"/>
    </row>
    <row r="334" ht="12.0" customHeight="1">
      <c r="A334" s="480"/>
      <c r="B334" s="485"/>
      <c r="C334" s="525"/>
      <c r="D334" s="525"/>
      <c r="E334" s="526"/>
      <c r="F334" s="526"/>
      <c r="G334" s="474"/>
      <c r="H334" s="474"/>
      <c r="I334" s="474"/>
      <c r="J334" s="474"/>
      <c r="K334" s="474"/>
      <c r="L334" s="474"/>
      <c r="M334" s="474"/>
      <c r="N334" s="474"/>
      <c r="O334" s="474"/>
      <c r="P334" s="474"/>
      <c r="Q334" s="474"/>
      <c r="R334" s="474"/>
      <c r="S334" s="474"/>
      <c r="T334" s="474"/>
      <c r="U334" s="474"/>
      <c r="V334" s="474"/>
      <c r="W334" s="474"/>
      <c r="X334" s="474"/>
      <c r="Y334" s="474"/>
      <c r="Z334" s="474"/>
    </row>
    <row r="335" ht="12.0" customHeight="1">
      <c r="A335" s="480"/>
      <c r="B335" s="485"/>
      <c r="C335" s="525"/>
      <c r="D335" s="525"/>
      <c r="E335" s="526"/>
      <c r="F335" s="526"/>
      <c r="G335" s="474"/>
      <c r="H335" s="474"/>
      <c r="I335" s="474"/>
      <c r="J335" s="474"/>
      <c r="K335" s="474"/>
      <c r="L335" s="474"/>
      <c r="M335" s="474"/>
      <c r="N335" s="474"/>
      <c r="O335" s="474"/>
      <c r="P335" s="474"/>
      <c r="Q335" s="474"/>
      <c r="R335" s="474"/>
      <c r="S335" s="474"/>
      <c r="T335" s="474"/>
      <c r="U335" s="474"/>
      <c r="V335" s="474"/>
      <c r="W335" s="474"/>
      <c r="X335" s="474"/>
      <c r="Y335" s="474"/>
      <c r="Z335" s="474"/>
    </row>
    <row r="336" ht="12.0" customHeight="1">
      <c r="A336" s="480"/>
      <c r="B336" s="485"/>
      <c r="C336" s="525"/>
      <c r="D336" s="525"/>
      <c r="E336" s="526"/>
      <c r="F336" s="526"/>
      <c r="G336" s="474"/>
      <c r="H336" s="474"/>
      <c r="I336" s="474"/>
      <c r="J336" s="474"/>
      <c r="K336" s="474"/>
      <c r="L336" s="474"/>
      <c r="M336" s="474"/>
      <c r="N336" s="474"/>
      <c r="O336" s="474"/>
      <c r="P336" s="474"/>
      <c r="Q336" s="474"/>
      <c r="R336" s="474"/>
      <c r="S336" s="474"/>
      <c r="T336" s="474"/>
      <c r="U336" s="474"/>
      <c r="V336" s="474"/>
      <c r="W336" s="474"/>
      <c r="X336" s="474"/>
      <c r="Y336" s="474"/>
      <c r="Z336" s="474"/>
    </row>
    <row r="337" ht="12.0" customHeight="1">
      <c r="A337" s="480"/>
      <c r="B337" s="485"/>
      <c r="C337" s="525"/>
      <c r="D337" s="525"/>
      <c r="E337" s="526"/>
      <c r="F337" s="526"/>
      <c r="G337" s="474"/>
      <c r="H337" s="474"/>
      <c r="I337" s="474"/>
      <c r="J337" s="474"/>
      <c r="K337" s="474"/>
      <c r="L337" s="474"/>
      <c r="M337" s="474"/>
      <c r="N337" s="474"/>
      <c r="O337" s="474"/>
      <c r="P337" s="474"/>
      <c r="Q337" s="474"/>
      <c r="R337" s="474"/>
      <c r="S337" s="474"/>
      <c r="T337" s="474"/>
      <c r="U337" s="474"/>
      <c r="V337" s="474"/>
      <c r="W337" s="474"/>
      <c r="X337" s="474"/>
      <c r="Y337" s="474"/>
      <c r="Z337" s="474"/>
    </row>
    <row r="338" ht="12.0" customHeight="1">
      <c r="A338" s="480"/>
      <c r="B338" s="485"/>
      <c r="C338" s="525"/>
      <c r="D338" s="525"/>
      <c r="E338" s="526"/>
      <c r="F338" s="526"/>
      <c r="G338" s="474"/>
      <c r="H338" s="474"/>
      <c r="I338" s="474"/>
      <c r="J338" s="474"/>
      <c r="K338" s="474"/>
      <c r="L338" s="474"/>
      <c r="M338" s="474"/>
      <c r="N338" s="474"/>
      <c r="O338" s="474"/>
      <c r="P338" s="474"/>
      <c r="Q338" s="474"/>
      <c r="R338" s="474"/>
      <c r="S338" s="474"/>
      <c r="T338" s="474"/>
      <c r="U338" s="474"/>
      <c r="V338" s="474"/>
      <c r="W338" s="474"/>
      <c r="X338" s="474"/>
      <c r="Y338" s="474"/>
      <c r="Z338" s="474"/>
    </row>
    <row r="339" ht="12.0" customHeight="1">
      <c r="A339" s="480"/>
      <c r="B339" s="485"/>
      <c r="C339" s="525"/>
      <c r="D339" s="525"/>
      <c r="E339" s="526"/>
      <c r="F339" s="526"/>
      <c r="G339" s="474"/>
      <c r="H339" s="474"/>
      <c r="I339" s="474"/>
      <c r="J339" s="474"/>
      <c r="K339" s="474"/>
      <c r="L339" s="474"/>
      <c r="M339" s="474"/>
      <c r="N339" s="474"/>
      <c r="O339" s="474"/>
      <c r="P339" s="474"/>
      <c r="Q339" s="474"/>
      <c r="R339" s="474"/>
      <c r="S339" s="474"/>
      <c r="T339" s="474"/>
      <c r="U339" s="474"/>
      <c r="V339" s="474"/>
      <c r="W339" s="474"/>
      <c r="X339" s="474"/>
      <c r="Y339" s="474"/>
      <c r="Z339" s="474"/>
    </row>
    <row r="340" ht="12.0" customHeight="1">
      <c r="A340" s="480"/>
      <c r="B340" s="485"/>
      <c r="C340" s="525"/>
      <c r="D340" s="525"/>
      <c r="E340" s="526"/>
      <c r="F340" s="526"/>
      <c r="G340" s="474"/>
      <c r="H340" s="474"/>
      <c r="I340" s="474"/>
      <c r="J340" s="474"/>
      <c r="K340" s="474"/>
      <c r="L340" s="474"/>
      <c r="M340" s="474"/>
      <c r="N340" s="474"/>
      <c r="O340" s="474"/>
      <c r="P340" s="474"/>
      <c r="Q340" s="474"/>
      <c r="R340" s="474"/>
      <c r="S340" s="474"/>
      <c r="T340" s="474"/>
      <c r="U340" s="474"/>
      <c r="V340" s="474"/>
      <c r="W340" s="474"/>
      <c r="X340" s="474"/>
      <c r="Y340" s="474"/>
      <c r="Z340" s="474"/>
    </row>
    <row r="341" ht="12.0" customHeight="1">
      <c r="A341" s="480"/>
      <c r="B341" s="485"/>
      <c r="C341" s="525"/>
      <c r="D341" s="525"/>
      <c r="E341" s="526"/>
      <c r="F341" s="526"/>
      <c r="G341" s="474"/>
      <c r="H341" s="474"/>
      <c r="I341" s="474"/>
      <c r="J341" s="474"/>
      <c r="K341" s="474"/>
      <c r="L341" s="474"/>
      <c r="M341" s="474"/>
      <c r="N341" s="474"/>
      <c r="O341" s="474"/>
      <c r="P341" s="474"/>
      <c r="Q341" s="474"/>
      <c r="R341" s="474"/>
      <c r="S341" s="474"/>
      <c r="T341" s="474"/>
      <c r="U341" s="474"/>
      <c r="V341" s="474"/>
      <c r="W341" s="474"/>
      <c r="X341" s="474"/>
      <c r="Y341" s="474"/>
      <c r="Z341" s="474"/>
    </row>
    <row r="342" ht="12.0" customHeight="1">
      <c r="A342" s="480"/>
      <c r="B342" s="485"/>
      <c r="C342" s="525"/>
      <c r="D342" s="525"/>
      <c r="E342" s="526"/>
      <c r="F342" s="526"/>
      <c r="G342" s="474"/>
      <c r="H342" s="474"/>
      <c r="I342" s="474"/>
      <c r="J342" s="474"/>
      <c r="K342" s="474"/>
      <c r="L342" s="474"/>
      <c r="M342" s="474"/>
      <c r="N342" s="474"/>
      <c r="O342" s="474"/>
      <c r="P342" s="474"/>
      <c r="Q342" s="474"/>
      <c r="R342" s="474"/>
      <c r="S342" s="474"/>
      <c r="T342" s="474"/>
      <c r="U342" s="474"/>
      <c r="V342" s="474"/>
      <c r="W342" s="474"/>
      <c r="X342" s="474"/>
      <c r="Y342" s="474"/>
      <c r="Z342" s="474"/>
    </row>
    <row r="343" ht="12.0" customHeight="1">
      <c r="A343" s="480"/>
      <c r="B343" s="485"/>
      <c r="C343" s="525"/>
      <c r="D343" s="525"/>
      <c r="E343" s="526"/>
      <c r="F343" s="526"/>
      <c r="G343" s="474"/>
      <c r="H343" s="474"/>
      <c r="I343" s="474"/>
      <c r="J343" s="474"/>
      <c r="K343" s="474"/>
      <c r="L343" s="474"/>
      <c r="M343" s="474"/>
      <c r="N343" s="474"/>
      <c r="O343" s="474"/>
      <c r="P343" s="474"/>
      <c r="Q343" s="474"/>
      <c r="R343" s="474"/>
      <c r="S343" s="474"/>
      <c r="T343" s="474"/>
      <c r="U343" s="474"/>
      <c r="V343" s="474"/>
      <c r="W343" s="474"/>
      <c r="X343" s="474"/>
      <c r="Y343" s="474"/>
      <c r="Z343" s="474"/>
    </row>
    <row r="344" ht="12.0" customHeight="1">
      <c r="A344" s="480"/>
      <c r="B344" s="485"/>
      <c r="C344" s="525"/>
      <c r="D344" s="525"/>
      <c r="E344" s="526"/>
      <c r="F344" s="526"/>
      <c r="G344" s="474"/>
      <c r="H344" s="474"/>
      <c r="I344" s="474"/>
      <c r="J344" s="474"/>
      <c r="K344" s="474"/>
      <c r="L344" s="474"/>
      <c r="M344" s="474"/>
      <c r="N344" s="474"/>
      <c r="O344" s="474"/>
      <c r="P344" s="474"/>
      <c r="Q344" s="474"/>
      <c r="R344" s="474"/>
      <c r="S344" s="474"/>
      <c r="T344" s="474"/>
      <c r="U344" s="474"/>
      <c r="V344" s="474"/>
      <c r="W344" s="474"/>
      <c r="X344" s="474"/>
      <c r="Y344" s="474"/>
      <c r="Z344" s="474"/>
    </row>
    <row r="345" ht="12.0" customHeight="1">
      <c r="A345" s="480"/>
      <c r="B345" s="485"/>
      <c r="C345" s="525"/>
      <c r="D345" s="525"/>
      <c r="E345" s="526"/>
      <c r="F345" s="526"/>
      <c r="G345" s="474"/>
      <c r="H345" s="474"/>
      <c r="I345" s="474"/>
      <c r="J345" s="474"/>
      <c r="K345" s="474"/>
      <c r="L345" s="474"/>
      <c r="M345" s="474"/>
      <c r="N345" s="474"/>
      <c r="O345" s="474"/>
      <c r="P345" s="474"/>
      <c r="Q345" s="474"/>
      <c r="R345" s="474"/>
      <c r="S345" s="474"/>
      <c r="T345" s="474"/>
      <c r="U345" s="474"/>
      <c r="V345" s="474"/>
      <c r="W345" s="474"/>
      <c r="X345" s="474"/>
      <c r="Y345" s="474"/>
      <c r="Z345" s="474"/>
    </row>
    <row r="346" ht="12.0" customHeight="1">
      <c r="A346" s="480"/>
      <c r="B346" s="485"/>
      <c r="C346" s="525"/>
      <c r="D346" s="525"/>
      <c r="E346" s="526"/>
      <c r="F346" s="526"/>
      <c r="G346" s="474"/>
      <c r="H346" s="474"/>
      <c r="I346" s="474"/>
      <c r="J346" s="474"/>
      <c r="K346" s="474"/>
      <c r="L346" s="474"/>
      <c r="M346" s="474"/>
      <c r="N346" s="474"/>
      <c r="O346" s="474"/>
      <c r="P346" s="474"/>
      <c r="Q346" s="474"/>
      <c r="R346" s="474"/>
      <c r="S346" s="474"/>
      <c r="T346" s="474"/>
      <c r="U346" s="474"/>
      <c r="V346" s="474"/>
      <c r="W346" s="474"/>
      <c r="X346" s="474"/>
      <c r="Y346" s="474"/>
      <c r="Z346" s="474"/>
    </row>
    <row r="347" ht="12.0" customHeight="1">
      <c r="A347" s="480"/>
      <c r="B347" s="485"/>
      <c r="C347" s="525"/>
      <c r="D347" s="525"/>
      <c r="E347" s="526"/>
      <c r="F347" s="526"/>
      <c r="G347" s="474"/>
      <c r="H347" s="474"/>
      <c r="I347" s="474"/>
      <c r="J347" s="474"/>
      <c r="K347" s="474"/>
      <c r="L347" s="474"/>
      <c r="M347" s="474"/>
      <c r="N347" s="474"/>
      <c r="O347" s="474"/>
      <c r="P347" s="474"/>
      <c r="Q347" s="474"/>
      <c r="R347" s="474"/>
      <c r="S347" s="474"/>
      <c r="T347" s="474"/>
      <c r="U347" s="474"/>
      <c r="V347" s="474"/>
      <c r="W347" s="474"/>
      <c r="X347" s="474"/>
      <c r="Y347" s="474"/>
      <c r="Z347" s="474"/>
    </row>
    <row r="348" ht="12.0" customHeight="1">
      <c r="A348" s="480"/>
      <c r="B348" s="485"/>
      <c r="C348" s="525"/>
      <c r="D348" s="525"/>
      <c r="E348" s="526"/>
      <c r="F348" s="526"/>
      <c r="G348" s="474"/>
      <c r="H348" s="474"/>
      <c r="I348" s="474"/>
      <c r="J348" s="474"/>
      <c r="K348" s="474"/>
      <c r="L348" s="474"/>
      <c r="M348" s="474"/>
      <c r="N348" s="474"/>
      <c r="O348" s="474"/>
      <c r="P348" s="474"/>
      <c r="Q348" s="474"/>
      <c r="R348" s="474"/>
      <c r="S348" s="474"/>
      <c r="T348" s="474"/>
      <c r="U348" s="474"/>
      <c r="V348" s="474"/>
      <c r="W348" s="474"/>
      <c r="X348" s="474"/>
      <c r="Y348" s="474"/>
      <c r="Z348" s="474"/>
    </row>
    <row r="349" ht="12.0" customHeight="1">
      <c r="A349" s="480"/>
      <c r="B349" s="485"/>
      <c r="C349" s="525"/>
      <c r="D349" s="525"/>
      <c r="E349" s="526"/>
      <c r="F349" s="526"/>
      <c r="G349" s="474"/>
      <c r="H349" s="474"/>
      <c r="I349" s="474"/>
      <c r="J349" s="474"/>
      <c r="K349" s="474"/>
      <c r="L349" s="474"/>
      <c r="M349" s="474"/>
      <c r="N349" s="474"/>
      <c r="O349" s="474"/>
      <c r="P349" s="474"/>
      <c r="Q349" s="474"/>
      <c r="R349" s="474"/>
      <c r="S349" s="474"/>
      <c r="T349" s="474"/>
      <c r="U349" s="474"/>
      <c r="V349" s="474"/>
      <c r="W349" s="474"/>
      <c r="X349" s="474"/>
      <c r="Y349" s="474"/>
      <c r="Z349" s="474"/>
    </row>
    <row r="350" ht="12.0" customHeight="1">
      <c r="A350" s="480"/>
      <c r="B350" s="485"/>
      <c r="C350" s="525"/>
      <c r="D350" s="525"/>
      <c r="E350" s="526"/>
      <c r="F350" s="526"/>
      <c r="G350" s="474"/>
      <c r="H350" s="474"/>
      <c r="I350" s="474"/>
      <c r="J350" s="474"/>
      <c r="K350" s="474"/>
      <c r="L350" s="474"/>
      <c r="M350" s="474"/>
      <c r="N350" s="474"/>
      <c r="O350" s="474"/>
      <c r="P350" s="474"/>
      <c r="Q350" s="474"/>
      <c r="R350" s="474"/>
      <c r="S350" s="474"/>
      <c r="T350" s="474"/>
      <c r="U350" s="474"/>
      <c r="V350" s="474"/>
      <c r="W350" s="474"/>
      <c r="X350" s="474"/>
      <c r="Y350" s="474"/>
      <c r="Z350" s="474"/>
    </row>
    <row r="351" ht="12.0" customHeight="1">
      <c r="A351" s="480"/>
      <c r="B351" s="485"/>
      <c r="C351" s="525"/>
      <c r="D351" s="525"/>
      <c r="E351" s="526"/>
      <c r="F351" s="526"/>
      <c r="G351" s="474"/>
      <c r="H351" s="474"/>
      <c r="I351" s="474"/>
      <c r="J351" s="474"/>
      <c r="K351" s="474"/>
      <c r="L351" s="474"/>
      <c r="M351" s="474"/>
      <c r="N351" s="474"/>
      <c r="O351" s="474"/>
      <c r="P351" s="474"/>
      <c r="Q351" s="474"/>
      <c r="R351" s="474"/>
      <c r="S351" s="474"/>
      <c r="T351" s="474"/>
      <c r="U351" s="474"/>
      <c r="V351" s="474"/>
      <c r="W351" s="474"/>
      <c r="X351" s="474"/>
      <c r="Y351" s="474"/>
      <c r="Z351" s="474"/>
    </row>
    <row r="352" ht="12.0" customHeight="1">
      <c r="A352" s="480"/>
      <c r="B352" s="485"/>
      <c r="C352" s="525"/>
      <c r="D352" s="525"/>
      <c r="E352" s="526"/>
      <c r="F352" s="526"/>
      <c r="G352" s="474"/>
      <c r="H352" s="474"/>
      <c r="I352" s="474"/>
      <c r="J352" s="474"/>
      <c r="K352" s="474"/>
      <c r="L352" s="474"/>
      <c r="M352" s="474"/>
      <c r="N352" s="474"/>
      <c r="O352" s="474"/>
      <c r="P352" s="474"/>
      <c r="Q352" s="474"/>
      <c r="R352" s="474"/>
      <c r="S352" s="474"/>
      <c r="T352" s="474"/>
      <c r="U352" s="474"/>
      <c r="V352" s="474"/>
      <c r="W352" s="474"/>
      <c r="X352" s="474"/>
      <c r="Y352" s="474"/>
      <c r="Z352" s="474"/>
    </row>
    <row r="353" ht="12.0" customHeight="1">
      <c r="A353" s="480"/>
      <c r="B353" s="485"/>
      <c r="C353" s="525"/>
      <c r="D353" s="525"/>
      <c r="E353" s="526"/>
      <c r="F353" s="526"/>
      <c r="G353" s="474"/>
      <c r="H353" s="474"/>
      <c r="I353" s="474"/>
      <c r="J353" s="474"/>
      <c r="K353" s="474"/>
      <c r="L353" s="474"/>
      <c r="M353" s="474"/>
      <c r="N353" s="474"/>
      <c r="O353" s="474"/>
      <c r="P353" s="474"/>
      <c r="Q353" s="474"/>
      <c r="R353" s="474"/>
      <c r="S353" s="474"/>
      <c r="T353" s="474"/>
      <c r="U353" s="474"/>
      <c r="V353" s="474"/>
      <c r="W353" s="474"/>
      <c r="X353" s="474"/>
      <c r="Y353" s="474"/>
      <c r="Z353" s="474"/>
    </row>
    <row r="354" ht="12.0" customHeight="1">
      <c r="A354" s="480"/>
      <c r="B354" s="485"/>
      <c r="C354" s="525"/>
      <c r="D354" s="525"/>
      <c r="E354" s="526"/>
      <c r="F354" s="526"/>
      <c r="G354" s="474"/>
      <c r="H354" s="474"/>
      <c r="I354" s="474"/>
      <c r="J354" s="474"/>
      <c r="K354" s="474"/>
      <c r="L354" s="474"/>
      <c r="M354" s="474"/>
      <c r="N354" s="474"/>
      <c r="O354" s="474"/>
      <c r="P354" s="474"/>
      <c r="Q354" s="474"/>
      <c r="R354" s="474"/>
      <c r="S354" s="474"/>
      <c r="T354" s="474"/>
      <c r="U354" s="474"/>
      <c r="V354" s="474"/>
      <c r="W354" s="474"/>
      <c r="X354" s="474"/>
      <c r="Y354" s="474"/>
      <c r="Z354" s="474"/>
    </row>
    <row r="355" ht="12.0" customHeight="1">
      <c r="A355" s="480"/>
      <c r="B355" s="485"/>
      <c r="C355" s="525"/>
      <c r="D355" s="525"/>
      <c r="E355" s="526"/>
      <c r="F355" s="526"/>
      <c r="G355" s="474"/>
      <c r="H355" s="474"/>
      <c r="I355" s="474"/>
      <c r="J355" s="474"/>
      <c r="K355" s="474"/>
      <c r="L355" s="474"/>
      <c r="M355" s="474"/>
      <c r="N355" s="474"/>
      <c r="O355" s="474"/>
      <c r="P355" s="474"/>
      <c r="Q355" s="474"/>
      <c r="R355" s="474"/>
      <c r="S355" s="474"/>
      <c r="T355" s="474"/>
      <c r="U355" s="474"/>
      <c r="V355" s="474"/>
      <c r="W355" s="474"/>
      <c r="X355" s="474"/>
      <c r="Y355" s="474"/>
      <c r="Z355" s="474"/>
    </row>
    <row r="356" ht="12.0" customHeight="1">
      <c r="A356" s="480"/>
      <c r="B356" s="485"/>
      <c r="C356" s="525"/>
      <c r="D356" s="525"/>
      <c r="E356" s="526"/>
      <c r="F356" s="526"/>
      <c r="G356" s="474"/>
      <c r="H356" s="474"/>
      <c r="I356" s="474"/>
      <c r="J356" s="474"/>
      <c r="K356" s="474"/>
      <c r="L356" s="474"/>
      <c r="M356" s="474"/>
      <c r="N356" s="474"/>
      <c r="O356" s="474"/>
      <c r="P356" s="474"/>
      <c r="Q356" s="474"/>
      <c r="R356" s="474"/>
      <c r="S356" s="474"/>
      <c r="T356" s="474"/>
      <c r="U356" s="474"/>
      <c r="V356" s="474"/>
      <c r="W356" s="474"/>
      <c r="X356" s="474"/>
      <c r="Y356" s="474"/>
      <c r="Z356" s="474"/>
    </row>
    <row r="357" ht="12.0" customHeight="1">
      <c r="A357" s="480"/>
      <c r="B357" s="485"/>
      <c r="C357" s="525"/>
      <c r="D357" s="525"/>
      <c r="E357" s="526"/>
      <c r="F357" s="526"/>
      <c r="G357" s="474"/>
      <c r="H357" s="474"/>
      <c r="I357" s="474"/>
      <c r="J357" s="474"/>
      <c r="K357" s="474"/>
      <c r="L357" s="474"/>
      <c r="M357" s="474"/>
      <c r="N357" s="474"/>
      <c r="O357" s="474"/>
      <c r="P357" s="474"/>
      <c r="Q357" s="474"/>
      <c r="R357" s="474"/>
      <c r="S357" s="474"/>
      <c r="T357" s="474"/>
      <c r="U357" s="474"/>
      <c r="V357" s="474"/>
      <c r="W357" s="474"/>
      <c r="X357" s="474"/>
      <c r="Y357" s="474"/>
      <c r="Z357" s="474"/>
    </row>
    <row r="358" ht="12.0" customHeight="1">
      <c r="A358" s="480"/>
      <c r="B358" s="485"/>
      <c r="C358" s="525"/>
      <c r="D358" s="525"/>
      <c r="E358" s="526"/>
      <c r="F358" s="526"/>
      <c r="G358" s="474"/>
      <c r="H358" s="474"/>
      <c r="I358" s="474"/>
      <c r="J358" s="474"/>
      <c r="K358" s="474"/>
      <c r="L358" s="474"/>
      <c r="M358" s="474"/>
      <c r="N358" s="474"/>
      <c r="O358" s="474"/>
      <c r="P358" s="474"/>
      <c r="Q358" s="474"/>
      <c r="R358" s="474"/>
      <c r="S358" s="474"/>
      <c r="T358" s="474"/>
      <c r="U358" s="474"/>
      <c r="V358" s="474"/>
      <c r="W358" s="474"/>
      <c r="X358" s="474"/>
      <c r="Y358" s="474"/>
      <c r="Z358" s="474"/>
    </row>
    <row r="359" ht="12.0" customHeight="1">
      <c r="A359" s="480"/>
      <c r="B359" s="485"/>
      <c r="C359" s="525"/>
      <c r="D359" s="525"/>
      <c r="E359" s="526"/>
      <c r="F359" s="526"/>
      <c r="G359" s="474"/>
      <c r="H359" s="474"/>
      <c r="I359" s="474"/>
      <c r="J359" s="474"/>
      <c r="K359" s="474"/>
      <c r="L359" s="474"/>
      <c r="M359" s="474"/>
      <c r="N359" s="474"/>
      <c r="O359" s="474"/>
      <c r="P359" s="474"/>
      <c r="Q359" s="474"/>
      <c r="R359" s="474"/>
      <c r="S359" s="474"/>
      <c r="T359" s="474"/>
      <c r="U359" s="474"/>
      <c r="V359" s="474"/>
      <c r="W359" s="474"/>
      <c r="X359" s="474"/>
      <c r="Y359" s="474"/>
      <c r="Z359" s="474"/>
    </row>
    <row r="360" ht="12.0" customHeight="1">
      <c r="A360" s="480"/>
      <c r="B360" s="485"/>
      <c r="C360" s="525"/>
      <c r="D360" s="525"/>
      <c r="E360" s="526"/>
      <c r="F360" s="526"/>
      <c r="G360" s="474"/>
      <c r="H360" s="474"/>
      <c r="I360" s="474"/>
      <c r="J360" s="474"/>
      <c r="K360" s="474"/>
      <c r="L360" s="474"/>
      <c r="M360" s="474"/>
      <c r="N360" s="474"/>
      <c r="O360" s="474"/>
      <c r="P360" s="474"/>
      <c r="Q360" s="474"/>
      <c r="R360" s="474"/>
      <c r="S360" s="474"/>
      <c r="T360" s="474"/>
      <c r="U360" s="474"/>
      <c r="V360" s="474"/>
      <c r="W360" s="474"/>
      <c r="X360" s="474"/>
      <c r="Y360" s="474"/>
      <c r="Z360" s="474"/>
    </row>
    <row r="361" ht="12.0" customHeight="1">
      <c r="A361" s="480"/>
      <c r="B361" s="485"/>
      <c r="C361" s="525"/>
      <c r="D361" s="525"/>
      <c r="E361" s="526"/>
      <c r="F361" s="526"/>
      <c r="G361" s="474"/>
      <c r="H361" s="474"/>
      <c r="I361" s="474"/>
      <c r="J361" s="474"/>
      <c r="K361" s="474"/>
      <c r="L361" s="474"/>
      <c r="M361" s="474"/>
      <c r="N361" s="474"/>
      <c r="O361" s="474"/>
      <c r="P361" s="474"/>
      <c r="Q361" s="474"/>
      <c r="R361" s="474"/>
      <c r="S361" s="474"/>
      <c r="T361" s="474"/>
      <c r="U361" s="474"/>
      <c r="V361" s="474"/>
      <c r="W361" s="474"/>
      <c r="X361" s="474"/>
      <c r="Y361" s="474"/>
      <c r="Z361" s="474"/>
    </row>
    <row r="362" ht="12.0" customHeight="1">
      <c r="A362" s="480"/>
      <c r="B362" s="485"/>
      <c r="C362" s="525"/>
      <c r="D362" s="525"/>
      <c r="E362" s="526"/>
      <c r="F362" s="526"/>
      <c r="G362" s="474"/>
      <c r="H362" s="474"/>
      <c r="I362" s="474"/>
      <c r="J362" s="474"/>
      <c r="K362" s="474"/>
      <c r="L362" s="474"/>
      <c r="M362" s="474"/>
      <c r="N362" s="474"/>
      <c r="O362" s="474"/>
      <c r="P362" s="474"/>
      <c r="Q362" s="474"/>
      <c r="R362" s="474"/>
      <c r="S362" s="474"/>
      <c r="T362" s="474"/>
      <c r="U362" s="474"/>
      <c r="V362" s="474"/>
      <c r="W362" s="474"/>
      <c r="X362" s="474"/>
      <c r="Y362" s="474"/>
      <c r="Z362" s="474"/>
    </row>
    <row r="363" ht="12.0" customHeight="1">
      <c r="A363" s="480"/>
      <c r="B363" s="485"/>
      <c r="C363" s="525"/>
      <c r="D363" s="525"/>
      <c r="E363" s="526"/>
      <c r="F363" s="526"/>
      <c r="G363" s="474"/>
      <c r="H363" s="474"/>
      <c r="I363" s="474"/>
      <c r="J363" s="474"/>
      <c r="K363" s="474"/>
      <c r="L363" s="474"/>
      <c r="M363" s="474"/>
      <c r="N363" s="474"/>
      <c r="O363" s="474"/>
      <c r="P363" s="474"/>
      <c r="Q363" s="474"/>
      <c r="R363" s="474"/>
      <c r="S363" s="474"/>
      <c r="T363" s="474"/>
      <c r="U363" s="474"/>
      <c r="V363" s="474"/>
      <c r="W363" s="474"/>
      <c r="X363" s="474"/>
      <c r="Y363" s="474"/>
      <c r="Z363" s="474"/>
    </row>
    <row r="364" ht="12.0" customHeight="1">
      <c r="A364" s="480"/>
      <c r="B364" s="485"/>
      <c r="C364" s="525"/>
      <c r="D364" s="525"/>
      <c r="E364" s="526"/>
      <c r="F364" s="526"/>
      <c r="G364" s="474"/>
      <c r="H364" s="474"/>
      <c r="I364" s="474"/>
      <c r="J364" s="474"/>
      <c r="K364" s="474"/>
      <c r="L364" s="474"/>
      <c r="M364" s="474"/>
      <c r="N364" s="474"/>
      <c r="O364" s="474"/>
      <c r="P364" s="474"/>
      <c r="Q364" s="474"/>
      <c r="R364" s="474"/>
      <c r="S364" s="474"/>
      <c r="T364" s="474"/>
      <c r="U364" s="474"/>
      <c r="V364" s="474"/>
      <c r="W364" s="474"/>
      <c r="X364" s="474"/>
      <c r="Y364" s="474"/>
      <c r="Z364" s="474"/>
    </row>
    <row r="365" ht="12.0" customHeight="1">
      <c r="A365" s="480"/>
      <c r="B365" s="485"/>
      <c r="C365" s="525"/>
      <c r="D365" s="525"/>
      <c r="E365" s="526"/>
      <c r="F365" s="526"/>
      <c r="G365" s="474"/>
      <c r="H365" s="474"/>
      <c r="I365" s="474"/>
      <c r="J365" s="474"/>
      <c r="K365" s="474"/>
      <c r="L365" s="474"/>
      <c r="M365" s="474"/>
      <c r="N365" s="474"/>
      <c r="O365" s="474"/>
      <c r="P365" s="474"/>
      <c r="Q365" s="474"/>
      <c r="R365" s="474"/>
      <c r="S365" s="474"/>
      <c r="T365" s="474"/>
      <c r="U365" s="474"/>
      <c r="V365" s="474"/>
      <c r="W365" s="474"/>
      <c r="X365" s="474"/>
      <c r="Y365" s="474"/>
      <c r="Z365" s="474"/>
    </row>
    <row r="366" ht="12.0" customHeight="1">
      <c r="A366" s="480"/>
      <c r="B366" s="485"/>
      <c r="C366" s="525"/>
      <c r="D366" s="525"/>
      <c r="E366" s="526"/>
      <c r="F366" s="526"/>
      <c r="G366" s="474"/>
      <c r="H366" s="474"/>
      <c r="I366" s="474"/>
      <c r="J366" s="474"/>
      <c r="K366" s="474"/>
      <c r="L366" s="474"/>
      <c r="M366" s="474"/>
      <c r="N366" s="474"/>
      <c r="O366" s="474"/>
      <c r="P366" s="474"/>
      <c r="Q366" s="474"/>
      <c r="R366" s="474"/>
      <c r="S366" s="474"/>
      <c r="T366" s="474"/>
      <c r="U366" s="474"/>
      <c r="V366" s="474"/>
      <c r="W366" s="474"/>
      <c r="X366" s="474"/>
      <c r="Y366" s="474"/>
      <c r="Z366" s="474"/>
    </row>
    <row r="367" ht="12.0" customHeight="1">
      <c r="A367" s="480"/>
      <c r="B367" s="485"/>
      <c r="C367" s="525"/>
      <c r="D367" s="525"/>
      <c r="E367" s="526"/>
      <c r="F367" s="526"/>
      <c r="G367" s="474"/>
      <c r="H367" s="474"/>
      <c r="I367" s="474"/>
      <c r="J367" s="474"/>
      <c r="K367" s="474"/>
      <c r="L367" s="474"/>
      <c r="M367" s="474"/>
      <c r="N367" s="474"/>
      <c r="O367" s="474"/>
      <c r="P367" s="474"/>
      <c r="Q367" s="474"/>
      <c r="R367" s="474"/>
      <c r="S367" s="474"/>
      <c r="T367" s="474"/>
      <c r="U367" s="474"/>
      <c r="V367" s="474"/>
      <c r="W367" s="474"/>
      <c r="X367" s="474"/>
      <c r="Y367" s="474"/>
      <c r="Z367" s="474"/>
    </row>
    <row r="368" ht="12.0" customHeight="1">
      <c r="A368" s="480"/>
      <c r="B368" s="485"/>
      <c r="C368" s="525"/>
      <c r="D368" s="525"/>
      <c r="E368" s="526"/>
      <c r="F368" s="526"/>
      <c r="G368" s="474"/>
      <c r="H368" s="474"/>
      <c r="I368" s="474"/>
      <c r="J368" s="474"/>
      <c r="K368" s="474"/>
      <c r="L368" s="474"/>
      <c r="M368" s="474"/>
      <c r="N368" s="474"/>
      <c r="O368" s="474"/>
      <c r="P368" s="474"/>
      <c r="Q368" s="474"/>
      <c r="R368" s="474"/>
      <c r="S368" s="474"/>
      <c r="T368" s="474"/>
      <c r="U368" s="474"/>
      <c r="V368" s="474"/>
      <c r="W368" s="474"/>
      <c r="X368" s="474"/>
      <c r="Y368" s="474"/>
      <c r="Z368" s="474"/>
    </row>
    <row r="369" ht="12.0" customHeight="1">
      <c r="A369" s="480"/>
      <c r="B369" s="485"/>
      <c r="C369" s="525"/>
      <c r="D369" s="525"/>
      <c r="E369" s="526"/>
      <c r="F369" s="526"/>
      <c r="G369" s="474"/>
      <c r="H369" s="474"/>
      <c r="I369" s="474"/>
      <c r="J369" s="474"/>
      <c r="K369" s="474"/>
      <c r="L369" s="474"/>
      <c r="M369" s="474"/>
      <c r="N369" s="474"/>
      <c r="O369" s="474"/>
      <c r="P369" s="474"/>
      <c r="Q369" s="474"/>
      <c r="R369" s="474"/>
      <c r="S369" s="474"/>
      <c r="T369" s="474"/>
      <c r="U369" s="474"/>
      <c r="V369" s="474"/>
      <c r="W369" s="474"/>
      <c r="X369" s="474"/>
      <c r="Y369" s="474"/>
      <c r="Z369" s="474"/>
    </row>
    <row r="370" ht="12.0" customHeight="1">
      <c r="A370" s="480"/>
      <c r="B370" s="485"/>
      <c r="C370" s="525"/>
      <c r="D370" s="525"/>
      <c r="E370" s="526"/>
      <c r="F370" s="526"/>
      <c r="G370" s="474"/>
      <c r="H370" s="474"/>
      <c r="I370" s="474"/>
      <c r="J370" s="474"/>
      <c r="K370" s="474"/>
      <c r="L370" s="474"/>
      <c r="M370" s="474"/>
      <c r="N370" s="474"/>
      <c r="O370" s="474"/>
      <c r="P370" s="474"/>
      <c r="Q370" s="474"/>
      <c r="R370" s="474"/>
      <c r="S370" s="474"/>
      <c r="T370" s="474"/>
      <c r="U370" s="474"/>
      <c r="V370" s="474"/>
      <c r="W370" s="474"/>
      <c r="X370" s="474"/>
      <c r="Y370" s="474"/>
      <c r="Z370" s="474"/>
    </row>
    <row r="371" ht="12.0" customHeight="1">
      <c r="A371" s="480"/>
      <c r="B371" s="485"/>
      <c r="C371" s="525"/>
      <c r="D371" s="525"/>
      <c r="E371" s="526"/>
      <c r="F371" s="526"/>
      <c r="G371" s="474"/>
      <c r="H371" s="474"/>
      <c r="I371" s="474"/>
      <c r="J371" s="474"/>
      <c r="K371" s="474"/>
      <c r="L371" s="474"/>
      <c r="M371" s="474"/>
      <c r="N371" s="474"/>
      <c r="O371" s="474"/>
      <c r="P371" s="474"/>
      <c r="Q371" s="474"/>
      <c r="R371" s="474"/>
      <c r="S371" s="474"/>
      <c r="T371" s="474"/>
      <c r="U371" s="474"/>
      <c r="V371" s="474"/>
      <c r="W371" s="474"/>
      <c r="X371" s="474"/>
      <c r="Y371" s="474"/>
      <c r="Z371" s="474"/>
    </row>
    <row r="372" ht="12.0" customHeight="1">
      <c r="A372" s="480"/>
      <c r="B372" s="485"/>
      <c r="C372" s="525"/>
      <c r="D372" s="525"/>
      <c r="E372" s="526"/>
      <c r="F372" s="526"/>
      <c r="G372" s="474"/>
      <c r="H372" s="474"/>
      <c r="I372" s="474"/>
      <c r="J372" s="474"/>
      <c r="K372" s="474"/>
      <c r="L372" s="474"/>
      <c r="M372" s="474"/>
      <c r="N372" s="474"/>
      <c r="O372" s="474"/>
      <c r="P372" s="474"/>
      <c r="Q372" s="474"/>
      <c r="R372" s="474"/>
      <c r="S372" s="474"/>
      <c r="T372" s="474"/>
      <c r="U372" s="474"/>
      <c r="V372" s="474"/>
      <c r="W372" s="474"/>
      <c r="X372" s="474"/>
      <c r="Y372" s="474"/>
      <c r="Z372" s="474"/>
    </row>
    <row r="373" ht="12.0" customHeight="1">
      <c r="A373" s="480"/>
      <c r="B373" s="485"/>
      <c r="C373" s="525"/>
      <c r="D373" s="525"/>
      <c r="E373" s="526"/>
      <c r="F373" s="526"/>
      <c r="G373" s="474"/>
      <c r="H373" s="474"/>
      <c r="I373" s="474"/>
      <c r="J373" s="474"/>
      <c r="K373" s="474"/>
      <c r="L373" s="474"/>
      <c r="M373" s="474"/>
      <c r="N373" s="474"/>
      <c r="O373" s="474"/>
      <c r="P373" s="474"/>
      <c r="Q373" s="474"/>
      <c r="R373" s="474"/>
      <c r="S373" s="474"/>
      <c r="T373" s="474"/>
      <c r="U373" s="474"/>
      <c r="V373" s="474"/>
      <c r="W373" s="474"/>
      <c r="X373" s="474"/>
      <c r="Y373" s="474"/>
      <c r="Z373" s="474"/>
    </row>
    <row r="374" ht="12.0" customHeight="1">
      <c r="A374" s="480"/>
      <c r="B374" s="485"/>
      <c r="C374" s="525"/>
      <c r="D374" s="525"/>
      <c r="E374" s="526"/>
      <c r="F374" s="526"/>
      <c r="G374" s="474"/>
      <c r="H374" s="474"/>
      <c r="I374" s="474"/>
      <c r="J374" s="474"/>
      <c r="K374" s="474"/>
      <c r="L374" s="474"/>
      <c r="M374" s="474"/>
      <c r="N374" s="474"/>
      <c r="O374" s="474"/>
      <c r="P374" s="474"/>
      <c r="Q374" s="474"/>
      <c r="R374" s="474"/>
      <c r="S374" s="474"/>
      <c r="T374" s="474"/>
      <c r="U374" s="474"/>
      <c r="V374" s="474"/>
      <c r="W374" s="474"/>
      <c r="X374" s="474"/>
      <c r="Y374" s="474"/>
      <c r="Z374" s="474"/>
    </row>
    <row r="375" ht="12.0" customHeight="1">
      <c r="A375" s="480"/>
      <c r="B375" s="485"/>
      <c r="C375" s="525"/>
      <c r="D375" s="525"/>
      <c r="E375" s="526"/>
      <c r="F375" s="526"/>
      <c r="G375" s="474"/>
      <c r="H375" s="474"/>
      <c r="I375" s="474"/>
      <c r="J375" s="474"/>
      <c r="K375" s="474"/>
      <c r="L375" s="474"/>
      <c r="M375" s="474"/>
      <c r="N375" s="474"/>
      <c r="O375" s="474"/>
      <c r="P375" s="474"/>
      <c r="Q375" s="474"/>
      <c r="R375" s="474"/>
      <c r="S375" s="474"/>
      <c r="T375" s="474"/>
      <c r="U375" s="474"/>
      <c r="V375" s="474"/>
      <c r="W375" s="474"/>
      <c r="X375" s="474"/>
      <c r="Y375" s="474"/>
      <c r="Z375" s="474"/>
    </row>
    <row r="376" ht="12.0" customHeight="1">
      <c r="A376" s="480"/>
      <c r="B376" s="485"/>
      <c r="C376" s="525"/>
      <c r="D376" s="525"/>
      <c r="E376" s="526"/>
      <c r="F376" s="526"/>
      <c r="G376" s="474"/>
      <c r="H376" s="474"/>
      <c r="I376" s="474"/>
      <c r="J376" s="474"/>
      <c r="K376" s="474"/>
      <c r="L376" s="474"/>
      <c r="M376" s="474"/>
      <c r="N376" s="474"/>
      <c r="O376" s="474"/>
      <c r="P376" s="474"/>
      <c r="Q376" s="474"/>
      <c r="R376" s="474"/>
      <c r="S376" s="474"/>
      <c r="T376" s="474"/>
      <c r="U376" s="474"/>
      <c r="V376" s="474"/>
      <c r="W376" s="474"/>
      <c r="X376" s="474"/>
      <c r="Y376" s="474"/>
      <c r="Z376" s="474"/>
    </row>
    <row r="377" ht="12.0" customHeight="1">
      <c r="A377" s="480"/>
      <c r="B377" s="485"/>
      <c r="C377" s="525"/>
      <c r="D377" s="525"/>
      <c r="E377" s="526"/>
      <c r="F377" s="526"/>
      <c r="G377" s="474"/>
      <c r="H377" s="474"/>
      <c r="I377" s="474"/>
      <c r="J377" s="474"/>
      <c r="K377" s="474"/>
      <c r="L377" s="474"/>
      <c r="M377" s="474"/>
      <c r="N377" s="474"/>
      <c r="O377" s="474"/>
      <c r="P377" s="474"/>
      <c r="Q377" s="474"/>
      <c r="R377" s="474"/>
      <c r="S377" s="474"/>
      <c r="T377" s="474"/>
      <c r="U377" s="474"/>
      <c r="V377" s="474"/>
      <c r="W377" s="474"/>
      <c r="X377" s="474"/>
      <c r="Y377" s="474"/>
      <c r="Z377" s="474"/>
    </row>
    <row r="378" ht="12.0" customHeight="1">
      <c r="A378" s="480"/>
      <c r="B378" s="485"/>
      <c r="C378" s="525"/>
      <c r="D378" s="525"/>
      <c r="E378" s="526"/>
      <c r="F378" s="526"/>
      <c r="G378" s="474"/>
      <c r="H378" s="474"/>
      <c r="I378" s="474"/>
      <c r="J378" s="474"/>
      <c r="K378" s="474"/>
      <c r="L378" s="474"/>
      <c r="M378" s="474"/>
      <c r="N378" s="474"/>
      <c r="O378" s="474"/>
      <c r="P378" s="474"/>
      <c r="Q378" s="474"/>
      <c r="R378" s="474"/>
      <c r="S378" s="474"/>
      <c r="T378" s="474"/>
      <c r="U378" s="474"/>
      <c r="V378" s="474"/>
      <c r="W378" s="474"/>
      <c r="X378" s="474"/>
      <c r="Y378" s="474"/>
      <c r="Z378" s="474"/>
    </row>
    <row r="379" ht="12.0" customHeight="1">
      <c r="A379" s="480"/>
      <c r="B379" s="485"/>
      <c r="C379" s="525"/>
      <c r="D379" s="525"/>
      <c r="E379" s="526"/>
      <c r="F379" s="526"/>
      <c r="G379" s="474"/>
      <c r="H379" s="474"/>
      <c r="I379" s="474"/>
      <c r="J379" s="474"/>
      <c r="K379" s="474"/>
      <c r="L379" s="474"/>
      <c r="M379" s="474"/>
      <c r="N379" s="474"/>
      <c r="O379" s="474"/>
      <c r="P379" s="474"/>
      <c r="Q379" s="474"/>
      <c r="R379" s="474"/>
      <c r="S379" s="474"/>
      <c r="T379" s="474"/>
      <c r="U379" s="474"/>
      <c r="V379" s="474"/>
      <c r="W379" s="474"/>
      <c r="X379" s="474"/>
      <c r="Y379" s="474"/>
      <c r="Z379" s="474"/>
    </row>
    <row r="380" ht="12.0" customHeight="1">
      <c r="A380" s="480"/>
      <c r="B380" s="485"/>
      <c r="C380" s="525"/>
      <c r="D380" s="525"/>
      <c r="E380" s="526"/>
      <c r="F380" s="526"/>
      <c r="G380" s="474"/>
      <c r="H380" s="474"/>
      <c r="I380" s="474"/>
      <c r="J380" s="474"/>
      <c r="K380" s="474"/>
      <c r="L380" s="474"/>
      <c r="M380" s="474"/>
      <c r="N380" s="474"/>
      <c r="O380" s="474"/>
      <c r="P380" s="474"/>
      <c r="Q380" s="474"/>
      <c r="R380" s="474"/>
      <c r="S380" s="474"/>
      <c r="T380" s="474"/>
      <c r="U380" s="474"/>
      <c r="V380" s="474"/>
      <c r="W380" s="474"/>
      <c r="X380" s="474"/>
      <c r="Y380" s="474"/>
      <c r="Z380" s="474"/>
    </row>
    <row r="381" ht="12.0" customHeight="1">
      <c r="A381" s="480"/>
      <c r="B381" s="485"/>
      <c r="C381" s="525"/>
      <c r="D381" s="525"/>
      <c r="E381" s="526"/>
      <c r="F381" s="526"/>
      <c r="G381" s="474"/>
      <c r="H381" s="474"/>
      <c r="I381" s="474"/>
      <c r="J381" s="474"/>
      <c r="K381" s="474"/>
      <c r="L381" s="474"/>
      <c r="M381" s="474"/>
      <c r="N381" s="474"/>
      <c r="O381" s="474"/>
      <c r="P381" s="474"/>
      <c r="Q381" s="474"/>
      <c r="R381" s="474"/>
      <c r="S381" s="474"/>
      <c r="T381" s="474"/>
      <c r="U381" s="474"/>
      <c r="V381" s="474"/>
      <c r="W381" s="474"/>
      <c r="X381" s="474"/>
      <c r="Y381" s="474"/>
      <c r="Z381" s="474"/>
    </row>
    <row r="382" ht="12.0" customHeight="1">
      <c r="A382" s="480"/>
      <c r="B382" s="485"/>
      <c r="C382" s="525"/>
      <c r="D382" s="525"/>
      <c r="E382" s="526"/>
      <c r="F382" s="526"/>
      <c r="G382" s="474"/>
      <c r="H382" s="474"/>
      <c r="I382" s="474"/>
      <c r="J382" s="474"/>
      <c r="K382" s="474"/>
      <c r="L382" s="474"/>
      <c r="M382" s="474"/>
      <c r="N382" s="474"/>
      <c r="O382" s="474"/>
      <c r="P382" s="474"/>
      <c r="Q382" s="474"/>
      <c r="R382" s="474"/>
      <c r="S382" s="474"/>
      <c r="T382" s="474"/>
      <c r="U382" s="474"/>
      <c r="V382" s="474"/>
      <c r="W382" s="474"/>
      <c r="X382" s="474"/>
      <c r="Y382" s="474"/>
      <c r="Z382" s="474"/>
    </row>
    <row r="383" ht="12.0" customHeight="1">
      <c r="A383" s="480"/>
      <c r="B383" s="485"/>
      <c r="C383" s="525"/>
      <c r="D383" s="525"/>
      <c r="E383" s="526"/>
      <c r="F383" s="526"/>
      <c r="G383" s="474"/>
      <c r="H383" s="474"/>
      <c r="I383" s="474"/>
      <c r="J383" s="474"/>
      <c r="K383" s="474"/>
      <c r="L383" s="474"/>
      <c r="M383" s="474"/>
      <c r="N383" s="474"/>
      <c r="O383" s="474"/>
      <c r="P383" s="474"/>
      <c r="Q383" s="474"/>
      <c r="R383" s="474"/>
      <c r="S383" s="474"/>
      <c r="T383" s="474"/>
      <c r="U383" s="474"/>
      <c r="V383" s="474"/>
      <c r="W383" s="474"/>
      <c r="X383" s="474"/>
      <c r="Y383" s="474"/>
      <c r="Z383" s="474"/>
    </row>
    <row r="384" ht="12.0" customHeight="1">
      <c r="A384" s="480"/>
      <c r="B384" s="485"/>
      <c r="C384" s="525"/>
      <c r="D384" s="525"/>
      <c r="E384" s="526"/>
      <c r="F384" s="526"/>
      <c r="G384" s="474"/>
      <c r="H384" s="474"/>
      <c r="I384" s="474"/>
      <c r="J384" s="474"/>
      <c r="K384" s="474"/>
      <c r="L384" s="474"/>
      <c r="M384" s="474"/>
      <c r="N384" s="474"/>
      <c r="O384" s="474"/>
      <c r="P384" s="474"/>
      <c r="Q384" s="474"/>
      <c r="R384" s="474"/>
      <c r="S384" s="474"/>
      <c r="T384" s="474"/>
      <c r="U384" s="474"/>
      <c r="V384" s="474"/>
      <c r="W384" s="474"/>
      <c r="X384" s="474"/>
      <c r="Y384" s="474"/>
      <c r="Z384" s="474"/>
    </row>
    <row r="385" ht="12.0" customHeight="1">
      <c r="A385" s="480"/>
      <c r="B385" s="485"/>
      <c r="C385" s="525"/>
      <c r="D385" s="525"/>
      <c r="E385" s="526"/>
      <c r="F385" s="526"/>
      <c r="G385" s="474"/>
      <c r="H385" s="474"/>
      <c r="I385" s="474"/>
      <c r="J385" s="474"/>
      <c r="K385" s="474"/>
      <c r="L385" s="474"/>
      <c r="M385" s="474"/>
      <c r="N385" s="474"/>
      <c r="O385" s="474"/>
      <c r="P385" s="474"/>
      <c r="Q385" s="474"/>
      <c r="R385" s="474"/>
      <c r="S385" s="474"/>
      <c r="T385" s="474"/>
      <c r="U385" s="474"/>
      <c r="V385" s="474"/>
      <c r="W385" s="474"/>
      <c r="X385" s="474"/>
      <c r="Y385" s="474"/>
      <c r="Z385" s="474"/>
    </row>
    <row r="386" ht="12.0" customHeight="1">
      <c r="A386" s="480"/>
      <c r="B386" s="485"/>
      <c r="C386" s="525"/>
      <c r="D386" s="525"/>
      <c r="E386" s="526"/>
      <c r="F386" s="526"/>
      <c r="G386" s="474"/>
      <c r="H386" s="474"/>
      <c r="I386" s="474"/>
      <c r="J386" s="474"/>
      <c r="K386" s="474"/>
      <c r="L386" s="474"/>
      <c r="M386" s="474"/>
      <c r="N386" s="474"/>
      <c r="O386" s="474"/>
      <c r="P386" s="474"/>
      <c r="Q386" s="474"/>
      <c r="R386" s="474"/>
      <c r="S386" s="474"/>
      <c r="T386" s="474"/>
      <c r="U386" s="474"/>
      <c r="V386" s="474"/>
      <c r="W386" s="474"/>
      <c r="X386" s="474"/>
      <c r="Y386" s="474"/>
      <c r="Z386" s="474"/>
    </row>
    <row r="387" ht="12.0" customHeight="1">
      <c r="A387" s="480"/>
      <c r="B387" s="485"/>
      <c r="C387" s="525"/>
      <c r="D387" s="525"/>
      <c r="E387" s="526"/>
      <c r="F387" s="526"/>
      <c r="G387" s="474"/>
      <c r="H387" s="474"/>
      <c r="I387" s="474"/>
      <c r="J387" s="474"/>
      <c r="K387" s="474"/>
      <c r="L387" s="474"/>
      <c r="M387" s="474"/>
      <c r="N387" s="474"/>
      <c r="O387" s="474"/>
      <c r="P387" s="474"/>
      <c r="Q387" s="474"/>
      <c r="R387" s="474"/>
      <c r="S387" s="474"/>
      <c r="T387" s="474"/>
      <c r="U387" s="474"/>
      <c r="V387" s="474"/>
      <c r="W387" s="474"/>
      <c r="X387" s="474"/>
      <c r="Y387" s="474"/>
      <c r="Z387" s="474"/>
    </row>
    <row r="388" ht="12.0" customHeight="1">
      <c r="A388" s="480"/>
      <c r="B388" s="485"/>
      <c r="C388" s="525"/>
      <c r="D388" s="525"/>
      <c r="E388" s="526"/>
      <c r="F388" s="526"/>
      <c r="G388" s="474"/>
      <c r="H388" s="474"/>
      <c r="I388" s="474"/>
      <c r="J388" s="474"/>
      <c r="K388" s="474"/>
      <c r="L388" s="474"/>
      <c r="M388" s="474"/>
      <c r="N388" s="474"/>
      <c r="O388" s="474"/>
      <c r="P388" s="474"/>
      <c r="Q388" s="474"/>
      <c r="R388" s="474"/>
      <c r="S388" s="474"/>
      <c r="T388" s="474"/>
      <c r="U388" s="474"/>
      <c r="V388" s="474"/>
      <c r="W388" s="474"/>
      <c r="X388" s="474"/>
      <c r="Y388" s="474"/>
      <c r="Z388" s="474"/>
    </row>
    <row r="389" ht="12.0" customHeight="1">
      <c r="A389" s="480"/>
      <c r="B389" s="485"/>
      <c r="C389" s="525"/>
      <c r="D389" s="525"/>
      <c r="E389" s="526"/>
      <c r="F389" s="526"/>
      <c r="G389" s="474"/>
      <c r="H389" s="474"/>
      <c r="I389" s="474"/>
      <c r="J389" s="474"/>
      <c r="K389" s="474"/>
      <c r="L389" s="474"/>
      <c r="M389" s="474"/>
      <c r="N389" s="474"/>
      <c r="O389" s="474"/>
      <c r="P389" s="474"/>
      <c r="Q389" s="474"/>
      <c r="R389" s="474"/>
      <c r="S389" s="474"/>
      <c r="T389" s="474"/>
      <c r="U389" s="474"/>
      <c r="V389" s="474"/>
      <c r="W389" s="474"/>
      <c r="X389" s="474"/>
      <c r="Y389" s="474"/>
      <c r="Z389" s="474"/>
    </row>
    <row r="390" ht="12.0" customHeight="1">
      <c r="A390" s="480"/>
      <c r="B390" s="485"/>
      <c r="C390" s="525"/>
      <c r="D390" s="525"/>
      <c r="E390" s="526"/>
      <c r="F390" s="526"/>
      <c r="G390" s="474"/>
      <c r="H390" s="474"/>
      <c r="I390" s="474"/>
      <c r="J390" s="474"/>
      <c r="K390" s="474"/>
      <c r="L390" s="474"/>
      <c r="M390" s="474"/>
      <c r="N390" s="474"/>
      <c r="O390" s="474"/>
      <c r="P390" s="474"/>
      <c r="Q390" s="474"/>
      <c r="R390" s="474"/>
      <c r="S390" s="474"/>
      <c r="T390" s="474"/>
      <c r="U390" s="474"/>
      <c r="V390" s="474"/>
      <c r="W390" s="474"/>
      <c r="X390" s="474"/>
      <c r="Y390" s="474"/>
      <c r="Z390" s="474"/>
    </row>
    <row r="391" ht="12.0" customHeight="1">
      <c r="A391" s="480"/>
      <c r="B391" s="485"/>
      <c r="C391" s="525"/>
      <c r="D391" s="525"/>
      <c r="E391" s="526"/>
      <c r="F391" s="526"/>
      <c r="G391" s="474"/>
      <c r="H391" s="474"/>
      <c r="I391" s="474"/>
      <c r="J391" s="474"/>
      <c r="K391" s="474"/>
      <c r="L391" s="474"/>
      <c r="M391" s="474"/>
      <c r="N391" s="474"/>
      <c r="O391" s="474"/>
      <c r="P391" s="474"/>
      <c r="Q391" s="474"/>
      <c r="R391" s="474"/>
      <c r="S391" s="474"/>
      <c r="T391" s="474"/>
      <c r="U391" s="474"/>
      <c r="V391" s="474"/>
      <c r="W391" s="474"/>
      <c r="X391" s="474"/>
      <c r="Y391" s="474"/>
      <c r="Z391" s="474"/>
    </row>
    <row r="392" ht="12.0" customHeight="1">
      <c r="A392" s="480"/>
      <c r="B392" s="485"/>
      <c r="C392" s="525"/>
      <c r="D392" s="525"/>
      <c r="E392" s="526"/>
      <c r="F392" s="526"/>
      <c r="G392" s="474"/>
      <c r="H392" s="474"/>
      <c r="I392" s="474"/>
      <c r="J392" s="474"/>
      <c r="K392" s="474"/>
      <c r="L392" s="474"/>
      <c r="M392" s="474"/>
      <c r="N392" s="474"/>
      <c r="O392" s="474"/>
      <c r="P392" s="474"/>
      <c r="Q392" s="474"/>
      <c r="R392" s="474"/>
      <c r="S392" s="474"/>
      <c r="T392" s="474"/>
      <c r="U392" s="474"/>
      <c r="V392" s="474"/>
      <c r="W392" s="474"/>
      <c r="X392" s="474"/>
      <c r="Y392" s="474"/>
      <c r="Z392" s="474"/>
    </row>
    <row r="393" ht="12.0" customHeight="1">
      <c r="A393" s="480"/>
      <c r="B393" s="485"/>
      <c r="C393" s="525"/>
      <c r="D393" s="525"/>
      <c r="E393" s="526"/>
      <c r="F393" s="526"/>
      <c r="G393" s="474"/>
      <c r="H393" s="474"/>
      <c r="I393" s="474"/>
      <c r="J393" s="474"/>
      <c r="K393" s="474"/>
      <c r="L393" s="474"/>
      <c r="M393" s="474"/>
      <c r="N393" s="474"/>
      <c r="O393" s="474"/>
      <c r="P393" s="474"/>
      <c r="Q393" s="474"/>
      <c r="R393" s="474"/>
      <c r="S393" s="474"/>
      <c r="T393" s="474"/>
      <c r="U393" s="474"/>
      <c r="V393" s="474"/>
      <c r="W393" s="474"/>
      <c r="X393" s="474"/>
      <c r="Y393" s="474"/>
      <c r="Z393" s="474"/>
    </row>
    <row r="394" ht="12.0" customHeight="1">
      <c r="A394" s="480"/>
      <c r="B394" s="485"/>
      <c r="C394" s="525"/>
      <c r="D394" s="525"/>
      <c r="E394" s="526"/>
      <c r="F394" s="526"/>
      <c r="G394" s="474"/>
      <c r="H394" s="474"/>
      <c r="I394" s="474"/>
      <c r="J394" s="474"/>
      <c r="K394" s="474"/>
      <c r="L394" s="474"/>
      <c r="M394" s="474"/>
      <c r="N394" s="474"/>
      <c r="O394" s="474"/>
      <c r="P394" s="474"/>
      <c r="Q394" s="474"/>
      <c r="R394" s="474"/>
      <c r="S394" s="474"/>
      <c r="T394" s="474"/>
      <c r="U394" s="474"/>
      <c r="V394" s="474"/>
      <c r="W394" s="474"/>
      <c r="X394" s="474"/>
      <c r="Y394" s="474"/>
      <c r="Z394" s="474"/>
    </row>
    <row r="395" ht="12.0" customHeight="1">
      <c r="A395" s="480"/>
      <c r="B395" s="485"/>
      <c r="C395" s="525"/>
      <c r="D395" s="525"/>
      <c r="E395" s="526"/>
      <c r="F395" s="526"/>
      <c r="G395" s="474"/>
      <c r="H395" s="474"/>
      <c r="I395" s="474"/>
      <c r="J395" s="474"/>
      <c r="K395" s="474"/>
      <c r="L395" s="474"/>
      <c r="M395" s="474"/>
      <c r="N395" s="474"/>
      <c r="O395" s="474"/>
      <c r="P395" s="474"/>
      <c r="Q395" s="474"/>
      <c r="R395" s="474"/>
      <c r="S395" s="474"/>
      <c r="T395" s="474"/>
      <c r="U395" s="474"/>
      <c r="V395" s="474"/>
      <c r="W395" s="474"/>
      <c r="X395" s="474"/>
      <c r="Y395" s="474"/>
      <c r="Z395" s="474"/>
    </row>
    <row r="396" ht="12.0" customHeight="1">
      <c r="A396" s="480"/>
      <c r="B396" s="485"/>
      <c r="C396" s="525"/>
      <c r="D396" s="525"/>
      <c r="E396" s="526"/>
      <c r="F396" s="526"/>
      <c r="G396" s="474"/>
      <c r="H396" s="474"/>
      <c r="I396" s="474"/>
      <c r="J396" s="474"/>
      <c r="K396" s="474"/>
      <c r="L396" s="474"/>
      <c r="M396" s="474"/>
      <c r="N396" s="474"/>
      <c r="O396" s="474"/>
      <c r="P396" s="474"/>
      <c r="Q396" s="474"/>
      <c r="R396" s="474"/>
      <c r="S396" s="474"/>
      <c r="T396" s="474"/>
      <c r="U396" s="474"/>
      <c r="V396" s="474"/>
      <c r="W396" s="474"/>
      <c r="X396" s="474"/>
      <c r="Y396" s="474"/>
      <c r="Z396" s="474"/>
    </row>
    <row r="397" ht="12.0" customHeight="1">
      <c r="A397" s="480"/>
      <c r="B397" s="485"/>
      <c r="C397" s="525"/>
      <c r="D397" s="525"/>
      <c r="E397" s="526"/>
      <c r="F397" s="526"/>
      <c r="G397" s="474"/>
      <c r="H397" s="474"/>
      <c r="I397" s="474"/>
      <c r="J397" s="474"/>
      <c r="K397" s="474"/>
      <c r="L397" s="474"/>
      <c r="M397" s="474"/>
      <c r="N397" s="474"/>
      <c r="O397" s="474"/>
      <c r="P397" s="474"/>
      <c r="Q397" s="474"/>
      <c r="R397" s="474"/>
      <c r="S397" s="474"/>
      <c r="T397" s="474"/>
      <c r="U397" s="474"/>
      <c r="V397" s="474"/>
      <c r="W397" s="474"/>
      <c r="X397" s="474"/>
      <c r="Y397" s="474"/>
      <c r="Z397" s="474"/>
    </row>
    <row r="398" ht="12.0" customHeight="1">
      <c r="A398" s="480"/>
      <c r="B398" s="485"/>
      <c r="C398" s="525"/>
      <c r="D398" s="525"/>
      <c r="E398" s="526"/>
      <c r="F398" s="526"/>
      <c r="G398" s="474"/>
      <c r="H398" s="474"/>
      <c r="I398" s="474"/>
      <c r="J398" s="474"/>
      <c r="K398" s="474"/>
      <c r="L398" s="474"/>
      <c r="M398" s="474"/>
      <c r="N398" s="474"/>
      <c r="O398" s="474"/>
      <c r="P398" s="474"/>
      <c r="Q398" s="474"/>
      <c r="R398" s="474"/>
      <c r="S398" s="474"/>
      <c r="T398" s="474"/>
      <c r="U398" s="474"/>
      <c r="V398" s="474"/>
      <c r="W398" s="474"/>
      <c r="X398" s="474"/>
      <c r="Y398" s="474"/>
      <c r="Z398" s="474"/>
    </row>
    <row r="399" ht="12.0" customHeight="1">
      <c r="A399" s="480"/>
      <c r="B399" s="485"/>
      <c r="C399" s="525"/>
      <c r="D399" s="525"/>
      <c r="E399" s="526"/>
      <c r="F399" s="526"/>
      <c r="G399" s="474"/>
      <c r="H399" s="474"/>
      <c r="I399" s="474"/>
      <c r="J399" s="474"/>
      <c r="K399" s="474"/>
      <c r="L399" s="474"/>
      <c r="M399" s="474"/>
      <c r="N399" s="474"/>
      <c r="O399" s="474"/>
      <c r="P399" s="474"/>
      <c r="Q399" s="474"/>
      <c r="R399" s="474"/>
      <c r="S399" s="474"/>
      <c r="T399" s="474"/>
      <c r="U399" s="474"/>
      <c r="V399" s="474"/>
      <c r="W399" s="474"/>
      <c r="X399" s="474"/>
      <c r="Y399" s="474"/>
      <c r="Z399" s="474"/>
    </row>
    <row r="400" ht="12.0" customHeight="1">
      <c r="A400" s="480"/>
      <c r="B400" s="485"/>
      <c r="C400" s="525"/>
      <c r="D400" s="525"/>
      <c r="E400" s="526"/>
      <c r="F400" s="526"/>
      <c r="G400" s="474"/>
      <c r="H400" s="474"/>
      <c r="I400" s="474"/>
      <c r="J400" s="474"/>
      <c r="K400" s="474"/>
      <c r="L400" s="474"/>
      <c r="M400" s="474"/>
      <c r="N400" s="474"/>
      <c r="O400" s="474"/>
      <c r="P400" s="474"/>
      <c r="Q400" s="474"/>
      <c r="R400" s="474"/>
      <c r="S400" s="474"/>
      <c r="T400" s="474"/>
      <c r="U400" s="474"/>
      <c r="V400" s="474"/>
      <c r="W400" s="474"/>
      <c r="X400" s="474"/>
      <c r="Y400" s="474"/>
      <c r="Z400" s="474"/>
    </row>
    <row r="401" ht="12.0" customHeight="1">
      <c r="A401" s="480"/>
      <c r="B401" s="485"/>
      <c r="C401" s="525"/>
      <c r="D401" s="525"/>
      <c r="E401" s="526"/>
      <c r="F401" s="526"/>
      <c r="G401" s="474"/>
      <c r="H401" s="474"/>
      <c r="I401" s="474"/>
      <c r="J401" s="474"/>
      <c r="K401" s="474"/>
      <c r="L401" s="474"/>
      <c r="M401" s="474"/>
      <c r="N401" s="474"/>
      <c r="O401" s="474"/>
      <c r="P401" s="474"/>
      <c r="Q401" s="474"/>
      <c r="R401" s="474"/>
      <c r="S401" s="474"/>
      <c r="T401" s="474"/>
      <c r="U401" s="474"/>
      <c r="V401" s="474"/>
      <c r="W401" s="474"/>
      <c r="X401" s="474"/>
      <c r="Y401" s="474"/>
      <c r="Z401" s="474"/>
    </row>
    <row r="402" ht="12.0" customHeight="1">
      <c r="A402" s="480"/>
      <c r="B402" s="485"/>
      <c r="C402" s="525"/>
      <c r="D402" s="525"/>
      <c r="E402" s="526"/>
      <c r="F402" s="526"/>
      <c r="G402" s="474"/>
      <c r="H402" s="474"/>
      <c r="I402" s="474"/>
      <c r="J402" s="474"/>
      <c r="K402" s="474"/>
      <c r="L402" s="474"/>
      <c r="M402" s="474"/>
      <c r="N402" s="474"/>
      <c r="O402" s="474"/>
      <c r="P402" s="474"/>
      <c r="Q402" s="474"/>
      <c r="R402" s="474"/>
      <c r="S402" s="474"/>
      <c r="T402" s="474"/>
      <c r="U402" s="474"/>
      <c r="V402" s="474"/>
      <c r="W402" s="474"/>
      <c r="X402" s="474"/>
      <c r="Y402" s="474"/>
      <c r="Z402" s="474"/>
    </row>
    <row r="403" ht="12.0" customHeight="1">
      <c r="A403" s="480"/>
      <c r="B403" s="485"/>
      <c r="C403" s="525"/>
      <c r="D403" s="525"/>
      <c r="E403" s="526"/>
      <c r="F403" s="526"/>
      <c r="G403" s="474"/>
      <c r="H403" s="474"/>
      <c r="I403" s="474"/>
      <c r="J403" s="474"/>
      <c r="K403" s="474"/>
      <c r="L403" s="474"/>
      <c r="M403" s="474"/>
      <c r="N403" s="474"/>
      <c r="O403" s="474"/>
      <c r="P403" s="474"/>
      <c r="Q403" s="474"/>
      <c r="R403" s="474"/>
      <c r="S403" s="474"/>
      <c r="T403" s="474"/>
      <c r="U403" s="474"/>
      <c r="V403" s="474"/>
      <c r="W403" s="474"/>
      <c r="X403" s="474"/>
      <c r="Y403" s="474"/>
      <c r="Z403" s="474"/>
    </row>
    <row r="404" ht="12.0" customHeight="1">
      <c r="A404" s="480"/>
      <c r="B404" s="485"/>
      <c r="C404" s="525"/>
      <c r="D404" s="525"/>
      <c r="E404" s="526"/>
      <c r="F404" s="526"/>
      <c r="G404" s="474"/>
      <c r="H404" s="474"/>
      <c r="I404" s="474"/>
      <c r="J404" s="474"/>
      <c r="K404" s="474"/>
      <c r="L404" s="474"/>
      <c r="M404" s="474"/>
      <c r="N404" s="474"/>
      <c r="O404" s="474"/>
      <c r="P404" s="474"/>
      <c r="Q404" s="474"/>
      <c r="R404" s="474"/>
      <c r="S404" s="474"/>
      <c r="T404" s="474"/>
      <c r="U404" s="474"/>
      <c r="V404" s="474"/>
      <c r="W404" s="474"/>
      <c r="X404" s="474"/>
      <c r="Y404" s="474"/>
      <c r="Z404" s="474"/>
    </row>
    <row r="405" ht="12.0" customHeight="1">
      <c r="A405" s="480"/>
      <c r="B405" s="485"/>
      <c r="C405" s="525"/>
      <c r="D405" s="525"/>
      <c r="E405" s="526"/>
      <c r="F405" s="526"/>
      <c r="G405" s="474"/>
      <c r="H405" s="474"/>
      <c r="I405" s="474"/>
      <c r="J405" s="474"/>
      <c r="K405" s="474"/>
      <c r="L405" s="474"/>
      <c r="M405" s="474"/>
      <c r="N405" s="474"/>
      <c r="O405" s="474"/>
      <c r="P405" s="474"/>
      <c r="Q405" s="474"/>
      <c r="R405" s="474"/>
      <c r="S405" s="474"/>
      <c r="T405" s="474"/>
      <c r="U405" s="474"/>
      <c r="V405" s="474"/>
      <c r="W405" s="474"/>
      <c r="X405" s="474"/>
      <c r="Y405" s="474"/>
      <c r="Z405" s="474"/>
    </row>
    <row r="406" ht="12.0" customHeight="1">
      <c r="A406" s="480"/>
      <c r="B406" s="485"/>
      <c r="C406" s="525"/>
      <c r="D406" s="525"/>
      <c r="E406" s="526"/>
      <c r="F406" s="526"/>
      <c r="G406" s="474"/>
      <c r="H406" s="474"/>
      <c r="I406" s="474"/>
      <c r="J406" s="474"/>
      <c r="K406" s="474"/>
      <c r="L406" s="474"/>
      <c r="M406" s="474"/>
      <c r="N406" s="474"/>
      <c r="O406" s="474"/>
      <c r="P406" s="474"/>
      <c r="Q406" s="474"/>
      <c r="R406" s="474"/>
      <c r="S406" s="474"/>
      <c r="T406" s="474"/>
      <c r="U406" s="474"/>
      <c r="V406" s="474"/>
      <c r="W406" s="474"/>
      <c r="X406" s="474"/>
      <c r="Y406" s="474"/>
      <c r="Z406" s="474"/>
    </row>
    <row r="407" ht="12.0" customHeight="1">
      <c r="A407" s="480"/>
      <c r="B407" s="485"/>
      <c r="C407" s="525"/>
      <c r="D407" s="525"/>
      <c r="E407" s="526"/>
      <c r="F407" s="526"/>
      <c r="G407" s="474"/>
      <c r="H407" s="474"/>
      <c r="I407" s="474"/>
      <c r="J407" s="474"/>
      <c r="K407" s="474"/>
      <c r="L407" s="474"/>
      <c r="M407" s="474"/>
      <c r="N407" s="474"/>
      <c r="O407" s="474"/>
      <c r="P407" s="474"/>
      <c r="Q407" s="474"/>
      <c r="R407" s="474"/>
      <c r="S407" s="474"/>
      <c r="T407" s="474"/>
      <c r="U407" s="474"/>
      <c r="V407" s="474"/>
      <c r="W407" s="474"/>
      <c r="X407" s="474"/>
      <c r="Y407" s="474"/>
      <c r="Z407" s="474"/>
    </row>
    <row r="408" ht="12.0" customHeight="1">
      <c r="A408" s="480"/>
      <c r="B408" s="485"/>
      <c r="C408" s="525"/>
      <c r="D408" s="525"/>
      <c r="E408" s="526"/>
      <c r="F408" s="526"/>
      <c r="G408" s="474"/>
      <c r="H408" s="474"/>
      <c r="I408" s="474"/>
      <c r="J408" s="474"/>
      <c r="K408" s="474"/>
      <c r="L408" s="474"/>
      <c r="M408" s="474"/>
      <c r="N408" s="474"/>
      <c r="O408" s="474"/>
      <c r="P408" s="474"/>
      <c r="Q408" s="474"/>
      <c r="R408" s="474"/>
      <c r="S408" s="474"/>
      <c r="T408" s="474"/>
      <c r="U408" s="474"/>
      <c r="V408" s="474"/>
      <c r="W408" s="474"/>
      <c r="X408" s="474"/>
      <c r="Y408" s="474"/>
      <c r="Z408" s="474"/>
    </row>
    <row r="409" ht="12.0" customHeight="1">
      <c r="A409" s="480"/>
      <c r="B409" s="485"/>
      <c r="C409" s="525"/>
      <c r="D409" s="525"/>
      <c r="E409" s="526"/>
      <c r="F409" s="526"/>
      <c r="G409" s="474"/>
      <c r="H409" s="474"/>
      <c r="I409" s="474"/>
      <c r="J409" s="474"/>
      <c r="K409" s="474"/>
      <c r="L409" s="474"/>
      <c r="M409" s="474"/>
      <c r="N409" s="474"/>
      <c r="O409" s="474"/>
      <c r="P409" s="474"/>
      <c r="Q409" s="474"/>
      <c r="R409" s="474"/>
      <c r="S409" s="474"/>
      <c r="T409" s="474"/>
      <c r="U409" s="474"/>
      <c r="V409" s="474"/>
      <c r="W409" s="474"/>
      <c r="X409" s="474"/>
      <c r="Y409" s="474"/>
      <c r="Z409" s="474"/>
    </row>
    <row r="410" ht="12.0" customHeight="1">
      <c r="A410" s="480"/>
      <c r="B410" s="485"/>
      <c r="C410" s="525"/>
      <c r="D410" s="525"/>
      <c r="E410" s="526"/>
      <c r="F410" s="526"/>
      <c r="G410" s="474"/>
      <c r="H410" s="474"/>
      <c r="I410" s="474"/>
      <c r="J410" s="474"/>
      <c r="K410" s="474"/>
      <c r="L410" s="474"/>
      <c r="M410" s="474"/>
      <c r="N410" s="474"/>
      <c r="O410" s="474"/>
      <c r="P410" s="474"/>
      <c r="Q410" s="474"/>
      <c r="R410" s="474"/>
      <c r="S410" s="474"/>
      <c r="T410" s="474"/>
      <c r="U410" s="474"/>
      <c r="V410" s="474"/>
      <c r="W410" s="474"/>
      <c r="X410" s="474"/>
      <c r="Y410" s="474"/>
      <c r="Z410" s="474"/>
    </row>
    <row r="411" ht="12.0" customHeight="1">
      <c r="A411" s="480"/>
      <c r="B411" s="485"/>
      <c r="C411" s="525"/>
      <c r="D411" s="525"/>
      <c r="E411" s="526"/>
      <c r="F411" s="526"/>
      <c r="G411" s="474"/>
      <c r="H411" s="474"/>
      <c r="I411" s="474"/>
      <c r="J411" s="474"/>
      <c r="K411" s="474"/>
      <c r="L411" s="474"/>
      <c r="M411" s="474"/>
      <c r="N411" s="474"/>
      <c r="O411" s="474"/>
      <c r="P411" s="474"/>
      <c r="Q411" s="474"/>
      <c r="R411" s="474"/>
      <c r="S411" s="474"/>
      <c r="T411" s="474"/>
      <c r="U411" s="474"/>
      <c r="V411" s="474"/>
      <c r="W411" s="474"/>
      <c r="X411" s="474"/>
      <c r="Y411" s="474"/>
      <c r="Z411" s="474"/>
    </row>
    <row r="412" ht="12.0" customHeight="1">
      <c r="A412" s="480"/>
      <c r="B412" s="485"/>
      <c r="C412" s="525"/>
      <c r="D412" s="525"/>
      <c r="E412" s="526"/>
      <c r="F412" s="526"/>
      <c r="G412" s="474"/>
      <c r="H412" s="474"/>
      <c r="I412" s="474"/>
      <c r="J412" s="474"/>
      <c r="K412" s="474"/>
      <c r="L412" s="474"/>
      <c r="M412" s="474"/>
      <c r="N412" s="474"/>
      <c r="O412" s="474"/>
      <c r="P412" s="474"/>
      <c r="Q412" s="474"/>
      <c r="R412" s="474"/>
      <c r="S412" s="474"/>
      <c r="T412" s="474"/>
      <c r="U412" s="474"/>
      <c r="V412" s="474"/>
      <c r="W412" s="474"/>
      <c r="X412" s="474"/>
      <c r="Y412" s="474"/>
      <c r="Z412" s="474"/>
    </row>
    <row r="413" ht="12.0" customHeight="1">
      <c r="A413" s="480"/>
      <c r="B413" s="485"/>
      <c r="C413" s="525"/>
      <c r="D413" s="525"/>
      <c r="E413" s="526"/>
      <c r="F413" s="526"/>
      <c r="G413" s="474"/>
      <c r="H413" s="474"/>
      <c r="I413" s="474"/>
      <c r="J413" s="474"/>
      <c r="K413" s="474"/>
      <c r="L413" s="474"/>
      <c r="M413" s="474"/>
      <c r="N413" s="474"/>
      <c r="O413" s="474"/>
      <c r="P413" s="474"/>
      <c r="Q413" s="474"/>
      <c r="R413" s="474"/>
      <c r="S413" s="474"/>
      <c r="T413" s="474"/>
      <c r="U413" s="474"/>
      <c r="V413" s="474"/>
      <c r="W413" s="474"/>
      <c r="X413" s="474"/>
      <c r="Y413" s="474"/>
      <c r="Z413" s="474"/>
    </row>
    <row r="414" ht="12.0" customHeight="1">
      <c r="A414" s="480"/>
      <c r="B414" s="485"/>
      <c r="C414" s="525"/>
      <c r="D414" s="525"/>
      <c r="E414" s="526"/>
      <c r="F414" s="526"/>
      <c r="G414" s="474"/>
      <c r="H414" s="474"/>
      <c r="I414" s="474"/>
      <c r="J414" s="474"/>
      <c r="K414" s="474"/>
      <c r="L414" s="474"/>
      <c r="M414" s="474"/>
      <c r="N414" s="474"/>
      <c r="O414" s="474"/>
      <c r="P414" s="474"/>
      <c r="Q414" s="474"/>
      <c r="R414" s="474"/>
      <c r="S414" s="474"/>
      <c r="T414" s="474"/>
      <c r="U414" s="474"/>
      <c r="V414" s="474"/>
      <c r="W414" s="474"/>
      <c r="X414" s="474"/>
      <c r="Y414" s="474"/>
      <c r="Z414" s="474"/>
    </row>
    <row r="415" ht="12.0" customHeight="1">
      <c r="A415" s="480"/>
      <c r="B415" s="485"/>
      <c r="C415" s="525"/>
      <c r="D415" s="525"/>
      <c r="E415" s="526"/>
      <c r="F415" s="526"/>
      <c r="G415" s="474"/>
      <c r="H415" s="474"/>
      <c r="I415" s="474"/>
      <c r="J415" s="474"/>
      <c r="K415" s="474"/>
      <c r="L415" s="474"/>
      <c r="M415" s="474"/>
      <c r="N415" s="474"/>
      <c r="O415" s="474"/>
      <c r="P415" s="474"/>
      <c r="Q415" s="474"/>
      <c r="R415" s="474"/>
      <c r="S415" s="474"/>
      <c r="T415" s="474"/>
      <c r="U415" s="474"/>
      <c r="V415" s="474"/>
      <c r="W415" s="474"/>
      <c r="X415" s="474"/>
      <c r="Y415" s="474"/>
      <c r="Z415" s="474"/>
    </row>
    <row r="416" ht="12.0" customHeight="1">
      <c r="A416" s="480"/>
      <c r="B416" s="485"/>
      <c r="C416" s="525"/>
      <c r="D416" s="525"/>
      <c r="E416" s="526"/>
      <c r="F416" s="526"/>
      <c r="G416" s="474"/>
      <c r="H416" s="474"/>
      <c r="I416" s="474"/>
      <c r="J416" s="474"/>
      <c r="K416" s="474"/>
      <c r="L416" s="474"/>
      <c r="M416" s="474"/>
      <c r="N416" s="474"/>
      <c r="O416" s="474"/>
      <c r="P416" s="474"/>
      <c r="Q416" s="474"/>
      <c r="R416" s="474"/>
      <c r="S416" s="474"/>
      <c r="T416" s="474"/>
      <c r="U416" s="474"/>
      <c r="V416" s="474"/>
      <c r="W416" s="474"/>
      <c r="X416" s="474"/>
      <c r="Y416" s="474"/>
      <c r="Z416" s="474"/>
    </row>
    <row r="417" ht="12.0" customHeight="1">
      <c r="A417" s="480"/>
      <c r="B417" s="485"/>
      <c r="C417" s="525"/>
      <c r="D417" s="525"/>
      <c r="E417" s="526"/>
      <c r="F417" s="526"/>
      <c r="G417" s="474"/>
      <c r="H417" s="474"/>
      <c r="I417" s="474"/>
      <c r="J417" s="474"/>
      <c r="K417" s="474"/>
      <c r="L417" s="474"/>
      <c r="M417" s="474"/>
      <c r="N417" s="474"/>
      <c r="O417" s="474"/>
      <c r="P417" s="474"/>
      <c r="Q417" s="474"/>
      <c r="R417" s="474"/>
      <c r="S417" s="474"/>
      <c r="T417" s="474"/>
      <c r="U417" s="474"/>
      <c r="V417" s="474"/>
      <c r="W417" s="474"/>
      <c r="X417" s="474"/>
      <c r="Y417" s="474"/>
      <c r="Z417" s="474"/>
    </row>
    <row r="418" ht="12.0" customHeight="1">
      <c r="A418" s="480"/>
      <c r="B418" s="485"/>
      <c r="C418" s="525"/>
      <c r="D418" s="525"/>
      <c r="E418" s="526"/>
      <c r="F418" s="526"/>
      <c r="G418" s="474"/>
      <c r="H418" s="474"/>
      <c r="I418" s="474"/>
      <c r="J418" s="474"/>
      <c r="K418" s="474"/>
      <c r="L418" s="474"/>
      <c r="M418" s="474"/>
      <c r="N418" s="474"/>
      <c r="O418" s="474"/>
      <c r="P418" s="474"/>
      <c r="Q418" s="474"/>
      <c r="R418" s="474"/>
      <c r="S418" s="474"/>
      <c r="T418" s="474"/>
      <c r="U418" s="474"/>
      <c r="V418" s="474"/>
      <c r="W418" s="474"/>
      <c r="X418" s="474"/>
      <c r="Y418" s="474"/>
      <c r="Z418" s="474"/>
    </row>
    <row r="419" ht="12.0" customHeight="1">
      <c r="A419" s="480"/>
      <c r="B419" s="485"/>
      <c r="C419" s="525"/>
      <c r="D419" s="525"/>
      <c r="E419" s="526"/>
      <c r="F419" s="526"/>
      <c r="G419" s="474"/>
      <c r="H419" s="474"/>
      <c r="I419" s="474"/>
      <c r="J419" s="474"/>
      <c r="K419" s="474"/>
      <c r="L419" s="474"/>
      <c r="M419" s="474"/>
      <c r="N419" s="474"/>
      <c r="O419" s="474"/>
      <c r="P419" s="474"/>
      <c r="Q419" s="474"/>
      <c r="R419" s="474"/>
      <c r="S419" s="474"/>
      <c r="T419" s="474"/>
      <c r="U419" s="474"/>
      <c r="V419" s="474"/>
      <c r="W419" s="474"/>
      <c r="X419" s="474"/>
      <c r="Y419" s="474"/>
      <c r="Z419" s="474"/>
    </row>
    <row r="420" ht="12.0" customHeight="1">
      <c r="A420" s="480"/>
      <c r="B420" s="485"/>
      <c r="C420" s="525"/>
      <c r="D420" s="525"/>
      <c r="E420" s="526"/>
      <c r="F420" s="526"/>
      <c r="G420" s="474"/>
      <c r="H420" s="474"/>
      <c r="I420" s="474"/>
      <c r="J420" s="474"/>
      <c r="K420" s="474"/>
      <c r="L420" s="474"/>
      <c r="M420" s="474"/>
      <c r="N420" s="474"/>
      <c r="O420" s="474"/>
      <c r="P420" s="474"/>
      <c r="Q420" s="474"/>
      <c r="R420" s="474"/>
      <c r="S420" s="474"/>
      <c r="T420" s="474"/>
      <c r="U420" s="474"/>
      <c r="V420" s="474"/>
      <c r="W420" s="474"/>
      <c r="X420" s="474"/>
      <c r="Y420" s="474"/>
      <c r="Z420" s="474"/>
    </row>
    <row r="421" ht="12.0" customHeight="1">
      <c r="A421" s="480"/>
      <c r="B421" s="485"/>
      <c r="C421" s="525"/>
      <c r="D421" s="525"/>
      <c r="E421" s="526"/>
      <c r="F421" s="526"/>
      <c r="G421" s="474"/>
      <c r="H421" s="474"/>
      <c r="I421" s="474"/>
      <c r="J421" s="474"/>
      <c r="K421" s="474"/>
      <c r="L421" s="474"/>
      <c r="M421" s="474"/>
      <c r="N421" s="474"/>
      <c r="O421" s="474"/>
      <c r="P421" s="474"/>
      <c r="Q421" s="474"/>
      <c r="R421" s="474"/>
      <c r="S421" s="474"/>
      <c r="T421" s="474"/>
      <c r="U421" s="474"/>
      <c r="V421" s="474"/>
      <c r="W421" s="474"/>
      <c r="X421" s="474"/>
      <c r="Y421" s="474"/>
      <c r="Z421" s="474"/>
    </row>
    <row r="422" ht="12.0" customHeight="1">
      <c r="A422" s="480"/>
      <c r="B422" s="485"/>
      <c r="C422" s="525"/>
      <c r="D422" s="525"/>
      <c r="E422" s="526"/>
      <c r="F422" s="526"/>
      <c r="G422" s="474"/>
      <c r="H422" s="474"/>
      <c r="I422" s="474"/>
      <c r="J422" s="474"/>
      <c r="K422" s="474"/>
      <c r="L422" s="474"/>
      <c r="M422" s="474"/>
      <c r="N422" s="474"/>
      <c r="O422" s="474"/>
      <c r="P422" s="474"/>
      <c r="Q422" s="474"/>
      <c r="R422" s="474"/>
      <c r="S422" s="474"/>
      <c r="T422" s="474"/>
      <c r="U422" s="474"/>
      <c r="V422" s="474"/>
      <c r="W422" s="474"/>
      <c r="X422" s="474"/>
      <c r="Y422" s="474"/>
      <c r="Z422" s="474"/>
    </row>
    <row r="423" ht="12.0" customHeight="1">
      <c r="A423" s="480"/>
      <c r="B423" s="485"/>
      <c r="C423" s="525"/>
      <c r="D423" s="525"/>
      <c r="E423" s="526"/>
      <c r="F423" s="526"/>
      <c r="G423" s="474"/>
      <c r="H423" s="474"/>
      <c r="I423" s="474"/>
      <c r="J423" s="474"/>
      <c r="K423" s="474"/>
      <c r="L423" s="474"/>
      <c r="M423" s="474"/>
      <c r="N423" s="474"/>
      <c r="O423" s="474"/>
      <c r="P423" s="474"/>
      <c r="Q423" s="474"/>
      <c r="R423" s="474"/>
      <c r="S423" s="474"/>
      <c r="T423" s="474"/>
      <c r="U423" s="474"/>
      <c r="V423" s="474"/>
      <c r="W423" s="474"/>
      <c r="X423" s="474"/>
      <c r="Y423" s="474"/>
      <c r="Z423" s="474"/>
    </row>
    <row r="424" ht="12.0" customHeight="1">
      <c r="A424" s="480"/>
      <c r="B424" s="485"/>
      <c r="C424" s="525"/>
      <c r="D424" s="525"/>
      <c r="E424" s="526"/>
      <c r="F424" s="526"/>
      <c r="G424" s="474"/>
      <c r="H424" s="474"/>
      <c r="I424" s="474"/>
      <c r="J424" s="474"/>
      <c r="K424" s="474"/>
      <c r="L424" s="474"/>
      <c r="M424" s="474"/>
      <c r="N424" s="474"/>
      <c r="O424" s="474"/>
      <c r="P424" s="474"/>
      <c r="Q424" s="474"/>
      <c r="R424" s="474"/>
      <c r="S424" s="474"/>
      <c r="T424" s="474"/>
      <c r="U424" s="474"/>
      <c r="V424" s="474"/>
      <c r="W424" s="474"/>
      <c r="X424" s="474"/>
      <c r="Y424" s="474"/>
      <c r="Z424" s="474"/>
    </row>
    <row r="425" ht="12.0" customHeight="1">
      <c r="A425" s="480"/>
      <c r="B425" s="485"/>
      <c r="C425" s="525"/>
      <c r="D425" s="525"/>
      <c r="E425" s="526"/>
      <c r="F425" s="526"/>
      <c r="G425" s="474"/>
      <c r="H425" s="474"/>
      <c r="I425" s="474"/>
      <c r="J425" s="474"/>
      <c r="K425" s="474"/>
      <c r="L425" s="474"/>
      <c r="M425" s="474"/>
      <c r="N425" s="474"/>
      <c r="O425" s="474"/>
      <c r="P425" s="474"/>
      <c r="Q425" s="474"/>
      <c r="R425" s="474"/>
      <c r="S425" s="474"/>
      <c r="T425" s="474"/>
      <c r="U425" s="474"/>
      <c r="V425" s="474"/>
      <c r="W425" s="474"/>
      <c r="X425" s="474"/>
      <c r="Y425" s="474"/>
      <c r="Z425" s="474"/>
    </row>
    <row r="426" ht="12.0" customHeight="1">
      <c r="A426" s="480"/>
      <c r="B426" s="485"/>
      <c r="C426" s="525"/>
      <c r="D426" s="525"/>
      <c r="E426" s="526"/>
      <c r="F426" s="526"/>
      <c r="G426" s="474"/>
      <c r="H426" s="474"/>
      <c r="I426" s="474"/>
      <c r="J426" s="474"/>
      <c r="K426" s="474"/>
      <c r="L426" s="474"/>
      <c r="M426" s="474"/>
      <c r="N426" s="474"/>
      <c r="O426" s="474"/>
      <c r="P426" s="474"/>
      <c r="Q426" s="474"/>
      <c r="R426" s="474"/>
      <c r="S426" s="474"/>
      <c r="T426" s="474"/>
      <c r="U426" s="474"/>
      <c r="V426" s="474"/>
      <c r="W426" s="474"/>
      <c r="X426" s="474"/>
      <c r="Y426" s="474"/>
      <c r="Z426" s="474"/>
    </row>
    <row r="427" ht="12.0" customHeight="1">
      <c r="A427" s="480"/>
      <c r="B427" s="485"/>
      <c r="C427" s="525"/>
      <c r="D427" s="525"/>
      <c r="E427" s="526"/>
      <c r="F427" s="526"/>
      <c r="G427" s="474"/>
      <c r="H427" s="474"/>
      <c r="I427" s="474"/>
      <c r="J427" s="474"/>
      <c r="K427" s="474"/>
      <c r="L427" s="474"/>
      <c r="M427" s="474"/>
      <c r="N427" s="474"/>
      <c r="O427" s="474"/>
      <c r="P427" s="474"/>
      <c r="Q427" s="474"/>
      <c r="R427" s="474"/>
      <c r="S427" s="474"/>
      <c r="T427" s="474"/>
      <c r="U427" s="474"/>
      <c r="V427" s="474"/>
      <c r="W427" s="474"/>
      <c r="X427" s="474"/>
      <c r="Y427" s="474"/>
      <c r="Z427" s="474"/>
    </row>
    <row r="428" ht="12.0" customHeight="1">
      <c r="A428" s="480"/>
      <c r="B428" s="485"/>
      <c r="C428" s="525"/>
      <c r="D428" s="525"/>
      <c r="E428" s="526"/>
      <c r="F428" s="526"/>
      <c r="G428" s="474"/>
      <c r="H428" s="474"/>
      <c r="I428" s="474"/>
      <c r="J428" s="474"/>
      <c r="K428" s="474"/>
      <c r="L428" s="474"/>
      <c r="M428" s="474"/>
      <c r="N428" s="474"/>
      <c r="O428" s="474"/>
      <c r="P428" s="474"/>
      <c r="Q428" s="474"/>
      <c r="R428" s="474"/>
      <c r="S428" s="474"/>
      <c r="T428" s="474"/>
      <c r="U428" s="474"/>
      <c r="V428" s="474"/>
      <c r="W428" s="474"/>
      <c r="X428" s="474"/>
      <c r="Y428" s="474"/>
      <c r="Z428" s="474"/>
    </row>
    <row r="429" ht="12.0" customHeight="1">
      <c r="A429" s="480"/>
      <c r="B429" s="485"/>
      <c r="C429" s="525"/>
      <c r="D429" s="525"/>
      <c r="E429" s="526"/>
      <c r="F429" s="526"/>
      <c r="G429" s="474"/>
      <c r="H429" s="474"/>
      <c r="I429" s="474"/>
      <c r="J429" s="474"/>
      <c r="K429" s="474"/>
      <c r="L429" s="474"/>
      <c r="M429" s="474"/>
      <c r="N429" s="474"/>
      <c r="O429" s="474"/>
      <c r="P429" s="474"/>
      <c r="Q429" s="474"/>
      <c r="R429" s="474"/>
      <c r="S429" s="474"/>
      <c r="T429" s="474"/>
      <c r="U429" s="474"/>
      <c r="V429" s="474"/>
      <c r="W429" s="474"/>
      <c r="X429" s="474"/>
      <c r="Y429" s="474"/>
      <c r="Z429" s="474"/>
    </row>
    <row r="430" ht="12.0" customHeight="1">
      <c r="A430" s="480"/>
      <c r="B430" s="485"/>
      <c r="C430" s="525"/>
      <c r="D430" s="525"/>
      <c r="E430" s="526"/>
      <c r="F430" s="526"/>
      <c r="G430" s="474"/>
      <c r="H430" s="474"/>
      <c r="I430" s="474"/>
      <c r="J430" s="474"/>
      <c r="K430" s="474"/>
      <c r="L430" s="474"/>
      <c r="M430" s="474"/>
      <c r="N430" s="474"/>
      <c r="O430" s="474"/>
      <c r="P430" s="474"/>
      <c r="Q430" s="474"/>
      <c r="R430" s="474"/>
      <c r="S430" s="474"/>
      <c r="T430" s="474"/>
      <c r="U430" s="474"/>
      <c r="V430" s="474"/>
      <c r="W430" s="474"/>
      <c r="X430" s="474"/>
      <c r="Y430" s="474"/>
      <c r="Z430" s="474"/>
    </row>
    <row r="431" ht="12.0" customHeight="1">
      <c r="A431" s="480"/>
      <c r="B431" s="485"/>
      <c r="C431" s="525"/>
      <c r="D431" s="525"/>
      <c r="E431" s="526"/>
      <c r="F431" s="526"/>
      <c r="G431" s="474"/>
      <c r="H431" s="474"/>
      <c r="I431" s="474"/>
      <c r="J431" s="474"/>
      <c r="K431" s="474"/>
      <c r="L431" s="474"/>
      <c r="M431" s="474"/>
      <c r="N431" s="474"/>
      <c r="O431" s="474"/>
      <c r="P431" s="474"/>
      <c r="Q431" s="474"/>
      <c r="R431" s="474"/>
      <c r="S431" s="474"/>
      <c r="T431" s="474"/>
      <c r="U431" s="474"/>
      <c r="V431" s="474"/>
      <c r="W431" s="474"/>
      <c r="X431" s="474"/>
      <c r="Y431" s="474"/>
      <c r="Z431" s="474"/>
    </row>
    <row r="432" ht="12.0" customHeight="1">
      <c r="A432" s="480"/>
      <c r="B432" s="485"/>
      <c r="C432" s="525"/>
      <c r="D432" s="525"/>
      <c r="E432" s="526"/>
      <c r="F432" s="526"/>
      <c r="G432" s="474"/>
      <c r="H432" s="474"/>
      <c r="I432" s="474"/>
      <c r="J432" s="474"/>
      <c r="K432" s="474"/>
      <c r="L432" s="474"/>
      <c r="M432" s="474"/>
      <c r="N432" s="474"/>
      <c r="O432" s="474"/>
      <c r="P432" s="474"/>
      <c r="Q432" s="474"/>
      <c r="R432" s="474"/>
      <c r="S432" s="474"/>
      <c r="T432" s="474"/>
      <c r="U432" s="474"/>
      <c r="V432" s="474"/>
      <c r="W432" s="474"/>
      <c r="X432" s="474"/>
      <c r="Y432" s="474"/>
      <c r="Z432" s="474"/>
    </row>
    <row r="433" ht="12.0" customHeight="1">
      <c r="A433" s="480"/>
      <c r="B433" s="485"/>
      <c r="C433" s="525"/>
      <c r="D433" s="525"/>
      <c r="E433" s="526"/>
      <c r="F433" s="526"/>
      <c r="G433" s="474"/>
      <c r="H433" s="474"/>
      <c r="I433" s="474"/>
      <c r="J433" s="474"/>
      <c r="K433" s="474"/>
      <c r="L433" s="474"/>
      <c r="M433" s="474"/>
      <c r="N433" s="474"/>
      <c r="O433" s="474"/>
      <c r="P433" s="474"/>
      <c r="Q433" s="474"/>
      <c r="R433" s="474"/>
      <c r="S433" s="474"/>
      <c r="T433" s="474"/>
      <c r="U433" s="474"/>
      <c r="V433" s="474"/>
      <c r="W433" s="474"/>
      <c r="X433" s="474"/>
      <c r="Y433" s="474"/>
      <c r="Z433" s="474"/>
    </row>
    <row r="434" ht="12.0" customHeight="1">
      <c r="A434" s="480"/>
      <c r="B434" s="485"/>
      <c r="C434" s="525"/>
      <c r="D434" s="525"/>
      <c r="E434" s="526"/>
      <c r="F434" s="526"/>
      <c r="G434" s="474"/>
      <c r="H434" s="474"/>
      <c r="I434" s="474"/>
      <c r="J434" s="474"/>
      <c r="K434" s="474"/>
      <c r="L434" s="474"/>
      <c r="M434" s="474"/>
      <c r="N434" s="474"/>
      <c r="O434" s="474"/>
      <c r="P434" s="474"/>
      <c r="Q434" s="474"/>
      <c r="R434" s="474"/>
      <c r="S434" s="474"/>
      <c r="T434" s="474"/>
      <c r="U434" s="474"/>
      <c r="V434" s="474"/>
      <c r="W434" s="474"/>
      <c r="X434" s="474"/>
      <c r="Y434" s="474"/>
      <c r="Z434" s="474"/>
    </row>
    <row r="435" ht="12.0" customHeight="1">
      <c r="A435" s="480"/>
      <c r="B435" s="485"/>
      <c r="C435" s="525"/>
      <c r="D435" s="525"/>
      <c r="E435" s="526"/>
      <c r="F435" s="526"/>
      <c r="G435" s="474"/>
      <c r="H435" s="474"/>
      <c r="I435" s="474"/>
      <c r="J435" s="474"/>
      <c r="K435" s="474"/>
      <c r="L435" s="474"/>
      <c r="M435" s="474"/>
      <c r="N435" s="474"/>
      <c r="O435" s="474"/>
      <c r="P435" s="474"/>
      <c r="Q435" s="474"/>
      <c r="R435" s="474"/>
      <c r="S435" s="474"/>
      <c r="T435" s="474"/>
      <c r="U435" s="474"/>
      <c r="V435" s="474"/>
      <c r="W435" s="474"/>
      <c r="X435" s="474"/>
      <c r="Y435" s="474"/>
      <c r="Z435" s="474"/>
    </row>
    <row r="436" ht="12.0" customHeight="1">
      <c r="A436" s="480"/>
      <c r="B436" s="485"/>
      <c r="C436" s="525"/>
      <c r="D436" s="525"/>
      <c r="E436" s="526"/>
      <c r="F436" s="526"/>
      <c r="G436" s="474"/>
      <c r="H436" s="474"/>
      <c r="I436" s="474"/>
      <c r="J436" s="474"/>
      <c r="K436" s="474"/>
      <c r="L436" s="474"/>
      <c r="M436" s="474"/>
      <c r="N436" s="474"/>
      <c r="O436" s="474"/>
      <c r="P436" s="474"/>
      <c r="Q436" s="474"/>
      <c r="R436" s="474"/>
      <c r="S436" s="474"/>
      <c r="T436" s="474"/>
      <c r="U436" s="474"/>
      <c r="V436" s="474"/>
      <c r="W436" s="474"/>
      <c r="X436" s="474"/>
      <c r="Y436" s="474"/>
      <c r="Z436" s="474"/>
    </row>
    <row r="437" ht="12.0" customHeight="1">
      <c r="A437" s="480"/>
      <c r="B437" s="485"/>
      <c r="C437" s="525"/>
      <c r="D437" s="525"/>
      <c r="E437" s="526"/>
      <c r="F437" s="526"/>
      <c r="G437" s="474"/>
      <c r="H437" s="474"/>
      <c r="I437" s="474"/>
      <c r="J437" s="474"/>
      <c r="K437" s="474"/>
      <c r="L437" s="474"/>
      <c r="M437" s="474"/>
      <c r="N437" s="474"/>
      <c r="O437" s="474"/>
      <c r="P437" s="474"/>
      <c r="Q437" s="474"/>
      <c r="R437" s="474"/>
      <c r="S437" s="474"/>
      <c r="T437" s="474"/>
      <c r="U437" s="474"/>
      <c r="V437" s="474"/>
      <c r="W437" s="474"/>
      <c r="X437" s="474"/>
      <c r="Y437" s="474"/>
      <c r="Z437" s="474"/>
    </row>
    <row r="438" ht="12.0" customHeight="1">
      <c r="A438" s="480"/>
      <c r="B438" s="485"/>
      <c r="C438" s="525"/>
      <c r="D438" s="525"/>
      <c r="E438" s="526"/>
      <c r="F438" s="526"/>
      <c r="G438" s="474"/>
      <c r="H438" s="474"/>
      <c r="I438" s="474"/>
      <c r="J438" s="474"/>
      <c r="K438" s="474"/>
      <c r="L438" s="474"/>
      <c r="M438" s="474"/>
      <c r="N438" s="474"/>
      <c r="O438" s="474"/>
      <c r="P438" s="474"/>
      <c r="Q438" s="474"/>
      <c r="R438" s="474"/>
      <c r="S438" s="474"/>
      <c r="T438" s="474"/>
      <c r="U438" s="474"/>
      <c r="V438" s="474"/>
      <c r="W438" s="474"/>
      <c r="X438" s="474"/>
      <c r="Y438" s="474"/>
      <c r="Z438" s="474"/>
    </row>
    <row r="439" ht="12.0" customHeight="1">
      <c r="A439" s="480"/>
      <c r="B439" s="485"/>
      <c r="C439" s="525"/>
      <c r="D439" s="525"/>
      <c r="E439" s="526"/>
      <c r="F439" s="526"/>
      <c r="G439" s="474"/>
      <c r="H439" s="474"/>
      <c r="I439" s="474"/>
      <c r="J439" s="474"/>
      <c r="K439" s="474"/>
      <c r="L439" s="474"/>
      <c r="M439" s="474"/>
      <c r="N439" s="474"/>
      <c r="O439" s="474"/>
      <c r="P439" s="474"/>
      <c r="Q439" s="474"/>
      <c r="R439" s="474"/>
      <c r="S439" s="474"/>
      <c r="T439" s="474"/>
      <c r="U439" s="474"/>
      <c r="V439" s="474"/>
      <c r="W439" s="474"/>
      <c r="X439" s="474"/>
      <c r="Y439" s="474"/>
      <c r="Z439" s="474"/>
    </row>
    <row r="440" ht="12.0" customHeight="1">
      <c r="A440" s="480"/>
      <c r="B440" s="485"/>
      <c r="C440" s="525"/>
      <c r="D440" s="525"/>
      <c r="E440" s="526"/>
      <c r="F440" s="526"/>
      <c r="G440" s="474"/>
      <c r="H440" s="474"/>
      <c r="I440" s="474"/>
      <c r="J440" s="474"/>
      <c r="K440" s="474"/>
      <c r="L440" s="474"/>
      <c r="M440" s="474"/>
      <c r="N440" s="474"/>
      <c r="O440" s="474"/>
      <c r="P440" s="474"/>
      <c r="Q440" s="474"/>
      <c r="R440" s="474"/>
      <c r="S440" s="474"/>
      <c r="T440" s="474"/>
      <c r="U440" s="474"/>
      <c r="V440" s="474"/>
      <c r="W440" s="474"/>
      <c r="X440" s="474"/>
      <c r="Y440" s="474"/>
      <c r="Z440" s="474"/>
    </row>
    <row r="441" ht="12.0" customHeight="1">
      <c r="A441" s="480"/>
      <c r="B441" s="485"/>
      <c r="C441" s="525"/>
      <c r="D441" s="525"/>
      <c r="E441" s="526"/>
      <c r="F441" s="526"/>
      <c r="G441" s="474"/>
      <c r="H441" s="474"/>
      <c r="I441" s="474"/>
      <c r="J441" s="474"/>
      <c r="K441" s="474"/>
      <c r="L441" s="474"/>
      <c r="M441" s="474"/>
      <c r="N441" s="474"/>
      <c r="O441" s="474"/>
      <c r="P441" s="474"/>
      <c r="Q441" s="474"/>
      <c r="R441" s="474"/>
      <c r="S441" s="474"/>
      <c r="T441" s="474"/>
      <c r="U441" s="474"/>
      <c r="V441" s="474"/>
      <c r="W441" s="474"/>
      <c r="X441" s="474"/>
      <c r="Y441" s="474"/>
      <c r="Z441" s="474"/>
    </row>
    <row r="442" ht="12.0" customHeight="1">
      <c r="A442" s="480"/>
      <c r="B442" s="485"/>
      <c r="C442" s="525"/>
      <c r="D442" s="525"/>
      <c r="E442" s="526"/>
      <c r="F442" s="526"/>
      <c r="G442" s="474"/>
      <c r="H442" s="474"/>
      <c r="I442" s="474"/>
      <c r="J442" s="474"/>
      <c r="K442" s="474"/>
      <c r="L442" s="474"/>
      <c r="M442" s="474"/>
      <c r="N442" s="474"/>
      <c r="O442" s="474"/>
      <c r="P442" s="474"/>
      <c r="Q442" s="474"/>
      <c r="R442" s="474"/>
      <c r="S442" s="474"/>
      <c r="T442" s="474"/>
      <c r="U442" s="474"/>
      <c r="V442" s="474"/>
      <c r="W442" s="474"/>
      <c r="X442" s="474"/>
      <c r="Y442" s="474"/>
      <c r="Z442" s="474"/>
    </row>
    <row r="443" ht="12.0" customHeight="1">
      <c r="A443" s="480"/>
      <c r="B443" s="485"/>
      <c r="C443" s="525"/>
      <c r="D443" s="525"/>
      <c r="E443" s="526"/>
      <c r="F443" s="526"/>
      <c r="G443" s="474"/>
      <c r="H443" s="474"/>
      <c r="I443" s="474"/>
      <c r="J443" s="474"/>
      <c r="K443" s="474"/>
      <c r="L443" s="474"/>
      <c r="M443" s="474"/>
      <c r="N443" s="474"/>
      <c r="O443" s="474"/>
      <c r="P443" s="474"/>
      <c r="Q443" s="474"/>
      <c r="R443" s="474"/>
      <c r="S443" s="474"/>
      <c r="T443" s="474"/>
      <c r="U443" s="474"/>
      <c r="V443" s="474"/>
      <c r="W443" s="474"/>
      <c r="X443" s="474"/>
      <c r="Y443" s="474"/>
      <c r="Z443" s="474"/>
    </row>
    <row r="444" ht="12.0" customHeight="1">
      <c r="A444" s="480"/>
      <c r="B444" s="485"/>
      <c r="C444" s="525"/>
      <c r="D444" s="525"/>
      <c r="E444" s="526"/>
      <c r="F444" s="526"/>
      <c r="G444" s="474"/>
      <c r="H444" s="474"/>
      <c r="I444" s="474"/>
      <c r="J444" s="474"/>
      <c r="K444" s="474"/>
      <c r="L444" s="474"/>
      <c r="M444" s="474"/>
      <c r="N444" s="474"/>
      <c r="O444" s="474"/>
      <c r="P444" s="474"/>
      <c r="Q444" s="474"/>
      <c r="R444" s="474"/>
      <c r="S444" s="474"/>
      <c r="T444" s="474"/>
      <c r="U444" s="474"/>
      <c r="V444" s="474"/>
      <c r="W444" s="474"/>
      <c r="X444" s="474"/>
      <c r="Y444" s="474"/>
      <c r="Z444" s="474"/>
    </row>
    <row r="445" ht="12.0" customHeight="1">
      <c r="A445" s="480"/>
      <c r="B445" s="485"/>
      <c r="C445" s="525"/>
      <c r="D445" s="525"/>
      <c r="E445" s="526"/>
      <c r="F445" s="526"/>
      <c r="G445" s="474"/>
      <c r="H445" s="474"/>
      <c r="I445" s="474"/>
      <c r="J445" s="474"/>
      <c r="K445" s="474"/>
      <c r="L445" s="474"/>
      <c r="M445" s="474"/>
      <c r="N445" s="474"/>
      <c r="O445" s="474"/>
      <c r="P445" s="474"/>
      <c r="Q445" s="474"/>
      <c r="R445" s="474"/>
      <c r="S445" s="474"/>
      <c r="T445" s="474"/>
      <c r="U445" s="474"/>
      <c r="V445" s="474"/>
      <c r="W445" s="474"/>
      <c r="X445" s="474"/>
      <c r="Y445" s="474"/>
      <c r="Z445" s="474"/>
    </row>
    <row r="446" ht="12.0" customHeight="1">
      <c r="A446" s="480"/>
      <c r="B446" s="485"/>
      <c r="C446" s="525"/>
      <c r="D446" s="525"/>
      <c r="E446" s="526"/>
      <c r="F446" s="526"/>
      <c r="G446" s="474"/>
      <c r="H446" s="474"/>
      <c r="I446" s="474"/>
      <c r="J446" s="474"/>
      <c r="K446" s="474"/>
      <c r="L446" s="474"/>
      <c r="M446" s="474"/>
      <c r="N446" s="474"/>
      <c r="O446" s="474"/>
      <c r="P446" s="474"/>
      <c r="Q446" s="474"/>
      <c r="R446" s="474"/>
      <c r="S446" s="474"/>
      <c r="T446" s="474"/>
      <c r="U446" s="474"/>
      <c r="V446" s="474"/>
      <c r="W446" s="474"/>
      <c r="X446" s="474"/>
      <c r="Y446" s="474"/>
      <c r="Z446" s="474"/>
    </row>
    <row r="447" ht="12.0" customHeight="1">
      <c r="A447" s="480"/>
      <c r="B447" s="485"/>
      <c r="C447" s="525"/>
      <c r="D447" s="525"/>
      <c r="E447" s="526"/>
      <c r="F447" s="526"/>
      <c r="G447" s="474"/>
      <c r="H447" s="474"/>
      <c r="I447" s="474"/>
      <c r="J447" s="474"/>
      <c r="K447" s="474"/>
      <c r="L447" s="474"/>
      <c r="M447" s="474"/>
      <c r="N447" s="474"/>
      <c r="O447" s="474"/>
      <c r="P447" s="474"/>
      <c r="Q447" s="474"/>
      <c r="R447" s="474"/>
      <c r="S447" s="474"/>
      <c r="T447" s="474"/>
      <c r="U447" s="474"/>
      <c r="V447" s="474"/>
      <c r="W447" s="474"/>
      <c r="X447" s="474"/>
      <c r="Y447" s="474"/>
      <c r="Z447" s="474"/>
    </row>
    <row r="448" ht="12.0" customHeight="1">
      <c r="A448" s="480"/>
      <c r="B448" s="485"/>
      <c r="C448" s="525"/>
      <c r="D448" s="525"/>
      <c r="E448" s="526"/>
      <c r="F448" s="526"/>
      <c r="G448" s="474"/>
      <c r="H448" s="474"/>
      <c r="I448" s="474"/>
      <c r="J448" s="474"/>
      <c r="K448" s="474"/>
      <c r="L448" s="474"/>
      <c r="M448" s="474"/>
      <c r="N448" s="474"/>
      <c r="O448" s="474"/>
      <c r="P448" s="474"/>
      <c r="Q448" s="474"/>
      <c r="R448" s="474"/>
      <c r="S448" s="474"/>
      <c r="T448" s="474"/>
      <c r="U448" s="474"/>
      <c r="V448" s="474"/>
      <c r="W448" s="474"/>
      <c r="X448" s="474"/>
      <c r="Y448" s="474"/>
      <c r="Z448" s="474"/>
    </row>
    <row r="449" ht="12.0" customHeight="1">
      <c r="A449" s="480"/>
      <c r="B449" s="485"/>
      <c r="C449" s="525"/>
      <c r="D449" s="525"/>
      <c r="E449" s="526"/>
      <c r="F449" s="526"/>
      <c r="G449" s="474"/>
      <c r="H449" s="474"/>
      <c r="I449" s="474"/>
      <c r="J449" s="474"/>
      <c r="K449" s="474"/>
      <c r="L449" s="474"/>
      <c r="M449" s="474"/>
      <c r="N449" s="474"/>
      <c r="O449" s="474"/>
      <c r="P449" s="474"/>
      <c r="Q449" s="474"/>
      <c r="R449" s="474"/>
      <c r="S449" s="474"/>
      <c r="T449" s="474"/>
      <c r="U449" s="474"/>
      <c r="V449" s="474"/>
      <c r="W449" s="474"/>
      <c r="X449" s="474"/>
      <c r="Y449" s="474"/>
      <c r="Z449" s="474"/>
    </row>
    <row r="450" ht="12.0" customHeight="1">
      <c r="A450" s="480"/>
      <c r="B450" s="485"/>
      <c r="C450" s="525"/>
      <c r="D450" s="525"/>
      <c r="E450" s="526"/>
      <c r="F450" s="526"/>
      <c r="G450" s="474"/>
      <c r="H450" s="474"/>
      <c r="I450" s="474"/>
      <c r="J450" s="474"/>
      <c r="K450" s="474"/>
      <c r="L450" s="474"/>
      <c r="M450" s="474"/>
      <c r="N450" s="474"/>
      <c r="O450" s="474"/>
      <c r="P450" s="474"/>
      <c r="Q450" s="474"/>
      <c r="R450" s="474"/>
      <c r="S450" s="474"/>
      <c r="T450" s="474"/>
      <c r="U450" s="474"/>
      <c r="V450" s="474"/>
      <c r="W450" s="474"/>
      <c r="X450" s="474"/>
      <c r="Y450" s="474"/>
      <c r="Z450" s="474"/>
    </row>
    <row r="451" ht="12.0" customHeight="1">
      <c r="A451" s="480"/>
      <c r="B451" s="485"/>
      <c r="C451" s="525"/>
      <c r="D451" s="525"/>
      <c r="E451" s="526"/>
      <c r="F451" s="526"/>
      <c r="G451" s="474"/>
      <c r="H451" s="474"/>
      <c r="I451" s="474"/>
      <c r="J451" s="474"/>
      <c r="K451" s="474"/>
      <c r="L451" s="474"/>
      <c r="M451" s="474"/>
      <c r="N451" s="474"/>
      <c r="O451" s="474"/>
      <c r="P451" s="474"/>
      <c r="Q451" s="474"/>
      <c r="R451" s="474"/>
      <c r="S451" s="474"/>
      <c r="T451" s="474"/>
      <c r="U451" s="474"/>
      <c r="V451" s="474"/>
      <c r="W451" s="474"/>
      <c r="X451" s="474"/>
      <c r="Y451" s="474"/>
      <c r="Z451" s="474"/>
    </row>
    <row r="452" ht="12.0" customHeight="1">
      <c r="A452" s="480"/>
      <c r="B452" s="485"/>
      <c r="C452" s="525"/>
      <c r="D452" s="525"/>
      <c r="E452" s="526"/>
      <c r="F452" s="526"/>
      <c r="G452" s="474"/>
      <c r="H452" s="474"/>
      <c r="I452" s="474"/>
      <c r="J452" s="474"/>
      <c r="K452" s="474"/>
      <c r="L452" s="474"/>
      <c r="M452" s="474"/>
      <c r="N452" s="474"/>
      <c r="O452" s="474"/>
      <c r="P452" s="474"/>
      <c r="Q452" s="474"/>
      <c r="R452" s="474"/>
      <c r="S452" s="474"/>
      <c r="T452" s="474"/>
      <c r="U452" s="474"/>
      <c r="V452" s="474"/>
      <c r="W452" s="474"/>
      <c r="X452" s="474"/>
      <c r="Y452" s="474"/>
      <c r="Z452" s="474"/>
    </row>
    <row r="453" ht="12.0" customHeight="1">
      <c r="A453" s="480"/>
      <c r="B453" s="485"/>
      <c r="C453" s="525"/>
      <c r="D453" s="525"/>
      <c r="E453" s="526"/>
      <c r="F453" s="526"/>
      <c r="G453" s="474"/>
      <c r="H453" s="474"/>
      <c r="I453" s="474"/>
      <c r="J453" s="474"/>
      <c r="K453" s="474"/>
      <c r="L453" s="474"/>
      <c r="M453" s="474"/>
      <c r="N453" s="474"/>
      <c r="O453" s="474"/>
      <c r="P453" s="474"/>
      <c r="Q453" s="474"/>
      <c r="R453" s="474"/>
      <c r="S453" s="474"/>
      <c r="T453" s="474"/>
      <c r="U453" s="474"/>
      <c r="V453" s="474"/>
      <c r="W453" s="474"/>
      <c r="X453" s="474"/>
      <c r="Y453" s="474"/>
      <c r="Z453" s="474"/>
    </row>
    <row r="454" ht="12.0" customHeight="1">
      <c r="A454" s="480"/>
      <c r="B454" s="485"/>
      <c r="C454" s="525"/>
      <c r="D454" s="525"/>
      <c r="E454" s="526"/>
      <c r="F454" s="526"/>
      <c r="G454" s="474"/>
      <c r="H454" s="474"/>
      <c r="I454" s="474"/>
      <c r="J454" s="474"/>
      <c r="K454" s="474"/>
      <c r="L454" s="474"/>
      <c r="M454" s="474"/>
      <c r="N454" s="474"/>
      <c r="O454" s="474"/>
      <c r="P454" s="474"/>
      <c r="Q454" s="474"/>
      <c r="R454" s="474"/>
      <c r="S454" s="474"/>
      <c r="T454" s="474"/>
      <c r="U454" s="474"/>
      <c r="V454" s="474"/>
      <c r="W454" s="474"/>
      <c r="X454" s="474"/>
      <c r="Y454" s="474"/>
      <c r="Z454" s="474"/>
    </row>
    <row r="455" ht="12.0" customHeight="1">
      <c r="A455" s="480"/>
      <c r="B455" s="485"/>
      <c r="C455" s="525"/>
      <c r="D455" s="525"/>
      <c r="E455" s="526"/>
      <c r="F455" s="526"/>
      <c r="G455" s="474"/>
      <c r="H455" s="474"/>
      <c r="I455" s="474"/>
      <c r="J455" s="474"/>
      <c r="K455" s="474"/>
      <c r="L455" s="474"/>
      <c r="M455" s="474"/>
      <c r="N455" s="474"/>
      <c r="O455" s="474"/>
      <c r="P455" s="474"/>
      <c r="Q455" s="474"/>
      <c r="R455" s="474"/>
      <c r="S455" s="474"/>
      <c r="T455" s="474"/>
      <c r="U455" s="474"/>
      <c r="V455" s="474"/>
      <c r="W455" s="474"/>
      <c r="X455" s="474"/>
      <c r="Y455" s="474"/>
      <c r="Z455" s="474"/>
    </row>
    <row r="456" ht="12.0" customHeight="1">
      <c r="A456" s="480"/>
      <c r="B456" s="485"/>
      <c r="C456" s="525"/>
      <c r="D456" s="525"/>
      <c r="E456" s="526"/>
      <c r="F456" s="526"/>
      <c r="G456" s="474"/>
      <c r="H456" s="474"/>
      <c r="I456" s="474"/>
      <c r="J456" s="474"/>
      <c r="K456" s="474"/>
      <c r="L456" s="474"/>
      <c r="M456" s="474"/>
      <c r="N456" s="474"/>
      <c r="O456" s="474"/>
      <c r="P456" s="474"/>
      <c r="Q456" s="474"/>
      <c r="R456" s="474"/>
      <c r="S456" s="474"/>
      <c r="T456" s="474"/>
      <c r="U456" s="474"/>
      <c r="V456" s="474"/>
      <c r="W456" s="474"/>
      <c r="X456" s="474"/>
      <c r="Y456" s="474"/>
      <c r="Z456" s="474"/>
    </row>
    <row r="457" ht="12.0" customHeight="1">
      <c r="A457" s="480"/>
      <c r="B457" s="485"/>
      <c r="C457" s="525"/>
      <c r="D457" s="525"/>
      <c r="E457" s="526"/>
      <c r="F457" s="526"/>
      <c r="G457" s="474"/>
      <c r="H457" s="474"/>
      <c r="I457" s="474"/>
      <c r="J457" s="474"/>
      <c r="K457" s="474"/>
      <c r="L457" s="474"/>
      <c r="M457" s="474"/>
      <c r="N457" s="474"/>
      <c r="O457" s="474"/>
      <c r="P457" s="474"/>
      <c r="Q457" s="474"/>
      <c r="R457" s="474"/>
      <c r="S457" s="474"/>
      <c r="T457" s="474"/>
      <c r="U457" s="474"/>
      <c r="V457" s="474"/>
      <c r="W457" s="474"/>
      <c r="X457" s="474"/>
      <c r="Y457" s="474"/>
      <c r="Z457" s="474"/>
    </row>
    <row r="458" ht="12.0" customHeight="1">
      <c r="A458" s="480"/>
      <c r="B458" s="485"/>
      <c r="C458" s="525"/>
      <c r="D458" s="525"/>
      <c r="E458" s="526"/>
      <c r="F458" s="526"/>
      <c r="G458" s="474"/>
      <c r="H458" s="474"/>
      <c r="I458" s="474"/>
      <c r="J458" s="474"/>
      <c r="K458" s="474"/>
      <c r="L458" s="474"/>
      <c r="M458" s="474"/>
      <c r="N458" s="474"/>
      <c r="O458" s="474"/>
      <c r="P458" s="474"/>
      <c r="Q458" s="474"/>
      <c r="R458" s="474"/>
      <c r="S458" s="474"/>
      <c r="T458" s="474"/>
      <c r="U458" s="474"/>
      <c r="V458" s="474"/>
      <c r="W458" s="474"/>
      <c r="X458" s="474"/>
      <c r="Y458" s="474"/>
      <c r="Z458" s="474"/>
    </row>
    <row r="459" ht="12.0" customHeight="1">
      <c r="A459" s="480"/>
      <c r="B459" s="485"/>
      <c r="C459" s="525"/>
      <c r="D459" s="525"/>
      <c r="E459" s="526"/>
      <c r="F459" s="526"/>
      <c r="G459" s="474"/>
      <c r="H459" s="474"/>
      <c r="I459" s="474"/>
      <c r="J459" s="474"/>
      <c r="K459" s="474"/>
      <c r="L459" s="474"/>
      <c r="M459" s="474"/>
      <c r="N459" s="474"/>
      <c r="O459" s="474"/>
      <c r="P459" s="474"/>
      <c r="Q459" s="474"/>
      <c r="R459" s="474"/>
      <c r="S459" s="474"/>
      <c r="T459" s="474"/>
      <c r="U459" s="474"/>
      <c r="V459" s="474"/>
      <c r="W459" s="474"/>
      <c r="X459" s="474"/>
      <c r="Y459" s="474"/>
      <c r="Z459" s="474"/>
    </row>
    <row r="460" ht="12.0" customHeight="1">
      <c r="A460" s="480"/>
      <c r="B460" s="485"/>
      <c r="C460" s="525"/>
      <c r="D460" s="525"/>
      <c r="E460" s="526"/>
      <c r="F460" s="526"/>
      <c r="G460" s="474"/>
      <c r="H460" s="474"/>
      <c r="I460" s="474"/>
      <c r="J460" s="474"/>
      <c r="K460" s="474"/>
      <c r="L460" s="474"/>
      <c r="M460" s="474"/>
      <c r="N460" s="474"/>
      <c r="O460" s="474"/>
      <c r="P460" s="474"/>
      <c r="Q460" s="474"/>
      <c r="R460" s="474"/>
      <c r="S460" s="474"/>
      <c r="T460" s="474"/>
      <c r="U460" s="474"/>
      <c r="V460" s="474"/>
      <c r="W460" s="474"/>
      <c r="X460" s="474"/>
      <c r="Y460" s="474"/>
      <c r="Z460" s="474"/>
    </row>
    <row r="461" ht="12.0" customHeight="1">
      <c r="A461" s="480"/>
      <c r="B461" s="485"/>
      <c r="C461" s="525"/>
      <c r="D461" s="525"/>
      <c r="E461" s="526"/>
      <c r="F461" s="526"/>
      <c r="G461" s="474"/>
      <c r="H461" s="474"/>
      <c r="I461" s="474"/>
      <c r="J461" s="474"/>
      <c r="K461" s="474"/>
      <c r="L461" s="474"/>
      <c r="M461" s="474"/>
      <c r="N461" s="474"/>
      <c r="O461" s="474"/>
      <c r="P461" s="474"/>
      <c r="Q461" s="474"/>
      <c r="R461" s="474"/>
      <c r="S461" s="474"/>
      <c r="T461" s="474"/>
      <c r="U461" s="474"/>
      <c r="V461" s="474"/>
      <c r="W461" s="474"/>
      <c r="X461" s="474"/>
      <c r="Y461" s="474"/>
      <c r="Z461" s="474"/>
    </row>
    <row r="462" ht="12.0" customHeight="1">
      <c r="A462" s="480"/>
      <c r="B462" s="485"/>
      <c r="C462" s="525"/>
      <c r="D462" s="525"/>
      <c r="E462" s="526"/>
      <c r="F462" s="526"/>
      <c r="G462" s="474"/>
      <c r="H462" s="474"/>
      <c r="I462" s="474"/>
      <c r="J462" s="474"/>
      <c r="K462" s="474"/>
      <c r="L462" s="474"/>
      <c r="M462" s="474"/>
      <c r="N462" s="474"/>
      <c r="O462" s="474"/>
      <c r="P462" s="474"/>
      <c r="Q462" s="474"/>
      <c r="R462" s="474"/>
      <c r="S462" s="474"/>
      <c r="T462" s="474"/>
      <c r="U462" s="474"/>
      <c r="V462" s="474"/>
      <c r="W462" s="474"/>
      <c r="X462" s="474"/>
      <c r="Y462" s="474"/>
      <c r="Z462" s="474"/>
    </row>
    <row r="463" ht="12.0" customHeight="1">
      <c r="A463" s="480"/>
      <c r="B463" s="485"/>
      <c r="C463" s="525"/>
      <c r="D463" s="525"/>
      <c r="E463" s="526"/>
      <c r="F463" s="526"/>
      <c r="G463" s="474"/>
      <c r="H463" s="474"/>
      <c r="I463" s="474"/>
      <c r="J463" s="474"/>
      <c r="K463" s="474"/>
      <c r="L463" s="474"/>
      <c r="M463" s="474"/>
      <c r="N463" s="474"/>
      <c r="O463" s="474"/>
      <c r="P463" s="474"/>
      <c r="Q463" s="474"/>
      <c r="R463" s="474"/>
      <c r="S463" s="474"/>
      <c r="T463" s="474"/>
      <c r="U463" s="474"/>
      <c r="V463" s="474"/>
      <c r="W463" s="474"/>
      <c r="X463" s="474"/>
      <c r="Y463" s="474"/>
      <c r="Z463" s="474"/>
    </row>
    <row r="464" ht="12.0" customHeight="1">
      <c r="A464" s="480"/>
      <c r="B464" s="485"/>
      <c r="C464" s="525"/>
      <c r="D464" s="525"/>
      <c r="E464" s="526"/>
      <c r="F464" s="526"/>
      <c r="G464" s="474"/>
      <c r="H464" s="474"/>
      <c r="I464" s="474"/>
      <c r="J464" s="474"/>
      <c r="K464" s="474"/>
      <c r="L464" s="474"/>
      <c r="M464" s="474"/>
      <c r="N464" s="474"/>
      <c r="O464" s="474"/>
      <c r="P464" s="474"/>
      <c r="Q464" s="474"/>
      <c r="R464" s="474"/>
      <c r="S464" s="474"/>
      <c r="T464" s="474"/>
      <c r="U464" s="474"/>
      <c r="V464" s="474"/>
      <c r="W464" s="474"/>
      <c r="X464" s="474"/>
      <c r="Y464" s="474"/>
      <c r="Z464" s="474"/>
    </row>
    <row r="465" ht="12.0" customHeight="1">
      <c r="A465" s="480"/>
      <c r="B465" s="485"/>
      <c r="C465" s="525"/>
      <c r="D465" s="525"/>
      <c r="E465" s="526"/>
      <c r="F465" s="526"/>
      <c r="G465" s="474"/>
      <c r="H465" s="474"/>
      <c r="I465" s="474"/>
      <c r="J465" s="474"/>
      <c r="K465" s="474"/>
      <c r="L465" s="474"/>
      <c r="M465" s="474"/>
      <c r="N465" s="474"/>
      <c r="O465" s="474"/>
      <c r="P465" s="474"/>
      <c r="Q465" s="474"/>
      <c r="R465" s="474"/>
      <c r="S465" s="474"/>
      <c r="T465" s="474"/>
      <c r="U465" s="474"/>
      <c r="V465" s="474"/>
      <c r="W465" s="474"/>
      <c r="X465" s="474"/>
      <c r="Y465" s="474"/>
      <c r="Z465" s="474"/>
    </row>
    <row r="466" ht="12.0" customHeight="1">
      <c r="A466" s="480"/>
      <c r="B466" s="485"/>
      <c r="C466" s="525"/>
      <c r="D466" s="525"/>
      <c r="E466" s="526"/>
      <c r="F466" s="526"/>
      <c r="G466" s="474"/>
      <c r="H466" s="474"/>
      <c r="I466" s="474"/>
      <c r="J466" s="474"/>
      <c r="K466" s="474"/>
      <c r="L466" s="474"/>
      <c r="M466" s="474"/>
      <c r="N466" s="474"/>
      <c r="O466" s="474"/>
      <c r="P466" s="474"/>
      <c r="Q466" s="474"/>
      <c r="R466" s="474"/>
      <c r="S466" s="474"/>
      <c r="T466" s="474"/>
      <c r="U466" s="474"/>
      <c r="V466" s="474"/>
      <c r="W466" s="474"/>
      <c r="X466" s="474"/>
      <c r="Y466" s="474"/>
      <c r="Z466" s="474"/>
    </row>
    <row r="467" ht="12.0" customHeight="1">
      <c r="A467" s="480"/>
      <c r="B467" s="485"/>
      <c r="C467" s="525"/>
      <c r="D467" s="525"/>
      <c r="E467" s="526"/>
      <c r="F467" s="526"/>
      <c r="G467" s="474"/>
      <c r="H467" s="474"/>
      <c r="I467" s="474"/>
      <c r="J467" s="474"/>
      <c r="K467" s="474"/>
      <c r="L467" s="474"/>
      <c r="M467" s="474"/>
      <c r="N467" s="474"/>
      <c r="O467" s="474"/>
      <c r="P467" s="474"/>
      <c r="Q467" s="474"/>
      <c r="R467" s="474"/>
      <c r="S467" s="474"/>
      <c r="T467" s="474"/>
      <c r="U467" s="474"/>
      <c r="V467" s="474"/>
      <c r="W467" s="474"/>
      <c r="X467" s="474"/>
      <c r="Y467" s="474"/>
      <c r="Z467" s="474"/>
    </row>
    <row r="468" ht="12.0" customHeight="1">
      <c r="A468" s="480"/>
      <c r="B468" s="485"/>
      <c r="C468" s="525"/>
      <c r="D468" s="525"/>
      <c r="E468" s="526"/>
      <c r="F468" s="526"/>
      <c r="G468" s="474"/>
      <c r="H468" s="474"/>
      <c r="I468" s="474"/>
      <c r="J468" s="474"/>
      <c r="K468" s="474"/>
      <c r="L468" s="474"/>
      <c r="M468" s="474"/>
      <c r="N468" s="474"/>
      <c r="O468" s="474"/>
      <c r="P468" s="474"/>
      <c r="Q468" s="474"/>
      <c r="R468" s="474"/>
      <c r="S468" s="474"/>
      <c r="T468" s="474"/>
      <c r="U468" s="474"/>
      <c r="V468" s="474"/>
      <c r="W468" s="474"/>
      <c r="X468" s="474"/>
      <c r="Y468" s="474"/>
      <c r="Z468" s="474"/>
    </row>
    <row r="469" ht="12.0" customHeight="1">
      <c r="A469" s="480"/>
      <c r="B469" s="485"/>
      <c r="C469" s="525"/>
      <c r="D469" s="525"/>
      <c r="E469" s="526"/>
      <c r="F469" s="526"/>
      <c r="G469" s="474"/>
      <c r="H469" s="474"/>
      <c r="I469" s="474"/>
      <c r="J469" s="474"/>
      <c r="K469" s="474"/>
      <c r="L469" s="474"/>
      <c r="M469" s="474"/>
      <c r="N469" s="474"/>
      <c r="O469" s="474"/>
      <c r="P469" s="474"/>
      <c r="Q469" s="474"/>
      <c r="R469" s="474"/>
      <c r="S469" s="474"/>
      <c r="T469" s="474"/>
      <c r="U469" s="474"/>
      <c r="V469" s="474"/>
      <c r="W469" s="474"/>
      <c r="X469" s="474"/>
      <c r="Y469" s="474"/>
      <c r="Z469" s="474"/>
    </row>
    <row r="470" ht="12.0" customHeight="1">
      <c r="A470" s="480"/>
      <c r="B470" s="485"/>
      <c r="C470" s="525"/>
      <c r="D470" s="525"/>
      <c r="E470" s="526"/>
      <c r="F470" s="526"/>
      <c r="G470" s="474"/>
      <c r="H470" s="474"/>
      <c r="I470" s="474"/>
      <c r="J470" s="474"/>
      <c r="K470" s="474"/>
      <c r="L470" s="474"/>
      <c r="M470" s="474"/>
      <c r="N470" s="474"/>
      <c r="O470" s="474"/>
      <c r="P470" s="474"/>
      <c r="Q470" s="474"/>
      <c r="R470" s="474"/>
      <c r="S470" s="474"/>
      <c r="T470" s="474"/>
      <c r="U470" s="474"/>
      <c r="V470" s="474"/>
      <c r="W470" s="474"/>
      <c r="X470" s="474"/>
      <c r="Y470" s="474"/>
      <c r="Z470" s="474"/>
    </row>
    <row r="471" ht="12.0" customHeight="1">
      <c r="A471" s="480"/>
      <c r="B471" s="485"/>
      <c r="C471" s="525"/>
      <c r="D471" s="525"/>
      <c r="E471" s="526"/>
      <c r="F471" s="526"/>
      <c r="G471" s="474"/>
      <c r="H471" s="474"/>
      <c r="I471" s="474"/>
      <c r="J471" s="474"/>
      <c r="K471" s="474"/>
      <c r="L471" s="474"/>
      <c r="M471" s="474"/>
      <c r="N471" s="474"/>
      <c r="O471" s="474"/>
      <c r="P471" s="474"/>
      <c r="Q471" s="474"/>
      <c r="R471" s="474"/>
      <c r="S471" s="474"/>
      <c r="T471" s="474"/>
      <c r="U471" s="474"/>
      <c r="V471" s="474"/>
      <c r="W471" s="474"/>
      <c r="X471" s="474"/>
      <c r="Y471" s="474"/>
      <c r="Z471" s="474"/>
    </row>
    <row r="472" ht="12.0" customHeight="1">
      <c r="A472" s="480"/>
      <c r="B472" s="485"/>
      <c r="C472" s="525"/>
      <c r="D472" s="525"/>
      <c r="E472" s="526"/>
      <c r="F472" s="526"/>
      <c r="G472" s="474"/>
      <c r="H472" s="474"/>
      <c r="I472" s="474"/>
      <c r="J472" s="474"/>
      <c r="K472" s="474"/>
      <c r="L472" s="474"/>
      <c r="M472" s="474"/>
      <c r="N472" s="474"/>
      <c r="O472" s="474"/>
      <c r="P472" s="474"/>
      <c r="Q472" s="474"/>
      <c r="R472" s="474"/>
      <c r="S472" s="474"/>
      <c r="T472" s="474"/>
      <c r="U472" s="474"/>
      <c r="V472" s="474"/>
      <c r="W472" s="474"/>
      <c r="X472" s="474"/>
      <c r="Y472" s="474"/>
      <c r="Z472" s="474"/>
    </row>
    <row r="473" ht="12.0" customHeight="1">
      <c r="A473" s="480"/>
      <c r="B473" s="485"/>
      <c r="C473" s="525"/>
      <c r="D473" s="525"/>
      <c r="E473" s="526"/>
      <c r="F473" s="526"/>
      <c r="G473" s="474"/>
      <c r="H473" s="474"/>
      <c r="I473" s="474"/>
      <c r="J473" s="474"/>
      <c r="K473" s="474"/>
      <c r="L473" s="474"/>
      <c r="M473" s="474"/>
      <c r="N473" s="474"/>
      <c r="O473" s="474"/>
      <c r="P473" s="474"/>
      <c r="Q473" s="474"/>
      <c r="R473" s="474"/>
      <c r="S473" s="474"/>
      <c r="T473" s="474"/>
      <c r="U473" s="474"/>
      <c r="V473" s="474"/>
      <c r="W473" s="474"/>
      <c r="X473" s="474"/>
      <c r="Y473" s="474"/>
      <c r="Z473" s="474"/>
    </row>
    <row r="474" ht="12.0" customHeight="1">
      <c r="A474" s="480"/>
      <c r="B474" s="485"/>
      <c r="C474" s="525"/>
      <c r="D474" s="525"/>
      <c r="E474" s="526"/>
      <c r="F474" s="526"/>
      <c r="G474" s="474"/>
      <c r="H474" s="474"/>
      <c r="I474" s="474"/>
      <c r="J474" s="474"/>
      <c r="K474" s="474"/>
      <c r="L474" s="474"/>
      <c r="M474" s="474"/>
      <c r="N474" s="474"/>
      <c r="O474" s="474"/>
      <c r="P474" s="474"/>
      <c r="Q474" s="474"/>
      <c r="R474" s="474"/>
      <c r="S474" s="474"/>
      <c r="T474" s="474"/>
      <c r="U474" s="474"/>
      <c r="V474" s="474"/>
      <c r="W474" s="474"/>
      <c r="X474" s="474"/>
      <c r="Y474" s="474"/>
      <c r="Z474" s="474"/>
    </row>
    <row r="475" ht="12.0" customHeight="1">
      <c r="A475" s="480"/>
      <c r="B475" s="485"/>
      <c r="C475" s="525"/>
      <c r="D475" s="525"/>
      <c r="E475" s="526"/>
      <c r="F475" s="526"/>
      <c r="G475" s="474"/>
      <c r="H475" s="474"/>
      <c r="I475" s="474"/>
      <c r="J475" s="474"/>
      <c r="K475" s="474"/>
      <c r="L475" s="474"/>
      <c r="M475" s="474"/>
      <c r="N475" s="474"/>
      <c r="O475" s="474"/>
      <c r="P475" s="474"/>
      <c r="Q475" s="474"/>
      <c r="R475" s="474"/>
      <c r="S475" s="474"/>
      <c r="T475" s="474"/>
      <c r="U475" s="474"/>
      <c r="V475" s="474"/>
      <c r="W475" s="474"/>
      <c r="X475" s="474"/>
      <c r="Y475" s="474"/>
      <c r="Z475" s="474"/>
    </row>
    <row r="476" ht="12.0" customHeight="1">
      <c r="A476" s="480"/>
      <c r="B476" s="485"/>
      <c r="C476" s="525"/>
      <c r="D476" s="525"/>
      <c r="E476" s="526"/>
      <c r="F476" s="526"/>
      <c r="G476" s="474"/>
      <c r="H476" s="474"/>
      <c r="I476" s="474"/>
      <c r="J476" s="474"/>
      <c r="K476" s="474"/>
      <c r="L476" s="474"/>
      <c r="M476" s="474"/>
      <c r="N476" s="474"/>
      <c r="O476" s="474"/>
      <c r="P476" s="474"/>
      <c r="Q476" s="474"/>
      <c r="R476" s="474"/>
      <c r="S476" s="474"/>
      <c r="T476" s="474"/>
      <c r="U476" s="474"/>
      <c r="V476" s="474"/>
      <c r="W476" s="474"/>
      <c r="X476" s="474"/>
      <c r="Y476" s="474"/>
      <c r="Z476" s="474"/>
    </row>
    <row r="477" ht="12.0" customHeight="1">
      <c r="A477" s="480"/>
      <c r="B477" s="485"/>
      <c r="C477" s="525"/>
      <c r="D477" s="525"/>
      <c r="E477" s="526"/>
      <c r="F477" s="526"/>
      <c r="G477" s="474"/>
      <c r="H477" s="474"/>
      <c r="I477" s="474"/>
      <c r="J477" s="474"/>
      <c r="K477" s="474"/>
      <c r="L477" s="474"/>
      <c r="M477" s="474"/>
      <c r="N477" s="474"/>
      <c r="O477" s="474"/>
      <c r="P477" s="474"/>
      <c r="Q477" s="474"/>
      <c r="R477" s="474"/>
      <c r="S477" s="474"/>
      <c r="T477" s="474"/>
      <c r="U477" s="474"/>
      <c r="V477" s="474"/>
      <c r="W477" s="474"/>
      <c r="X477" s="474"/>
      <c r="Y477" s="474"/>
      <c r="Z477" s="474"/>
    </row>
    <row r="478" ht="12.0" customHeight="1">
      <c r="A478" s="480"/>
      <c r="B478" s="485"/>
      <c r="C478" s="525"/>
      <c r="D478" s="525"/>
      <c r="E478" s="526"/>
      <c r="F478" s="526"/>
      <c r="G478" s="474"/>
      <c r="H478" s="474"/>
      <c r="I478" s="474"/>
      <c r="J478" s="474"/>
      <c r="K478" s="474"/>
      <c r="L478" s="474"/>
      <c r="M478" s="474"/>
      <c r="N478" s="474"/>
      <c r="O478" s="474"/>
      <c r="P478" s="474"/>
      <c r="Q478" s="474"/>
      <c r="R478" s="474"/>
      <c r="S478" s="474"/>
      <c r="T478" s="474"/>
      <c r="U478" s="474"/>
      <c r="V478" s="474"/>
      <c r="W478" s="474"/>
      <c r="X478" s="474"/>
      <c r="Y478" s="474"/>
      <c r="Z478" s="474"/>
    </row>
    <row r="479" ht="12.0" customHeight="1">
      <c r="A479" s="480"/>
      <c r="B479" s="485"/>
      <c r="C479" s="525"/>
      <c r="D479" s="525"/>
      <c r="E479" s="526"/>
      <c r="F479" s="526"/>
      <c r="G479" s="474"/>
      <c r="H479" s="474"/>
      <c r="I479" s="474"/>
      <c r="J479" s="474"/>
      <c r="K479" s="474"/>
      <c r="L479" s="474"/>
      <c r="M479" s="474"/>
      <c r="N479" s="474"/>
      <c r="O479" s="474"/>
      <c r="P479" s="474"/>
      <c r="Q479" s="474"/>
      <c r="R479" s="474"/>
      <c r="S479" s="474"/>
      <c r="T479" s="474"/>
      <c r="U479" s="474"/>
      <c r="V479" s="474"/>
      <c r="W479" s="474"/>
      <c r="X479" s="474"/>
      <c r="Y479" s="474"/>
      <c r="Z479" s="474"/>
    </row>
    <row r="480" ht="12.0" customHeight="1">
      <c r="A480" s="480"/>
      <c r="B480" s="485"/>
      <c r="C480" s="525"/>
      <c r="D480" s="525"/>
      <c r="E480" s="526"/>
      <c r="F480" s="526"/>
      <c r="G480" s="474"/>
      <c r="H480" s="474"/>
      <c r="I480" s="474"/>
      <c r="J480" s="474"/>
      <c r="K480" s="474"/>
      <c r="L480" s="474"/>
      <c r="M480" s="474"/>
      <c r="N480" s="474"/>
      <c r="O480" s="474"/>
      <c r="P480" s="474"/>
      <c r="Q480" s="474"/>
      <c r="R480" s="474"/>
      <c r="S480" s="474"/>
      <c r="T480" s="474"/>
      <c r="U480" s="474"/>
      <c r="V480" s="474"/>
      <c r="W480" s="474"/>
      <c r="X480" s="474"/>
      <c r="Y480" s="474"/>
      <c r="Z480" s="474"/>
    </row>
    <row r="481" ht="12.0" customHeight="1">
      <c r="A481" s="480"/>
      <c r="B481" s="485"/>
      <c r="C481" s="525"/>
      <c r="D481" s="525"/>
      <c r="E481" s="526"/>
      <c r="F481" s="526"/>
      <c r="G481" s="474"/>
      <c r="H481" s="474"/>
      <c r="I481" s="474"/>
      <c r="J481" s="474"/>
      <c r="K481" s="474"/>
      <c r="L481" s="474"/>
      <c r="M481" s="474"/>
      <c r="N481" s="474"/>
      <c r="O481" s="474"/>
      <c r="P481" s="474"/>
      <c r="Q481" s="474"/>
      <c r="R481" s="474"/>
      <c r="S481" s="474"/>
      <c r="T481" s="474"/>
      <c r="U481" s="474"/>
      <c r="V481" s="474"/>
      <c r="W481" s="474"/>
      <c r="X481" s="474"/>
      <c r="Y481" s="474"/>
      <c r="Z481" s="474"/>
    </row>
    <row r="482" ht="12.0" customHeight="1">
      <c r="A482" s="480"/>
      <c r="B482" s="485"/>
      <c r="C482" s="525"/>
      <c r="D482" s="525"/>
      <c r="E482" s="526"/>
      <c r="F482" s="526"/>
      <c r="G482" s="474"/>
      <c r="H482" s="474"/>
      <c r="I482" s="474"/>
      <c r="J482" s="474"/>
      <c r="K482" s="474"/>
      <c r="L482" s="474"/>
      <c r="M482" s="474"/>
      <c r="N482" s="474"/>
      <c r="O482" s="474"/>
      <c r="P482" s="474"/>
      <c r="Q482" s="474"/>
      <c r="R482" s="474"/>
      <c r="S482" s="474"/>
      <c r="T482" s="474"/>
      <c r="U482" s="474"/>
      <c r="V482" s="474"/>
      <c r="W482" s="474"/>
      <c r="X482" s="474"/>
      <c r="Y482" s="474"/>
      <c r="Z482" s="474"/>
    </row>
    <row r="483" ht="12.0" customHeight="1">
      <c r="A483" s="480"/>
      <c r="B483" s="485"/>
      <c r="C483" s="525"/>
      <c r="D483" s="525"/>
      <c r="E483" s="526"/>
      <c r="F483" s="526"/>
      <c r="G483" s="474"/>
      <c r="H483" s="474"/>
      <c r="I483" s="474"/>
      <c r="J483" s="474"/>
      <c r="K483" s="474"/>
      <c r="L483" s="474"/>
      <c r="M483" s="474"/>
      <c r="N483" s="474"/>
      <c r="O483" s="474"/>
      <c r="P483" s="474"/>
      <c r="Q483" s="474"/>
      <c r="R483" s="474"/>
      <c r="S483" s="474"/>
      <c r="T483" s="474"/>
      <c r="U483" s="474"/>
      <c r="V483" s="474"/>
      <c r="W483" s="474"/>
      <c r="X483" s="474"/>
      <c r="Y483" s="474"/>
      <c r="Z483" s="474"/>
    </row>
    <row r="484" ht="12.0" customHeight="1">
      <c r="A484" s="480"/>
      <c r="B484" s="485"/>
      <c r="C484" s="525"/>
      <c r="D484" s="525"/>
      <c r="E484" s="526"/>
      <c r="F484" s="526"/>
      <c r="G484" s="474"/>
      <c r="H484" s="474"/>
      <c r="I484" s="474"/>
      <c r="J484" s="474"/>
      <c r="K484" s="474"/>
      <c r="L484" s="474"/>
      <c r="M484" s="474"/>
      <c r="N484" s="474"/>
      <c r="O484" s="474"/>
      <c r="P484" s="474"/>
      <c r="Q484" s="474"/>
      <c r="R484" s="474"/>
      <c r="S484" s="474"/>
      <c r="T484" s="474"/>
      <c r="U484" s="474"/>
      <c r="V484" s="474"/>
      <c r="W484" s="474"/>
      <c r="X484" s="474"/>
      <c r="Y484" s="474"/>
      <c r="Z484" s="474"/>
    </row>
    <row r="485" ht="12.0" customHeight="1">
      <c r="A485" s="480"/>
      <c r="B485" s="485"/>
      <c r="C485" s="525"/>
      <c r="D485" s="525"/>
      <c r="E485" s="526"/>
      <c r="F485" s="526"/>
      <c r="G485" s="474"/>
      <c r="H485" s="474"/>
      <c r="I485" s="474"/>
      <c r="J485" s="474"/>
      <c r="K485" s="474"/>
      <c r="L485" s="474"/>
      <c r="M485" s="474"/>
      <c r="N485" s="474"/>
      <c r="O485" s="474"/>
      <c r="P485" s="474"/>
      <c r="Q485" s="474"/>
      <c r="R485" s="474"/>
      <c r="S485" s="474"/>
      <c r="T485" s="474"/>
      <c r="U485" s="474"/>
      <c r="V485" s="474"/>
      <c r="W485" s="474"/>
      <c r="X485" s="474"/>
      <c r="Y485" s="474"/>
      <c r="Z485" s="474"/>
    </row>
    <row r="486" ht="12.0" customHeight="1">
      <c r="A486" s="480"/>
      <c r="B486" s="485"/>
      <c r="C486" s="525"/>
      <c r="D486" s="525"/>
      <c r="E486" s="526"/>
      <c r="F486" s="526"/>
      <c r="G486" s="474"/>
      <c r="H486" s="474"/>
      <c r="I486" s="474"/>
      <c r="J486" s="474"/>
      <c r="K486" s="474"/>
      <c r="L486" s="474"/>
      <c r="M486" s="474"/>
      <c r="N486" s="474"/>
      <c r="O486" s="474"/>
      <c r="P486" s="474"/>
      <c r="Q486" s="474"/>
      <c r="R486" s="474"/>
      <c r="S486" s="474"/>
      <c r="T486" s="474"/>
      <c r="U486" s="474"/>
      <c r="V486" s="474"/>
      <c r="W486" s="474"/>
      <c r="X486" s="474"/>
      <c r="Y486" s="474"/>
      <c r="Z486" s="474"/>
    </row>
    <row r="487" ht="12.0" customHeight="1">
      <c r="A487" s="480"/>
      <c r="B487" s="485"/>
      <c r="C487" s="525"/>
      <c r="D487" s="525"/>
      <c r="E487" s="526"/>
      <c r="F487" s="526"/>
      <c r="G487" s="474"/>
      <c r="H487" s="474"/>
      <c r="I487" s="474"/>
      <c r="J487" s="474"/>
      <c r="K487" s="474"/>
      <c r="L487" s="474"/>
      <c r="M487" s="474"/>
      <c r="N487" s="474"/>
      <c r="O487" s="474"/>
      <c r="P487" s="474"/>
      <c r="Q487" s="474"/>
      <c r="R487" s="474"/>
      <c r="S487" s="474"/>
      <c r="T487" s="474"/>
      <c r="U487" s="474"/>
      <c r="V487" s="474"/>
      <c r="W487" s="474"/>
      <c r="X487" s="474"/>
      <c r="Y487" s="474"/>
      <c r="Z487" s="474"/>
    </row>
    <row r="488" ht="12.0" customHeight="1">
      <c r="A488" s="480"/>
      <c r="B488" s="485"/>
      <c r="C488" s="525"/>
      <c r="D488" s="525"/>
      <c r="E488" s="526"/>
      <c r="F488" s="526"/>
      <c r="G488" s="474"/>
      <c r="H488" s="474"/>
      <c r="I488" s="474"/>
      <c r="J488" s="474"/>
      <c r="K488" s="474"/>
      <c r="L488" s="474"/>
      <c r="M488" s="474"/>
      <c r="N488" s="474"/>
      <c r="O488" s="474"/>
      <c r="P488" s="474"/>
      <c r="Q488" s="474"/>
      <c r="R488" s="474"/>
      <c r="S488" s="474"/>
      <c r="T488" s="474"/>
      <c r="U488" s="474"/>
      <c r="V488" s="474"/>
      <c r="W488" s="474"/>
      <c r="X488" s="474"/>
      <c r="Y488" s="474"/>
      <c r="Z488" s="474"/>
    </row>
    <row r="489" ht="12.0" customHeight="1">
      <c r="A489" s="480"/>
      <c r="B489" s="485"/>
      <c r="C489" s="525"/>
      <c r="D489" s="525"/>
      <c r="E489" s="526"/>
      <c r="F489" s="526"/>
      <c r="G489" s="474"/>
      <c r="H489" s="474"/>
      <c r="I489" s="474"/>
      <c r="J489" s="474"/>
      <c r="K489" s="474"/>
      <c r="L489" s="474"/>
      <c r="M489" s="474"/>
      <c r="N489" s="474"/>
      <c r="O489" s="474"/>
      <c r="P489" s="474"/>
      <c r="Q489" s="474"/>
      <c r="R489" s="474"/>
      <c r="S489" s="474"/>
      <c r="T489" s="474"/>
      <c r="U489" s="474"/>
      <c r="V489" s="474"/>
      <c r="W489" s="474"/>
      <c r="X489" s="474"/>
      <c r="Y489" s="474"/>
      <c r="Z489" s="474"/>
    </row>
    <row r="490" ht="12.0" customHeight="1">
      <c r="A490" s="480"/>
      <c r="B490" s="485"/>
      <c r="C490" s="525"/>
      <c r="D490" s="525"/>
      <c r="E490" s="526"/>
      <c r="F490" s="526"/>
      <c r="G490" s="474"/>
      <c r="H490" s="474"/>
      <c r="I490" s="474"/>
      <c r="J490" s="474"/>
      <c r="K490" s="474"/>
      <c r="L490" s="474"/>
      <c r="M490" s="474"/>
      <c r="N490" s="474"/>
      <c r="O490" s="474"/>
      <c r="P490" s="474"/>
      <c r="Q490" s="474"/>
      <c r="R490" s="474"/>
      <c r="S490" s="474"/>
      <c r="T490" s="474"/>
      <c r="U490" s="474"/>
      <c r="V490" s="474"/>
      <c r="W490" s="474"/>
      <c r="X490" s="474"/>
      <c r="Y490" s="474"/>
      <c r="Z490" s="474"/>
    </row>
    <row r="491" ht="12.0" customHeight="1">
      <c r="A491" s="480"/>
      <c r="B491" s="485"/>
      <c r="C491" s="525"/>
      <c r="D491" s="525"/>
      <c r="E491" s="526"/>
      <c r="F491" s="526"/>
      <c r="G491" s="474"/>
      <c r="H491" s="474"/>
      <c r="I491" s="474"/>
      <c r="J491" s="474"/>
      <c r="K491" s="474"/>
      <c r="L491" s="474"/>
      <c r="M491" s="474"/>
      <c r="N491" s="474"/>
      <c r="O491" s="474"/>
      <c r="P491" s="474"/>
      <c r="Q491" s="474"/>
      <c r="R491" s="474"/>
      <c r="S491" s="474"/>
      <c r="T491" s="474"/>
      <c r="U491" s="474"/>
      <c r="V491" s="474"/>
      <c r="W491" s="474"/>
      <c r="X491" s="474"/>
      <c r="Y491" s="474"/>
      <c r="Z491" s="474"/>
    </row>
    <row r="492" ht="12.0" customHeight="1">
      <c r="A492" s="480"/>
      <c r="B492" s="485"/>
      <c r="C492" s="525"/>
      <c r="D492" s="525"/>
      <c r="E492" s="526"/>
      <c r="F492" s="526"/>
      <c r="G492" s="474"/>
      <c r="H492" s="474"/>
      <c r="I492" s="474"/>
      <c r="J492" s="474"/>
      <c r="K492" s="474"/>
      <c r="L492" s="474"/>
      <c r="M492" s="474"/>
      <c r="N492" s="474"/>
      <c r="O492" s="474"/>
      <c r="P492" s="474"/>
      <c r="Q492" s="474"/>
      <c r="R492" s="474"/>
      <c r="S492" s="474"/>
      <c r="T492" s="474"/>
      <c r="U492" s="474"/>
      <c r="V492" s="474"/>
      <c r="W492" s="474"/>
      <c r="X492" s="474"/>
      <c r="Y492" s="474"/>
      <c r="Z492" s="474"/>
    </row>
    <row r="493" ht="12.0" customHeight="1">
      <c r="A493" s="480"/>
      <c r="B493" s="485"/>
      <c r="C493" s="525"/>
      <c r="D493" s="525"/>
      <c r="E493" s="526"/>
      <c r="F493" s="526"/>
      <c r="G493" s="474"/>
      <c r="H493" s="474"/>
      <c r="I493" s="474"/>
      <c r="J493" s="474"/>
      <c r="K493" s="474"/>
      <c r="L493" s="474"/>
      <c r="M493" s="474"/>
      <c r="N493" s="474"/>
      <c r="O493" s="474"/>
      <c r="P493" s="474"/>
      <c r="Q493" s="474"/>
      <c r="R493" s="474"/>
      <c r="S493" s="474"/>
      <c r="T493" s="474"/>
      <c r="U493" s="474"/>
      <c r="V493" s="474"/>
      <c r="W493" s="474"/>
      <c r="X493" s="474"/>
      <c r="Y493" s="474"/>
      <c r="Z493" s="474"/>
    </row>
    <row r="494" ht="12.0" customHeight="1">
      <c r="A494" s="480"/>
      <c r="B494" s="485"/>
      <c r="C494" s="525"/>
      <c r="D494" s="525"/>
      <c r="E494" s="526"/>
      <c r="F494" s="526"/>
      <c r="G494" s="474"/>
      <c r="H494" s="474"/>
      <c r="I494" s="474"/>
      <c r="J494" s="474"/>
      <c r="K494" s="474"/>
      <c r="L494" s="474"/>
      <c r="M494" s="474"/>
      <c r="N494" s="474"/>
      <c r="O494" s="474"/>
      <c r="P494" s="474"/>
      <c r="Q494" s="474"/>
      <c r="R494" s="474"/>
      <c r="S494" s="474"/>
      <c r="T494" s="474"/>
      <c r="U494" s="474"/>
      <c r="V494" s="474"/>
      <c r="W494" s="474"/>
      <c r="X494" s="474"/>
      <c r="Y494" s="474"/>
      <c r="Z494" s="474"/>
    </row>
    <row r="495" ht="12.0" customHeight="1">
      <c r="A495" s="480"/>
      <c r="B495" s="485"/>
      <c r="C495" s="525"/>
      <c r="D495" s="525"/>
      <c r="E495" s="526"/>
      <c r="F495" s="526"/>
      <c r="G495" s="474"/>
      <c r="H495" s="474"/>
      <c r="I495" s="474"/>
      <c r="J495" s="474"/>
      <c r="K495" s="474"/>
      <c r="L495" s="474"/>
      <c r="M495" s="474"/>
      <c r="N495" s="474"/>
      <c r="O495" s="474"/>
      <c r="P495" s="474"/>
      <c r="Q495" s="474"/>
      <c r="R495" s="474"/>
      <c r="S495" s="474"/>
      <c r="T495" s="474"/>
      <c r="U495" s="474"/>
      <c r="V495" s="474"/>
      <c r="W495" s="474"/>
      <c r="X495" s="474"/>
      <c r="Y495" s="474"/>
      <c r="Z495" s="474"/>
    </row>
    <row r="496" ht="12.0" customHeight="1">
      <c r="A496" s="480"/>
      <c r="B496" s="485"/>
      <c r="C496" s="525"/>
      <c r="D496" s="525"/>
      <c r="E496" s="526"/>
      <c r="F496" s="526"/>
      <c r="G496" s="474"/>
      <c r="H496" s="474"/>
      <c r="I496" s="474"/>
      <c r="J496" s="474"/>
      <c r="K496" s="474"/>
      <c r="L496" s="474"/>
      <c r="M496" s="474"/>
      <c r="N496" s="474"/>
      <c r="O496" s="474"/>
      <c r="P496" s="474"/>
      <c r="Q496" s="474"/>
      <c r="R496" s="474"/>
      <c r="S496" s="474"/>
      <c r="T496" s="474"/>
      <c r="U496" s="474"/>
      <c r="V496" s="474"/>
      <c r="W496" s="474"/>
      <c r="X496" s="474"/>
      <c r="Y496" s="474"/>
      <c r="Z496" s="474"/>
    </row>
    <row r="497" ht="12.0" customHeight="1">
      <c r="A497" s="480"/>
      <c r="B497" s="485"/>
      <c r="C497" s="525"/>
      <c r="D497" s="525"/>
      <c r="E497" s="526"/>
      <c r="F497" s="526"/>
      <c r="G497" s="474"/>
      <c r="H497" s="474"/>
      <c r="I497" s="474"/>
      <c r="J497" s="474"/>
      <c r="K497" s="474"/>
      <c r="L497" s="474"/>
      <c r="M497" s="474"/>
      <c r="N497" s="474"/>
      <c r="O497" s="474"/>
      <c r="P497" s="474"/>
      <c r="Q497" s="474"/>
      <c r="R497" s="474"/>
      <c r="S497" s="474"/>
      <c r="T497" s="474"/>
      <c r="U497" s="474"/>
      <c r="V497" s="474"/>
      <c r="W497" s="474"/>
      <c r="X497" s="474"/>
      <c r="Y497" s="474"/>
      <c r="Z497" s="474"/>
    </row>
    <row r="498" ht="12.0" customHeight="1">
      <c r="A498" s="480"/>
      <c r="B498" s="485"/>
      <c r="C498" s="525"/>
      <c r="D498" s="525"/>
      <c r="E498" s="526"/>
      <c r="F498" s="526"/>
      <c r="G498" s="474"/>
      <c r="H498" s="474"/>
      <c r="I498" s="474"/>
      <c r="J498" s="474"/>
      <c r="K498" s="474"/>
      <c r="L498" s="474"/>
      <c r="M498" s="474"/>
      <c r="N498" s="474"/>
      <c r="O498" s="474"/>
      <c r="P498" s="474"/>
      <c r="Q498" s="474"/>
      <c r="R498" s="474"/>
      <c r="S498" s="474"/>
      <c r="T498" s="474"/>
      <c r="U498" s="474"/>
      <c r="V498" s="474"/>
      <c r="W498" s="474"/>
      <c r="X498" s="474"/>
      <c r="Y498" s="474"/>
      <c r="Z498" s="474"/>
    </row>
    <row r="499" ht="12.0" customHeight="1">
      <c r="A499" s="480"/>
      <c r="B499" s="485"/>
      <c r="C499" s="525"/>
      <c r="D499" s="525"/>
      <c r="E499" s="526"/>
      <c r="F499" s="526"/>
      <c r="G499" s="474"/>
      <c r="H499" s="474"/>
      <c r="I499" s="474"/>
      <c r="J499" s="474"/>
      <c r="K499" s="474"/>
      <c r="L499" s="474"/>
      <c r="M499" s="474"/>
      <c r="N499" s="474"/>
      <c r="O499" s="474"/>
      <c r="P499" s="474"/>
      <c r="Q499" s="474"/>
      <c r="R499" s="474"/>
      <c r="S499" s="474"/>
      <c r="T499" s="474"/>
      <c r="U499" s="474"/>
      <c r="V499" s="474"/>
      <c r="W499" s="474"/>
      <c r="X499" s="474"/>
      <c r="Y499" s="474"/>
      <c r="Z499" s="474"/>
    </row>
    <row r="500" ht="12.0" customHeight="1">
      <c r="A500" s="480"/>
      <c r="B500" s="485"/>
      <c r="C500" s="525"/>
      <c r="D500" s="525"/>
      <c r="E500" s="526"/>
      <c r="F500" s="526"/>
      <c r="G500" s="474"/>
      <c r="H500" s="474"/>
      <c r="I500" s="474"/>
      <c r="J500" s="474"/>
      <c r="K500" s="474"/>
      <c r="L500" s="474"/>
      <c r="M500" s="474"/>
      <c r="N500" s="474"/>
      <c r="O500" s="474"/>
      <c r="P500" s="474"/>
      <c r="Q500" s="474"/>
      <c r="R500" s="474"/>
      <c r="S500" s="474"/>
      <c r="T500" s="474"/>
      <c r="U500" s="474"/>
      <c r="V500" s="474"/>
      <c r="W500" s="474"/>
      <c r="X500" s="474"/>
      <c r="Y500" s="474"/>
      <c r="Z500" s="474"/>
    </row>
    <row r="501" ht="12.0" customHeight="1">
      <c r="A501" s="480"/>
      <c r="B501" s="485"/>
      <c r="C501" s="525"/>
      <c r="D501" s="525"/>
      <c r="E501" s="526"/>
      <c r="F501" s="526"/>
      <c r="G501" s="474"/>
      <c r="H501" s="474"/>
      <c r="I501" s="474"/>
      <c r="J501" s="474"/>
      <c r="K501" s="474"/>
      <c r="L501" s="474"/>
      <c r="M501" s="474"/>
      <c r="N501" s="474"/>
      <c r="O501" s="474"/>
      <c r="P501" s="474"/>
      <c r="Q501" s="474"/>
      <c r="R501" s="474"/>
      <c r="S501" s="474"/>
      <c r="T501" s="474"/>
      <c r="U501" s="474"/>
      <c r="V501" s="474"/>
      <c r="W501" s="474"/>
      <c r="X501" s="474"/>
      <c r="Y501" s="474"/>
      <c r="Z501" s="474"/>
    </row>
    <row r="502" ht="12.0" customHeight="1">
      <c r="A502" s="480"/>
      <c r="B502" s="485"/>
      <c r="C502" s="525"/>
      <c r="D502" s="525"/>
      <c r="E502" s="526"/>
      <c r="F502" s="526"/>
      <c r="G502" s="474"/>
      <c r="H502" s="474"/>
      <c r="I502" s="474"/>
      <c r="J502" s="474"/>
      <c r="K502" s="474"/>
      <c r="L502" s="474"/>
      <c r="M502" s="474"/>
      <c r="N502" s="474"/>
      <c r="O502" s="474"/>
      <c r="P502" s="474"/>
      <c r="Q502" s="474"/>
      <c r="R502" s="474"/>
      <c r="S502" s="474"/>
      <c r="T502" s="474"/>
      <c r="U502" s="474"/>
      <c r="V502" s="474"/>
      <c r="W502" s="474"/>
      <c r="X502" s="474"/>
      <c r="Y502" s="474"/>
      <c r="Z502" s="474"/>
    </row>
    <row r="503" ht="12.0" customHeight="1">
      <c r="A503" s="480"/>
      <c r="B503" s="485"/>
      <c r="C503" s="525"/>
      <c r="D503" s="525"/>
      <c r="E503" s="526"/>
      <c r="F503" s="526"/>
      <c r="G503" s="474"/>
      <c r="H503" s="474"/>
      <c r="I503" s="474"/>
      <c r="J503" s="474"/>
      <c r="K503" s="474"/>
      <c r="L503" s="474"/>
      <c r="M503" s="474"/>
      <c r="N503" s="474"/>
      <c r="O503" s="474"/>
      <c r="P503" s="474"/>
      <c r="Q503" s="474"/>
      <c r="R503" s="474"/>
      <c r="S503" s="474"/>
      <c r="T503" s="474"/>
      <c r="U503" s="474"/>
      <c r="V503" s="474"/>
      <c r="W503" s="474"/>
      <c r="X503" s="474"/>
      <c r="Y503" s="474"/>
      <c r="Z503" s="474"/>
    </row>
    <row r="504" ht="12.0" customHeight="1">
      <c r="A504" s="480"/>
      <c r="B504" s="485"/>
      <c r="C504" s="525"/>
      <c r="D504" s="525"/>
      <c r="E504" s="526"/>
      <c r="F504" s="526"/>
      <c r="G504" s="474"/>
      <c r="H504" s="474"/>
      <c r="I504" s="474"/>
      <c r="J504" s="474"/>
      <c r="K504" s="474"/>
      <c r="L504" s="474"/>
      <c r="M504" s="474"/>
      <c r="N504" s="474"/>
      <c r="O504" s="474"/>
      <c r="P504" s="474"/>
      <c r="Q504" s="474"/>
      <c r="R504" s="474"/>
      <c r="S504" s="474"/>
      <c r="T504" s="474"/>
      <c r="U504" s="474"/>
      <c r="V504" s="474"/>
      <c r="W504" s="474"/>
      <c r="X504" s="474"/>
      <c r="Y504" s="474"/>
      <c r="Z504" s="474"/>
    </row>
    <row r="505" ht="12.0" customHeight="1">
      <c r="A505" s="480"/>
      <c r="B505" s="485"/>
      <c r="C505" s="525"/>
      <c r="D505" s="525"/>
      <c r="E505" s="526"/>
      <c r="F505" s="526"/>
      <c r="G505" s="474"/>
      <c r="H505" s="474"/>
      <c r="I505" s="474"/>
      <c r="J505" s="474"/>
      <c r="K505" s="474"/>
      <c r="L505" s="474"/>
      <c r="M505" s="474"/>
      <c r="N505" s="474"/>
      <c r="O505" s="474"/>
      <c r="P505" s="474"/>
      <c r="Q505" s="474"/>
      <c r="R505" s="474"/>
      <c r="S505" s="474"/>
      <c r="T505" s="474"/>
      <c r="U505" s="474"/>
      <c r="V505" s="474"/>
      <c r="W505" s="474"/>
      <c r="X505" s="474"/>
      <c r="Y505" s="474"/>
      <c r="Z505" s="474"/>
    </row>
    <row r="506" ht="12.0" customHeight="1">
      <c r="A506" s="480"/>
      <c r="B506" s="485"/>
      <c r="C506" s="525"/>
      <c r="D506" s="525"/>
      <c r="E506" s="526"/>
      <c r="F506" s="526"/>
      <c r="G506" s="474"/>
      <c r="H506" s="474"/>
      <c r="I506" s="474"/>
      <c r="J506" s="474"/>
      <c r="K506" s="474"/>
      <c r="L506" s="474"/>
      <c r="M506" s="474"/>
      <c r="N506" s="474"/>
      <c r="O506" s="474"/>
      <c r="P506" s="474"/>
      <c r="Q506" s="474"/>
      <c r="R506" s="474"/>
      <c r="S506" s="474"/>
      <c r="T506" s="474"/>
      <c r="U506" s="474"/>
      <c r="V506" s="474"/>
      <c r="W506" s="474"/>
      <c r="X506" s="474"/>
      <c r="Y506" s="474"/>
      <c r="Z506" s="474"/>
    </row>
    <row r="507" ht="12.0" customHeight="1">
      <c r="A507" s="480"/>
      <c r="B507" s="485"/>
      <c r="C507" s="525"/>
      <c r="D507" s="525"/>
      <c r="E507" s="526"/>
      <c r="F507" s="526"/>
      <c r="G507" s="474"/>
      <c r="H507" s="474"/>
      <c r="I507" s="474"/>
      <c r="J507" s="474"/>
      <c r="K507" s="474"/>
      <c r="L507" s="474"/>
      <c r="M507" s="474"/>
      <c r="N507" s="474"/>
      <c r="O507" s="474"/>
      <c r="P507" s="474"/>
      <c r="Q507" s="474"/>
      <c r="R507" s="474"/>
      <c r="S507" s="474"/>
      <c r="T507" s="474"/>
      <c r="U507" s="474"/>
      <c r="V507" s="474"/>
      <c r="W507" s="474"/>
      <c r="X507" s="474"/>
      <c r="Y507" s="474"/>
      <c r="Z507" s="474"/>
    </row>
    <row r="508" ht="12.0" customHeight="1">
      <c r="A508" s="480"/>
      <c r="B508" s="485"/>
      <c r="C508" s="525"/>
      <c r="D508" s="525"/>
      <c r="E508" s="526"/>
      <c r="F508" s="526"/>
      <c r="G508" s="474"/>
      <c r="H508" s="474"/>
      <c r="I508" s="474"/>
      <c r="J508" s="474"/>
      <c r="K508" s="474"/>
      <c r="L508" s="474"/>
      <c r="M508" s="474"/>
      <c r="N508" s="474"/>
      <c r="O508" s="474"/>
      <c r="P508" s="474"/>
      <c r="Q508" s="474"/>
      <c r="R508" s="474"/>
      <c r="S508" s="474"/>
      <c r="T508" s="474"/>
      <c r="U508" s="474"/>
      <c r="V508" s="474"/>
      <c r="W508" s="474"/>
      <c r="X508" s="474"/>
      <c r="Y508" s="474"/>
      <c r="Z508" s="474"/>
    </row>
    <row r="509" ht="12.0" customHeight="1">
      <c r="A509" s="480"/>
      <c r="B509" s="485"/>
      <c r="C509" s="525"/>
      <c r="D509" s="525"/>
      <c r="E509" s="526"/>
      <c r="F509" s="526"/>
      <c r="G509" s="474"/>
      <c r="H509" s="474"/>
      <c r="I509" s="474"/>
      <c r="J509" s="474"/>
      <c r="K509" s="474"/>
      <c r="L509" s="474"/>
      <c r="M509" s="474"/>
      <c r="N509" s="474"/>
      <c r="O509" s="474"/>
      <c r="P509" s="474"/>
      <c r="Q509" s="474"/>
      <c r="R509" s="474"/>
      <c r="S509" s="474"/>
      <c r="T509" s="474"/>
      <c r="U509" s="474"/>
      <c r="V509" s="474"/>
      <c r="W509" s="474"/>
      <c r="X509" s="474"/>
      <c r="Y509" s="474"/>
      <c r="Z509" s="474"/>
    </row>
    <row r="510" ht="12.0" customHeight="1">
      <c r="A510" s="480"/>
      <c r="B510" s="485"/>
      <c r="C510" s="525"/>
      <c r="D510" s="525"/>
      <c r="E510" s="526"/>
      <c r="F510" s="526"/>
      <c r="G510" s="474"/>
      <c r="H510" s="474"/>
      <c r="I510" s="474"/>
      <c r="J510" s="474"/>
      <c r="K510" s="474"/>
      <c r="L510" s="474"/>
      <c r="M510" s="474"/>
      <c r="N510" s="474"/>
      <c r="O510" s="474"/>
      <c r="P510" s="474"/>
      <c r="Q510" s="474"/>
      <c r="R510" s="474"/>
      <c r="S510" s="474"/>
      <c r="T510" s="474"/>
      <c r="U510" s="474"/>
      <c r="V510" s="474"/>
      <c r="W510" s="474"/>
      <c r="X510" s="474"/>
      <c r="Y510" s="474"/>
      <c r="Z510" s="474"/>
    </row>
    <row r="511" ht="12.0" customHeight="1">
      <c r="A511" s="480"/>
      <c r="B511" s="485"/>
      <c r="C511" s="525"/>
      <c r="D511" s="525"/>
      <c r="E511" s="526"/>
      <c r="F511" s="526"/>
      <c r="G511" s="474"/>
      <c r="H511" s="474"/>
      <c r="I511" s="474"/>
      <c r="J511" s="474"/>
      <c r="K511" s="474"/>
      <c r="L511" s="474"/>
      <c r="M511" s="474"/>
      <c r="N511" s="474"/>
      <c r="O511" s="474"/>
      <c r="P511" s="474"/>
      <c r="Q511" s="474"/>
      <c r="R511" s="474"/>
      <c r="S511" s="474"/>
      <c r="T511" s="474"/>
      <c r="U511" s="474"/>
      <c r="V511" s="474"/>
      <c r="W511" s="474"/>
      <c r="X511" s="474"/>
      <c r="Y511" s="474"/>
      <c r="Z511" s="474"/>
    </row>
    <row r="512" ht="12.0" customHeight="1">
      <c r="A512" s="480"/>
      <c r="B512" s="485"/>
      <c r="C512" s="525"/>
      <c r="D512" s="525"/>
      <c r="E512" s="526"/>
      <c r="F512" s="526"/>
      <c r="G512" s="474"/>
      <c r="H512" s="474"/>
      <c r="I512" s="474"/>
      <c r="J512" s="474"/>
      <c r="K512" s="474"/>
      <c r="L512" s="474"/>
      <c r="M512" s="474"/>
      <c r="N512" s="474"/>
      <c r="O512" s="474"/>
      <c r="P512" s="474"/>
      <c r="Q512" s="474"/>
      <c r="R512" s="474"/>
      <c r="S512" s="474"/>
      <c r="T512" s="474"/>
      <c r="U512" s="474"/>
      <c r="V512" s="474"/>
      <c r="W512" s="474"/>
      <c r="X512" s="474"/>
      <c r="Y512" s="474"/>
      <c r="Z512" s="474"/>
    </row>
    <row r="513" ht="12.0" customHeight="1">
      <c r="A513" s="480"/>
      <c r="B513" s="485"/>
      <c r="C513" s="525"/>
      <c r="D513" s="525"/>
      <c r="E513" s="526"/>
      <c r="F513" s="526"/>
      <c r="G513" s="474"/>
      <c r="H513" s="474"/>
      <c r="I513" s="474"/>
      <c r="J513" s="474"/>
      <c r="K513" s="474"/>
      <c r="L513" s="474"/>
      <c r="M513" s="474"/>
      <c r="N513" s="474"/>
      <c r="O513" s="474"/>
      <c r="P513" s="474"/>
      <c r="Q513" s="474"/>
      <c r="R513" s="474"/>
      <c r="S513" s="474"/>
      <c r="T513" s="474"/>
      <c r="U513" s="474"/>
      <c r="V513" s="474"/>
      <c r="W513" s="474"/>
      <c r="X513" s="474"/>
      <c r="Y513" s="474"/>
      <c r="Z513" s="474"/>
    </row>
    <row r="514" ht="12.0" customHeight="1">
      <c r="A514" s="480"/>
      <c r="B514" s="485"/>
      <c r="C514" s="525"/>
      <c r="D514" s="525"/>
      <c r="E514" s="526"/>
      <c r="F514" s="526"/>
      <c r="G514" s="474"/>
      <c r="H514" s="474"/>
      <c r="I514" s="474"/>
      <c r="J514" s="474"/>
      <c r="K514" s="474"/>
      <c r="L514" s="474"/>
      <c r="M514" s="474"/>
      <c r="N514" s="474"/>
      <c r="O514" s="474"/>
      <c r="P514" s="474"/>
      <c r="Q514" s="474"/>
      <c r="R514" s="474"/>
      <c r="S514" s="474"/>
      <c r="T514" s="474"/>
      <c r="U514" s="474"/>
      <c r="V514" s="474"/>
      <c r="W514" s="474"/>
      <c r="X514" s="474"/>
      <c r="Y514" s="474"/>
      <c r="Z514" s="474"/>
    </row>
    <row r="515" ht="12.0" customHeight="1">
      <c r="A515" s="480"/>
      <c r="B515" s="485"/>
      <c r="C515" s="525"/>
      <c r="D515" s="525"/>
      <c r="E515" s="526"/>
      <c r="F515" s="526"/>
      <c r="G515" s="474"/>
      <c r="H515" s="474"/>
      <c r="I515" s="474"/>
      <c r="J515" s="474"/>
      <c r="K515" s="474"/>
      <c r="L515" s="474"/>
      <c r="M515" s="474"/>
      <c r="N515" s="474"/>
      <c r="O515" s="474"/>
      <c r="P515" s="474"/>
      <c r="Q515" s="474"/>
      <c r="R515" s="474"/>
      <c r="S515" s="474"/>
      <c r="T515" s="474"/>
      <c r="U515" s="474"/>
      <c r="V515" s="474"/>
      <c r="W515" s="474"/>
      <c r="X515" s="474"/>
      <c r="Y515" s="474"/>
      <c r="Z515" s="474"/>
    </row>
    <row r="516" ht="12.0" customHeight="1">
      <c r="A516" s="480"/>
      <c r="B516" s="485"/>
      <c r="C516" s="525"/>
      <c r="D516" s="525"/>
      <c r="E516" s="526"/>
      <c r="F516" s="526"/>
      <c r="G516" s="474"/>
      <c r="H516" s="474"/>
      <c r="I516" s="474"/>
      <c r="J516" s="474"/>
      <c r="K516" s="474"/>
      <c r="L516" s="474"/>
      <c r="M516" s="474"/>
      <c r="N516" s="474"/>
      <c r="O516" s="474"/>
      <c r="P516" s="474"/>
      <c r="Q516" s="474"/>
      <c r="R516" s="474"/>
      <c r="S516" s="474"/>
      <c r="T516" s="474"/>
      <c r="U516" s="474"/>
      <c r="V516" s="474"/>
      <c r="W516" s="474"/>
      <c r="X516" s="474"/>
      <c r="Y516" s="474"/>
      <c r="Z516" s="474"/>
    </row>
    <row r="517" ht="12.0" customHeight="1">
      <c r="A517" s="480"/>
      <c r="B517" s="485"/>
      <c r="C517" s="525"/>
      <c r="D517" s="525"/>
      <c r="E517" s="526"/>
      <c r="F517" s="526"/>
      <c r="G517" s="474"/>
      <c r="H517" s="474"/>
      <c r="I517" s="474"/>
      <c r="J517" s="474"/>
      <c r="K517" s="474"/>
      <c r="L517" s="474"/>
      <c r="M517" s="474"/>
      <c r="N517" s="474"/>
      <c r="O517" s="474"/>
      <c r="P517" s="474"/>
      <c r="Q517" s="474"/>
      <c r="R517" s="474"/>
      <c r="S517" s="474"/>
      <c r="T517" s="474"/>
      <c r="U517" s="474"/>
      <c r="V517" s="474"/>
      <c r="W517" s="474"/>
      <c r="X517" s="474"/>
      <c r="Y517" s="474"/>
      <c r="Z517" s="474"/>
    </row>
    <row r="518" ht="12.0" customHeight="1">
      <c r="A518" s="480"/>
      <c r="B518" s="485"/>
      <c r="C518" s="525"/>
      <c r="D518" s="525"/>
      <c r="E518" s="526"/>
      <c r="F518" s="526"/>
      <c r="G518" s="474"/>
      <c r="H518" s="474"/>
      <c r="I518" s="474"/>
      <c r="J518" s="474"/>
      <c r="K518" s="474"/>
      <c r="L518" s="474"/>
      <c r="M518" s="474"/>
      <c r="N518" s="474"/>
      <c r="O518" s="474"/>
      <c r="P518" s="474"/>
      <c r="Q518" s="474"/>
      <c r="R518" s="474"/>
      <c r="S518" s="474"/>
      <c r="T518" s="474"/>
      <c r="U518" s="474"/>
      <c r="V518" s="474"/>
      <c r="W518" s="474"/>
      <c r="X518" s="474"/>
      <c r="Y518" s="474"/>
      <c r="Z518" s="474"/>
    </row>
    <row r="519" ht="12.0" customHeight="1">
      <c r="A519" s="480"/>
      <c r="B519" s="485"/>
      <c r="C519" s="525"/>
      <c r="D519" s="525"/>
      <c r="E519" s="526"/>
      <c r="F519" s="526"/>
      <c r="G519" s="474"/>
      <c r="H519" s="474"/>
      <c r="I519" s="474"/>
      <c r="J519" s="474"/>
      <c r="K519" s="474"/>
      <c r="L519" s="474"/>
      <c r="M519" s="474"/>
      <c r="N519" s="474"/>
      <c r="O519" s="474"/>
      <c r="P519" s="474"/>
      <c r="Q519" s="474"/>
      <c r="R519" s="474"/>
      <c r="S519" s="474"/>
      <c r="T519" s="474"/>
      <c r="U519" s="474"/>
      <c r="V519" s="474"/>
      <c r="W519" s="474"/>
      <c r="X519" s="474"/>
      <c r="Y519" s="474"/>
      <c r="Z519" s="474"/>
    </row>
    <row r="520" ht="12.0" customHeight="1">
      <c r="A520" s="480"/>
      <c r="B520" s="485"/>
      <c r="C520" s="525"/>
      <c r="D520" s="525"/>
      <c r="E520" s="526"/>
      <c r="F520" s="526"/>
      <c r="G520" s="474"/>
      <c r="H520" s="474"/>
      <c r="I520" s="474"/>
      <c r="J520" s="474"/>
      <c r="K520" s="474"/>
      <c r="L520" s="474"/>
      <c r="M520" s="474"/>
      <c r="N520" s="474"/>
      <c r="O520" s="474"/>
      <c r="P520" s="474"/>
      <c r="Q520" s="474"/>
      <c r="R520" s="474"/>
      <c r="S520" s="474"/>
      <c r="T520" s="474"/>
      <c r="U520" s="474"/>
      <c r="V520" s="474"/>
      <c r="W520" s="474"/>
      <c r="X520" s="474"/>
      <c r="Y520" s="474"/>
      <c r="Z520" s="474"/>
    </row>
    <row r="521" ht="12.0" customHeight="1">
      <c r="A521" s="480"/>
      <c r="B521" s="485"/>
      <c r="C521" s="525"/>
      <c r="D521" s="525"/>
      <c r="E521" s="526"/>
      <c r="F521" s="526"/>
      <c r="G521" s="474"/>
      <c r="H521" s="474"/>
      <c r="I521" s="474"/>
      <c r="J521" s="474"/>
      <c r="K521" s="474"/>
      <c r="L521" s="474"/>
      <c r="M521" s="474"/>
      <c r="N521" s="474"/>
      <c r="O521" s="474"/>
      <c r="P521" s="474"/>
      <c r="Q521" s="474"/>
      <c r="R521" s="474"/>
      <c r="S521" s="474"/>
      <c r="T521" s="474"/>
      <c r="U521" s="474"/>
      <c r="V521" s="474"/>
      <c r="W521" s="474"/>
      <c r="X521" s="474"/>
      <c r="Y521" s="474"/>
      <c r="Z521" s="474"/>
    </row>
    <row r="522" ht="12.0" customHeight="1">
      <c r="A522" s="480"/>
      <c r="B522" s="485"/>
      <c r="C522" s="525"/>
      <c r="D522" s="525"/>
      <c r="E522" s="526"/>
      <c r="F522" s="526"/>
      <c r="G522" s="474"/>
      <c r="H522" s="474"/>
      <c r="I522" s="474"/>
      <c r="J522" s="474"/>
      <c r="K522" s="474"/>
      <c r="L522" s="474"/>
      <c r="M522" s="474"/>
      <c r="N522" s="474"/>
      <c r="O522" s="474"/>
      <c r="P522" s="474"/>
      <c r="Q522" s="474"/>
      <c r="R522" s="474"/>
      <c r="S522" s="474"/>
      <c r="T522" s="474"/>
      <c r="U522" s="474"/>
      <c r="V522" s="474"/>
      <c r="W522" s="474"/>
      <c r="X522" s="474"/>
      <c r="Y522" s="474"/>
      <c r="Z522" s="474"/>
    </row>
    <row r="523" ht="12.0" customHeight="1">
      <c r="A523" s="480"/>
      <c r="B523" s="485"/>
      <c r="C523" s="525"/>
      <c r="D523" s="525"/>
      <c r="E523" s="526"/>
      <c r="F523" s="526"/>
      <c r="G523" s="474"/>
      <c r="H523" s="474"/>
      <c r="I523" s="474"/>
      <c r="J523" s="474"/>
      <c r="K523" s="474"/>
      <c r="L523" s="474"/>
      <c r="M523" s="474"/>
      <c r="N523" s="474"/>
      <c r="O523" s="474"/>
      <c r="P523" s="474"/>
      <c r="Q523" s="474"/>
      <c r="R523" s="474"/>
      <c r="S523" s="474"/>
      <c r="T523" s="474"/>
      <c r="U523" s="474"/>
      <c r="V523" s="474"/>
      <c r="W523" s="474"/>
      <c r="X523" s="474"/>
      <c r="Y523" s="474"/>
      <c r="Z523" s="474"/>
    </row>
    <row r="524" ht="12.0" customHeight="1">
      <c r="A524" s="480"/>
      <c r="B524" s="485"/>
      <c r="C524" s="525"/>
      <c r="D524" s="525"/>
      <c r="E524" s="526"/>
      <c r="F524" s="526"/>
      <c r="G524" s="474"/>
      <c r="H524" s="474"/>
      <c r="I524" s="474"/>
      <c r="J524" s="474"/>
      <c r="K524" s="474"/>
      <c r="L524" s="474"/>
      <c r="M524" s="474"/>
      <c r="N524" s="474"/>
      <c r="O524" s="474"/>
      <c r="P524" s="474"/>
      <c r="Q524" s="474"/>
      <c r="R524" s="474"/>
      <c r="S524" s="474"/>
      <c r="T524" s="474"/>
      <c r="U524" s="474"/>
      <c r="V524" s="474"/>
      <c r="W524" s="474"/>
      <c r="X524" s="474"/>
      <c r="Y524" s="474"/>
      <c r="Z524" s="474"/>
    </row>
    <row r="525" ht="12.0" customHeight="1">
      <c r="A525" s="480"/>
      <c r="B525" s="485"/>
      <c r="C525" s="525"/>
      <c r="D525" s="525"/>
      <c r="E525" s="526"/>
      <c r="F525" s="526"/>
      <c r="G525" s="474"/>
      <c r="H525" s="474"/>
      <c r="I525" s="474"/>
      <c r="J525" s="474"/>
      <c r="K525" s="474"/>
      <c r="L525" s="474"/>
      <c r="M525" s="474"/>
      <c r="N525" s="474"/>
      <c r="O525" s="474"/>
      <c r="P525" s="474"/>
      <c r="Q525" s="474"/>
      <c r="R525" s="474"/>
      <c r="S525" s="474"/>
      <c r="T525" s="474"/>
      <c r="U525" s="474"/>
      <c r="V525" s="474"/>
      <c r="W525" s="474"/>
      <c r="X525" s="474"/>
      <c r="Y525" s="474"/>
      <c r="Z525" s="474"/>
    </row>
    <row r="526" ht="12.0" customHeight="1">
      <c r="A526" s="480"/>
      <c r="B526" s="485"/>
      <c r="C526" s="525"/>
      <c r="D526" s="525"/>
      <c r="E526" s="526"/>
      <c r="F526" s="526"/>
      <c r="G526" s="474"/>
      <c r="H526" s="474"/>
      <c r="I526" s="474"/>
      <c r="J526" s="474"/>
      <c r="K526" s="474"/>
      <c r="L526" s="474"/>
      <c r="M526" s="474"/>
      <c r="N526" s="474"/>
      <c r="O526" s="474"/>
      <c r="P526" s="474"/>
      <c r="Q526" s="474"/>
      <c r="R526" s="474"/>
      <c r="S526" s="474"/>
      <c r="T526" s="474"/>
      <c r="U526" s="474"/>
      <c r="V526" s="474"/>
      <c r="W526" s="474"/>
      <c r="X526" s="474"/>
      <c r="Y526" s="474"/>
      <c r="Z526" s="474"/>
    </row>
    <row r="527" ht="12.0" customHeight="1">
      <c r="A527" s="480"/>
      <c r="B527" s="485"/>
      <c r="C527" s="525"/>
      <c r="D527" s="525"/>
      <c r="E527" s="526"/>
      <c r="F527" s="526"/>
      <c r="G527" s="474"/>
      <c r="H527" s="474"/>
      <c r="I527" s="474"/>
      <c r="J527" s="474"/>
      <c r="K527" s="474"/>
      <c r="L527" s="474"/>
      <c r="M527" s="474"/>
      <c r="N527" s="474"/>
      <c r="O527" s="474"/>
      <c r="P527" s="474"/>
      <c r="Q527" s="474"/>
      <c r="R527" s="474"/>
      <c r="S527" s="474"/>
      <c r="T527" s="474"/>
      <c r="U527" s="474"/>
      <c r="V527" s="474"/>
      <c r="W527" s="474"/>
      <c r="X527" s="474"/>
      <c r="Y527" s="474"/>
      <c r="Z527" s="474"/>
    </row>
    <row r="528" ht="12.0" customHeight="1">
      <c r="A528" s="480"/>
      <c r="B528" s="485"/>
      <c r="C528" s="525"/>
      <c r="D528" s="525"/>
      <c r="E528" s="526"/>
      <c r="F528" s="526"/>
      <c r="G528" s="474"/>
      <c r="H528" s="474"/>
      <c r="I528" s="474"/>
      <c r="J528" s="474"/>
      <c r="K528" s="474"/>
      <c r="L528" s="474"/>
      <c r="M528" s="474"/>
      <c r="N528" s="474"/>
      <c r="O528" s="474"/>
      <c r="P528" s="474"/>
      <c r="Q528" s="474"/>
      <c r="R528" s="474"/>
      <c r="S528" s="474"/>
      <c r="T528" s="474"/>
      <c r="U528" s="474"/>
      <c r="V528" s="474"/>
      <c r="W528" s="474"/>
      <c r="X528" s="474"/>
      <c r="Y528" s="474"/>
      <c r="Z528" s="474"/>
    </row>
    <row r="529" ht="12.0" customHeight="1">
      <c r="A529" s="480"/>
      <c r="B529" s="485"/>
      <c r="C529" s="525"/>
      <c r="D529" s="525"/>
      <c r="E529" s="526"/>
      <c r="F529" s="526"/>
      <c r="G529" s="474"/>
      <c r="H529" s="474"/>
      <c r="I529" s="474"/>
      <c r="J529" s="474"/>
      <c r="K529" s="474"/>
      <c r="L529" s="474"/>
      <c r="M529" s="474"/>
      <c r="N529" s="474"/>
      <c r="O529" s="474"/>
      <c r="P529" s="474"/>
      <c r="Q529" s="474"/>
      <c r="R529" s="474"/>
      <c r="S529" s="474"/>
      <c r="T529" s="474"/>
      <c r="U529" s="474"/>
      <c r="V529" s="474"/>
      <c r="W529" s="474"/>
      <c r="X529" s="474"/>
      <c r="Y529" s="474"/>
      <c r="Z529" s="474"/>
    </row>
    <row r="530" ht="12.0" customHeight="1">
      <c r="A530" s="480"/>
      <c r="B530" s="485"/>
      <c r="C530" s="525"/>
      <c r="D530" s="525"/>
      <c r="E530" s="526"/>
      <c r="F530" s="526"/>
      <c r="G530" s="474"/>
      <c r="H530" s="474"/>
      <c r="I530" s="474"/>
      <c r="J530" s="474"/>
      <c r="K530" s="474"/>
      <c r="L530" s="474"/>
      <c r="M530" s="474"/>
      <c r="N530" s="474"/>
      <c r="O530" s="474"/>
      <c r="P530" s="474"/>
      <c r="Q530" s="474"/>
      <c r="R530" s="474"/>
      <c r="S530" s="474"/>
      <c r="T530" s="474"/>
      <c r="U530" s="474"/>
      <c r="V530" s="474"/>
      <c r="W530" s="474"/>
      <c r="X530" s="474"/>
      <c r="Y530" s="474"/>
      <c r="Z530" s="474"/>
    </row>
    <row r="531" ht="12.0" customHeight="1">
      <c r="A531" s="480"/>
      <c r="B531" s="485"/>
      <c r="C531" s="525"/>
      <c r="D531" s="525"/>
      <c r="E531" s="526"/>
      <c r="F531" s="526"/>
      <c r="G531" s="474"/>
      <c r="H531" s="474"/>
      <c r="I531" s="474"/>
      <c r="J531" s="474"/>
      <c r="K531" s="474"/>
      <c r="L531" s="474"/>
      <c r="M531" s="474"/>
      <c r="N531" s="474"/>
      <c r="O531" s="474"/>
      <c r="P531" s="474"/>
      <c r="Q531" s="474"/>
      <c r="R531" s="474"/>
      <c r="S531" s="474"/>
      <c r="T531" s="474"/>
      <c r="U531" s="474"/>
      <c r="V531" s="474"/>
      <c r="W531" s="474"/>
      <c r="X531" s="474"/>
      <c r="Y531" s="474"/>
      <c r="Z531" s="474"/>
    </row>
    <row r="532" ht="12.0" customHeight="1">
      <c r="A532" s="480"/>
      <c r="B532" s="485"/>
      <c r="C532" s="525"/>
      <c r="D532" s="525"/>
      <c r="E532" s="526"/>
      <c r="F532" s="526"/>
      <c r="G532" s="474"/>
      <c r="H532" s="474"/>
      <c r="I532" s="474"/>
      <c r="J532" s="474"/>
      <c r="K532" s="474"/>
      <c r="L532" s="474"/>
      <c r="M532" s="474"/>
      <c r="N532" s="474"/>
      <c r="O532" s="474"/>
      <c r="P532" s="474"/>
      <c r="Q532" s="474"/>
      <c r="R532" s="474"/>
      <c r="S532" s="474"/>
      <c r="T532" s="474"/>
      <c r="U532" s="474"/>
      <c r="V532" s="474"/>
      <c r="W532" s="474"/>
      <c r="X532" s="474"/>
      <c r="Y532" s="474"/>
      <c r="Z532" s="474"/>
    </row>
    <row r="533" ht="12.0" customHeight="1">
      <c r="A533" s="480"/>
      <c r="B533" s="485"/>
      <c r="C533" s="525"/>
      <c r="D533" s="525"/>
      <c r="E533" s="526"/>
      <c r="F533" s="526"/>
      <c r="G533" s="474"/>
      <c r="H533" s="474"/>
      <c r="I533" s="474"/>
      <c r="J533" s="474"/>
      <c r="K533" s="474"/>
      <c r="L533" s="474"/>
      <c r="M533" s="474"/>
      <c r="N533" s="474"/>
      <c r="O533" s="474"/>
      <c r="P533" s="474"/>
      <c r="Q533" s="474"/>
      <c r="R533" s="474"/>
      <c r="S533" s="474"/>
      <c r="T533" s="474"/>
      <c r="U533" s="474"/>
      <c r="V533" s="474"/>
      <c r="W533" s="474"/>
      <c r="X533" s="474"/>
      <c r="Y533" s="474"/>
      <c r="Z533" s="474"/>
    </row>
    <row r="534" ht="12.0" customHeight="1">
      <c r="A534" s="480"/>
      <c r="B534" s="485"/>
      <c r="C534" s="525"/>
      <c r="D534" s="525"/>
      <c r="E534" s="526"/>
      <c r="F534" s="526"/>
      <c r="G534" s="474"/>
      <c r="H534" s="474"/>
      <c r="I534" s="474"/>
      <c r="J534" s="474"/>
      <c r="K534" s="474"/>
      <c r="L534" s="474"/>
      <c r="M534" s="474"/>
      <c r="N534" s="474"/>
      <c r="O534" s="474"/>
      <c r="P534" s="474"/>
      <c r="Q534" s="474"/>
      <c r="R534" s="474"/>
      <c r="S534" s="474"/>
      <c r="T534" s="474"/>
      <c r="U534" s="474"/>
      <c r="V534" s="474"/>
      <c r="W534" s="474"/>
      <c r="X534" s="474"/>
      <c r="Y534" s="474"/>
      <c r="Z534" s="474"/>
    </row>
    <row r="535" ht="12.0" customHeight="1">
      <c r="A535" s="480"/>
      <c r="B535" s="485"/>
      <c r="C535" s="525"/>
      <c r="D535" s="525"/>
      <c r="E535" s="526"/>
      <c r="F535" s="526"/>
      <c r="G535" s="474"/>
      <c r="H535" s="474"/>
      <c r="I535" s="474"/>
      <c r="J535" s="474"/>
      <c r="K535" s="474"/>
      <c r="L535" s="474"/>
      <c r="M535" s="474"/>
      <c r="N535" s="474"/>
      <c r="O535" s="474"/>
      <c r="P535" s="474"/>
      <c r="Q535" s="474"/>
      <c r="R535" s="474"/>
      <c r="S535" s="474"/>
      <c r="T535" s="474"/>
      <c r="U535" s="474"/>
      <c r="V535" s="474"/>
      <c r="W535" s="474"/>
      <c r="X535" s="474"/>
      <c r="Y535" s="474"/>
      <c r="Z535" s="474"/>
    </row>
    <row r="536" ht="12.0" customHeight="1">
      <c r="A536" s="480"/>
      <c r="B536" s="485"/>
      <c r="C536" s="525"/>
      <c r="D536" s="525"/>
      <c r="E536" s="526"/>
      <c r="F536" s="526"/>
      <c r="G536" s="474"/>
      <c r="H536" s="474"/>
      <c r="I536" s="474"/>
      <c r="J536" s="474"/>
      <c r="K536" s="474"/>
      <c r="L536" s="474"/>
      <c r="M536" s="474"/>
      <c r="N536" s="474"/>
      <c r="O536" s="474"/>
      <c r="P536" s="474"/>
      <c r="Q536" s="474"/>
      <c r="R536" s="474"/>
      <c r="S536" s="474"/>
      <c r="T536" s="474"/>
      <c r="U536" s="474"/>
      <c r="V536" s="474"/>
      <c r="W536" s="474"/>
      <c r="X536" s="474"/>
      <c r="Y536" s="474"/>
      <c r="Z536" s="474"/>
    </row>
    <row r="537" ht="12.0" customHeight="1">
      <c r="A537" s="480"/>
      <c r="B537" s="485"/>
      <c r="C537" s="525"/>
      <c r="D537" s="525"/>
      <c r="E537" s="526"/>
      <c r="F537" s="526"/>
      <c r="G537" s="474"/>
      <c r="H537" s="474"/>
      <c r="I537" s="474"/>
      <c r="J537" s="474"/>
      <c r="K537" s="474"/>
      <c r="L537" s="474"/>
      <c r="M537" s="474"/>
      <c r="N537" s="474"/>
      <c r="O537" s="474"/>
      <c r="P537" s="474"/>
      <c r="Q537" s="474"/>
      <c r="R537" s="474"/>
      <c r="S537" s="474"/>
      <c r="T537" s="474"/>
      <c r="U537" s="474"/>
      <c r="V537" s="474"/>
      <c r="W537" s="474"/>
      <c r="X537" s="474"/>
      <c r="Y537" s="474"/>
      <c r="Z537" s="474"/>
    </row>
    <row r="538" ht="12.0" customHeight="1">
      <c r="A538" s="480"/>
      <c r="B538" s="485"/>
      <c r="C538" s="525"/>
      <c r="D538" s="525"/>
      <c r="E538" s="526"/>
      <c r="F538" s="526"/>
      <c r="G538" s="474"/>
      <c r="H538" s="474"/>
      <c r="I538" s="474"/>
      <c r="J538" s="474"/>
      <c r="K538" s="474"/>
      <c r="L538" s="474"/>
      <c r="M538" s="474"/>
      <c r="N538" s="474"/>
      <c r="O538" s="474"/>
      <c r="P538" s="474"/>
      <c r="Q538" s="474"/>
      <c r="R538" s="474"/>
      <c r="S538" s="474"/>
      <c r="T538" s="474"/>
      <c r="U538" s="474"/>
      <c r="V538" s="474"/>
      <c r="W538" s="474"/>
      <c r="X538" s="474"/>
      <c r="Y538" s="474"/>
      <c r="Z538" s="474"/>
    </row>
    <row r="539" ht="12.0" customHeight="1">
      <c r="A539" s="480"/>
      <c r="B539" s="485"/>
      <c r="C539" s="525"/>
      <c r="D539" s="525"/>
      <c r="E539" s="526"/>
      <c r="F539" s="526"/>
      <c r="G539" s="474"/>
      <c r="H539" s="474"/>
      <c r="I539" s="474"/>
      <c r="J539" s="474"/>
      <c r="K539" s="474"/>
      <c r="L539" s="474"/>
      <c r="M539" s="474"/>
      <c r="N539" s="474"/>
      <c r="O539" s="474"/>
      <c r="P539" s="474"/>
      <c r="Q539" s="474"/>
      <c r="R539" s="474"/>
      <c r="S539" s="474"/>
      <c r="T539" s="474"/>
      <c r="U539" s="474"/>
      <c r="V539" s="474"/>
      <c r="W539" s="474"/>
      <c r="X539" s="474"/>
      <c r="Y539" s="474"/>
      <c r="Z539" s="474"/>
    </row>
    <row r="540" ht="12.0" customHeight="1">
      <c r="A540" s="480"/>
      <c r="B540" s="485"/>
      <c r="C540" s="525"/>
      <c r="D540" s="525"/>
      <c r="E540" s="526"/>
      <c r="F540" s="526"/>
      <c r="G540" s="474"/>
      <c r="H540" s="474"/>
      <c r="I540" s="474"/>
      <c r="J540" s="474"/>
      <c r="K540" s="474"/>
      <c r="L540" s="474"/>
      <c r="M540" s="474"/>
      <c r="N540" s="474"/>
      <c r="O540" s="474"/>
      <c r="P540" s="474"/>
      <c r="Q540" s="474"/>
      <c r="R540" s="474"/>
      <c r="S540" s="474"/>
      <c r="T540" s="474"/>
      <c r="U540" s="474"/>
      <c r="V540" s="474"/>
      <c r="W540" s="474"/>
      <c r="X540" s="474"/>
      <c r="Y540" s="474"/>
      <c r="Z540" s="474"/>
    </row>
    <row r="541" ht="12.0" customHeight="1">
      <c r="A541" s="480"/>
      <c r="B541" s="485"/>
      <c r="C541" s="525"/>
      <c r="D541" s="525"/>
      <c r="E541" s="526"/>
      <c r="F541" s="526"/>
      <c r="G541" s="474"/>
      <c r="H541" s="474"/>
      <c r="I541" s="474"/>
      <c r="J541" s="474"/>
      <c r="K541" s="474"/>
      <c r="L541" s="474"/>
      <c r="M541" s="474"/>
      <c r="N541" s="474"/>
      <c r="O541" s="474"/>
      <c r="P541" s="474"/>
      <c r="Q541" s="474"/>
      <c r="R541" s="474"/>
      <c r="S541" s="474"/>
      <c r="T541" s="474"/>
      <c r="U541" s="474"/>
      <c r="V541" s="474"/>
      <c r="W541" s="474"/>
      <c r="X541" s="474"/>
      <c r="Y541" s="474"/>
      <c r="Z541" s="474"/>
    </row>
    <row r="542" ht="12.0" customHeight="1">
      <c r="A542" s="480"/>
      <c r="B542" s="485"/>
      <c r="C542" s="525"/>
      <c r="D542" s="525"/>
      <c r="E542" s="526"/>
      <c r="F542" s="526"/>
      <c r="G542" s="474"/>
      <c r="H542" s="474"/>
      <c r="I542" s="474"/>
      <c r="J542" s="474"/>
      <c r="K542" s="474"/>
      <c r="L542" s="474"/>
      <c r="M542" s="474"/>
      <c r="N542" s="474"/>
      <c r="O542" s="474"/>
      <c r="P542" s="474"/>
      <c r="Q542" s="474"/>
      <c r="R542" s="474"/>
      <c r="S542" s="474"/>
      <c r="T542" s="474"/>
      <c r="U542" s="474"/>
      <c r="V542" s="474"/>
      <c r="W542" s="474"/>
      <c r="X542" s="474"/>
      <c r="Y542" s="474"/>
      <c r="Z542" s="474"/>
    </row>
    <row r="543" ht="12.0" customHeight="1">
      <c r="A543" s="480"/>
      <c r="B543" s="485"/>
      <c r="C543" s="525"/>
      <c r="D543" s="525"/>
      <c r="E543" s="526"/>
      <c r="F543" s="526"/>
      <c r="G543" s="474"/>
      <c r="H543" s="474"/>
      <c r="I543" s="474"/>
      <c r="J543" s="474"/>
      <c r="K543" s="474"/>
      <c r="L543" s="474"/>
      <c r="M543" s="474"/>
      <c r="N543" s="474"/>
      <c r="O543" s="474"/>
      <c r="P543" s="474"/>
      <c r="Q543" s="474"/>
      <c r="R543" s="474"/>
      <c r="S543" s="474"/>
      <c r="T543" s="474"/>
      <c r="U543" s="474"/>
      <c r="V543" s="474"/>
      <c r="W543" s="474"/>
      <c r="X543" s="474"/>
      <c r="Y543" s="474"/>
      <c r="Z543" s="474"/>
    </row>
    <row r="544" ht="12.0" customHeight="1">
      <c r="A544" s="480"/>
      <c r="B544" s="485"/>
      <c r="C544" s="525"/>
      <c r="D544" s="525"/>
      <c r="E544" s="526"/>
      <c r="F544" s="526"/>
      <c r="G544" s="474"/>
      <c r="H544" s="474"/>
      <c r="I544" s="474"/>
      <c r="J544" s="474"/>
      <c r="K544" s="474"/>
      <c r="L544" s="474"/>
      <c r="M544" s="474"/>
      <c r="N544" s="474"/>
      <c r="O544" s="474"/>
      <c r="P544" s="474"/>
      <c r="Q544" s="474"/>
      <c r="R544" s="474"/>
      <c r="S544" s="474"/>
      <c r="T544" s="474"/>
      <c r="U544" s="474"/>
      <c r="V544" s="474"/>
      <c r="W544" s="474"/>
      <c r="X544" s="474"/>
      <c r="Y544" s="474"/>
      <c r="Z544" s="474"/>
    </row>
    <row r="545" ht="12.0" customHeight="1">
      <c r="A545" s="480"/>
      <c r="B545" s="485"/>
      <c r="C545" s="525"/>
      <c r="D545" s="525"/>
      <c r="E545" s="526"/>
      <c r="F545" s="526"/>
      <c r="G545" s="474"/>
      <c r="H545" s="474"/>
      <c r="I545" s="474"/>
      <c r="J545" s="474"/>
      <c r="K545" s="474"/>
      <c r="L545" s="474"/>
      <c r="M545" s="474"/>
      <c r="N545" s="474"/>
      <c r="O545" s="474"/>
      <c r="P545" s="474"/>
      <c r="Q545" s="474"/>
      <c r="R545" s="474"/>
      <c r="S545" s="474"/>
      <c r="T545" s="474"/>
      <c r="U545" s="474"/>
      <c r="V545" s="474"/>
      <c r="W545" s="474"/>
      <c r="X545" s="474"/>
      <c r="Y545" s="474"/>
      <c r="Z545" s="474"/>
    </row>
    <row r="546" ht="12.0" customHeight="1">
      <c r="A546" s="480"/>
      <c r="B546" s="485"/>
      <c r="C546" s="525"/>
      <c r="D546" s="525"/>
      <c r="E546" s="526"/>
      <c r="F546" s="526"/>
      <c r="G546" s="474"/>
      <c r="H546" s="474"/>
      <c r="I546" s="474"/>
      <c r="J546" s="474"/>
      <c r="K546" s="474"/>
      <c r="L546" s="474"/>
      <c r="M546" s="474"/>
      <c r="N546" s="474"/>
      <c r="O546" s="474"/>
      <c r="P546" s="474"/>
      <c r="Q546" s="474"/>
      <c r="R546" s="474"/>
      <c r="S546" s="474"/>
      <c r="T546" s="474"/>
      <c r="U546" s="474"/>
      <c r="V546" s="474"/>
      <c r="W546" s="474"/>
      <c r="X546" s="474"/>
      <c r="Y546" s="474"/>
      <c r="Z546" s="474"/>
    </row>
    <row r="547" ht="12.0" customHeight="1">
      <c r="A547" s="480"/>
      <c r="B547" s="485"/>
      <c r="C547" s="525"/>
      <c r="D547" s="525"/>
      <c r="E547" s="526"/>
      <c r="F547" s="526"/>
      <c r="G547" s="474"/>
      <c r="H547" s="474"/>
      <c r="I547" s="474"/>
      <c r="J547" s="474"/>
      <c r="K547" s="474"/>
      <c r="L547" s="474"/>
      <c r="M547" s="474"/>
      <c r="N547" s="474"/>
      <c r="O547" s="474"/>
      <c r="P547" s="474"/>
      <c r="Q547" s="474"/>
      <c r="R547" s="474"/>
      <c r="S547" s="474"/>
      <c r="T547" s="474"/>
      <c r="U547" s="474"/>
      <c r="V547" s="474"/>
      <c r="W547" s="474"/>
      <c r="X547" s="474"/>
      <c r="Y547" s="474"/>
      <c r="Z547" s="474"/>
    </row>
    <row r="548" ht="12.0" customHeight="1">
      <c r="A548" s="480"/>
      <c r="B548" s="485"/>
      <c r="C548" s="525"/>
      <c r="D548" s="525"/>
      <c r="E548" s="526"/>
      <c r="F548" s="526"/>
      <c r="G548" s="474"/>
      <c r="H548" s="474"/>
      <c r="I548" s="474"/>
      <c r="J548" s="474"/>
      <c r="K548" s="474"/>
      <c r="L548" s="474"/>
      <c r="M548" s="474"/>
      <c r="N548" s="474"/>
      <c r="O548" s="474"/>
      <c r="P548" s="474"/>
      <c r="Q548" s="474"/>
      <c r="R548" s="474"/>
      <c r="S548" s="474"/>
      <c r="T548" s="474"/>
      <c r="U548" s="474"/>
      <c r="V548" s="474"/>
      <c r="W548" s="474"/>
      <c r="X548" s="474"/>
      <c r="Y548" s="474"/>
      <c r="Z548" s="474"/>
    </row>
    <row r="549" ht="12.0" customHeight="1">
      <c r="A549" s="480"/>
      <c r="B549" s="485"/>
      <c r="C549" s="525"/>
      <c r="D549" s="525"/>
      <c r="E549" s="526"/>
      <c r="F549" s="526"/>
      <c r="G549" s="474"/>
      <c r="H549" s="474"/>
      <c r="I549" s="474"/>
      <c r="J549" s="474"/>
      <c r="K549" s="474"/>
      <c r="L549" s="474"/>
      <c r="M549" s="474"/>
      <c r="N549" s="474"/>
      <c r="O549" s="474"/>
      <c r="P549" s="474"/>
      <c r="Q549" s="474"/>
      <c r="R549" s="474"/>
      <c r="S549" s="474"/>
      <c r="T549" s="474"/>
      <c r="U549" s="474"/>
      <c r="V549" s="474"/>
      <c r="W549" s="474"/>
      <c r="X549" s="474"/>
      <c r="Y549" s="474"/>
      <c r="Z549" s="474"/>
    </row>
    <row r="550" ht="12.0" customHeight="1">
      <c r="A550" s="480"/>
      <c r="B550" s="485"/>
      <c r="C550" s="525"/>
      <c r="D550" s="525"/>
      <c r="E550" s="526"/>
      <c r="F550" s="526"/>
      <c r="G550" s="474"/>
      <c r="H550" s="474"/>
      <c r="I550" s="474"/>
      <c r="J550" s="474"/>
      <c r="K550" s="474"/>
      <c r="L550" s="474"/>
      <c r="M550" s="474"/>
      <c r="N550" s="474"/>
      <c r="O550" s="474"/>
      <c r="P550" s="474"/>
      <c r="Q550" s="474"/>
      <c r="R550" s="474"/>
      <c r="S550" s="474"/>
      <c r="T550" s="474"/>
      <c r="U550" s="474"/>
      <c r="V550" s="474"/>
      <c r="W550" s="474"/>
      <c r="X550" s="474"/>
      <c r="Y550" s="474"/>
      <c r="Z550" s="474"/>
    </row>
    <row r="551" ht="12.0" customHeight="1">
      <c r="A551" s="480"/>
      <c r="B551" s="485"/>
      <c r="C551" s="525"/>
      <c r="D551" s="525"/>
      <c r="E551" s="526"/>
      <c r="F551" s="526"/>
      <c r="G551" s="474"/>
      <c r="H551" s="474"/>
      <c r="I551" s="474"/>
      <c r="J551" s="474"/>
      <c r="K551" s="474"/>
      <c r="L551" s="474"/>
      <c r="M551" s="474"/>
      <c r="N551" s="474"/>
      <c r="O551" s="474"/>
      <c r="P551" s="474"/>
      <c r="Q551" s="474"/>
      <c r="R551" s="474"/>
      <c r="S551" s="474"/>
      <c r="T551" s="474"/>
      <c r="U551" s="474"/>
      <c r="V551" s="474"/>
      <c r="W551" s="474"/>
      <c r="X551" s="474"/>
      <c r="Y551" s="474"/>
      <c r="Z551" s="474"/>
    </row>
    <row r="552" ht="12.0" customHeight="1">
      <c r="A552" s="480"/>
      <c r="B552" s="485"/>
      <c r="C552" s="525"/>
      <c r="D552" s="525"/>
      <c r="E552" s="526"/>
      <c r="F552" s="526"/>
      <c r="G552" s="474"/>
      <c r="H552" s="474"/>
      <c r="I552" s="474"/>
      <c r="J552" s="474"/>
      <c r="K552" s="474"/>
      <c r="L552" s="474"/>
      <c r="M552" s="474"/>
      <c r="N552" s="474"/>
      <c r="O552" s="474"/>
      <c r="P552" s="474"/>
      <c r="Q552" s="474"/>
      <c r="R552" s="474"/>
      <c r="S552" s="474"/>
      <c r="T552" s="474"/>
      <c r="U552" s="474"/>
      <c r="V552" s="474"/>
      <c r="W552" s="474"/>
      <c r="X552" s="474"/>
      <c r="Y552" s="474"/>
      <c r="Z552" s="474"/>
    </row>
    <row r="553" ht="12.0" customHeight="1">
      <c r="A553" s="480"/>
      <c r="B553" s="485"/>
      <c r="C553" s="525"/>
      <c r="D553" s="525"/>
      <c r="E553" s="526"/>
      <c r="F553" s="526"/>
      <c r="G553" s="474"/>
      <c r="H553" s="474"/>
      <c r="I553" s="474"/>
      <c r="J553" s="474"/>
      <c r="K553" s="474"/>
      <c r="L553" s="474"/>
      <c r="M553" s="474"/>
      <c r="N553" s="474"/>
      <c r="O553" s="474"/>
      <c r="P553" s="474"/>
      <c r="Q553" s="474"/>
      <c r="R553" s="474"/>
      <c r="S553" s="474"/>
      <c r="T553" s="474"/>
      <c r="U553" s="474"/>
      <c r="V553" s="474"/>
      <c r="W553" s="474"/>
      <c r="X553" s="474"/>
      <c r="Y553" s="474"/>
      <c r="Z553" s="474"/>
    </row>
    <row r="554" ht="12.0" customHeight="1">
      <c r="A554" s="480"/>
      <c r="B554" s="485"/>
      <c r="C554" s="525"/>
      <c r="D554" s="525"/>
      <c r="E554" s="526"/>
      <c r="F554" s="526"/>
      <c r="G554" s="474"/>
      <c r="H554" s="474"/>
      <c r="I554" s="474"/>
      <c r="J554" s="474"/>
      <c r="K554" s="474"/>
      <c r="L554" s="474"/>
      <c r="M554" s="474"/>
      <c r="N554" s="474"/>
      <c r="O554" s="474"/>
      <c r="P554" s="474"/>
      <c r="Q554" s="474"/>
      <c r="R554" s="474"/>
      <c r="S554" s="474"/>
      <c r="T554" s="474"/>
      <c r="U554" s="474"/>
      <c r="V554" s="474"/>
      <c r="W554" s="474"/>
      <c r="X554" s="474"/>
      <c r="Y554" s="474"/>
      <c r="Z554" s="474"/>
    </row>
    <row r="555" ht="12.0" customHeight="1">
      <c r="A555" s="480"/>
      <c r="B555" s="485"/>
      <c r="C555" s="525"/>
      <c r="D555" s="525"/>
      <c r="E555" s="526"/>
      <c r="F555" s="526"/>
      <c r="G555" s="474"/>
      <c r="H555" s="474"/>
      <c r="I555" s="474"/>
      <c r="J555" s="474"/>
      <c r="K555" s="474"/>
      <c r="L555" s="474"/>
      <c r="M555" s="474"/>
      <c r="N555" s="474"/>
      <c r="O555" s="474"/>
      <c r="P555" s="474"/>
      <c r="Q555" s="474"/>
      <c r="R555" s="474"/>
      <c r="S555" s="474"/>
      <c r="T555" s="474"/>
      <c r="U555" s="474"/>
      <c r="V555" s="474"/>
      <c r="W555" s="474"/>
      <c r="X555" s="474"/>
      <c r="Y555" s="474"/>
      <c r="Z555" s="474"/>
    </row>
    <row r="556" ht="12.0" customHeight="1">
      <c r="A556" s="480"/>
      <c r="B556" s="485"/>
      <c r="C556" s="525"/>
      <c r="D556" s="525"/>
      <c r="E556" s="526"/>
      <c r="F556" s="526"/>
      <c r="G556" s="474"/>
      <c r="H556" s="474"/>
      <c r="I556" s="474"/>
      <c r="J556" s="474"/>
      <c r="K556" s="474"/>
      <c r="L556" s="474"/>
      <c r="M556" s="474"/>
      <c r="N556" s="474"/>
      <c r="O556" s="474"/>
      <c r="P556" s="474"/>
      <c r="Q556" s="474"/>
      <c r="R556" s="474"/>
      <c r="S556" s="474"/>
      <c r="T556" s="474"/>
      <c r="U556" s="474"/>
      <c r="V556" s="474"/>
      <c r="W556" s="474"/>
      <c r="X556" s="474"/>
      <c r="Y556" s="474"/>
      <c r="Z556" s="474"/>
    </row>
    <row r="557" ht="12.0" customHeight="1">
      <c r="A557" s="480"/>
      <c r="B557" s="485"/>
      <c r="C557" s="525"/>
      <c r="D557" s="525"/>
      <c r="E557" s="526"/>
      <c r="F557" s="526"/>
      <c r="G557" s="474"/>
      <c r="H557" s="474"/>
      <c r="I557" s="474"/>
      <c r="J557" s="474"/>
      <c r="K557" s="474"/>
      <c r="L557" s="474"/>
      <c r="M557" s="474"/>
      <c r="N557" s="474"/>
      <c r="O557" s="474"/>
      <c r="P557" s="474"/>
      <c r="Q557" s="474"/>
      <c r="R557" s="474"/>
      <c r="S557" s="474"/>
      <c r="T557" s="474"/>
      <c r="U557" s="474"/>
      <c r="V557" s="474"/>
      <c r="W557" s="474"/>
      <c r="X557" s="474"/>
      <c r="Y557" s="474"/>
      <c r="Z557" s="474"/>
    </row>
    <row r="558" ht="12.0" customHeight="1">
      <c r="A558" s="480"/>
      <c r="B558" s="485"/>
      <c r="C558" s="525"/>
      <c r="D558" s="525"/>
      <c r="E558" s="526"/>
      <c r="F558" s="526"/>
      <c r="G558" s="474"/>
      <c r="H558" s="474"/>
      <c r="I558" s="474"/>
      <c r="J558" s="474"/>
      <c r="K558" s="474"/>
      <c r="L558" s="474"/>
      <c r="M558" s="474"/>
      <c r="N558" s="474"/>
      <c r="O558" s="474"/>
      <c r="P558" s="474"/>
      <c r="Q558" s="474"/>
      <c r="R558" s="474"/>
      <c r="S558" s="474"/>
      <c r="T558" s="474"/>
      <c r="U558" s="474"/>
      <c r="V558" s="474"/>
      <c r="W558" s="474"/>
      <c r="X558" s="474"/>
      <c r="Y558" s="474"/>
      <c r="Z558" s="474"/>
    </row>
    <row r="559" ht="12.0" customHeight="1">
      <c r="A559" s="480"/>
      <c r="B559" s="485"/>
      <c r="C559" s="525"/>
      <c r="D559" s="525"/>
      <c r="E559" s="526"/>
      <c r="F559" s="526"/>
      <c r="G559" s="474"/>
      <c r="H559" s="474"/>
      <c r="I559" s="474"/>
      <c r="J559" s="474"/>
      <c r="K559" s="474"/>
      <c r="L559" s="474"/>
      <c r="M559" s="474"/>
      <c r="N559" s="474"/>
      <c r="O559" s="474"/>
      <c r="P559" s="474"/>
      <c r="Q559" s="474"/>
      <c r="R559" s="474"/>
      <c r="S559" s="474"/>
      <c r="T559" s="474"/>
      <c r="U559" s="474"/>
      <c r="V559" s="474"/>
      <c r="W559" s="474"/>
      <c r="X559" s="474"/>
      <c r="Y559" s="474"/>
      <c r="Z559" s="474"/>
    </row>
    <row r="560" ht="12.0" customHeight="1">
      <c r="A560" s="480"/>
      <c r="B560" s="485"/>
      <c r="C560" s="525"/>
      <c r="D560" s="525"/>
      <c r="E560" s="526"/>
      <c r="F560" s="526"/>
      <c r="G560" s="474"/>
      <c r="H560" s="474"/>
      <c r="I560" s="474"/>
      <c r="J560" s="474"/>
      <c r="K560" s="474"/>
      <c r="L560" s="474"/>
      <c r="M560" s="474"/>
      <c r="N560" s="474"/>
      <c r="O560" s="474"/>
      <c r="P560" s="474"/>
      <c r="Q560" s="474"/>
      <c r="R560" s="474"/>
      <c r="S560" s="474"/>
      <c r="T560" s="474"/>
      <c r="U560" s="474"/>
      <c r="V560" s="474"/>
      <c r="W560" s="474"/>
      <c r="X560" s="474"/>
      <c r="Y560" s="474"/>
      <c r="Z560" s="474"/>
    </row>
    <row r="561" ht="12.0" customHeight="1">
      <c r="A561" s="480"/>
      <c r="B561" s="485"/>
      <c r="C561" s="525"/>
      <c r="D561" s="525"/>
      <c r="E561" s="526"/>
      <c r="F561" s="526"/>
      <c r="G561" s="474"/>
      <c r="H561" s="474"/>
      <c r="I561" s="474"/>
      <c r="J561" s="474"/>
      <c r="K561" s="474"/>
      <c r="L561" s="474"/>
      <c r="M561" s="474"/>
      <c r="N561" s="474"/>
      <c r="O561" s="474"/>
      <c r="P561" s="474"/>
      <c r="Q561" s="474"/>
      <c r="R561" s="474"/>
      <c r="S561" s="474"/>
      <c r="T561" s="474"/>
      <c r="U561" s="474"/>
      <c r="V561" s="474"/>
      <c r="W561" s="474"/>
      <c r="X561" s="474"/>
      <c r="Y561" s="474"/>
      <c r="Z561" s="474"/>
    </row>
    <row r="562" ht="12.0" customHeight="1">
      <c r="A562" s="480"/>
      <c r="B562" s="485"/>
      <c r="C562" s="525"/>
      <c r="D562" s="525"/>
      <c r="E562" s="526"/>
      <c r="F562" s="526"/>
      <c r="G562" s="474"/>
      <c r="H562" s="474"/>
      <c r="I562" s="474"/>
      <c r="J562" s="474"/>
      <c r="K562" s="474"/>
      <c r="L562" s="474"/>
      <c r="M562" s="474"/>
      <c r="N562" s="474"/>
      <c r="O562" s="474"/>
      <c r="P562" s="474"/>
      <c r="Q562" s="474"/>
      <c r="R562" s="474"/>
      <c r="S562" s="474"/>
      <c r="T562" s="474"/>
      <c r="U562" s="474"/>
      <c r="V562" s="474"/>
      <c r="W562" s="474"/>
      <c r="X562" s="474"/>
      <c r="Y562" s="474"/>
      <c r="Z562" s="474"/>
    </row>
    <row r="563" ht="12.0" customHeight="1">
      <c r="A563" s="480"/>
      <c r="B563" s="485"/>
      <c r="C563" s="525"/>
      <c r="D563" s="525"/>
      <c r="E563" s="526"/>
      <c r="F563" s="526"/>
      <c r="G563" s="474"/>
      <c r="H563" s="474"/>
      <c r="I563" s="474"/>
      <c r="J563" s="474"/>
      <c r="K563" s="474"/>
      <c r="L563" s="474"/>
      <c r="M563" s="474"/>
      <c r="N563" s="474"/>
      <c r="O563" s="474"/>
      <c r="P563" s="474"/>
      <c r="Q563" s="474"/>
      <c r="R563" s="474"/>
      <c r="S563" s="474"/>
      <c r="T563" s="474"/>
      <c r="U563" s="474"/>
      <c r="V563" s="474"/>
      <c r="W563" s="474"/>
      <c r="X563" s="474"/>
      <c r="Y563" s="474"/>
      <c r="Z563" s="474"/>
    </row>
    <row r="564" ht="12.0" customHeight="1">
      <c r="A564" s="480"/>
      <c r="B564" s="485"/>
      <c r="C564" s="525"/>
      <c r="D564" s="525"/>
      <c r="E564" s="526"/>
      <c r="F564" s="526"/>
      <c r="G564" s="474"/>
      <c r="H564" s="474"/>
      <c r="I564" s="474"/>
      <c r="J564" s="474"/>
      <c r="K564" s="474"/>
      <c r="L564" s="474"/>
      <c r="M564" s="474"/>
      <c r="N564" s="474"/>
      <c r="O564" s="474"/>
      <c r="P564" s="474"/>
      <c r="Q564" s="474"/>
      <c r="R564" s="474"/>
      <c r="S564" s="474"/>
      <c r="T564" s="474"/>
      <c r="U564" s="474"/>
      <c r="V564" s="474"/>
      <c r="W564" s="474"/>
      <c r="X564" s="474"/>
      <c r="Y564" s="474"/>
      <c r="Z564" s="474"/>
    </row>
    <row r="565" ht="12.0" customHeight="1">
      <c r="A565" s="480"/>
      <c r="B565" s="485"/>
      <c r="C565" s="525"/>
      <c r="D565" s="525"/>
      <c r="E565" s="526"/>
      <c r="F565" s="526"/>
      <c r="G565" s="474"/>
      <c r="H565" s="474"/>
      <c r="I565" s="474"/>
      <c r="J565" s="474"/>
      <c r="K565" s="474"/>
      <c r="L565" s="474"/>
      <c r="M565" s="474"/>
      <c r="N565" s="474"/>
      <c r="O565" s="474"/>
      <c r="P565" s="474"/>
      <c r="Q565" s="474"/>
      <c r="R565" s="474"/>
      <c r="S565" s="474"/>
      <c r="T565" s="474"/>
      <c r="U565" s="474"/>
      <c r="V565" s="474"/>
      <c r="W565" s="474"/>
      <c r="X565" s="474"/>
      <c r="Y565" s="474"/>
      <c r="Z565" s="474"/>
    </row>
    <row r="566" ht="12.0" customHeight="1">
      <c r="A566" s="480"/>
      <c r="B566" s="485"/>
      <c r="C566" s="525"/>
      <c r="D566" s="525"/>
      <c r="E566" s="526"/>
      <c r="F566" s="526"/>
      <c r="G566" s="474"/>
      <c r="H566" s="474"/>
      <c r="I566" s="474"/>
      <c r="J566" s="474"/>
      <c r="K566" s="474"/>
      <c r="L566" s="474"/>
      <c r="M566" s="474"/>
      <c r="N566" s="474"/>
      <c r="O566" s="474"/>
      <c r="P566" s="474"/>
      <c r="Q566" s="474"/>
      <c r="R566" s="474"/>
      <c r="S566" s="474"/>
      <c r="T566" s="474"/>
      <c r="U566" s="474"/>
      <c r="V566" s="474"/>
      <c r="W566" s="474"/>
      <c r="X566" s="474"/>
      <c r="Y566" s="474"/>
      <c r="Z566" s="474"/>
    </row>
    <row r="567" ht="12.0" customHeight="1">
      <c r="A567" s="480"/>
      <c r="B567" s="485"/>
      <c r="C567" s="525"/>
      <c r="D567" s="525"/>
      <c r="E567" s="526"/>
      <c r="F567" s="526"/>
      <c r="G567" s="474"/>
      <c r="H567" s="474"/>
      <c r="I567" s="474"/>
      <c r="J567" s="474"/>
      <c r="K567" s="474"/>
      <c r="L567" s="474"/>
      <c r="M567" s="474"/>
      <c r="N567" s="474"/>
      <c r="O567" s="474"/>
      <c r="P567" s="474"/>
      <c r="Q567" s="474"/>
      <c r="R567" s="474"/>
      <c r="S567" s="474"/>
      <c r="T567" s="474"/>
      <c r="U567" s="474"/>
      <c r="V567" s="474"/>
      <c r="W567" s="474"/>
      <c r="X567" s="474"/>
      <c r="Y567" s="474"/>
      <c r="Z567" s="474"/>
    </row>
    <row r="568" ht="12.0" customHeight="1">
      <c r="A568" s="480"/>
      <c r="B568" s="485"/>
      <c r="C568" s="525"/>
      <c r="D568" s="525"/>
      <c r="E568" s="526"/>
      <c r="F568" s="526"/>
      <c r="G568" s="474"/>
      <c r="H568" s="474"/>
      <c r="I568" s="474"/>
      <c r="J568" s="474"/>
      <c r="K568" s="474"/>
      <c r="L568" s="474"/>
      <c r="M568" s="474"/>
      <c r="N568" s="474"/>
      <c r="O568" s="474"/>
      <c r="P568" s="474"/>
      <c r="Q568" s="474"/>
      <c r="R568" s="474"/>
      <c r="S568" s="474"/>
      <c r="T568" s="474"/>
      <c r="U568" s="474"/>
      <c r="V568" s="474"/>
      <c r="W568" s="474"/>
      <c r="X568" s="474"/>
      <c r="Y568" s="474"/>
      <c r="Z568" s="474"/>
    </row>
    <row r="569" ht="12.0" customHeight="1">
      <c r="A569" s="480"/>
      <c r="B569" s="485"/>
      <c r="C569" s="525"/>
      <c r="D569" s="525"/>
      <c r="E569" s="526"/>
      <c r="F569" s="526"/>
      <c r="G569" s="474"/>
      <c r="H569" s="474"/>
      <c r="I569" s="474"/>
      <c r="J569" s="474"/>
      <c r="K569" s="474"/>
      <c r="L569" s="474"/>
      <c r="M569" s="474"/>
      <c r="N569" s="474"/>
      <c r="O569" s="474"/>
      <c r="P569" s="474"/>
      <c r="Q569" s="474"/>
      <c r="R569" s="474"/>
      <c r="S569" s="474"/>
      <c r="T569" s="474"/>
      <c r="U569" s="474"/>
      <c r="V569" s="474"/>
      <c r="W569" s="474"/>
      <c r="X569" s="474"/>
      <c r="Y569" s="474"/>
      <c r="Z569" s="474"/>
    </row>
    <row r="570" ht="12.0" customHeight="1">
      <c r="A570" s="480"/>
      <c r="B570" s="485"/>
      <c r="C570" s="525"/>
      <c r="D570" s="525"/>
      <c r="E570" s="526"/>
      <c r="F570" s="526"/>
      <c r="G570" s="474"/>
      <c r="H570" s="474"/>
      <c r="I570" s="474"/>
      <c r="J570" s="474"/>
      <c r="K570" s="474"/>
      <c r="L570" s="474"/>
      <c r="M570" s="474"/>
      <c r="N570" s="474"/>
      <c r="O570" s="474"/>
      <c r="P570" s="474"/>
      <c r="Q570" s="474"/>
      <c r="R570" s="474"/>
      <c r="S570" s="474"/>
      <c r="T570" s="474"/>
      <c r="U570" s="474"/>
      <c r="V570" s="474"/>
      <c r="W570" s="474"/>
      <c r="X570" s="474"/>
      <c r="Y570" s="474"/>
      <c r="Z570" s="474"/>
    </row>
    <row r="571" ht="12.0" customHeight="1">
      <c r="A571" s="480"/>
      <c r="B571" s="485"/>
      <c r="C571" s="525"/>
      <c r="D571" s="525"/>
      <c r="E571" s="526"/>
      <c r="F571" s="526"/>
      <c r="G571" s="474"/>
      <c r="H571" s="474"/>
      <c r="I571" s="474"/>
      <c r="J571" s="474"/>
      <c r="K571" s="474"/>
      <c r="L571" s="474"/>
      <c r="M571" s="474"/>
      <c r="N571" s="474"/>
      <c r="O571" s="474"/>
      <c r="P571" s="474"/>
      <c r="Q571" s="474"/>
      <c r="R571" s="474"/>
      <c r="S571" s="474"/>
      <c r="T571" s="474"/>
      <c r="U571" s="474"/>
      <c r="V571" s="474"/>
      <c r="W571" s="474"/>
      <c r="X571" s="474"/>
      <c r="Y571" s="474"/>
      <c r="Z571" s="474"/>
    </row>
    <row r="572" ht="12.0" customHeight="1">
      <c r="A572" s="480"/>
      <c r="B572" s="485"/>
      <c r="C572" s="525"/>
      <c r="D572" s="525"/>
      <c r="E572" s="526"/>
      <c r="F572" s="526"/>
      <c r="G572" s="474"/>
      <c r="H572" s="474"/>
      <c r="I572" s="474"/>
      <c r="J572" s="474"/>
      <c r="K572" s="474"/>
      <c r="L572" s="474"/>
      <c r="M572" s="474"/>
      <c r="N572" s="474"/>
      <c r="O572" s="474"/>
      <c r="P572" s="474"/>
      <c r="Q572" s="474"/>
      <c r="R572" s="474"/>
      <c r="S572" s="474"/>
      <c r="T572" s="474"/>
      <c r="U572" s="474"/>
      <c r="V572" s="474"/>
      <c r="W572" s="474"/>
      <c r="X572" s="474"/>
      <c r="Y572" s="474"/>
      <c r="Z572" s="474"/>
    </row>
    <row r="573" ht="12.0" customHeight="1">
      <c r="A573" s="480"/>
      <c r="B573" s="485"/>
      <c r="C573" s="525"/>
      <c r="D573" s="525"/>
      <c r="E573" s="526"/>
      <c r="F573" s="526"/>
      <c r="G573" s="474"/>
      <c r="H573" s="474"/>
      <c r="I573" s="474"/>
      <c r="J573" s="474"/>
      <c r="K573" s="474"/>
      <c r="L573" s="474"/>
      <c r="M573" s="474"/>
      <c r="N573" s="474"/>
      <c r="O573" s="474"/>
      <c r="P573" s="474"/>
      <c r="Q573" s="474"/>
      <c r="R573" s="474"/>
      <c r="S573" s="474"/>
      <c r="T573" s="474"/>
      <c r="U573" s="474"/>
      <c r="V573" s="474"/>
      <c r="W573" s="474"/>
      <c r="X573" s="474"/>
      <c r="Y573" s="474"/>
      <c r="Z573" s="474"/>
    </row>
    <row r="574" ht="12.0" customHeight="1">
      <c r="A574" s="480"/>
      <c r="B574" s="485"/>
      <c r="C574" s="525"/>
      <c r="D574" s="525"/>
      <c r="E574" s="526"/>
      <c r="F574" s="526"/>
      <c r="G574" s="474"/>
      <c r="H574" s="474"/>
      <c r="I574" s="474"/>
      <c r="J574" s="474"/>
      <c r="K574" s="474"/>
      <c r="L574" s="474"/>
      <c r="M574" s="474"/>
      <c r="N574" s="474"/>
      <c r="O574" s="474"/>
      <c r="P574" s="474"/>
      <c r="Q574" s="474"/>
      <c r="R574" s="474"/>
      <c r="S574" s="474"/>
      <c r="T574" s="474"/>
      <c r="U574" s="474"/>
      <c r="V574" s="474"/>
      <c r="W574" s="474"/>
      <c r="X574" s="474"/>
      <c r="Y574" s="474"/>
      <c r="Z574" s="474"/>
    </row>
    <row r="575" ht="12.0" customHeight="1">
      <c r="A575" s="480"/>
      <c r="B575" s="485"/>
      <c r="C575" s="525"/>
      <c r="D575" s="525"/>
      <c r="E575" s="526"/>
      <c r="F575" s="526"/>
      <c r="G575" s="474"/>
      <c r="H575" s="474"/>
      <c r="I575" s="474"/>
      <c r="J575" s="474"/>
      <c r="K575" s="474"/>
      <c r="L575" s="474"/>
      <c r="M575" s="474"/>
      <c r="N575" s="474"/>
      <c r="O575" s="474"/>
      <c r="P575" s="474"/>
      <c r="Q575" s="474"/>
      <c r="R575" s="474"/>
      <c r="S575" s="474"/>
      <c r="T575" s="474"/>
      <c r="U575" s="474"/>
      <c r="V575" s="474"/>
      <c r="W575" s="474"/>
      <c r="X575" s="474"/>
      <c r="Y575" s="474"/>
      <c r="Z575" s="474"/>
    </row>
    <row r="576" ht="12.0" customHeight="1">
      <c r="A576" s="480"/>
      <c r="B576" s="485"/>
      <c r="C576" s="525"/>
      <c r="D576" s="525"/>
      <c r="E576" s="526"/>
      <c r="F576" s="526"/>
      <c r="G576" s="474"/>
      <c r="H576" s="474"/>
      <c r="I576" s="474"/>
      <c r="J576" s="474"/>
      <c r="K576" s="474"/>
      <c r="L576" s="474"/>
      <c r="M576" s="474"/>
      <c r="N576" s="474"/>
      <c r="O576" s="474"/>
      <c r="P576" s="474"/>
      <c r="Q576" s="474"/>
      <c r="R576" s="474"/>
      <c r="S576" s="474"/>
      <c r="T576" s="474"/>
      <c r="U576" s="474"/>
      <c r="V576" s="474"/>
      <c r="W576" s="474"/>
      <c r="X576" s="474"/>
      <c r="Y576" s="474"/>
      <c r="Z576" s="474"/>
    </row>
    <row r="577" ht="12.0" customHeight="1">
      <c r="A577" s="480"/>
      <c r="B577" s="485"/>
      <c r="C577" s="525"/>
      <c r="D577" s="525"/>
      <c r="E577" s="526"/>
      <c r="F577" s="526"/>
      <c r="G577" s="474"/>
      <c r="H577" s="474"/>
      <c r="I577" s="474"/>
      <c r="J577" s="474"/>
      <c r="K577" s="474"/>
      <c r="L577" s="474"/>
      <c r="M577" s="474"/>
      <c r="N577" s="474"/>
      <c r="O577" s="474"/>
      <c r="P577" s="474"/>
      <c r="Q577" s="474"/>
      <c r="R577" s="474"/>
      <c r="S577" s="474"/>
      <c r="T577" s="474"/>
      <c r="U577" s="474"/>
      <c r="V577" s="474"/>
      <c r="W577" s="474"/>
      <c r="X577" s="474"/>
      <c r="Y577" s="474"/>
      <c r="Z577" s="474"/>
    </row>
    <row r="578" ht="12.0" customHeight="1">
      <c r="A578" s="480"/>
      <c r="B578" s="485"/>
      <c r="C578" s="525"/>
      <c r="D578" s="525"/>
      <c r="E578" s="526"/>
      <c r="F578" s="526"/>
      <c r="G578" s="474"/>
      <c r="H578" s="474"/>
      <c r="I578" s="474"/>
      <c r="J578" s="474"/>
      <c r="K578" s="474"/>
      <c r="L578" s="474"/>
      <c r="M578" s="474"/>
      <c r="N578" s="474"/>
      <c r="O578" s="474"/>
      <c r="P578" s="474"/>
      <c r="Q578" s="474"/>
      <c r="R578" s="474"/>
      <c r="S578" s="474"/>
      <c r="T578" s="474"/>
      <c r="U578" s="474"/>
      <c r="V578" s="474"/>
      <c r="W578" s="474"/>
      <c r="X578" s="474"/>
      <c r="Y578" s="474"/>
      <c r="Z578" s="474"/>
    </row>
    <row r="579" ht="12.0" customHeight="1">
      <c r="A579" s="480"/>
      <c r="B579" s="485"/>
      <c r="C579" s="525"/>
      <c r="D579" s="525"/>
      <c r="E579" s="526"/>
      <c r="F579" s="526"/>
      <c r="G579" s="474"/>
      <c r="H579" s="474"/>
      <c r="I579" s="474"/>
      <c r="J579" s="474"/>
      <c r="K579" s="474"/>
      <c r="L579" s="474"/>
      <c r="M579" s="474"/>
      <c r="N579" s="474"/>
      <c r="O579" s="474"/>
      <c r="P579" s="474"/>
      <c r="Q579" s="474"/>
      <c r="R579" s="474"/>
      <c r="S579" s="474"/>
      <c r="T579" s="474"/>
      <c r="U579" s="474"/>
      <c r="V579" s="474"/>
      <c r="W579" s="474"/>
      <c r="X579" s="474"/>
      <c r="Y579" s="474"/>
      <c r="Z579" s="474"/>
    </row>
    <row r="580" ht="12.0" customHeight="1">
      <c r="A580" s="480"/>
      <c r="B580" s="485"/>
      <c r="C580" s="525"/>
      <c r="D580" s="525"/>
      <c r="E580" s="526"/>
      <c r="F580" s="526"/>
      <c r="G580" s="474"/>
      <c r="H580" s="474"/>
      <c r="I580" s="474"/>
      <c r="J580" s="474"/>
      <c r="K580" s="474"/>
      <c r="L580" s="474"/>
      <c r="M580" s="474"/>
      <c r="N580" s="474"/>
      <c r="O580" s="474"/>
      <c r="P580" s="474"/>
      <c r="Q580" s="474"/>
      <c r="R580" s="474"/>
      <c r="S580" s="474"/>
      <c r="T580" s="474"/>
      <c r="U580" s="474"/>
      <c r="V580" s="474"/>
      <c r="W580" s="474"/>
      <c r="X580" s="474"/>
      <c r="Y580" s="474"/>
      <c r="Z580" s="474"/>
    </row>
    <row r="581" ht="12.0" customHeight="1">
      <c r="A581" s="480"/>
      <c r="B581" s="485"/>
      <c r="C581" s="525"/>
      <c r="D581" s="525"/>
      <c r="E581" s="526"/>
      <c r="F581" s="526"/>
      <c r="G581" s="474"/>
      <c r="H581" s="474"/>
      <c r="I581" s="474"/>
      <c r="J581" s="474"/>
      <c r="K581" s="474"/>
      <c r="L581" s="474"/>
      <c r="M581" s="474"/>
      <c r="N581" s="474"/>
      <c r="O581" s="474"/>
      <c r="P581" s="474"/>
      <c r="Q581" s="474"/>
      <c r="R581" s="474"/>
      <c r="S581" s="474"/>
      <c r="T581" s="474"/>
      <c r="U581" s="474"/>
      <c r="V581" s="474"/>
      <c r="W581" s="474"/>
      <c r="X581" s="474"/>
      <c r="Y581" s="474"/>
      <c r="Z581" s="474"/>
    </row>
    <row r="582" ht="12.0" customHeight="1">
      <c r="A582" s="480"/>
      <c r="B582" s="485"/>
      <c r="C582" s="525"/>
      <c r="D582" s="525"/>
      <c r="E582" s="526"/>
      <c r="F582" s="526"/>
      <c r="G582" s="474"/>
      <c r="H582" s="474"/>
      <c r="I582" s="474"/>
      <c r="J582" s="474"/>
      <c r="K582" s="474"/>
      <c r="L582" s="474"/>
      <c r="M582" s="474"/>
      <c r="N582" s="474"/>
      <c r="O582" s="474"/>
      <c r="P582" s="474"/>
      <c r="Q582" s="474"/>
      <c r="R582" s="474"/>
      <c r="S582" s="474"/>
      <c r="T582" s="474"/>
      <c r="U582" s="474"/>
      <c r="V582" s="474"/>
      <c r="W582" s="474"/>
      <c r="X582" s="474"/>
      <c r="Y582" s="474"/>
      <c r="Z582" s="474"/>
    </row>
    <row r="583" ht="12.0" customHeight="1">
      <c r="A583" s="480"/>
      <c r="B583" s="485"/>
      <c r="C583" s="525"/>
      <c r="D583" s="525"/>
      <c r="E583" s="526"/>
      <c r="F583" s="526"/>
      <c r="G583" s="474"/>
      <c r="H583" s="474"/>
      <c r="I583" s="474"/>
      <c r="J583" s="474"/>
      <c r="K583" s="474"/>
      <c r="L583" s="474"/>
      <c r="M583" s="474"/>
      <c r="N583" s="474"/>
      <c r="O583" s="474"/>
      <c r="P583" s="474"/>
      <c r="Q583" s="474"/>
      <c r="R583" s="474"/>
      <c r="S583" s="474"/>
      <c r="T583" s="474"/>
      <c r="U583" s="474"/>
      <c r="V583" s="474"/>
      <c r="W583" s="474"/>
      <c r="X583" s="474"/>
      <c r="Y583" s="474"/>
      <c r="Z583" s="474"/>
    </row>
    <row r="584" ht="12.0" customHeight="1">
      <c r="A584" s="480"/>
      <c r="B584" s="485"/>
      <c r="C584" s="525"/>
      <c r="D584" s="525"/>
      <c r="E584" s="526"/>
      <c r="F584" s="526"/>
      <c r="G584" s="474"/>
      <c r="H584" s="474"/>
      <c r="I584" s="474"/>
      <c r="J584" s="474"/>
      <c r="K584" s="474"/>
      <c r="L584" s="474"/>
      <c r="M584" s="474"/>
      <c r="N584" s="474"/>
      <c r="O584" s="474"/>
      <c r="P584" s="474"/>
      <c r="Q584" s="474"/>
      <c r="R584" s="474"/>
      <c r="S584" s="474"/>
      <c r="T584" s="474"/>
      <c r="U584" s="474"/>
      <c r="V584" s="474"/>
      <c r="W584" s="474"/>
      <c r="X584" s="474"/>
      <c r="Y584" s="474"/>
      <c r="Z584" s="474"/>
    </row>
    <row r="585" ht="12.0" customHeight="1">
      <c r="A585" s="480"/>
      <c r="B585" s="485"/>
      <c r="C585" s="525"/>
      <c r="D585" s="525"/>
      <c r="E585" s="526"/>
      <c r="F585" s="526"/>
      <c r="G585" s="474"/>
      <c r="H585" s="474"/>
      <c r="I585" s="474"/>
      <c r="J585" s="474"/>
      <c r="K585" s="474"/>
      <c r="L585" s="474"/>
      <c r="M585" s="474"/>
      <c r="N585" s="474"/>
      <c r="O585" s="474"/>
      <c r="P585" s="474"/>
      <c r="Q585" s="474"/>
      <c r="R585" s="474"/>
      <c r="S585" s="474"/>
      <c r="T585" s="474"/>
      <c r="U585" s="474"/>
      <c r="V585" s="474"/>
      <c r="W585" s="474"/>
      <c r="X585" s="474"/>
      <c r="Y585" s="474"/>
      <c r="Z585" s="474"/>
    </row>
    <row r="586" ht="12.0" customHeight="1">
      <c r="A586" s="480"/>
      <c r="B586" s="485"/>
      <c r="C586" s="525"/>
      <c r="D586" s="525"/>
      <c r="E586" s="526"/>
      <c r="F586" s="526"/>
      <c r="G586" s="474"/>
      <c r="H586" s="474"/>
      <c r="I586" s="474"/>
      <c r="J586" s="474"/>
      <c r="K586" s="474"/>
      <c r="L586" s="474"/>
      <c r="M586" s="474"/>
      <c r="N586" s="474"/>
      <c r="O586" s="474"/>
      <c r="P586" s="474"/>
      <c r="Q586" s="474"/>
      <c r="R586" s="474"/>
      <c r="S586" s="474"/>
      <c r="T586" s="474"/>
      <c r="U586" s="474"/>
      <c r="V586" s="474"/>
      <c r="W586" s="474"/>
      <c r="X586" s="474"/>
      <c r="Y586" s="474"/>
      <c r="Z586" s="474"/>
    </row>
    <row r="587" ht="12.0" customHeight="1">
      <c r="A587" s="480"/>
      <c r="B587" s="485"/>
      <c r="C587" s="525"/>
      <c r="D587" s="525"/>
      <c r="E587" s="526"/>
      <c r="F587" s="526"/>
      <c r="G587" s="474"/>
      <c r="H587" s="474"/>
      <c r="I587" s="474"/>
      <c r="J587" s="474"/>
      <c r="K587" s="474"/>
      <c r="L587" s="474"/>
      <c r="M587" s="474"/>
      <c r="N587" s="474"/>
      <c r="O587" s="474"/>
      <c r="P587" s="474"/>
      <c r="Q587" s="474"/>
      <c r="R587" s="474"/>
      <c r="S587" s="474"/>
      <c r="T587" s="474"/>
      <c r="U587" s="474"/>
      <c r="V587" s="474"/>
      <c r="W587" s="474"/>
      <c r="X587" s="474"/>
      <c r="Y587" s="474"/>
      <c r="Z587" s="474"/>
    </row>
    <row r="588" ht="12.0" customHeight="1">
      <c r="A588" s="480"/>
      <c r="B588" s="485"/>
      <c r="C588" s="525"/>
      <c r="D588" s="525"/>
      <c r="E588" s="526"/>
      <c r="F588" s="526"/>
      <c r="G588" s="474"/>
      <c r="H588" s="474"/>
      <c r="I588" s="474"/>
      <c r="J588" s="474"/>
      <c r="K588" s="474"/>
      <c r="L588" s="474"/>
      <c r="M588" s="474"/>
      <c r="N588" s="474"/>
      <c r="O588" s="474"/>
      <c r="P588" s="474"/>
      <c r="Q588" s="474"/>
      <c r="R588" s="474"/>
      <c r="S588" s="474"/>
      <c r="T588" s="474"/>
      <c r="U588" s="474"/>
      <c r="V588" s="474"/>
      <c r="W588" s="474"/>
      <c r="X588" s="474"/>
      <c r="Y588" s="474"/>
      <c r="Z588" s="474"/>
    </row>
    <row r="589" ht="12.0" customHeight="1">
      <c r="A589" s="480"/>
      <c r="B589" s="485"/>
      <c r="C589" s="525"/>
      <c r="D589" s="525"/>
      <c r="E589" s="526"/>
      <c r="F589" s="526"/>
      <c r="G589" s="474"/>
      <c r="H589" s="474"/>
      <c r="I589" s="474"/>
      <c r="J589" s="474"/>
      <c r="K589" s="474"/>
      <c r="L589" s="474"/>
      <c r="M589" s="474"/>
      <c r="N589" s="474"/>
      <c r="O589" s="474"/>
      <c r="P589" s="474"/>
      <c r="Q589" s="474"/>
      <c r="R589" s="474"/>
      <c r="S589" s="474"/>
      <c r="T589" s="474"/>
      <c r="U589" s="474"/>
      <c r="V589" s="474"/>
      <c r="W589" s="474"/>
      <c r="X589" s="474"/>
      <c r="Y589" s="474"/>
      <c r="Z589" s="474"/>
    </row>
    <row r="590" ht="12.0" customHeight="1">
      <c r="A590" s="480"/>
      <c r="B590" s="485"/>
      <c r="C590" s="525"/>
      <c r="D590" s="525"/>
      <c r="E590" s="526"/>
      <c r="F590" s="526"/>
      <c r="G590" s="474"/>
      <c r="H590" s="474"/>
      <c r="I590" s="474"/>
      <c r="J590" s="474"/>
      <c r="K590" s="474"/>
      <c r="L590" s="474"/>
      <c r="M590" s="474"/>
      <c r="N590" s="474"/>
      <c r="O590" s="474"/>
      <c r="P590" s="474"/>
      <c r="Q590" s="474"/>
      <c r="R590" s="474"/>
      <c r="S590" s="474"/>
      <c r="T590" s="474"/>
      <c r="U590" s="474"/>
      <c r="V590" s="474"/>
      <c r="W590" s="474"/>
      <c r="X590" s="474"/>
      <c r="Y590" s="474"/>
      <c r="Z590" s="474"/>
    </row>
    <row r="591" ht="12.0" customHeight="1">
      <c r="A591" s="480"/>
      <c r="B591" s="485"/>
      <c r="C591" s="525"/>
      <c r="D591" s="525"/>
      <c r="E591" s="526"/>
      <c r="F591" s="526"/>
      <c r="G591" s="474"/>
      <c r="H591" s="474"/>
      <c r="I591" s="474"/>
      <c r="J591" s="474"/>
      <c r="K591" s="474"/>
      <c r="L591" s="474"/>
      <c r="M591" s="474"/>
      <c r="N591" s="474"/>
      <c r="O591" s="474"/>
      <c r="P591" s="474"/>
      <c r="Q591" s="474"/>
      <c r="R591" s="474"/>
      <c r="S591" s="474"/>
      <c r="T591" s="474"/>
      <c r="U591" s="474"/>
      <c r="V591" s="474"/>
      <c r="W591" s="474"/>
      <c r="X591" s="474"/>
      <c r="Y591" s="474"/>
      <c r="Z591" s="474"/>
    </row>
    <row r="592" ht="12.0" customHeight="1">
      <c r="A592" s="480"/>
      <c r="B592" s="485"/>
      <c r="C592" s="525"/>
      <c r="D592" s="525"/>
      <c r="E592" s="526"/>
      <c r="F592" s="526"/>
      <c r="G592" s="474"/>
      <c r="H592" s="474"/>
      <c r="I592" s="474"/>
      <c r="J592" s="474"/>
      <c r="K592" s="474"/>
      <c r="L592" s="474"/>
      <c r="M592" s="474"/>
      <c r="N592" s="474"/>
      <c r="O592" s="474"/>
      <c r="P592" s="474"/>
      <c r="Q592" s="474"/>
      <c r="R592" s="474"/>
      <c r="S592" s="474"/>
      <c r="T592" s="474"/>
      <c r="U592" s="474"/>
      <c r="V592" s="474"/>
      <c r="W592" s="474"/>
      <c r="X592" s="474"/>
      <c r="Y592" s="474"/>
      <c r="Z592" s="474"/>
    </row>
    <row r="593" ht="12.0" customHeight="1">
      <c r="A593" s="480"/>
      <c r="B593" s="485"/>
      <c r="C593" s="525"/>
      <c r="D593" s="525"/>
      <c r="E593" s="526"/>
      <c r="F593" s="526"/>
      <c r="G593" s="474"/>
      <c r="H593" s="474"/>
      <c r="I593" s="474"/>
      <c r="J593" s="474"/>
      <c r="K593" s="474"/>
      <c r="L593" s="474"/>
      <c r="M593" s="474"/>
      <c r="N593" s="474"/>
      <c r="O593" s="474"/>
      <c r="P593" s="474"/>
      <c r="Q593" s="474"/>
      <c r="R593" s="474"/>
      <c r="S593" s="474"/>
      <c r="T593" s="474"/>
      <c r="U593" s="474"/>
      <c r="V593" s="474"/>
      <c r="W593" s="474"/>
      <c r="X593" s="474"/>
      <c r="Y593" s="474"/>
      <c r="Z593" s="474"/>
    </row>
    <row r="594" ht="12.0" customHeight="1">
      <c r="A594" s="480"/>
      <c r="B594" s="485"/>
      <c r="C594" s="525"/>
      <c r="D594" s="525"/>
      <c r="E594" s="526"/>
      <c r="F594" s="526"/>
      <c r="G594" s="474"/>
      <c r="H594" s="474"/>
      <c r="I594" s="474"/>
      <c r="J594" s="474"/>
      <c r="K594" s="474"/>
      <c r="L594" s="474"/>
      <c r="M594" s="474"/>
      <c r="N594" s="474"/>
      <c r="O594" s="474"/>
      <c r="P594" s="474"/>
      <c r="Q594" s="474"/>
      <c r="R594" s="474"/>
      <c r="S594" s="474"/>
      <c r="T594" s="474"/>
      <c r="U594" s="474"/>
      <c r="V594" s="474"/>
      <c r="W594" s="474"/>
      <c r="X594" s="474"/>
      <c r="Y594" s="474"/>
      <c r="Z594" s="474"/>
    </row>
    <row r="595" ht="12.0" customHeight="1">
      <c r="A595" s="480"/>
      <c r="B595" s="485"/>
      <c r="C595" s="525"/>
      <c r="D595" s="525"/>
      <c r="E595" s="526"/>
      <c r="F595" s="526"/>
      <c r="G595" s="474"/>
      <c r="H595" s="474"/>
      <c r="I595" s="474"/>
      <c r="J595" s="474"/>
      <c r="K595" s="474"/>
      <c r="L595" s="474"/>
      <c r="M595" s="474"/>
      <c r="N595" s="474"/>
      <c r="O595" s="474"/>
      <c r="P595" s="474"/>
      <c r="Q595" s="474"/>
      <c r="R595" s="474"/>
      <c r="S595" s="474"/>
      <c r="T595" s="474"/>
      <c r="U595" s="474"/>
      <c r="V595" s="474"/>
      <c r="W595" s="474"/>
      <c r="X595" s="474"/>
      <c r="Y595" s="474"/>
      <c r="Z595" s="474"/>
    </row>
    <row r="596" ht="12.0" customHeight="1">
      <c r="A596" s="480"/>
      <c r="B596" s="485"/>
      <c r="C596" s="525"/>
      <c r="D596" s="525"/>
      <c r="E596" s="526"/>
      <c r="F596" s="526"/>
      <c r="G596" s="474"/>
      <c r="H596" s="474"/>
      <c r="I596" s="474"/>
      <c r="J596" s="474"/>
      <c r="K596" s="474"/>
      <c r="L596" s="474"/>
      <c r="M596" s="474"/>
      <c r="N596" s="474"/>
      <c r="O596" s="474"/>
      <c r="P596" s="474"/>
      <c r="Q596" s="474"/>
      <c r="R596" s="474"/>
      <c r="S596" s="474"/>
      <c r="T596" s="474"/>
      <c r="U596" s="474"/>
      <c r="V596" s="474"/>
      <c r="W596" s="474"/>
      <c r="X596" s="474"/>
      <c r="Y596" s="474"/>
      <c r="Z596" s="474"/>
    </row>
    <row r="597" ht="12.0" customHeight="1">
      <c r="A597" s="480"/>
      <c r="B597" s="485"/>
      <c r="C597" s="525"/>
      <c r="D597" s="525"/>
      <c r="E597" s="526"/>
      <c r="F597" s="526"/>
      <c r="G597" s="474"/>
      <c r="H597" s="474"/>
      <c r="I597" s="474"/>
      <c r="J597" s="474"/>
      <c r="K597" s="474"/>
      <c r="L597" s="474"/>
      <c r="M597" s="474"/>
      <c r="N597" s="474"/>
      <c r="O597" s="474"/>
      <c r="P597" s="474"/>
      <c r="Q597" s="474"/>
      <c r="R597" s="474"/>
      <c r="S597" s="474"/>
      <c r="T597" s="474"/>
      <c r="U597" s="474"/>
      <c r="V597" s="474"/>
      <c r="W597" s="474"/>
      <c r="X597" s="474"/>
      <c r="Y597" s="474"/>
      <c r="Z597" s="474"/>
    </row>
    <row r="598" ht="12.0" customHeight="1">
      <c r="A598" s="480"/>
      <c r="B598" s="485"/>
      <c r="C598" s="525"/>
      <c r="D598" s="525"/>
      <c r="E598" s="526"/>
      <c r="F598" s="526"/>
      <c r="G598" s="474"/>
      <c r="H598" s="474"/>
      <c r="I598" s="474"/>
      <c r="J598" s="474"/>
      <c r="K598" s="474"/>
      <c r="L598" s="474"/>
      <c r="M598" s="474"/>
      <c r="N598" s="474"/>
      <c r="O598" s="474"/>
      <c r="P598" s="474"/>
      <c r="Q598" s="474"/>
      <c r="R598" s="474"/>
      <c r="S598" s="474"/>
      <c r="T598" s="474"/>
      <c r="U598" s="474"/>
      <c r="V598" s="474"/>
      <c r="W598" s="474"/>
      <c r="X598" s="474"/>
      <c r="Y598" s="474"/>
      <c r="Z598" s="474"/>
    </row>
    <row r="599" ht="12.0" customHeight="1">
      <c r="A599" s="480"/>
      <c r="B599" s="485"/>
      <c r="C599" s="525"/>
      <c r="D599" s="525"/>
      <c r="E599" s="526"/>
      <c r="F599" s="526"/>
      <c r="G599" s="474"/>
      <c r="H599" s="474"/>
      <c r="I599" s="474"/>
      <c r="J599" s="474"/>
      <c r="K599" s="474"/>
      <c r="L599" s="474"/>
      <c r="M599" s="474"/>
      <c r="N599" s="474"/>
      <c r="O599" s="474"/>
      <c r="P599" s="474"/>
      <c r="Q599" s="474"/>
      <c r="R599" s="474"/>
      <c r="S599" s="474"/>
      <c r="T599" s="474"/>
      <c r="U599" s="474"/>
      <c r="V599" s="474"/>
      <c r="W599" s="474"/>
      <c r="X599" s="474"/>
      <c r="Y599" s="474"/>
      <c r="Z599" s="474"/>
    </row>
    <row r="600" ht="12.0" customHeight="1">
      <c r="A600" s="480"/>
      <c r="B600" s="485"/>
      <c r="C600" s="525"/>
      <c r="D600" s="525"/>
      <c r="E600" s="526"/>
      <c r="F600" s="526"/>
      <c r="G600" s="474"/>
      <c r="H600" s="474"/>
      <c r="I600" s="474"/>
      <c r="J600" s="474"/>
      <c r="K600" s="474"/>
      <c r="L600" s="474"/>
      <c r="M600" s="474"/>
      <c r="N600" s="474"/>
      <c r="O600" s="474"/>
      <c r="P600" s="474"/>
      <c r="Q600" s="474"/>
      <c r="R600" s="474"/>
      <c r="S600" s="474"/>
      <c r="T600" s="474"/>
      <c r="U600" s="474"/>
      <c r="V600" s="474"/>
      <c r="W600" s="474"/>
      <c r="X600" s="474"/>
      <c r="Y600" s="474"/>
      <c r="Z600" s="474"/>
    </row>
    <row r="601" ht="12.0" customHeight="1">
      <c r="A601" s="480"/>
      <c r="B601" s="485"/>
      <c r="C601" s="525"/>
      <c r="D601" s="525"/>
      <c r="E601" s="526"/>
      <c r="F601" s="526"/>
      <c r="G601" s="474"/>
      <c r="H601" s="474"/>
      <c r="I601" s="474"/>
      <c r="J601" s="474"/>
      <c r="K601" s="474"/>
      <c r="L601" s="474"/>
      <c r="M601" s="474"/>
      <c r="N601" s="474"/>
      <c r="O601" s="474"/>
      <c r="P601" s="474"/>
      <c r="Q601" s="474"/>
      <c r="R601" s="474"/>
      <c r="S601" s="474"/>
      <c r="T601" s="474"/>
      <c r="U601" s="474"/>
      <c r="V601" s="474"/>
      <c r="W601" s="474"/>
      <c r="X601" s="474"/>
      <c r="Y601" s="474"/>
      <c r="Z601" s="474"/>
    </row>
    <row r="602" ht="12.0" customHeight="1">
      <c r="A602" s="480"/>
      <c r="B602" s="485"/>
      <c r="C602" s="525"/>
      <c r="D602" s="525"/>
      <c r="E602" s="526"/>
      <c r="F602" s="526"/>
      <c r="G602" s="474"/>
      <c r="H602" s="474"/>
      <c r="I602" s="474"/>
      <c r="J602" s="474"/>
      <c r="K602" s="474"/>
      <c r="L602" s="474"/>
      <c r="M602" s="474"/>
      <c r="N602" s="474"/>
      <c r="O602" s="474"/>
      <c r="P602" s="474"/>
      <c r="Q602" s="474"/>
      <c r="R602" s="474"/>
      <c r="S602" s="474"/>
      <c r="T602" s="474"/>
      <c r="U602" s="474"/>
      <c r="V602" s="474"/>
      <c r="W602" s="474"/>
      <c r="X602" s="474"/>
      <c r="Y602" s="474"/>
      <c r="Z602" s="474"/>
    </row>
    <row r="603" ht="12.0" customHeight="1">
      <c r="A603" s="480"/>
      <c r="B603" s="485"/>
      <c r="C603" s="525"/>
      <c r="D603" s="525"/>
      <c r="E603" s="526"/>
      <c r="F603" s="526"/>
      <c r="G603" s="474"/>
      <c r="H603" s="474"/>
      <c r="I603" s="474"/>
      <c r="J603" s="474"/>
      <c r="K603" s="474"/>
      <c r="L603" s="474"/>
      <c r="M603" s="474"/>
      <c r="N603" s="474"/>
      <c r="O603" s="474"/>
      <c r="P603" s="474"/>
      <c r="Q603" s="474"/>
      <c r="R603" s="474"/>
      <c r="S603" s="474"/>
      <c r="T603" s="474"/>
      <c r="U603" s="474"/>
      <c r="V603" s="474"/>
      <c r="W603" s="474"/>
      <c r="X603" s="474"/>
      <c r="Y603" s="474"/>
      <c r="Z603" s="474"/>
    </row>
    <row r="604" ht="12.0" customHeight="1">
      <c r="A604" s="480"/>
      <c r="B604" s="485"/>
      <c r="C604" s="525"/>
      <c r="D604" s="525"/>
      <c r="E604" s="526"/>
      <c r="F604" s="526"/>
      <c r="G604" s="474"/>
      <c r="H604" s="474"/>
      <c r="I604" s="474"/>
      <c r="J604" s="474"/>
      <c r="K604" s="474"/>
      <c r="L604" s="474"/>
      <c r="M604" s="474"/>
      <c r="N604" s="474"/>
      <c r="O604" s="474"/>
      <c r="P604" s="474"/>
      <c r="Q604" s="474"/>
      <c r="R604" s="474"/>
      <c r="S604" s="474"/>
      <c r="T604" s="474"/>
      <c r="U604" s="474"/>
      <c r="V604" s="474"/>
      <c r="W604" s="474"/>
      <c r="X604" s="474"/>
      <c r="Y604" s="474"/>
      <c r="Z604" s="474"/>
    </row>
    <row r="605" ht="12.0" customHeight="1">
      <c r="A605" s="480"/>
      <c r="B605" s="485"/>
      <c r="C605" s="525"/>
      <c r="D605" s="525"/>
      <c r="E605" s="526"/>
      <c r="F605" s="526"/>
      <c r="G605" s="474"/>
      <c r="H605" s="474"/>
      <c r="I605" s="474"/>
      <c r="J605" s="474"/>
      <c r="K605" s="474"/>
      <c r="L605" s="474"/>
      <c r="M605" s="474"/>
      <c r="N605" s="474"/>
      <c r="O605" s="474"/>
      <c r="P605" s="474"/>
      <c r="Q605" s="474"/>
      <c r="R605" s="474"/>
      <c r="S605" s="474"/>
      <c r="T605" s="474"/>
      <c r="U605" s="474"/>
      <c r="V605" s="474"/>
      <c r="W605" s="474"/>
      <c r="X605" s="474"/>
      <c r="Y605" s="474"/>
      <c r="Z605" s="474"/>
    </row>
    <row r="606" ht="12.0" customHeight="1">
      <c r="A606" s="480"/>
      <c r="B606" s="485"/>
      <c r="C606" s="525"/>
      <c r="D606" s="525"/>
      <c r="E606" s="526"/>
      <c r="F606" s="526"/>
      <c r="G606" s="474"/>
      <c r="H606" s="474"/>
      <c r="I606" s="474"/>
      <c r="J606" s="474"/>
      <c r="K606" s="474"/>
      <c r="L606" s="474"/>
      <c r="M606" s="474"/>
      <c r="N606" s="474"/>
      <c r="O606" s="474"/>
      <c r="P606" s="474"/>
      <c r="Q606" s="474"/>
      <c r="R606" s="474"/>
      <c r="S606" s="474"/>
      <c r="T606" s="474"/>
      <c r="U606" s="474"/>
      <c r="V606" s="474"/>
      <c r="W606" s="474"/>
      <c r="X606" s="474"/>
      <c r="Y606" s="474"/>
      <c r="Z606" s="474"/>
    </row>
    <row r="607" ht="12.0" customHeight="1">
      <c r="A607" s="480"/>
      <c r="B607" s="485"/>
      <c r="C607" s="525"/>
      <c r="D607" s="525"/>
      <c r="E607" s="526"/>
      <c r="F607" s="526"/>
      <c r="G607" s="474"/>
      <c r="H607" s="474"/>
      <c r="I607" s="474"/>
      <c r="J607" s="474"/>
      <c r="K607" s="474"/>
      <c r="L607" s="474"/>
      <c r="M607" s="474"/>
      <c r="N607" s="474"/>
      <c r="O607" s="474"/>
      <c r="P607" s="474"/>
      <c r="Q607" s="474"/>
      <c r="R607" s="474"/>
      <c r="S607" s="474"/>
      <c r="T607" s="474"/>
      <c r="U607" s="474"/>
      <c r="V607" s="474"/>
      <c r="W607" s="474"/>
      <c r="X607" s="474"/>
      <c r="Y607" s="474"/>
      <c r="Z607" s="474"/>
    </row>
    <row r="608" ht="12.0" customHeight="1">
      <c r="A608" s="480"/>
      <c r="B608" s="485"/>
      <c r="C608" s="525"/>
      <c r="D608" s="525"/>
      <c r="E608" s="526"/>
      <c r="F608" s="526"/>
      <c r="G608" s="474"/>
      <c r="H608" s="474"/>
      <c r="I608" s="474"/>
      <c r="J608" s="474"/>
      <c r="K608" s="474"/>
      <c r="L608" s="474"/>
      <c r="M608" s="474"/>
      <c r="N608" s="474"/>
      <c r="O608" s="474"/>
      <c r="P608" s="474"/>
      <c r="Q608" s="474"/>
      <c r="R608" s="474"/>
      <c r="S608" s="474"/>
      <c r="T608" s="474"/>
      <c r="U608" s="474"/>
      <c r="V608" s="474"/>
      <c r="W608" s="474"/>
      <c r="X608" s="474"/>
      <c r="Y608" s="474"/>
      <c r="Z608" s="474"/>
    </row>
    <row r="609" ht="12.0" customHeight="1">
      <c r="A609" s="480"/>
      <c r="B609" s="485"/>
      <c r="C609" s="525"/>
      <c r="D609" s="525"/>
      <c r="E609" s="526"/>
      <c r="F609" s="526"/>
      <c r="G609" s="474"/>
      <c r="H609" s="474"/>
      <c r="I609" s="474"/>
      <c r="J609" s="474"/>
      <c r="K609" s="474"/>
      <c r="L609" s="474"/>
      <c r="M609" s="474"/>
      <c r="N609" s="474"/>
      <c r="O609" s="474"/>
      <c r="P609" s="474"/>
      <c r="Q609" s="474"/>
      <c r="R609" s="474"/>
      <c r="S609" s="474"/>
      <c r="T609" s="474"/>
      <c r="U609" s="474"/>
      <c r="V609" s="474"/>
      <c r="W609" s="474"/>
      <c r="X609" s="474"/>
      <c r="Y609" s="474"/>
      <c r="Z609" s="474"/>
    </row>
    <row r="610" ht="12.0" customHeight="1">
      <c r="A610" s="480"/>
      <c r="B610" s="485"/>
      <c r="C610" s="525"/>
      <c r="D610" s="525"/>
      <c r="E610" s="526"/>
      <c r="F610" s="526"/>
      <c r="G610" s="474"/>
      <c r="H610" s="474"/>
      <c r="I610" s="474"/>
      <c r="J610" s="474"/>
      <c r="K610" s="474"/>
      <c r="L610" s="474"/>
      <c r="M610" s="474"/>
      <c r="N610" s="474"/>
      <c r="O610" s="474"/>
      <c r="P610" s="474"/>
      <c r="Q610" s="474"/>
      <c r="R610" s="474"/>
      <c r="S610" s="474"/>
      <c r="T610" s="474"/>
      <c r="U610" s="474"/>
      <c r="V610" s="474"/>
      <c r="W610" s="474"/>
      <c r="X610" s="474"/>
      <c r="Y610" s="474"/>
      <c r="Z610" s="474"/>
    </row>
    <row r="611" ht="12.0" customHeight="1">
      <c r="A611" s="480"/>
      <c r="B611" s="485"/>
      <c r="C611" s="525"/>
      <c r="D611" s="525"/>
      <c r="E611" s="526"/>
      <c r="F611" s="526"/>
      <c r="G611" s="474"/>
      <c r="H611" s="474"/>
      <c r="I611" s="474"/>
      <c r="J611" s="474"/>
      <c r="K611" s="474"/>
      <c r="L611" s="474"/>
      <c r="M611" s="474"/>
      <c r="N611" s="474"/>
      <c r="O611" s="474"/>
      <c r="P611" s="474"/>
      <c r="Q611" s="474"/>
      <c r="R611" s="474"/>
      <c r="S611" s="474"/>
      <c r="T611" s="474"/>
      <c r="U611" s="474"/>
      <c r="V611" s="474"/>
      <c r="W611" s="474"/>
      <c r="X611" s="474"/>
      <c r="Y611" s="474"/>
      <c r="Z611" s="474"/>
    </row>
    <row r="612" ht="12.0" customHeight="1">
      <c r="A612" s="480"/>
      <c r="B612" s="485"/>
      <c r="C612" s="525"/>
      <c r="D612" s="525"/>
      <c r="E612" s="526"/>
      <c r="F612" s="526"/>
      <c r="G612" s="474"/>
      <c r="H612" s="474"/>
      <c r="I612" s="474"/>
      <c r="J612" s="474"/>
      <c r="K612" s="474"/>
      <c r="L612" s="474"/>
      <c r="M612" s="474"/>
      <c r="N612" s="474"/>
      <c r="O612" s="474"/>
      <c r="P612" s="474"/>
      <c r="Q612" s="474"/>
      <c r="R612" s="474"/>
      <c r="S612" s="474"/>
      <c r="T612" s="474"/>
      <c r="U612" s="474"/>
      <c r="V612" s="474"/>
      <c r="W612" s="474"/>
      <c r="X612" s="474"/>
      <c r="Y612" s="474"/>
      <c r="Z612" s="474"/>
    </row>
    <row r="613" ht="12.0" customHeight="1">
      <c r="A613" s="480"/>
      <c r="B613" s="485"/>
      <c r="C613" s="525"/>
      <c r="D613" s="525"/>
      <c r="E613" s="526"/>
      <c r="F613" s="526"/>
      <c r="G613" s="474"/>
      <c r="H613" s="474"/>
      <c r="I613" s="474"/>
      <c r="J613" s="474"/>
      <c r="K613" s="474"/>
      <c r="L613" s="474"/>
      <c r="M613" s="474"/>
      <c r="N613" s="474"/>
      <c r="O613" s="474"/>
      <c r="P613" s="474"/>
      <c r="Q613" s="474"/>
      <c r="R613" s="474"/>
      <c r="S613" s="474"/>
      <c r="T613" s="474"/>
      <c r="U613" s="474"/>
      <c r="V613" s="474"/>
      <c r="W613" s="474"/>
      <c r="X613" s="474"/>
      <c r="Y613" s="474"/>
      <c r="Z613" s="474"/>
    </row>
    <row r="614" ht="12.0" customHeight="1">
      <c r="A614" s="480"/>
      <c r="B614" s="485"/>
      <c r="C614" s="525"/>
      <c r="D614" s="525"/>
      <c r="E614" s="526"/>
      <c r="F614" s="526"/>
      <c r="G614" s="474"/>
      <c r="H614" s="474"/>
      <c r="I614" s="474"/>
      <c r="J614" s="474"/>
      <c r="K614" s="474"/>
      <c r="L614" s="474"/>
      <c r="M614" s="474"/>
      <c r="N614" s="474"/>
      <c r="O614" s="474"/>
      <c r="P614" s="474"/>
      <c r="Q614" s="474"/>
      <c r="R614" s="474"/>
      <c r="S614" s="474"/>
      <c r="T614" s="474"/>
      <c r="U614" s="474"/>
      <c r="V614" s="474"/>
      <c r="W614" s="474"/>
      <c r="X614" s="474"/>
      <c r="Y614" s="474"/>
      <c r="Z614" s="474"/>
    </row>
    <row r="615" ht="12.0" customHeight="1">
      <c r="A615" s="480"/>
      <c r="B615" s="485"/>
      <c r="C615" s="525"/>
      <c r="D615" s="525"/>
      <c r="E615" s="526"/>
      <c r="F615" s="526"/>
      <c r="G615" s="474"/>
      <c r="H615" s="474"/>
      <c r="I615" s="474"/>
      <c r="J615" s="474"/>
      <c r="K615" s="474"/>
      <c r="L615" s="474"/>
      <c r="M615" s="474"/>
      <c r="N615" s="474"/>
      <c r="O615" s="474"/>
      <c r="P615" s="474"/>
      <c r="Q615" s="474"/>
      <c r="R615" s="474"/>
      <c r="S615" s="474"/>
      <c r="T615" s="474"/>
      <c r="U615" s="474"/>
      <c r="V615" s="474"/>
      <c r="W615" s="474"/>
      <c r="X615" s="474"/>
      <c r="Y615" s="474"/>
      <c r="Z615" s="474"/>
    </row>
    <row r="616" ht="12.0" customHeight="1">
      <c r="A616" s="480"/>
      <c r="B616" s="485"/>
      <c r="C616" s="525"/>
      <c r="D616" s="525"/>
      <c r="E616" s="526"/>
      <c r="F616" s="526"/>
      <c r="G616" s="474"/>
      <c r="H616" s="474"/>
      <c r="I616" s="474"/>
      <c r="J616" s="474"/>
      <c r="K616" s="474"/>
      <c r="L616" s="474"/>
      <c r="M616" s="474"/>
      <c r="N616" s="474"/>
      <c r="O616" s="474"/>
      <c r="P616" s="474"/>
      <c r="Q616" s="474"/>
      <c r="R616" s="474"/>
      <c r="S616" s="474"/>
      <c r="T616" s="474"/>
      <c r="U616" s="474"/>
      <c r="V616" s="474"/>
      <c r="W616" s="474"/>
      <c r="X616" s="474"/>
      <c r="Y616" s="474"/>
      <c r="Z616" s="474"/>
    </row>
    <row r="617" ht="12.0" customHeight="1">
      <c r="A617" s="480"/>
      <c r="B617" s="485"/>
      <c r="C617" s="525"/>
      <c r="D617" s="525"/>
      <c r="E617" s="526"/>
      <c r="F617" s="526"/>
      <c r="G617" s="474"/>
      <c r="H617" s="474"/>
      <c r="I617" s="474"/>
      <c r="J617" s="474"/>
      <c r="K617" s="474"/>
      <c r="L617" s="474"/>
      <c r="M617" s="474"/>
      <c r="N617" s="474"/>
      <c r="O617" s="474"/>
      <c r="P617" s="474"/>
      <c r="Q617" s="474"/>
      <c r="R617" s="474"/>
      <c r="S617" s="474"/>
      <c r="T617" s="474"/>
      <c r="U617" s="474"/>
      <c r="V617" s="474"/>
      <c r="W617" s="474"/>
      <c r="X617" s="474"/>
      <c r="Y617" s="474"/>
      <c r="Z617" s="474"/>
    </row>
    <row r="618" ht="12.0" customHeight="1">
      <c r="A618" s="480"/>
      <c r="B618" s="485"/>
      <c r="C618" s="525"/>
      <c r="D618" s="525"/>
      <c r="E618" s="526"/>
      <c r="F618" s="526"/>
      <c r="G618" s="474"/>
      <c r="H618" s="474"/>
      <c r="I618" s="474"/>
      <c r="J618" s="474"/>
      <c r="K618" s="474"/>
      <c r="L618" s="474"/>
      <c r="M618" s="474"/>
      <c r="N618" s="474"/>
      <c r="O618" s="474"/>
      <c r="P618" s="474"/>
      <c r="Q618" s="474"/>
      <c r="R618" s="474"/>
      <c r="S618" s="474"/>
      <c r="T618" s="474"/>
      <c r="U618" s="474"/>
      <c r="V618" s="474"/>
      <c r="W618" s="474"/>
      <c r="X618" s="474"/>
      <c r="Y618" s="474"/>
      <c r="Z618" s="474"/>
    </row>
    <row r="619" ht="12.0" customHeight="1">
      <c r="A619" s="480"/>
      <c r="B619" s="485"/>
      <c r="C619" s="525"/>
      <c r="D619" s="525"/>
      <c r="E619" s="526"/>
      <c r="F619" s="526"/>
      <c r="G619" s="474"/>
      <c r="H619" s="474"/>
      <c r="I619" s="474"/>
      <c r="J619" s="474"/>
      <c r="K619" s="474"/>
      <c r="L619" s="474"/>
      <c r="M619" s="474"/>
      <c r="N619" s="474"/>
      <c r="O619" s="474"/>
      <c r="P619" s="474"/>
      <c r="Q619" s="474"/>
      <c r="R619" s="474"/>
      <c r="S619" s="474"/>
      <c r="T619" s="474"/>
      <c r="U619" s="474"/>
      <c r="V619" s="474"/>
      <c r="W619" s="474"/>
      <c r="X619" s="474"/>
      <c r="Y619" s="474"/>
      <c r="Z619" s="474"/>
    </row>
    <row r="620" ht="12.0" customHeight="1">
      <c r="A620" s="480"/>
      <c r="B620" s="485"/>
      <c r="C620" s="525"/>
      <c r="D620" s="525"/>
      <c r="E620" s="526"/>
      <c r="F620" s="526"/>
      <c r="G620" s="474"/>
      <c r="H620" s="474"/>
      <c r="I620" s="474"/>
      <c r="J620" s="474"/>
      <c r="K620" s="474"/>
      <c r="L620" s="474"/>
      <c r="M620" s="474"/>
      <c r="N620" s="474"/>
      <c r="O620" s="474"/>
      <c r="P620" s="474"/>
      <c r="Q620" s="474"/>
      <c r="R620" s="474"/>
      <c r="S620" s="474"/>
      <c r="T620" s="474"/>
      <c r="U620" s="474"/>
      <c r="V620" s="474"/>
      <c r="W620" s="474"/>
      <c r="X620" s="474"/>
      <c r="Y620" s="474"/>
      <c r="Z620" s="474"/>
    </row>
    <row r="621" ht="12.0" customHeight="1">
      <c r="A621" s="480"/>
      <c r="B621" s="485"/>
      <c r="C621" s="525"/>
      <c r="D621" s="525"/>
      <c r="E621" s="526"/>
      <c r="F621" s="526"/>
      <c r="G621" s="474"/>
      <c r="H621" s="474"/>
      <c r="I621" s="474"/>
      <c r="J621" s="474"/>
      <c r="K621" s="474"/>
      <c r="L621" s="474"/>
      <c r="M621" s="474"/>
      <c r="N621" s="474"/>
      <c r="O621" s="474"/>
      <c r="P621" s="474"/>
      <c r="Q621" s="474"/>
      <c r="R621" s="474"/>
      <c r="S621" s="474"/>
      <c r="T621" s="474"/>
      <c r="U621" s="474"/>
      <c r="V621" s="474"/>
      <c r="W621" s="474"/>
      <c r="X621" s="474"/>
      <c r="Y621" s="474"/>
      <c r="Z621" s="474"/>
    </row>
    <row r="622" ht="12.0" customHeight="1">
      <c r="A622" s="480"/>
      <c r="B622" s="485"/>
      <c r="C622" s="525"/>
      <c r="D622" s="525"/>
      <c r="E622" s="526"/>
      <c r="F622" s="526"/>
      <c r="G622" s="474"/>
      <c r="H622" s="474"/>
      <c r="I622" s="474"/>
      <c r="J622" s="474"/>
      <c r="K622" s="474"/>
      <c r="L622" s="474"/>
      <c r="M622" s="474"/>
      <c r="N622" s="474"/>
      <c r="O622" s="474"/>
      <c r="P622" s="474"/>
      <c r="Q622" s="474"/>
      <c r="R622" s="474"/>
      <c r="S622" s="474"/>
      <c r="T622" s="474"/>
      <c r="U622" s="474"/>
      <c r="V622" s="474"/>
      <c r="W622" s="474"/>
      <c r="X622" s="474"/>
      <c r="Y622" s="474"/>
      <c r="Z622" s="474"/>
    </row>
    <row r="623" ht="12.0" customHeight="1">
      <c r="A623" s="480"/>
      <c r="B623" s="485"/>
      <c r="C623" s="525"/>
      <c r="D623" s="525"/>
      <c r="E623" s="526"/>
      <c r="F623" s="526"/>
      <c r="G623" s="474"/>
      <c r="H623" s="474"/>
      <c r="I623" s="474"/>
      <c r="J623" s="474"/>
      <c r="K623" s="474"/>
      <c r="L623" s="474"/>
      <c r="M623" s="474"/>
      <c r="N623" s="474"/>
      <c r="O623" s="474"/>
      <c r="P623" s="474"/>
      <c r="Q623" s="474"/>
      <c r="R623" s="474"/>
      <c r="S623" s="474"/>
      <c r="T623" s="474"/>
      <c r="U623" s="474"/>
      <c r="V623" s="474"/>
      <c r="W623" s="474"/>
      <c r="X623" s="474"/>
      <c r="Y623" s="474"/>
      <c r="Z623" s="474"/>
    </row>
    <row r="624" ht="12.0" customHeight="1">
      <c r="A624" s="480"/>
      <c r="B624" s="485"/>
      <c r="C624" s="525"/>
      <c r="D624" s="525"/>
      <c r="E624" s="526"/>
      <c r="F624" s="526"/>
      <c r="G624" s="474"/>
      <c r="H624" s="474"/>
      <c r="I624" s="474"/>
      <c r="J624" s="474"/>
      <c r="K624" s="474"/>
      <c r="L624" s="474"/>
      <c r="M624" s="474"/>
      <c r="N624" s="474"/>
      <c r="O624" s="474"/>
      <c r="P624" s="474"/>
      <c r="Q624" s="474"/>
      <c r="R624" s="474"/>
      <c r="S624" s="474"/>
      <c r="T624" s="474"/>
      <c r="U624" s="474"/>
      <c r="V624" s="474"/>
      <c r="W624" s="474"/>
      <c r="X624" s="474"/>
      <c r="Y624" s="474"/>
      <c r="Z624" s="474"/>
    </row>
    <row r="625" ht="12.0" customHeight="1">
      <c r="A625" s="480"/>
      <c r="B625" s="485"/>
      <c r="C625" s="525"/>
      <c r="D625" s="525"/>
      <c r="E625" s="526"/>
      <c r="F625" s="526"/>
      <c r="G625" s="474"/>
      <c r="H625" s="474"/>
      <c r="I625" s="474"/>
      <c r="J625" s="474"/>
      <c r="K625" s="474"/>
      <c r="L625" s="474"/>
      <c r="M625" s="474"/>
      <c r="N625" s="474"/>
      <c r="O625" s="474"/>
      <c r="P625" s="474"/>
      <c r="Q625" s="474"/>
      <c r="R625" s="474"/>
      <c r="S625" s="474"/>
      <c r="T625" s="474"/>
      <c r="U625" s="474"/>
      <c r="V625" s="474"/>
      <c r="W625" s="474"/>
      <c r="X625" s="474"/>
      <c r="Y625" s="474"/>
      <c r="Z625" s="474"/>
    </row>
    <row r="626" ht="12.0" customHeight="1">
      <c r="A626" s="480"/>
      <c r="B626" s="485"/>
      <c r="C626" s="525"/>
      <c r="D626" s="525"/>
      <c r="E626" s="526"/>
      <c r="F626" s="526"/>
      <c r="G626" s="474"/>
      <c r="H626" s="474"/>
      <c r="I626" s="474"/>
      <c r="J626" s="474"/>
      <c r="K626" s="474"/>
      <c r="L626" s="474"/>
      <c r="M626" s="474"/>
      <c r="N626" s="474"/>
      <c r="O626" s="474"/>
      <c r="P626" s="474"/>
      <c r="Q626" s="474"/>
      <c r="R626" s="474"/>
      <c r="S626" s="474"/>
      <c r="T626" s="474"/>
      <c r="U626" s="474"/>
      <c r="V626" s="474"/>
      <c r="W626" s="474"/>
      <c r="X626" s="474"/>
      <c r="Y626" s="474"/>
      <c r="Z626" s="474"/>
    </row>
    <row r="627" ht="12.0" customHeight="1">
      <c r="A627" s="480"/>
      <c r="B627" s="485"/>
      <c r="C627" s="525"/>
      <c r="D627" s="525"/>
      <c r="E627" s="526"/>
      <c r="F627" s="526"/>
      <c r="G627" s="474"/>
      <c r="H627" s="474"/>
      <c r="I627" s="474"/>
      <c r="J627" s="474"/>
      <c r="K627" s="474"/>
      <c r="L627" s="474"/>
      <c r="M627" s="474"/>
      <c r="N627" s="474"/>
      <c r="O627" s="474"/>
      <c r="P627" s="474"/>
      <c r="Q627" s="474"/>
      <c r="R627" s="474"/>
      <c r="S627" s="474"/>
      <c r="T627" s="474"/>
      <c r="U627" s="474"/>
      <c r="V627" s="474"/>
      <c r="W627" s="474"/>
      <c r="X627" s="474"/>
      <c r="Y627" s="474"/>
      <c r="Z627" s="474"/>
    </row>
    <row r="628" ht="12.0" customHeight="1">
      <c r="A628" s="480"/>
      <c r="B628" s="485"/>
      <c r="C628" s="525"/>
      <c r="D628" s="525"/>
      <c r="E628" s="526"/>
      <c r="F628" s="526"/>
      <c r="G628" s="474"/>
      <c r="H628" s="474"/>
      <c r="I628" s="474"/>
      <c r="J628" s="474"/>
      <c r="K628" s="474"/>
      <c r="L628" s="474"/>
      <c r="M628" s="474"/>
      <c r="N628" s="474"/>
      <c r="O628" s="474"/>
      <c r="P628" s="474"/>
      <c r="Q628" s="474"/>
      <c r="R628" s="474"/>
      <c r="S628" s="474"/>
      <c r="T628" s="474"/>
      <c r="U628" s="474"/>
      <c r="V628" s="474"/>
      <c r="W628" s="474"/>
      <c r="X628" s="474"/>
      <c r="Y628" s="474"/>
      <c r="Z628" s="474"/>
    </row>
    <row r="629" ht="12.0" customHeight="1">
      <c r="A629" s="480"/>
      <c r="B629" s="485"/>
      <c r="C629" s="525"/>
      <c r="D629" s="525"/>
      <c r="E629" s="526"/>
      <c r="F629" s="526"/>
      <c r="G629" s="474"/>
      <c r="H629" s="474"/>
      <c r="I629" s="474"/>
      <c r="J629" s="474"/>
      <c r="K629" s="474"/>
      <c r="L629" s="474"/>
      <c r="M629" s="474"/>
      <c r="N629" s="474"/>
      <c r="O629" s="474"/>
      <c r="P629" s="474"/>
      <c r="Q629" s="474"/>
      <c r="R629" s="474"/>
      <c r="S629" s="474"/>
      <c r="T629" s="474"/>
      <c r="U629" s="474"/>
      <c r="V629" s="474"/>
      <c r="W629" s="474"/>
      <c r="X629" s="474"/>
      <c r="Y629" s="474"/>
      <c r="Z629" s="474"/>
    </row>
    <row r="630" ht="12.0" customHeight="1">
      <c r="A630" s="480"/>
      <c r="B630" s="485"/>
      <c r="C630" s="525"/>
      <c r="D630" s="525"/>
      <c r="E630" s="526"/>
      <c r="F630" s="526"/>
      <c r="G630" s="474"/>
      <c r="H630" s="474"/>
      <c r="I630" s="474"/>
      <c r="J630" s="474"/>
      <c r="K630" s="474"/>
      <c r="L630" s="474"/>
      <c r="M630" s="474"/>
      <c r="N630" s="474"/>
      <c r="O630" s="474"/>
      <c r="P630" s="474"/>
      <c r="Q630" s="474"/>
      <c r="R630" s="474"/>
      <c r="S630" s="474"/>
      <c r="T630" s="474"/>
      <c r="U630" s="474"/>
      <c r="V630" s="474"/>
      <c r="W630" s="474"/>
      <c r="X630" s="474"/>
      <c r="Y630" s="474"/>
      <c r="Z630" s="474"/>
    </row>
    <row r="631" ht="12.0" customHeight="1">
      <c r="A631" s="480"/>
      <c r="B631" s="485"/>
      <c r="C631" s="525"/>
      <c r="D631" s="525"/>
      <c r="E631" s="526"/>
      <c r="F631" s="526"/>
      <c r="G631" s="474"/>
      <c r="H631" s="474"/>
      <c r="I631" s="474"/>
      <c r="J631" s="474"/>
      <c r="K631" s="474"/>
      <c r="L631" s="474"/>
      <c r="M631" s="474"/>
      <c r="N631" s="474"/>
      <c r="O631" s="474"/>
      <c r="P631" s="474"/>
      <c r="Q631" s="474"/>
      <c r="R631" s="474"/>
      <c r="S631" s="474"/>
      <c r="T631" s="474"/>
      <c r="U631" s="474"/>
      <c r="V631" s="474"/>
      <c r="W631" s="474"/>
      <c r="X631" s="474"/>
      <c r="Y631" s="474"/>
      <c r="Z631" s="474"/>
    </row>
    <row r="632" ht="12.0" customHeight="1">
      <c r="A632" s="480"/>
      <c r="B632" s="485"/>
      <c r="C632" s="525"/>
      <c r="D632" s="525"/>
      <c r="E632" s="526"/>
      <c r="F632" s="526"/>
      <c r="G632" s="474"/>
      <c r="H632" s="474"/>
      <c r="I632" s="474"/>
      <c r="J632" s="474"/>
      <c r="K632" s="474"/>
      <c r="L632" s="474"/>
      <c r="M632" s="474"/>
      <c r="N632" s="474"/>
      <c r="O632" s="474"/>
      <c r="P632" s="474"/>
      <c r="Q632" s="474"/>
      <c r="R632" s="474"/>
      <c r="S632" s="474"/>
      <c r="T632" s="474"/>
      <c r="U632" s="474"/>
      <c r="V632" s="474"/>
      <c r="W632" s="474"/>
      <c r="X632" s="474"/>
      <c r="Y632" s="474"/>
      <c r="Z632" s="474"/>
    </row>
    <row r="633" ht="12.0" customHeight="1">
      <c r="A633" s="480"/>
      <c r="B633" s="485"/>
      <c r="C633" s="525"/>
      <c r="D633" s="525"/>
      <c r="E633" s="526"/>
      <c r="F633" s="526"/>
      <c r="G633" s="474"/>
      <c r="H633" s="474"/>
      <c r="I633" s="474"/>
      <c r="J633" s="474"/>
      <c r="K633" s="474"/>
      <c r="L633" s="474"/>
      <c r="M633" s="474"/>
      <c r="N633" s="474"/>
      <c r="O633" s="474"/>
      <c r="P633" s="474"/>
      <c r="Q633" s="474"/>
      <c r="R633" s="474"/>
      <c r="S633" s="474"/>
      <c r="T633" s="474"/>
      <c r="U633" s="474"/>
      <c r="V633" s="474"/>
      <c r="W633" s="474"/>
      <c r="X633" s="474"/>
      <c r="Y633" s="474"/>
      <c r="Z633" s="474"/>
    </row>
    <row r="634" ht="12.0" customHeight="1">
      <c r="A634" s="480"/>
      <c r="B634" s="485"/>
      <c r="C634" s="525"/>
      <c r="D634" s="525"/>
      <c r="E634" s="526"/>
      <c r="F634" s="526"/>
      <c r="G634" s="474"/>
      <c r="H634" s="474"/>
      <c r="I634" s="474"/>
      <c r="J634" s="474"/>
      <c r="K634" s="474"/>
      <c r="L634" s="474"/>
      <c r="M634" s="474"/>
      <c r="N634" s="474"/>
      <c r="O634" s="474"/>
      <c r="P634" s="474"/>
      <c r="Q634" s="474"/>
      <c r="R634" s="474"/>
      <c r="S634" s="474"/>
      <c r="T634" s="474"/>
      <c r="U634" s="474"/>
      <c r="V634" s="474"/>
      <c r="W634" s="474"/>
      <c r="X634" s="474"/>
      <c r="Y634" s="474"/>
      <c r="Z634" s="474"/>
    </row>
    <row r="635" ht="12.0" customHeight="1">
      <c r="A635" s="480"/>
      <c r="B635" s="485"/>
      <c r="C635" s="525"/>
      <c r="D635" s="525"/>
      <c r="E635" s="526"/>
      <c r="F635" s="526"/>
      <c r="G635" s="474"/>
      <c r="H635" s="474"/>
      <c r="I635" s="474"/>
      <c r="J635" s="474"/>
      <c r="K635" s="474"/>
      <c r="L635" s="474"/>
      <c r="M635" s="474"/>
      <c r="N635" s="474"/>
      <c r="O635" s="474"/>
      <c r="P635" s="474"/>
      <c r="Q635" s="474"/>
      <c r="R635" s="474"/>
      <c r="S635" s="474"/>
      <c r="T635" s="474"/>
      <c r="U635" s="474"/>
      <c r="V635" s="474"/>
      <c r="W635" s="474"/>
      <c r="X635" s="474"/>
      <c r="Y635" s="474"/>
      <c r="Z635" s="474"/>
    </row>
    <row r="636" ht="12.0" customHeight="1">
      <c r="A636" s="480"/>
      <c r="B636" s="485"/>
      <c r="C636" s="525"/>
      <c r="D636" s="525"/>
      <c r="E636" s="526"/>
      <c r="F636" s="526"/>
      <c r="G636" s="474"/>
      <c r="H636" s="474"/>
      <c r="I636" s="474"/>
      <c r="J636" s="474"/>
      <c r="K636" s="474"/>
      <c r="L636" s="474"/>
      <c r="M636" s="474"/>
      <c r="N636" s="474"/>
      <c r="O636" s="474"/>
      <c r="P636" s="474"/>
      <c r="Q636" s="474"/>
      <c r="R636" s="474"/>
      <c r="S636" s="474"/>
      <c r="T636" s="474"/>
      <c r="U636" s="474"/>
      <c r="V636" s="474"/>
      <c r="W636" s="474"/>
      <c r="X636" s="474"/>
      <c r="Y636" s="474"/>
      <c r="Z636" s="474"/>
    </row>
    <row r="637" ht="12.0" customHeight="1">
      <c r="A637" s="480"/>
      <c r="B637" s="485"/>
      <c r="C637" s="525"/>
      <c r="D637" s="525"/>
      <c r="E637" s="526"/>
      <c r="F637" s="526"/>
      <c r="G637" s="474"/>
      <c r="H637" s="474"/>
      <c r="I637" s="474"/>
      <c r="J637" s="474"/>
      <c r="K637" s="474"/>
      <c r="L637" s="474"/>
      <c r="M637" s="474"/>
      <c r="N637" s="474"/>
      <c r="O637" s="474"/>
      <c r="P637" s="474"/>
      <c r="Q637" s="474"/>
      <c r="R637" s="474"/>
      <c r="S637" s="474"/>
      <c r="T637" s="474"/>
      <c r="U637" s="474"/>
      <c r="V637" s="474"/>
      <c r="W637" s="474"/>
      <c r="X637" s="474"/>
      <c r="Y637" s="474"/>
      <c r="Z637" s="474"/>
    </row>
    <row r="638" ht="12.0" customHeight="1">
      <c r="A638" s="480"/>
      <c r="B638" s="485"/>
      <c r="C638" s="525"/>
      <c r="D638" s="525"/>
      <c r="E638" s="526"/>
      <c r="F638" s="526"/>
      <c r="G638" s="474"/>
      <c r="H638" s="474"/>
      <c r="I638" s="474"/>
      <c r="J638" s="474"/>
      <c r="K638" s="474"/>
      <c r="L638" s="474"/>
      <c r="M638" s="474"/>
      <c r="N638" s="474"/>
      <c r="O638" s="474"/>
      <c r="P638" s="474"/>
      <c r="Q638" s="474"/>
      <c r="R638" s="474"/>
      <c r="S638" s="474"/>
      <c r="T638" s="474"/>
      <c r="U638" s="474"/>
      <c r="V638" s="474"/>
      <c r="W638" s="474"/>
      <c r="X638" s="474"/>
      <c r="Y638" s="474"/>
      <c r="Z638" s="474"/>
    </row>
    <row r="639" ht="12.0" customHeight="1">
      <c r="A639" s="480"/>
      <c r="B639" s="485"/>
      <c r="C639" s="525"/>
      <c r="D639" s="525"/>
      <c r="E639" s="526"/>
      <c r="F639" s="526"/>
      <c r="G639" s="474"/>
      <c r="H639" s="474"/>
      <c r="I639" s="474"/>
      <c r="J639" s="474"/>
      <c r="K639" s="474"/>
      <c r="L639" s="474"/>
      <c r="M639" s="474"/>
      <c r="N639" s="474"/>
      <c r="O639" s="474"/>
      <c r="P639" s="474"/>
      <c r="Q639" s="474"/>
      <c r="R639" s="474"/>
      <c r="S639" s="474"/>
      <c r="T639" s="474"/>
      <c r="U639" s="474"/>
      <c r="V639" s="474"/>
      <c r="W639" s="474"/>
      <c r="X639" s="474"/>
      <c r="Y639" s="474"/>
      <c r="Z639" s="474"/>
    </row>
    <row r="640" ht="12.0" customHeight="1">
      <c r="A640" s="480"/>
      <c r="B640" s="485"/>
      <c r="C640" s="525"/>
      <c r="D640" s="525"/>
      <c r="E640" s="526"/>
      <c r="F640" s="526"/>
      <c r="G640" s="474"/>
      <c r="H640" s="474"/>
      <c r="I640" s="474"/>
      <c r="J640" s="474"/>
      <c r="K640" s="474"/>
      <c r="L640" s="474"/>
      <c r="M640" s="474"/>
      <c r="N640" s="474"/>
      <c r="O640" s="474"/>
      <c r="P640" s="474"/>
      <c r="Q640" s="474"/>
      <c r="R640" s="474"/>
      <c r="S640" s="474"/>
      <c r="T640" s="474"/>
      <c r="U640" s="474"/>
      <c r="V640" s="474"/>
      <c r="W640" s="474"/>
      <c r="X640" s="474"/>
      <c r="Y640" s="474"/>
      <c r="Z640" s="474"/>
    </row>
    <row r="641" ht="12.0" customHeight="1">
      <c r="A641" s="480"/>
      <c r="B641" s="485"/>
      <c r="C641" s="525"/>
      <c r="D641" s="525"/>
      <c r="E641" s="526"/>
      <c r="F641" s="526"/>
      <c r="G641" s="474"/>
      <c r="H641" s="474"/>
      <c r="I641" s="474"/>
      <c r="J641" s="474"/>
      <c r="K641" s="474"/>
      <c r="L641" s="474"/>
      <c r="M641" s="474"/>
      <c r="N641" s="474"/>
      <c r="O641" s="474"/>
      <c r="P641" s="474"/>
      <c r="Q641" s="474"/>
      <c r="R641" s="474"/>
      <c r="S641" s="474"/>
      <c r="T641" s="474"/>
      <c r="U641" s="474"/>
      <c r="V641" s="474"/>
      <c r="W641" s="474"/>
      <c r="X641" s="474"/>
      <c r="Y641" s="474"/>
      <c r="Z641" s="474"/>
    </row>
    <row r="642" ht="12.0" customHeight="1">
      <c r="A642" s="480"/>
      <c r="B642" s="485"/>
      <c r="C642" s="525"/>
      <c r="D642" s="525"/>
      <c r="E642" s="526"/>
      <c r="F642" s="526"/>
      <c r="G642" s="474"/>
      <c r="H642" s="474"/>
      <c r="I642" s="474"/>
      <c r="J642" s="474"/>
      <c r="K642" s="474"/>
      <c r="L642" s="474"/>
      <c r="M642" s="474"/>
      <c r="N642" s="474"/>
      <c r="O642" s="474"/>
      <c r="P642" s="474"/>
      <c r="Q642" s="474"/>
      <c r="R642" s="474"/>
      <c r="S642" s="474"/>
      <c r="T642" s="474"/>
      <c r="U642" s="474"/>
      <c r="V642" s="474"/>
      <c r="W642" s="474"/>
      <c r="X642" s="474"/>
      <c r="Y642" s="474"/>
      <c r="Z642" s="474"/>
    </row>
    <row r="643" ht="12.0" customHeight="1">
      <c r="A643" s="480"/>
      <c r="B643" s="485"/>
      <c r="C643" s="525"/>
      <c r="D643" s="525"/>
      <c r="E643" s="526"/>
      <c r="F643" s="526"/>
      <c r="G643" s="474"/>
      <c r="H643" s="474"/>
      <c r="I643" s="474"/>
      <c r="J643" s="474"/>
      <c r="K643" s="474"/>
      <c r="L643" s="474"/>
      <c r="M643" s="474"/>
      <c r="N643" s="474"/>
      <c r="O643" s="474"/>
      <c r="P643" s="474"/>
      <c r="Q643" s="474"/>
      <c r="R643" s="474"/>
      <c r="S643" s="474"/>
      <c r="T643" s="474"/>
      <c r="U643" s="474"/>
      <c r="V643" s="474"/>
      <c r="W643" s="474"/>
      <c r="X643" s="474"/>
      <c r="Y643" s="474"/>
      <c r="Z643" s="474"/>
    </row>
    <row r="644" ht="12.0" customHeight="1">
      <c r="A644" s="480"/>
      <c r="B644" s="485"/>
      <c r="C644" s="525"/>
      <c r="D644" s="525"/>
      <c r="E644" s="526"/>
      <c r="F644" s="526"/>
      <c r="G644" s="474"/>
      <c r="H644" s="474"/>
      <c r="I644" s="474"/>
      <c r="J644" s="474"/>
      <c r="K644" s="474"/>
      <c r="L644" s="474"/>
      <c r="M644" s="474"/>
      <c r="N644" s="474"/>
      <c r="O644" s="474"/>
      <c r="P644" s="474"/>
      <c r="Q644" s="474"/>
      <c r="R644" s="474"/>
      <c r="S644" s="474"/>
      <c r="T644" s="474"/>
      <c r="U644" s="474"/>
      <c r="V644" s="474"/>
      <c r="W644" s="474"/>
      <c r="X644" s="474"/>
      <c r="Y644" s="474"/>
      <c r="Z644" s="474"/>
    </row>
    <row r="645" ht="12.0" customHeight="1">
      <c r="A645" s="480"/>
      <c r="B645" s="485"/>
      <c r="C645" s="525"/>
      <c r="D645" s="525"/>
      <c r="E645" s="526"/>
      <c r="F645" s="526"/>
      <c r="G645" s="474"/>
      <c r="H645" s="474"/>
      <c r="I645" s="474"/>
      <c r="J645" s="474"/>
      <c r="K645" s="474"/>
      <c r="L645" s="474"/>
      <c r="M645" s="474"/>
      <c r="N645" s="474"/>
      <c r="O645" s="474"/>
      <c r="P645" s="474"/>
      <c r="Q645" s="474"/>
      <c r="R645" s="474"/>
      <c r="S645" s="474"/>
      <c r="T645" s="474"/>
      <c r="U645" s="474"/>
      <c r="V645" s="474"/>
      <c r="W645" s="474"/>
      <c r="X645" s="474"/>
      <c r="Y645" s="474"/>
      <c r="Z645" s="474"/>
    </row>
    <row r="646" ht="12.0" customHeight="1">
      <c r="A646" s="480"/>
      <c r="B646" s="485"/>
      <c r="C646" s="525"/>
      <c r="D646" s="525"/>
      <c r="E646" s="526"/>
      <c r="F646" s="526"/>
      <c r="G646" s="474"/>
      <c r="H646" s="474"/>
      <c r="I646" s="474"/>
      <c r="J646" s="474"/>
      <c r="K646" s="474"/>
      <c r="L646" s="474"/>
      <c r="M646" s="474"/>
      <c r="N646" s="474"/>
      <c r="O646" s="474"/>
      <c r="P646" s="474"/>
      <c r="Q646" s="474"/>
      <c r="R646" s="474"/>
      <c r="S646" s="474"/>
      <c r="T646" s="474"/>
      <c r="U646" s="474"/>
      <c r="V646" s="474"/>
      <c r="W646" s="474"/>
      <c r="X646" s="474"/>
      <c r="Y646" s="474"/>
      <c r="Z646" s="474"/>
    </row>
    <row r="647" ht="12.0" customHeight="1">
      <c r="A647" s="480"/>
      <c r="B647" s="485"/>
      <c r="C647" s="525"/>
      <c r="D647" s="525"/>
      <c r="E647" s="526"/>
      <c r="F647" s="526"/>
      <c r="G647" s="474"/>
      <c r="H647" s="474"/>
      <c r="I647" s="474"/>
      <c r="J647" s="474"/>
      <c r="K647" s="474"/>
      <c r="L647" s="474"/>
      <c r="M647" s="474"/>
      <c r="N647" s="474"/>
      <c r="O647" s="474"/>
      <c r="P647" s="474"/>
      <c r="Q647" s="474"/>
      <c r="R647" s="474"/>
      <c r="S647" s="474"/>
      <c r="T647" s="474"/>
      <c r="U647" s="474"/>
      <c r="V647" s="474"/>
      <c r="W647" s="474"/>
      <c r="X647" s="474"/>
      <c r="Y647" s="474"/>
      <c r="Z647" s="474"/>
    </row>
    <row r="648" ht="12.0" customHeight="1">
      <c r="A648" s="480"/>
      <c r="B648" s="485"/>
      <c r="C648" s="525"/>
      <c r="D648" s="525"/>
      <c r="E648" s="526"/>
      <c r="F648" s="526"/>
      <c r="G648" s="474"/>
      <c r="H648" s="474"/>
      <c r="I648" s="474"/>
      <c r="J648" s="474"/>
      <c r="K648" s="474"/>
      <c r="L648" s="474"/>
      <c r="M648" s="474"/>
      <c r="N648" s="474"/>
      <c r="O648" s="474"/>
      <c r="P648" s="474"/>
      <c r="Q648" s="474"/>
      <c r="R648" s="474"/>
      <c r="S648" s="474"/>
      <c r="T648" s="474"/>
      <c r="U648" s="474"/>
      <c r="V648" s="474"/>
      <c r="W648" s="474"/>
      <c r="X648" s="474"/>
      <c r="Y648" s="474"/>
      <c r="Z648" s="474"/>
    </row>
    <row r="649" ht="12.0" customHeight="1">
      <c r="A649" s="480"/>
      <c r="B649" s="485"/>
      <c r="C649" s="525"/>
      <c r="D649" s="525"/>
      <c r="E649" s="526"/>
      <c r="F649" s="526"/>
      <c r="G649" s="474"/>
      <c r="H649" s="474"/>
      <c r="I649" s="474"/>
      <c r="J649" s="474"/>
      <c r="K649" s="474"/>
      <c r="L649" s="474"/>
      <c r="M649" s="474"/>
      <c r="N649" s="474"/>
      <c r="O649" s="474"/>
      <c r="P649" s="474"/>
      <c r="Q649" s="474"/>
      <c r="R649" s="474"/>
      <c r="S649" s="474"/>
      <c r="T649" s="474"/>
      <c r="U649" s="474"/>
      <c r="V649" s="474"/>
      <c r="W649" s="474"/>
      <c r="X649" s="474"/>
      <c r="Y649" s="474"/>
      <c r="Z649" s="474"/>
    </row>
    <row r="650" ht="12.0" customHeight="1">
      <c r="A650" s="480"/>
      <c r="B650" s="485"/>
      <c r="C650" s="525"/>
      <c r="D650" s="525"/>
      <c r="E650" s="526"/>
      <c r="F650" s="526"/>
      <c r="G650" s="474"/>
      <c r="H650" s="474"/>
      <c r="I650" s="474"/>
      <c r="J650" s="474"/>
      <c r="K650" s="474"/>
      <c r="L650" s="474"/>
      <c r="M650" s="474"/>
      <c r="N650" s="474"/>
      <c r="O650" s="474"/>
      <c r="P650" s="474"/>
      <c r="Q650" s="474"/>
      <c r="R650" s="474"/>
      <c r="S650" s="474"/>
      <c r="T650" s="474"/>
      <c r="U650" s="474"/>
      <c r="V650" s="474"/>
      <c r="W650" s="474"/>
      <c r="X650" s="474"/>
      <c r="Y650" s="474"/>
      <c r="Z650" s="474"/>
    </row>
    <row r="651" ht="12.0" customHeight="1">
      <c r="A651" s="480"/>
      <c r="B651" s="485"/>
      <c r="C651" s="525"/>
      <c r="D651" s="525"/>
      <c r="E651" s="526"/>
      <c r="F651" s="526"/>
      <c r="G651" s="474"/>
      <c r="H651" s="474"/>
      <c r="I651" s="474"/>
      <c r="J651" s="474"/>
      <c r="K651" s="474"/>
      <c r="L651" s="474"/>
      <c r="M651" s="474"/>
      <c r="N651" s="474"/>
      <c r="O651" s="474"/>
      <c r="P651" s="474"/>
      <c r="Q651" s="474"/>
      <c r="R651" s="474"/>
      <c r="S651" s="474"/>
      <c r="T651" s="474"/>
      <c r="U651" s="474"/>
      <c r="V651" s="474"/>
      <c r="W651" s="474"/>
      <c r="X651" s="474"/>
      <c r="Y651" s="474"/>
      <c r="Z651" s="474"/>
    </row>
    <row r="652" ht="12.0" customHeight="1">
      <c r="A652" s="480"/>
      <c r="B652" s="485"/>
      <c r="C652" s="525"/>
      <c r="D652" s="525"/>
      <c r="E652" s="526"/>
      <c r="F652" s="526"/>
      <c r="G652" s="474"/>
      <c r="H652" s="474"/>
      <c r="I652" s="474"/>
      <c r="J652" s="474"/>
      <c r="K652" s="474"/>
      <c r="L652" s="474"/>
      <c r="M652" s="474"/>
      <c r="N652" s="474"/>
      <c r="O652" s="474"/>
      <c r="P652" s="474"/>
      <c r="Q652" s="474"/>
      <c r="R652" s="474"/>
      <c r="S652" s="474"/>
      <c r="T652" s="474"/>
      <c r="U652" s="474"/>
      <c r="V652" s="474"/>
      <c r="W652" s="474"/>
      <c r="X652" s="474"/>
      <c r="Y652" s="474"/>
      <c r="Z652" s="474"/>
    </row>
    <row r="653" ht="12.0" customHeight="1">
      <c r="A653" s="480"/>
      <c r="B653" s="485"/>
      <c r="C653" s="525"/>
      <c r="D653" s="525"/>
      <c r="E653" s="526"/>
      <c r="F653" s="526"/>
      <c r="G653" s="474"/>
      <c r="H653" s="474"/>
      <c r="I653" s="474"/>
      <c r="J653" s="474"/>
      <c r="K653" s="474"/>
      <c r="L653" s="474"/>
      <c r="M653" s="474"/>
      <c r="N653" s="474"/>
      <c r="O653" s="474"/>
      <c r="P653" s="474"/>
      <c r="Q653" s="474"/>
      <c r="R653" s="474"/>
      <c r="S653" s="474"/>
      <c r="T653" s="474"/>
      <c r="U653" s="474"/>
      <c r="V653" s="474"/>
      <c r="W653" s="474"/>
      <c r="X653" s="474"/>
      <c r="Y653" s="474"/>
      <c r="Z653" s="474"/>
    </row>
    <row r="654" ht="12.0" customHeight="1">
      <c r="A654" s="480"/>
      <c r="B654" s="485"/>
      <c r="C654" s="525"/>
      <c r="D654" s="525"/>
      <c r="E654" s="526"/>
      <c r="F654" s="526"/>
      <c r="G654" s="474"/>
      <c r="H654" s="474"/>
      <c r="I654" s="474"/>
      <c r="J654" s="474"/>
      <c r="K654" s="474"/>
      <c r="L654" s="474"/>
      <c r="M654" s="474"/>
      <c r="N654" s="474"/>
      <c r="O654" s="474"/>
      <c r="P654" s="474"/>
      <c r="Q654" s="474"/>
      <c r="R654" s="474"/>
      <c r="S654" s="474"/>
      <c r="T654" s="474"/>
      <c r="U654" s="474"/>
      <c r="V654" s="474"/>
      <c r="W654" s="474"/>
      <c r="X654" s="474"/>
      <c r="Y654" s="474"/>
      <c r="Z654" s="474"/>
    </row>
    <row r="655" ht="12.0" customHeight="1">
      <c r="A655" s="480"/>
      <c r="B655" s="485"/>
      <c r="C655" s="525"/>
      <c r="D655" s="525"/>
      <c r="E655" s="526"/>
      <c r="F655" s="526"/>
      <c r="G655" s="474"/>
      <c r="H655" s="474"/>
      <c r="I655" s="474"/>
      <c r="J655" s="474"/>
      <c r="K655" s="474"/>
      <c r="L655" s="474"/>
      <c r="M655" s="474"/>
      <c r="N655" s="474"/>
      <c r="O655" s="474"/>
      <c r="P655" s="474"/>
      <c r="Q655" s="474"/>
      <c r="R655" s="474"/>
      <c r="S655" s="474"/>
      <c r="T655" s="474"/>
      <c r="U655" s="474"/>
      <c r="V655" s="474"/>
      <c r="W655" s="474"/>
      <c r="X655" s="474"/>
      <c r="Y655" s="474"/>
      <c r="Z655" s="474"/>
    </row>
    <row r="656" ht="12.0" customHeight="1">
      <c r="A656" s="480"/>
      <c r="B656" s="485"/>
      <c r="C656" s="525"/>
      <c r="D656" s="525"/>
      <c r="E656" s="526"/>
      <c r="F656" s="526"/>
      <c r="G656" s="474"/>
      <c r="H656" s="474"/>
      <c r="I656" s="474"/>
      <c r="J656" s="474"/>
      <c r="K656" s="474"/>
      <c r="L656" s="474"/>
      <c r="M656" s="474"/>
      <c r="N656" s="474"/>
      <c r="O656" s="474"/>
      <c r="P656" s="474"/>
      <c r="Q656" s="474"/>
      <c r="R656" s="474"/>
      <c r="S656" s="474"/>
      <c r="T656" s="474"/>
      <c r="U656" s="474"/>
      <c r="V656" s="474"/>
      <c r="W656" s="474"/>
      <c r="X656" s="474"/>
      <c r="Y656" s="474"/>
      <c r="Z656" s="474"/>
    </row>
    <row r="657" ht="12.0" customHeight="1">
      <c r="A657" s="480"/>
      <c r="B657" s="485"/>
      <c r="C657" s="525"/>
      <c r="D657" s="525"/>
      <c r="E657" s="526"/>
      <c r="F657" s="526"/>
      <c r="G657" s="474"/>
      <c r="H657" s="474"/>
      <c r="I657" s="474"/>
      <c r="J657" s="474"/>
      <c r="K657" s="474"/>
      <c r="L657" s="474"/>
      <c r="M657" s="474"/>
      <c r="N657" s="474"/>
      <c r="O657" s="474"/>
      <c r="P657" s="474"/>
      <c r="Q657" s="474"/>
      <c r="R657" s="474"/>
      <c r="S657" s="474"/>
      <c r="T657" s="474"/>
      <c r="U657" s="474"/>
      <c r="V657" s="474"/>
      <c r="W657" s="474"/>
      <c r="X657" s="474"/>
      <c r="Y657" s="474"/>
      <c r="Z657" s="474"/>
    </row>
    <row r="658" ht="12.0" customHeight="1">
      <c r="A658" s="480"/>
      <c r="B658" s="485"/>
      <c r="C658" s="525"/>
      <c r="D658" s="525"/>
      <c r="E658" s="526"/>
      <c r="F658" s="526"/>
      <c r="G658" s="474"/>
      <c r="H658" s="474"/>
      <c r="I658" s="474"/>
      <c r="J658" s="474"/>
      <c r="K658" s="474"/>
      <c r="L658" s="474"/>
      <c r="M658" s="474"/>
      <c r="N658" s="474"/>
      <c r="O658" s="474"/>
      <c r="P658" s="474"/>
      <c r="Q658" s="474"/>
      <c r="R658" s="474"/>
      <c r="S658" s="474"/>
      <c r="T658" s="474"/>
      <c r="U658" s="474"/>
      <c r="V658" s="474"/>
      <c r="W658" s="474"/>
      <c r="X658" s="474"/>
      <c r="Y658" s="474"/>
      <c r="Z658" s="474"/>
    </row>
    <row r="659" ht="12.0" customHeight="1">
      <c r="A659" s="480"/>
      <c r="B659" s="485"/>
      <c r="C659" s="525"/>
      <c r="D659" s="525"/>
      <c r="E659" s="526"/>
      <c r="F659" s="526"/>
      <c r="G659" s="474"/>
      <c r="H659" s="474"/>
      <c r="I659" s="474"/>
      <c r="J659" s="474"/>
      <c r="K659" s="474"/>
      <c r="L659" s="474"/>
      <c r="M659" s="474"/>
      <c r="N659" s="474"/>
      <c r="O659" s="474"/>
      <c r="P659" s="474"/>
      <c r="Q659" s="474"/>
      <c r="R659" s="474"/>
      <c r="S659" s="474"/>
      <c r="T659" s="474"/>
      <c r="U659" s="474"/>
      <c r="V659" s="474"/>
      <c r="W659" s="474"/>
      <c r="X659" s="474"/>
      <c r="Y659" s="474"/>
      <c r="Z659" s="474"/>
    </row>
    <row r="660" ht="12.0" customHeight="1">
      <c r="A660" s="480"/>
      <c r="B660" s="485"/>
      <c r="C660" s="525"/>
      <c r="D660" s="525"/>
      <c r="E660" s="526"/>
      <c r="F660" s="526"/>
      <c r="G660" s="474"/>
      <c r="H660" s="474"/>
      <c r="I660" s="474"/>
      <c r="J660" s="474"/>
      <c r="K660" s="474"/>
      <c r="L660" s="474"/>
      <c r="M660" s="474"/>
      <c r="N660" s="474"/>
      <c r="O660" s="474"/>
      <c r="P660" s="474"/>
      <c r="Q660" s="474"/>
      <c r="R660" s="474"/>
      <c r="S660" s="474"/>
      <c r="T660" s="474"/>
      <c r="U660" s="474"/>
      <c r="V660" s="474"/>
      <c r="W660" s="474"/>
      <c r="X660" s="474"/>
      <c r="Y660" s="474"/>
      <c r="Z660" s="474"/>
    </row>
    <row r="661" ht="12.0" customHeight="1">
      <c r="A661" s="480"/>
      <c r="B661" s="485"/>
      <c r="C661" s="525"/>
      <c r="D661" s="525"/>
      <c r="E661" s="526"/>
      <c r="F661" s="526"/>
      <c r="G661" s="474"/>
      <c r="H661" s="474"/>
      <c r="I661" s="474"/>
      <c r="J661" s="474"/>
      <c r="K661" s="474"/>
      <c r="L661" s="474"/>
      <c r="M661" s="474"/>
      <c r="N661" s="474"/>
      <c r="O661" s="474"/>
      <c r="P661" s="474"/>
      <c r="Q661" s="474"/>
      <c r="R661" s="474"/>
      <c r="S661" s="474"/>
      <c r="T661" s="474"/>
      <c r="U661" s="474"/>
      <c r="V661" s="474"/>
      <c r="W661" s="474"/>
      <c r="X661" s="474"/>
      <c r="Y661" s="474"/>
      <c r="Z661" s="474"/>
    </row>
    <row r="662" ht="12.0" customHeight="1">
      <c r="A662" s="480"/>
      <c r="B662" s="485"/>
      <c r="C662" s="525"/>
      <c r="D662" s="525"/>
      <c r="E662" s="526"/>
      <c r="F662" s="526"/>
      <c r="G662" s="474"/>
      <c r="H662" s="474"/>
      <c r="I662" s="474"/>
      <c r="J662" s="474"/>
      <c r="K662" s="474"/>
      <c r="L662" s="474"/>
      <c r="M662" s="474"/>
      <c r="N662" s="474"/>
      <c r="O662" s="474"/>
      <c r="P662" s="474"/>
      <c r="Q662" s="474"/>
      <c r="R662" s="474"/>
      <c r="S662" s="474"/>
      <c r="T662" s="474"/>
      <c r="U662" s="474"/>
      <c r="V662" s="474"/>
      <c r="W662" s="474"/>
      <c r="X662" s="474"/>
      <c r="Y662" s="474"/>
      <c r="Z662" s="474"/>
    </row>
    <row r="663" ht="12.0" customHeight="1">
      <c r="A663" s="480"/>
      <c r="B663" s="485"/>
      <c r="C663" s="525"/>
      <c r="D663" s="525"/>
      <c r="E663" s="526"/>
      <c r="F663" s="526"/>
      <c r="G663" s="474"/>
      <c r="H663" s="474"/>
      <c r="I663" s="474"/>
      <c r="J663" s="474"/>
      <c r="K663" s="474"/>
      <c r="L663" s="474"/>
      <c r="M663" s="474"/>
      <c r="N663" s="474"/>
      <c r="O663" s="474"/>
      <c r="P663" s="474"/>
      <c r="Q663" s="474"/>
      <c r="R663" s="474"/>
      <c r="S663" s="474"/>
      <c r="T663" s="474"/>
      <c r="U663" s="474"/>
      <c r="V663" s="474"/>
      <c r="W663" s="474"/>
      <c r="X663" s="474"/>
      <c r="Y663" s="474"/>
      <c r="Z663" s="474"/>
    </row>
    <row r="664" ht="12.0" customHeight="1">
      <c r="A664" s="480"/>
      <c r="B664" s="485"/>
      <c r="C664" s="525"/>
      <c r="D664" s="525"/>
      <c r="E664" s="526"/>
      <c r="F664" s="526"/>
      <c r="G664" s="474"/>
      <c r="H664" s="474"/>
      <c r="I664" s="474"/>
      <c r="J664" s="474"/>
      <c r="K664" s="474"/>
      <c r="L664" s="474"/>
      <c r="M664" s="474"/>
      <c r="N664" s="474"/>
      <c r="O664" s="474"/>
      <c r="P664" s="474"/>
      <c r="Q664" s="474"/>
      <c r="R664" s="474"/>
      <c r="S664" s="474"/>
      <c r="T664" s="474"/>
      <c r="U664" s="474"/>
      <c r="V664" s="474"/>
      <c r="W664" s="474"/>
      <c r="X664" s="474"/>
      <c r="Y664" s="474"/>
      <c r="Z664" s="474"/>
    </row>
    <row r="665" ht="12.0" customHeight="1">
      <c r="A665" s="480"/>
      <c r="B665" s="485"/>
      <c r="C665" s="525"/>
      <c r="D665" s="525"/>
      <c r="E665" s="526"/>
      <c r="F665" s="526"/>
      <c r="G665" s="474"/>
      <c r="H665" s="474"/>
      <c r="I665" s="474"/>
      <c r="J665" s="474"/>
      <c r="K665" s="474"/>
      <c r="L665" s="474"/>
      <c r="M665" s="474"/>
      <c r="N665" s="474"/>
      <c r="O665" s="474"/>
      <c r="P665" s="474"/>
      <c r="Q665" s="474"/>
      <c r="R665" s="474"/>
      <c r="S665" s="474"/>
      <c r="T665" s="474"/>
      <c r="U665" s="474"/>
      <c r="V665" s="474"/>
      <c r="W665" s="474"/>
      <c r="X665" s="474"/>
      <c r="Y665" s="474"/>
      <c r="Z665" s="474"/>
    </row>
    <row r="666" ht="12.0" customHeight="1">
      <c r="A666" s="480"/>
      <c r="B666" s="485"/>
      <c r="C666" s="525"/>
      <c r="D666" s="525"/>
      <c r="E666" s="526"/>
      <c r="F666" s="526"/>
      <c r="G666" s="474"/>
      <c r="H666" s="474"/>
      <c r="I666" s="474"/>
      <c r="J666" s="474"/>
      <c r="K666" s="474"/>
      <c r="L666" s="474"/>
      <c r="M666" s="474"/>
      <c r="N666" s="474"/>
      <c r="O666" s="474"/>
      <c r="P666" s="474"/>
      <c r="Q666" s="474"/>
      <c r="R666" s="474"/>
      <c r="S666" s="474"/>
      <c r="T666" s="474"/>
      <c r="U666" s="474"/>
      <c r="V666" s="474"/>
      <c r="W666" s="474"/>
      <c r="X666" s="474"/>
      <c r="Y666" s="474"/>
      <c r="Z666" s="474"/>
    </row>
    <row r="667" ht="12.0" customHeight="1">
      <c r="A667" s="480"/>
      <c r="B667" s="485"/>
      <c r="C667" s="525"/>
      <c r="D667" s="525"/>
      <c r="E667" s="526"/>
      <c r="F667" s="526"/>
      <c r="G667" s="474"/>
      <c r="H667" s="474"/>
      <c r="I667" s="474"/>
      <c r="J667" s="474"/>
      <c r="K667" s="474"/>
      <c r="L667" s="474"/>
      <c r="M667" s="474"/>
      <c r="N667" s="474"/>
      <c r="O667" s="474"/>
      <c r="P667" s="474"/>
      <c r="Q667" s="474"/>
      <c r="R667" s="474"/>
      <c r="S667" s="474"/>
      <c r="T667" s="474"/>
      <c r="U667" s="474"/>
      <c r="V667" s="474"/>
      <c r="W667" s="474"/>
      <c r="X667" s="474"/>
      <c r="Y667" s="474"/>
      <c r="Z667" s="474"/>
    </row>
    <row r="668" ht="12.0" customHeight="1">
      <c r="A668" s="480"/>
      <c r="B668" s="485"/>
      <c r="C668" s="525"/>
      <c r="D668" s="525"/>
      <c r="E668" s="526"/>
      <c r="F668" s="526"/>
      <c r="G668" s="474"/>
      <c r="H668" s="474"/>
      <c r="I668" s="474"/>
      <c r="J668" s="474"/>
      <c r="K668" s="474"/>
      <c r="L668" s="474"/>
      <c r="M668" s="474"/>
      <c r="N668" s="474"/>
      <c r="O668" s="474"/>
      <c r="P668" s="474"/>
      <c r="Q668" s="474"/>
      <c r="R668" s="474"/>
      <c r="S668" s="474"/>
      <c r="T668" s="474"/>
      <c r="U668" s="474"/>
      <c r="V668" s="474"/>
      <c r="W668" s="474"/>
      <c r="X668" s="474"/>
      <c r="Y668" s="474"/>
      <c r="Z668" s="474"/>
    </row>
    <row r="669" ht="12.0" customHeight="1">
      <c r="A669" s="480"/>
      <c r="B669" s="485"/>
      <c r="C669" s="525"/>
      <c r="D669" s="525"/>
      <c r="E669" s="526"/>
      <c r="F669" s="526"/>
      <c r="G669" s="474"/>
      <c r="H669" s="474"/>
      <c r="I669" s="474"/>
      <c r="J669" s="474"/>
      <c r="K669" s="474"/>
      <c r="L669" s="474"/>
      <c r="M669" s="474"/>
      <c r="N669" s="474"/>
      <c r="O669" s="474"/>
      <c r="P669" s="474"/>
      <c r="Q669" s="474"/>
      <c r="R669" s="474"/>
      <c r="S669" s="474"/>
      <c r="T669" s="474"/>
      <c r="U669" s="474"/>
      <c r="V669" s="474"/>
      <c r="W669" s="474"/>
      <c r="X669" s="474"/>
      <c r="Y669" s="474"/>
      <c r="Z669" s="474"/>
    </row>
    <row r="670" ht="12.0" customHeight="1">
      <c r="A670" s="480"/>
      <c r="B670" s="485"/>
      <c r="C670" s="525"/>
      <c r="D670" s="525"/>
      <c r="E670" s="526"/>
      <c r="F670" s="526"/>
      <c r="G670" s="474"/>
      <c r="H670" s="474"/>
      <c r="I670" s="474"/>
      <c r="J670" s="474"/>
      <c r="K670" s="474"/>
      <c r="L670" s="474"/>
      <c r="M670" s="474"/>
      <c r="N670" s="474"/>
      <c r="O670" s="474"/>
      <c r="P670" s="474"/>
      <c r="Q670" s="474"/>
      <c r="R670" s="474"/>
      <c r="S670" s="474"/>
      <c r="T670" s="474"/>
      <c r="U670" s="474"/>
      <c r="V670" s="474"/>
      <c r="W670" s="474"/>
      <c r="X670" s="474"/>
      <c r="Y670" s="474"/>
      <c r="Z670" s="474"/>
    </row>
    <row r="671" ht="12.0" customHeight="1">
      <c r="A671" s="480"/>
      <c r="B671" s="485"/>
      <c r="C671" s="525"/>
      <c r="D671" s="525"/>
      <c r="E671" s="526"/>
      <c r="F671" s="526"/>
      <c r="G671" s="474"/>
      <c r="H671" s="474"/>
      <c r="I671" s="474"/>
      <c r="J671" s="474"/>
      <c r="K671" s="474"/>
      <c r="L671" s="474"/>
      <c r="M671" s="474"/>
      <c r="N671" s="474"/>
      <c r="O671" s="474"/>
      <c r="P671" s="474"/>
      <c r="Q671" s="474"/>
      <c r="R671" s="474"/>
      <c r="S671" s="474"/>
      <c r="T671" s="474"/>
      <c r="U671" s="474"/>
      <c r="V671" s="474"/>
      <c r="W671" s="474"/>
      <c r="X671" s="474"/>
      <c r="Y671" s="474"/>
      <c r="Z671" s="474"/>
    </row>
    <row r="672" ht="12.0" customHeight="1">
      <c r="A672" s="480"/>
      <c r="B672" s="485"/>
      <c r="C672" s="525"/>
      <c r="D672" s="525"/>
      <c r="E672" s="526"/>
      <c r="F672" s="526"/>
      <c r="G672" s="474"/>
      <c r="H672" s="474"/>
      <c r="I672" s="474"/>
      <c r="J672" s="474"/>
      <c r="K672" s="474"/>
      <c r="L672" s="474"/>
      <c r="M672" s="474"/>
      <c r="N672" s="474"/>
      <c r="O672" s="474"/>
      <c r="P672" s="474"/>
      <c r="Q672" s="474"/>
      <c r="R672" s="474"/>
      <c r="S672" s="474"/>
      <c r="T672" s="474"/>
      <c r="U672" s="474"/>
      <c r="V672" s="474"/>
      <c r="W672" s="474"/>
      <c r="X672" s="474"/>
      <c r="Y672" s="474"/>
      <c r="Z672" s="474"/>
    </row>
    <row r="673" ht="12.0" customHeight="1">
      <c r="A673" s="480"/>
      <c r="B673" s="485"/>
      <c r="C673" s="525"/>
      <c r="D673" s="525"/>
      <c r="E673" s="526"/>
      <c r="F673" s="526"/>
      <c r="G673" s="474"/>
      <c r="H673" s="474"/>
      <c r="I673" s="474"/>
      <c r="J673" s="474"/>
      <c r="K673" s="474"/>
      <c r="L673" s="474"/>
      <c r="M673" s="474"/>
      <c r="N673" s="474"/>
      <c r="O673" s="474"/>
      <c r="P673" s="474"/>
      <c r="Q673" s="474"/>
      <c r="R673" s="474"/>
      <c r="S673" s="474"/>
      <c r="T673" s="474"/>
      <c r="U673" s="474"/>
      <c r="V673" s="474"/>
      <c r="W673" s="474"/>
      <c r="X673" s="474"/>
      <c r="Y673" s="474"/>
      <c r="Z673" s="474"/>
    </row>
    <row r="674" ht="12.0" customHeight="1">
      <c r="A674" s="480"/>
      <c r="B674" s="485"/>
      <c r="C674" s="525"/>
      <c r="D674" s="525"/>
      <c r="E674" s="526"/>
      <c r="F674" s="526"/>
      <c r="G674" s="474"/>
      <c r="H674" s="474"/>
      <c r="I674" s="474"/>
      <c r="J674" s="474"/>
      <c r="K674" s="474"/>
      <c r="L674" s="474"/>
      <c r="M674" s="474"/>
      <c r="N674" s="474"/>
      <c r="O674" s="474"/>
      <c r="P674" s="474"/>
      <c r="Q674" s="474"/>
      <c r="R674" s="474"/>
      <c r="S674" s="474"/>
      <c r="T674" s="474"/>
      <c r="U674" s="474"/>
      <c r="V674" s="474"/>
      <c r="W674" s="474"/>
      <c r="X674" s="474"/>
      <c r="Y674" s="474"/>
      <c r="Z674" s="474"/>
    </row>
    <row r="675" ht="12.0" customHeight="1">
      <c r="A675" s="480"/>
      <c r="B675" s="485"/>
      <c r="C675" s="525"/>
      <c r="D675" s="525"/>
      <c r="E675" s="526"/>
      <c r="F675" s="526"/>
      <c r="G675" s="474"/>
      <c r="H675" s="474"/>
      <c r="I675" s="474"/>
      <c r="J675" s="474"/>
      <c r="K675" s="474"/>
      <c r="L675" s="474"/>
      <c r="M675" s="474"/>
      <c r="N675" s="474"/>
      <c r="O675" s="474"/>
      <c r="P675" s="474"/>
      <c r="Q675" s="474"/>
      <c r="R675" s="474"/>
      <c r="S675" s="474"/>
      <c r="T675" s="474"/>
      <c r="U675" s="474"/>
      <c r="V675" s="474"/>
      <c r="W675" s="474"/>
      <c r="X675" s="474"/>
      <c r="Y675" s="474"/>
      <c r="Z675" s="474"/>
    </row>
    <row r="676" ht="12.0" customHeight="1">
      <c r="A676" s="480"/>
      <c r="B676" s="485"/>
      <c r="C676" s="525"/>
      <c r="D676" s="525"/>
      <c r="E676" s="526"/>
      <c r="F676" s="526"/>
      <c r="G676" s="474"/>
      <c r="H676" s="474"/>
      <c r="I676" s="474"/>
      <c r="J676" s="474"/>
      <c r="K676" s="474"/>
      <c r="L676" s="474"/>
      <c r="M676" s="474"/>
      <c r="N676" s="474"/>
      <c r="O676" s="474"/>
      <c r="P676" s="474"/>
      <c r="Q676" s="474"/>
      <c r="R676" s="474"/>
      <c r="S676" s="474"/>
      <c r="T676" s="474"/>
      <c r="U676" s="474"/>
      <c r="V676" s="474"/>
      <c r="W676" s="474"/>
      <c r="X676" s="474"/>
      <c r="Y676" s="474"/>
      <c r="Z676" s="474"/>
    </row>
    <row r="677" ht="12.0" customHeight="1">
      <c r="A677" s="480"/>
      <c r="B677" s="485"/>
      <c r="C677" s="525"/>
      <c r="D677" s="525"/>
      <c r="E677" s="526"/>
      <c r="F677" s="526"/>
      <c r="G677" s="474"/>
      <c r="H677" s="474"/>
      <c r="I677" s="474"/>
      <c r="J677" s="474"/>
      <c r="K677" s="474"/>
      <c r="L677" s="474"/>
      <c r="M677" s="474"/>
      <c r="N677" s="474"/>
      <c r="O677" s="474"/>
      <c r="P677" s="474"/>
      <c r="Q677" s="474"/>
      <c r="R677" s="474"/>
      <c r="S677" s="474"/>
      <c r="T677" s="474"/>
      <c r="U677" s="474"/>
      <c r="V677" s="474"/>
      <c r="W677" s="474"/>
      <c r="X677" s="474"/>
      <c r="Y677" s="474"/>
      <c r="Z677" s="474"/>
    </row>
    <row r="678" ht="12.0" customHeight="1">
      <c r="A678" s="480"/>
      <c r="B678" s="485"/>
      <c r="C678" s="525"/>
      <c r="D678" s="525"/>
      <c r="E678" s="526"/>
      <c r="F678" s="526"/>
      <c r="G678" s="474"/>
      <c r="H678" s="474"/>
      <c r="I678" s="474"/>
      <c r="J678" s="474"/>
      <c r="K678" s="474"/>
      <c r="L678" s="474"/>
      <c r="M678" s="474"/>
      <c r="N678" s="474"/>
      <c r="O678" s="474"/>
      <c r="P678" s="474"/>
      <c r="Q678" s="474"/>
      <c r="R678" s="474"/>
      <c r="S678" s="474"/>
      <c r="T678" s="474"/>
      <c r="U678" s="474"/>
      <c r="V678" s="474"/>
      <c r="W678" s="474"/>
      <c r="X678" s="474"/>
      <c r="Y678" s="474"/>
      <c r="Z678" s="474"/>
    </row>
    <row r="679" ht="12.0" customHeight="1">
      <c r="A679" s="480"/>
      <c r="B679" s="485"/>
      <c r="C679" s="525"/>
      <c r="D679" s="525"/>
      <c r="E679" s="526"/>
      <c r="F679" s="526"/>
      <c r="G679" s="474"/>
      <c r="H679" s="474"/>
      <c r="I679" s="474"/>
      <c r="J679" s="474"/>
      <c r="K679" s="474"/>
      <c r="L679" s="474"/>
      <c r="M679" s="474"/>
      <c r="N679" s="474"/>
      <c r="O679" s="474"/>
      <c r="P679" s="474"/>
      <c r="Q679" s="474"/>
      <c r="R679" s="474"/>
      <c r="S679" s="474"/>
      <c r="T679" s="474"/>
      <c r="U679" s="474"/>
      <c r="V679" s="474"/>
      <c r="W679" s="474"/>
      <c r="X679" s="474"/>
      <c r="Y679" s="474"/>
      <c r="Z679" s="474"/>
    </row>
    <row r="680" ht="12.0" customHeight="1">
      <c r="A680" s="480"/>
      <c r="B680" s="485"/>
      <c r="C680" s="525"/>
      <c r="D680" s="525"/>
      <c r="E680" s="526"/>
      <c r="F680" s="526"/>
      <c r="G680" s="474"/>
      <c r="H680" s="474"/>
      <c r="I680" s="474"/>
      <c r="J680" s="474"/>
      <c r="K680" s="474"/>
      <c r="L680" s="474"/>
      <c r="M680" s="474"/>
      <c r="N680" s="474"/>
      <c r="O680" s="474"/>
      <c r="P680" s="474"/>
      <c r="Q680" s="474"/>
      <c r="R680" s="474"/>
      <c r="S680" s="474"/>
      <c r="T680" s="474"/>
      <c r="U680" s="474"/>
      <c r="V680" s="474"/>
      <c r="W680" s="474"/>
      <c r="X680" s="474"/>
      <c r="Y680" s="474"/>
      <c r="Z680" s="474"/>
    </row>
    <row r="681" ht="12.0" customHeight="1">
      <c r="A681" s="480"/>
      <c r="B681" s="485"/>
      <c r="C681" s="525"/>
      <c r="D681" s="525"/>
      <c r="E681" s="526"/>
      <c r="F681" s="526"/>
      <c r="G681" s="474"/>
      <c r="H681" s="474"/>
      <c r="I681" s="474"/>
      <c r="J681" s="474"/>
      <c r="K681" s="474"/>
      <c r="L681" s="474"/>
      <c r="M681" s="474"/>
      <c r="N681" s="474"/>
      <c r="O681" s="474"/>
      <c r="P681" s="474"/>
      <c r="Q681" s="474"/>
      <c r="R681" s="474"/>
      <c r="S681" s="474"/>
      <c r="T681" s="474"/>
      <c r="U681" s="474"/>
      <c r="V681" s="474"/>
      <c r="W681" s="474"/>
      <c r="X681" s="474"/>
      <c r="Y681" s="474"/>
      <c r="Z681" s="474"/>
    </row>
    <row r="682" ht="12.0" customHeight="1">
      <c r="A682" s="480"/>
      <c r="B682" s="485"/>
      <c r="C682" s="525"/>
      <c r="D682" s="525"/>
      <c r="E682" s="526"/>
      <c r="F682" s="526"/>
      <c r="G682" s="474"/>
      <c r="H682" s="474"/>
      <c r="I682" s="474"/>
      <c r="J682" s="474"/>
      <c r="K682" s="474"/>
      <c r="L682" s="474"/>
      <c r="M682" s="474"/>
      <c r="N682" s="474"/>
      <c r="O682" s="474"/>
      <c r="P682" s="474"/>
      <c r="Q682" s="474"/>
      <c r="R682" s="474"/>
      <c r="S682" s="474"/>
      <c r="T682" s="474"/>
      <c r="U682" s="474"/>
      <c r="V682" s="474"/>
      <c r="W682" s="474"/>
      <c r="X682" s="474"/>
      <c r="Y682" s="474"/>
      <c r="Z682" s="474"/>
    </row>
    <row r="683" ht="12.0" customHeight="1">
      <c r="A683" s="480"/>
      <c r="B683" s="485"/>
      <c r="C683" s="525"/>
      <c r="D683" s="525"/>
      <c r="E683" s="526"/>
      <c r="F683" s="526"/>
      <c r="G683" s="474"/>
      <c r="H683" s="474"/>
      <c r="I683" s="474"/>
      <c r="J683" s="474"/>
      <c r="K683" s="474"/>
      <c r="L683" s="474"/>
      <c r="M683" s="474"/>
      <c r="N683" s="474"/>
      <c r="O683" s="474"/>
      <c r="P683" s="474"/>
      <c r="Q683" s="474"/>
      <c r="R683" s="474"/>
      <c r="S683" s="474"/>
      <c r="T683" s="474"/>
      <c r="U683" s="474"/>
      <c r="V683" s="474"/>
      <c r="W683" s="474"/>
      <c r="X683" s="474"/>
      <c r="Y683" s="474"/>
      <c r="Z683" s="474"/>
    </row>
    <row r="684" ht="12.0" customHeight="1">
      <c r="A684" s="480"/>
      <c r="B684" s="485"/>
      <c r="C684" s="525"/>
      <c r="D684" s="525"/>
      <c r="E684" s="526"/>
      <c r="F684" s="526"/>
      <c r="G684" s="474"/>
      <c r="H684" s="474"/>
      <c r="I684" s="474"/>
      <c r="J684" s="474"/>
      <c r="K684" s="474"/>
      <c r="L684" s="474"/>
      <c r="M684" s="474"/>
      <c r="N684" s="474"/>
      <c r="O684" s="474"/>
      <c r="P684" s="474"/>
      <c r="Q684" s="474"/>
      <c r="R684" s="474"/>
      <c r="S684" s="474"/>
      <c r="T684" s="474"/>
      <c r="U684" s="474"/>
      <c r="V684" s="474"/>
      <c r="W684" s="474"/>
      <c r="X684" s="474"/>
      <c r="Y684" s="474"/>
      <c r="Z684" s="474"/>
    </row>
    <row r="685" ht="12.0" customHeight="1">
      <c r="A685" s="480"/>
      <c r="B685" s="485"/>
      <c r="C685" s="525"/>
      <c r="D685" s="525"/>
      <c r="E685" s="526"/>
      <c r="F685" s="526"/>
      <c r="G685" s="474"/>
      <c r="H685" s="474"/>
      <c r="I685" s="474"/>
      <c r="J685" s="474"/>
      <c r="K685" s="474"/>
      <c r="L685" s="474"/>
      <c r="M685" s="474"/>
      <c r="N685" s="474"/>
      <c r="O685" s="474"/>
      <c r="P685" s="474"/>
      <c r="Q685" s="474"/>
      <c r="R685" s="474"/>
      <c r="S685" s="474"/>
      <c r="T685" s="474"/>
      <c r="U685" s="474"/>
      <c r="V685" s="474"/>
      <c r="W685" s="474"/>
      <c r="X685" s="474"/>
      <c r="Y685" s="474"/>
      <c r="Z685" s="474"/>
    </row>
    <row r="686" ht="12.0" customHeight="1">
      <c r="A686" s="480"/>
      <c r="B686" s="485"/>
      <c r="C686" s="525"/>
      <c r="D686" s="525"/>
      <c r="E686" s="526"/>
      <c r="F686" s="526"/>
      <c r="G686" s="474"/>
      <c r="H686" s="474"/>
      <c r="I686" s="474"/>
      <c r="J686" s="474"/>
      <c r="K686" s="474"/>
      <c r="L686" s="474"/>
      <c r="M686" s="474"/>
      <c r="N686" s="474"/>
      <c r="O686" s="474"/>
      <c r="P686" s="474"/>
      <c r="Q686" s="474"/>
      <c r="R686" s="474"/>
      <c r="S686" s="474"/>
      <c r="T686" s="474"/>
      <c r="U686" s="474"/>
      <c r="V686" s="474"/>
      <c r="W686" s="474"/>
      <c r="X686" s="474"/>
      <c r="Y686" s="474"/>
      <c r="Z686" s="474"/>
    </row>
    <row r="687" ht="12.0" customHeight="1">
      <c r="A687" s="480"/>
      <c r="B687" s="485"/>
      <c r="C687" s="525"/>
      <c r="D687" s="525"/>
      <c r="E687" s="526"/>
      <c r="F687" s="526"/>
      <c r="G687" s="474"/>
      <c r="H687" s="474"/>
      <c r="I687" s="474"/>
      <c r="J687" s="474"/>
      <c r="K687" s="474"/>
      <c r="L687" s="474"/>
      <c r="M687" s="474"/>
      <c r="N687" s="474"/>
      <c r="O687" s="474"/>
      <c r="P687" s="474"/>
      <c r="Q687" s="474"/>
      <c r="R687" s="474"/>
      <c r="S687" s="474"/>
      <c r="T687" s="474"/>
      <c r="U687" s="474"/>
      <c r="V687" s="474"/>
      <c r="W687" s="474"/>
      <c r="X687" s="474"/>
      <c r="Y687" s="474"/>
      <c r="Z687" s="474"/>
    </row>
    <row r="688" ht="12.0" customHeight="1">
      <c r="A688" s="480"/>
      <c r="B688" s="485"/>
      <c r="C688" s="525"/>
      <c r="D688" s="525"/>
      <c r="E688" s="526"/>
      <c r="F688" s="526"/>
      <c r="G688" s="474"/>
      <c r="H688" s="474"/>
      <c r="I688" s="474"/>
      <c r="J688" s="474"/>
      <c r="K688" s="474"/>
      <c r="L688" s="474"/>
      <c r="M688" s="474"/>
      <c r="N688" s="474"/>
      <c r="O688" s="474"/>
      <c r="P688" s="474"/>
      <c r="Q688" s="474"/>
      <c r="R688" s="474"/>
      <c r="S688" s="474"/>
      <c r="T688" s="474"/>
      <c r="U688" s="474"/>
      <c r="V688" s="474"/>
      <c r="W688" s="474"/>
      <c r="X688" s="474"/>
      <c r="Y688" s="474"/>
      <c r="Z688" s="474"/>
    </row>
    <row r="689" ht="12.0" customHeight="1">
      <c r="A689" s="480"/>
      <c r="B689" s="485"/>
      <c r="C689" s="525"/>
      <c r="D689" s="525"/>
      <c r="E689" s="526"/>
      <c r="F689" s="526"/>
      <c r="G689" s="474"/>
      <c r="H689" s="474"/>
      <c r="I689" s="474"/>
      <c r="J689" s="474"/>
      <c r="K689" s="474"/>
      <c r="L689" s="474"/>
      <c r="M689" s="474"/>
      <c r="N689" s="474"/>
      <c r="O689" s="474"/>
      <c r="P689" s="474"/>
      <c r="Q689" s="474"/>
      <c r="R689" s="474"/>
      <c r="S689" s="474"/>
      <c r="T689" s="474"/>
      <c r="U689" s="474"/>
      <c r="V689" s="474"/>
      <c r="W689" s="474"/>
      <c r="X689" s="474"/>
      <c r="Y689" s="474"/>
      <c r="Z689" s="474"/>
    </row>
    <row r="690" ht="12.0" customHeight="1">
      <c r="A690" s="480"/>
      <c r="B690" s="485"/>
      <c r="C690" s="525"/>
      <c r="D690" s="525"/>
      <c r="E690" s="526"/>
      <c r="F690" s="526"/>
      <c r="G690" s="474"/>
      <c r="H690" s="474"/>
      <c r="I690" s="474"/>
      <c r="J690" s="474"/>
      <c r="K690" s="474"/>
      <c r="L690" s="474"/>
      <c r="M690" s="474"/>
      <c r="N690" s="474"/>
      <c r="O690" s="474"/>
      <c r="P690" s="474"/>
      <c r="Q690" s="474"/>
      <c r="R690" s="474"/>
      <c r="S690" s="474"/>
      <c r="T690" s="474"/>
      <c r="U690" s="474"/>
      <c r="V690" s="474"/>
      <c r="W690" s="474"/>
      <c r="X690" s="474"/>
      <c r="Y690" s="474"/>
      <c r="Z690" s="474"/>
    </row>
    <row r="691" ht="12.0" customHeight="1">
      <c r="A691" s="480"/>
      <c r="B691" s="485"/>
      <c r="C691" s="525"/>
      <c r="D691" s="525"/>
      <c r="E691" s="526"/>
      <c r="F691" s="526"/>
      <c r="G691" s="474"/>
      <c r="H691" s="474"/>
      <c r="I691" s="474"/>
      <c r="J691" s="474"/>
      <c r="K691" s="474"/>
      <c r="L691" s="474"/>
      <c r="M691" s="474"/>
      <c r="N691" s="474"/>
      <c r="O691" s="474"/>
      <c r="P691" s="474"/>
      <c r="Q691" s="474"/>
      <c r="R691" s="474"/>
      <c r="S691" s="474"/>
      <c r="T691" s="474"/>
      <c r="U691" s="474"/>
      <c r="V691" s="474"/>
      <c r="W691" s="474"/>
      <c r="X691" s="474"/>
      <c r="Y691" s="474"/>
      <c r="Z691" s="474"/>
    </row>
    <row r="692" ht="12.0" customHeight="1">
      <c r="A692" s="480"/>
      <c r="B692" s="485"/>
      <c r="C692" s="525"/>
      <c r="D692" s="525"/>
      <c r="E692" s="526"/>
      <c r="F692" s="526"/>
      <c r="G692" s="474"/>
      <c r="H692" s="474"/>
      <c r="I692" s="474"/>
      <c r="J692" s="474"/>
      <c r="K692" s="474"/>
      <c r="L692" s="474"/>
      <c r="M692" s="474"/>
      <c r="N692" s="474"/>
      <c r="O692" s="474"/>
      <c r="P692" s="474"/>
      <c r="Q692" s="474"/>
      <c r="R692" s="474"/>
      <c r="S692" s="474"/>
      <c r="T692" s="474"/>
      <c r="U692" s="474"/>
      <c r="V692" s="474"/>
      <c r="W692" s="474"/>
      <c r="X692" s="474"/>
      <c r="Y692" s="474"/>
      <c r="Z692" s="474"/>
    </row>
    <row r="693" ht="12.0" customHeight="1">
      <c r="A693" s="480"/>
      <c r="B693" s="485"/>
      <c r="C693" s="525"/>
      <c r="D693" s="525"/>
      <c r="E693" s="526"/>
      <c r="F693" s="526"/>
      <c r="G693" s="474"/>
      <c r="H693" s="474"/>
      <c r="I693" s="474"/>
      <c r="J693" s="474"/>
      <c r="K693" s="474"/>
      <c r="L693" s="474"/>
      <c r="M693" s="474"/>
      <c r="N693" s="474"/>
      <c r="O693" s="474"/>
      <c r="P693" s="474"/>
      <c r="Q693" s="474"/>
      <c r="R693" s="474"/>
      <c r="S693" s="474"/>
      <c r="T693" s="474"/>
      <c r="U693" s="474"/>
      <c r="V693" s="474"/>
      <c r="W693" s="474"/>
      <c r="X693" s="474"/>
      <c r="Y693" s="474"/>
      <c r="Z693" s="474"/>
    </row>
    <row r="694" ht="12.0" customHeight="1">
      <c r="A694" s="480"/>
      <c r="B694" s="485"/>
      <c r="C694" s="525"/>
      <c r="D694" s="525"/>
      <c r="E694" s="526"/>
      <c r="F694" s="526"/>
      <c r="G694" s="474"/>
      <c r="H694" s="474"/>
      <c r="I694" s="474"/>
      <c r="J694" s="474"/>
      <c r="K694" s="474"/>
      <c r="L694" s="474"/>
      <c r="M694" s="474"/>
      <c r="N694" s="474"/>
      <c r="O694" s="474"/>
      <c r="P694" s="474"/>
      <c r="Q694" s="474"/>
      <c r="R694" s="474"/>
      <c r="S694" s="474"/>
      <c r="T694" s="474"/>
      <c r="U694" s="474"/>
      <c r="V694" s="474"/>
      <c r="W694" s="474"/>
      <c r="X694" s="474"/>
      <c r="Y694" s="474"/>
      <c r="Z694" s="474"/>
    </row>
    <row r="695" ht="12.0" customHeight="1">
      <c r="A695" s="480"/>
      <c r="B695" s="485"/>
      <c r="C695" s="525"/>
      <c r="D695" s="525"/>
      <c r="E695" s="526"/>
      <c r="F695" s="526"/>
      <c r="G695" s="474"/>
      <c r="H695" s="474"/>
      <c r="I695" s="474"/>
      <c r="J695" s="474"/>
      <c r="K695" s="474"/>
      <c r="L695" s="474"/>
      <c r="M695" s="474"/>
      <c r="N695" s="474"/>
      <c r="O695" s="474"/>
      <c r="P695" s="474"/>
      <c r="Q695" s="474"/>
      <c r="R695" s="474"/>
      <c r="S695" s="474"/>
      <c r="T695" s="474"/>
      <c r="U695" s="474"/>
      <c r="V695" s="474"/>
      <c r="W695" s="474"/>
      <c r="X695" s="474"/>
      <c r="Y695" s="474"/>
      <c r="Z695" s="474"/>
    </row>
    <row r="696" ht="12.0" customHeight="1">
      <c r="A696" s="480"/>
      <c r="B696" s="485"/>
      <c r="C696" s="525"/>
      <c r="D696" s="525"/>
      <c r="E696" s="526"/>
      <c r="F696" s="526"/>
      <c r="G696" s="474"/>
      <c r="H696" s="474"/>
      <c r="I696" s="474"/>
      <c r="J696" s="474"/>
      <c r="K696" s="474"/>
      <c r="L696" s="474"/>
      <c r="M696" s="474"/>
      <c r="N696" s="474"/>
      <c r="O696" s="474"/>
      <c r="P696" s="474"/>
      <c r="Q696" s="474"/>
      <c r="R696" s="474"/>
      <c r="S696" s="474"/>
      <c r="T696" s="474"/>
      <c r="U696" s="474"/>
      <c r="V696" s="474"/>
      <c r="W696" s="474"/>
      <c r="X696" s="474"/>
      <c r="Y696" s="474"/>
      <c r="Z696" s="474"/>
    </row>
    <row r="697" ht="12.0" customHeight="1">
      <c r="A697" s="480"/>
      <c r="B697" s="485"/>
      <c r="C697" s="525"/>
      <c r="D697" s="525"/>
      <c r="E697" s="526"/>
      <c r="F697" s="526"/>
      <c r="G697" s="474"/>
      <c r="H697" s="474"/>
      <c r="I697" s="474"/>
      <c r="J697" s="474"/>
      <c r="K697" s="474"/>
      <c r="L697" s="474"/>
      <c r="M697" s="474"/>
      <c r="N697" s="474"/>
      <c r="O697" s="474"/>
      <c r="P697" s="474"/>
      <c r="Q697" s="474"/>
      <c r="R697" s="474"/>
      <c r="S697" s="474"/>
      <c r="T697" s="474"/>
      <c r="U697" s="474"/>
      <c r="V697" s="474"/>
      <c r="W697" s="474"/>
      <c r="X697" s="474"/>
      <c r="Y697" s="474"/>
      <c r="Z697" s="474"/>
    </row>
    <row r="698" ht="12.0" customHeight="1">
      <c r="A698" s="480"/>
      <c r="B698" s="485"/>
      <c r="C698" s="525"/>
      <c r="D698" s="525"/>
      <c r="E698" s="526"/>
      <c r="F698" s="526"/>
      <c r="G698" s="474"/>
      <c r="H698" s="474"/>
      <c r="I698" s="474"/>
      <c r="J698" s="474"/>
      <c r="K698" s="474"/>
      <c r="L698" s="474"/>
      <c r="M698" s="474"/>
      <c r="N698" s="474"/>
      <c r="O698" s="474"/>
      <c r="P698" s="474"/>
      <c r="Q698" s="474"/>
      <c r="R698" s="474"/>
      <c r="S698" s="474"/>
      <c r="T698" s="474"/>
      <c r="U698" s="474"/>
      <c r="V698" s="474"/>
      <c r="W698" s="474"/>
      <c r="X698" s="474"/>
      <c r="Y698" s="474"/>
      <c r="Z698" s="474"/>
    </row>
    <row r="699" ht="12.0" customHeight="1">
      <c r="A699" s="480"/>
      <c r="B699" s="485"/>
      <c r="C699" s="525"/>
      <c r="D699" s="525"/>
      <c r="E699" s="526"/>
      <c r="F699" s="526"/>
      <c r="G699" s="474"/>
      <c r="H699" s="474"/>
      <c r="I699" s="474"/>
      <c r="J699" s="474"/>
      <c r="K699" s="474"/>
      <c r="L699" s="474"/>
      <c r="M699" s="474"/>
      <c r="N699" s="474"/>
      <c r="O699" s="474"/>
      <c r="P699" s="474"/>
      <c r="Q699" s="474"/>
      <c r="R699" s="474"/>
      <c r="S699" s="474"/>
      <c r="T699" s="474"/>
      <c r="U699" s="474"/>
      <c r="V699" s="474"/>
      <c r="W699" s="474"/>
      <c r="X699" s="474"/>
      <c r="Y699" s="474"/>
      <c r="Z699" s="474"/>
    </row>
    <row r="700" ht="12.0" customHeight="1">
      <c r="A700" s="480"/>
      <c r="B700" s="485"/>
      <c r="C700" s="525"/>
      <c r="D700" s="525"/>
      <c r="E700" s="526"/>
      <c r="F700" s="526"/>
      <c r="G700" s="474"/>
      <c r="H700" s="474"/>
      <c r="I700" s="474"/>
      <c r="J700" s="474"/>
      <c r="K700" s="474"/>
      <c r="L700" s="474"/>
      <c r="M700" s="474"/>
      <c r="N700" s="474"/>
      <c r="O700" s="474"/>
      <c r="P700" s="474"/>
      <c r="Q700" s="474"/>
      <c r="R700" s="474"/>
      <c r="S700" s="474"/>
      <c r="T700" s="474"/>
      <c r="U700" s="474"/>
      <c r="V700" s="474"/>
      <c r="W700" s="474"/>
      <c r="X700" s="474"/>
      <c r="Y700" s="474"/>
      <c r="Z700" s="474"/>
    </row>
    <row r="701" ht="12.0" customHeight="1">
      <c r="A701" s="480"/>
      <c r="B701" s="485"/>
      <c r="C701" s="525"/>
      <c r="D701" s="525"/>
      <c r="E701" s="526"/>
      <c r="F701" s="526"/>
      <c r="G701" s="474"/>
      <c r="H701" s="474"/>
      <c r="I701" s="474"/>
      <c r="J701" s="474"/>
      <c r="K701" s="474"/>
      <c r="L701" s="474"/>
      <c r="M701" s="474"/>
      <c r="N701" s="474"/>
      <c r="O701" s="474"/>
      <c r="P701" s="474"/>
      <c r="Q701" s="474"/>
      <c r="R701" s="474"/>
      <c r="S701" s="474"/>
      <c r="T701" s="474"/>
      <c r="U701" s="474"/>
      <c r="V701" s="474"/>
      <c r="W701" s="474"/>
      <c r="X701" s="474"/>
      <c r="Y701" s="474"/>
      <c r="Z701" s="474"/>
    </row>
    <row r="702" ht="12.0" customHeight="1">
      <c r="A702" s="480"/>
      <c r="B702" s="485"/>
      <c r="C702" s="525"/>
      <c r="D702" s="525"/>
      <c r="E702" s="526"/>
      <c r="F702" s="526"/>
      <c r="G702" s="474"/>
      <c r="H702" s="474"/>
      <c r="I702" s="474"/>
      <c r="J702" s="474"/>
      <c r="K702" s="474"/>
      <c r="L702" s="474"/>
      <c r="M702" s="474"/>
      <c r="N702" s="474"/>
      <c r="O702" s="474"/>
      <c r="P702" s="474"/>
      <c r="Q702" s="474"/>
      <c r="R702" s="474"/>
      <c r="S702" s="474"/>
      <c r="T702" s="474"/>
      <c r="U702" s="474"/>
      <c r="V702" s="474"/>
      <c r="W702" s="474"/>
      <c r="X702" s="474"/>
      <c r="Y702" s="474"/>
      <c r="Z702" s="474"/>
    </row>
    <row r="703" ht="12.0" customHeight="1">
      <c r="A703" s="480"/>
      <c r="B703" s="485"/>
      <c r="C703" s="525"/>
      <c r="D703" s="525"/>
      <c r="E703" s="526"/>
      <c r="F703" s="526"/>
      <c r="G703" s="474"/>
      <c r="H703" s="474"/>
      <c r="I703" s="474"/>
      <c r="J703" s="474"/>
      <c r="K703" s="474"/>
      <c r="L703" s="474"/>
      <c r="M703" s="474"/>
      <c r="N703" s="474"/>
      <c r="O703" s="474"/>
      <c r="P703" s="474"/>
      <c r="Q703" s="474"/>
      <c r="R703" s="474"/>
      <c r="S703" s="474"/>
      <c r="T703" s="474"/>
      <c r="U703" s="474"/>
      <c r="V703" s="474"/>
      <c r="W703" s="474"/>
      <c r="X703" s="474"/>
      <c r="Y703" s="474"/>
      <c r="Z703" s="474"/>
    </row>
    <row r="704" ht="12.0" customHeight="1">
      <c r="A704" s="480"/>
      <c r="B704" s="485"/>
      <c r="C704" s="525"/>
      <c r="D704" s="525"/>
      <c r="E704" s="526"/>
      <c r="F704" s="526"/>
      <c r="G704" s="474"/>
      <c r="H704" s="474"/>
      <c r="I704" s="474"/>
      <c r="J704" s="474"/>
      <c r="K704" s="474"/>
      <c r="L704" s="474"/>
      <c r="M704" s="474"/>
      <c r="N704" s="474"/>
      <c r="O704" s="474"/>
      <c r="P704" s="474"/>
      <c r="Q704" s="474"/>
      <c r="R704" s="474"/>
      <c r="S704" s="474"/>
      <c r="T704" s="474"/>
      <c r="U704" s="474"/>
      <c r="V704" s="474"/>
      <c r="W704" s="474"/>
      <c r="X704" s="474"/>
      <c r="Y704" s="474"/>
      <c r="Z704" s="474"/>
    </row>
    <row r="705" ht="12.0" customHeight="1">
      <c r="A705" s="480"/>
      <c r="B705" s="485"/>
      <c r="C705" s="525"/>
      <c r="D705" s="525"/>
      <c r="E705" s="526"/>
      <c r="F705" s="526"/>
      <c r="G705" s="474"/>
      <c r="H705" s="474"/>
      <c r="I705" s="474"/>
      <c r="J705" s="474"/>
      <c r="K705" s="474"/>
      <c r="L705" s="474"/>
      <c r="M705" s="474"/>
      <c r="N705" s="474"/>
      <c r="O705" s="474"/>
      <c r="P705" s="474"/>
      <c r="Q705" s="474"/>
      <c r="R705" s="474"/>
      <c r="S705" s="474"/>
      <c r="T705" s="474"/>
      <c r="U705" s="474"/>
      <c r="V705" s="474"/>
      <c r="W705" s="474"/>
      <c r="X705" s="474"/>
      <c r="Y705" s="474"/>
      <c r="Z705" s="474"/>
    </row>
    <row r="706" ht="12.0" customHeight="1">
      <c r="A706" s="480"/>
      <c r="B706" s="485"/>
      <c r="C706" s="525"/>
      <c r="D706" s="525"/>
      <c r="E706" s="526"/>
      <c r="F706" s="526"/>
      <c r="G706" s="474"/>
      <c r="H706" s="474"/>
      <c r="I706" s="474"/>
      <c r="J706" s="474"/>
      <c r="K706" s="474"/>
      <c r="L706" s="474"/>
      <c r="M706" s="474"/>
      <c r="N706" s="474"/>
      <c r="O706" s="474"/>
      <c r="P706" s="474"/>
      <c r="Q706" s="474"/>
      <c r="R706" s="474"/>
      <c r="S706" s="474"/>
      <c r="T706" s="474"/>
      <c r="U706" s="474"/>
      <c r="V706" s="474"/>
      <c r="W706" s="474"/>
      <c r="X706" s="474"/>
      <c r="Y706" s="474"/>
      <c r="Z706" s="474"/>
    </row>
    <row r="707" ht="12.0" customHeight="1">
      <c r="A707" s="480"/>
      <c r="B707" s="485"/>
      <c r="C707" s="525"/>
      <c r="D707" s="525"/>
      <c r="E707" s="526"/>
      <c r="F707" s="526"/>
      <c r="G707" s="474"/>
      <c r="H707" s="474"/>
      <c r="I707" s="474"/>
      <c r="J707" s="474"/>
      <c r="K707" s="474"/>
      <c r="L707" s="474"/>
      <c r="M707" s="474"/>
      <c r="N707" s="474"/>
      <c r="O707" s="474"/>
      <c r="P707" s="474"/>
      <c r="Q707" s="474"/>
      <c r="R707" s="474"/>
      <c r="S707" s="474"/>
      <c r="T707" s="474"/>
      <c r="U707" s="474"/>
      <c r="V707" s="474"/>
      <c r="W707" s="474"/>
      <c r="X707" s="474"/>
      <c r="Y707" s="474"/>
      <c r="Z707" s="474"/>
    </row>
    <row r="708" ht="12.0" customHeight="1">
      <c r="A708" s="480"/>
      <c r="B708" s="485"/>
      <c r="C708" s="525"/>
      <c r="D708" s="525"/>
      <c r="E708" s="526"/>
      <c r="F708" s="526"/>
      <c r="G708" s="474"/>
      <c r="H708" s="474"/>
      <c r="I708" s="474"/>
      <c r="J708" s="474"/>
      <c r="K708" s="474"/>
      <c r="L708" s="474"/>
      <c r="M708" s="474"/>
      <c r="N708" s="474"/>
      <c r="O708" s="474"/>
      <c r="P708" s="474"/>
      <c r="Q708" s="474"/>
      <c r="R708" s="474"/>
      <c r="S708" s="474"/>
      <c r="T708" s="474"/>
      <c r="U708" s="474"/>
      <c r="V708" s="474"/>
      <c r="W708" s="474"/>
      <c r="X708" s="474"/>
      <c r="Y708" s="474"/>
      <c r="Z708" s="474"/>
    </row>
    <row r="709" ht="12.0" customHeight="1">
      <c r="A709" s="480"/>
      <c r="B709" s="485"/>
      <c r="C709" s="525"/>
      <c r="D709" s="525"/>
      <c r="E709" s="526"/>
      <c r="F709" s="526"/>
      <c r="G709" s="474"/>
      <c r="H709" s="474"/>
      <c r="I709" s="474"/>
      <c r="J709" s="474"/>
      <c r="K709" s="474"/>
      <c r="L709" s="474"/>
      <c r="M709" s="474"/>
      <c r="N709" s="474"/>
      <c r="O709" s="474"/>
      <c r="P709" s="474"/>
      <c r="Q709" s="474"/>
      <c r="R709" s="474"/>
      <c r="S709" s="474"/>
      <c r="T709" s="474"/>
      <c r="U709" s="474"/>
      <c r="V709" s="474"/>
      <c r="W709" s="474"/>
      <c r="X709" s="474"/>
      <c r="Y709" s="474"/>
      <c r="Z709" s="474"/>
    </row>
    <row r="710" ht="12.0" customHeight="1">
      <c r="A710" s="480"/>
      <c r="B710" s="485"/>
      <c r="C710" s="525"/>
      <c r="D710" s="525"/>
      <c r="E710" s="526"/>
      <c r="F710" s="526"/>
      <c r="G710" s="474"/>
      <c r="H710" s="474"/>
      <c r="I710" s="474"/>
      <c r="J710" s="474"/>
      <c r="K710" s="474"/>
      <c r="L710" s="474"/>
      <c r="M710" s="474"/>
      <c r="N710" s="474"/>
      <c r="O710" s="474"/>
      <c r="P710" s="474"/>
      <c r="Q710" s="474"/>
      <c r="R710" s="474"/>
      <c r="S710" s="474"/>
      <c r="T710" s="474"/>
      <c r="U710" s="474"/>
      <c r="V710" s="474"/>
      <c r="W710" s="474"/>
      <c r="X710" s="474"/>
      <c r="Y710" s="474"/>
      <c r="Z710" s="474"/>
    </row>
    <row r="711" ht="12.0" customHeight="1">
      <c r="A711" s="480"/>
      <c r="B711" s="485"/>
      <c r="C711" s="525"/>
      <c r="D711" s="525"/>
      <c r="E711" s="526"/>
      <c r="F711" s="526"/>
      <c r="G711" s="474"/>
      <c r="H711" s="474"/>
      <c r="I711" s="474"/>
      <c r="J711" s="474"/>
      <c r="K711" s="474"/>
      <c r="L711" s="474"/>
      <c r="M711" s="474"/>
      <c r="N711" s="474"/>
      <c r="O711" s="474"/>
      <c r="P711" s="474"/>
      <c r="Q711" s="474"/>
      <c r="R711" s="474"/>
      <c r="S711" s="474"/>
      <c r="T711" s="474"/>
      <c r="U711" s="474"/>
      <c r="V711" s="474"/>
      <c r="W711" s="474"/>
      <c r="X711" s="474"/>
      <c r="Y711" s="474"/>
      <c r="Z711" s="474"/>
    </row>
    <row r="712" ht="12.0" customHeight="1">
      <c r="A712" s="480"/>
      <c r="B712" s="485"/>
      <c r="C712" s="525"/>
      <c r="D712" s="525"/>
      <c r="E712" s="526"/>
      <c r="F712" s="526"/>
      <c r="G712" s="474"/>
      <c r="H712" s="474"/>
      <c r="I712" s="474"/>
      <c r="J712" s="474"/>
      <c r="K712" s="474"/>
      <c r="L712" s="474"/>
      <c r="M712" s="474"/>
      <c r="N712" s="474"/>
      <c r="O712" s="474"/>
      <c r="P712" s="474"/>
      <c r="Q712" s="474"/>
      <c r="R712" s="474"/>
      <c r="S712" s="474"/>
      <c r="T712" s="474"/>
      <c r="U712" s="474"/>
      <c r="V712" s="474"/>
      <c r="W712" s="474"/>
      <c r="X712" s="474"/>
      <c r="Y712" s="474"/>
      <c r="Z712" s="474"/>
    </row>
    <row r="713" ht="12.0" customHeight="1">
      <c r="A713" s="480"/>
      <c r="B713" s="485"/>
      <c r="C713" s="525"/>
      <c r="D713" s="525"/>
      <c r="E713" s="526"/>
      <c r="F713" s="526"/>
      <c r="G713" s="474"/>
      <c r="H713" s="474"/>
      <c r="I713" s="474"/>
      <c r="J713" s="474"/>
      <c r="K713" s="474"/>
      <c r="L713" s="474"/>
      <c r="M713" s="474"/>
      <c r="N713" s="474"/>
      <c r="O713" s="474"/>
      <c r="P713" s="474"/>
      <c r="Q713" s="474"/>
      <c r="R713" s="474"/>
      <c r="S713" s="474"/>
      <c r="T713" s="474"/>
      <c r="U713" s="474"/>
      <c r="V713" s="474"/>
      <c r="W713" s="474"/>
      <c r="X713" s="474"/>
      <c r="Y713" s="474"/>
      <c r="Z713" s="474"/>
    </row>
    <row r="714" ht="12.0" customHeight="1">
      <c r="A714" s="480"/>
      <c r="B714" s="485"/>
      <c r="C714" s="525"/>
      <c r="D714" s="525"/>
      <c r="E714" s="526"/>
      <c r="F714" s="526"/>
      <c r="G714" s="474"/>
      <c r="H714" s="474"/>
      <c r="I714" s="474"/>
      <c r="J714" s="474"/>
      <c r="K714" s="474"/>
      <c r="L714" s="474"/>
      <c r="M714" s="474"/>
      <c r="N714" s="474"/>
      <c r="O714" s="474"/>
      <c r="P714" s="474"/>
      <c r="Q714" s="474"/>
      <c r="R714" s="474"/>
      <c r="S714" s="474"/>
      <c r="T714" s="474"/>
      <c r="U714" s="474"/>
      <c r="V714" s="474"/>
      <c r="W714" s="474"/>
      <c r="X714" s="474"/>
      <c r="Y714" s="474"/>
      <c r="Z714" s="474"/>
    </row>
    <row r="715" ht="12.0" customHeight="1">
      <c r="A715" s="480"/>
      <c r="B715" s="485"/>
      <c r="C715" s="525"/>
      <c r="D715" s="525"/>
      <c r="E715" s="526"/>
      <c r="F715" s="526"/>
      <c r="G715" s="474"/>
      <c r="H715" s="474"/>
      <c r="I715" s="474"/>
      <c r="J715" s="474"/>
      <c r="K715" s="474"/>
      <c r="L715" s="474"/>
      <c r="M715" s="474"/>
      <c r="N715" s="474"/>
      <c r="O715" s="474"/>
      <c r="P715" s="474"/>
      <c r="Q715" s="474"/>
      <c r="R715" s="474"/>
      <c r="S715" s="474"/>
      <c r="T715" s="474"/>
      <c r="U715" s="474"/>
      <c r="V715" s="474"/>
      <c r="W715" s="474"/>
      <c r="X715" s="474"/>
      <c r="Y715" s="474"/>
      <c r="Z715" s="474"/>
    </row>
    <row r="716" ht="12.0" customHeight="1">
      <c r="A716" s="480"/>
      <c r="B716" s="485"/>
      <c r="C716" s="525"/>
      <c r="D716" s="525"/>
      <c r="E716" s="526"/>
      <c r="F716" s="526"/>
      <c r="G716" s="474"/>
      <c r="H716" s="474"/>
      <c r="I716" s="474"/>
      <c r="J716" s="474"/>
      <c r="K716" s="474"/>
      <c r="L716" s="474"/>
      <c r="M716" s="474"/>
      <c r="N716" s="474"/>
      <c r="O716" s="474"/>
      <c r="P716" s="474"/>
      <c r="Q716" s="474"/>
      <c r="R716" s="474"/>
      <c r="S716" s="474"/>
      <c r="T716" s="474"/>
      <c r="U716" s="474"/>
      <c r="V716" s="474"/>
      <c r="W716" s="474"/>
      <c r="X716" s="474"/>
      <c r="Y716" s="474"/>
      <c r="Z716" s="474"/>
    </row>
    <row r="717" ht="12.0" customHeight="1">
      <c r="A717" s="480"/>
      <c r="B717" s="485"/>
      <c r="C717" s="525"/>
      <c r="D717" s="525"/>
      <c r="E717" s="526"/>
      <c r="F717" s="526"/>
      <c r="G717" s="474"/>
      <c r="H717" s="474"/>
      <c r="I717" s="474"/>
      <c r="J717" s="474"/>
      <c r="K717" s="474"/>
      <c r="L717" s="474"/>
      <c r="M717" s="474"/>
      <c r="N717" s="474"/>
      <c r="O717" s="474"/>
      <c r="P717" s="474"/>
      <c r="Q717" s="474"/>
      <c r="R717" s="474"/>
      <c r="S717" s="474"/>
      <c r="T717" s="474"/>
      <c r="U717" s="474"/>
      <c r="V717" s="474"/>
      <c r="W717" s="474"/>
      <c r="X717" s="474"/>
      <c r="Y717" s="474"/>
      <c r="Z717" s="474"/>
    </row>
    <row r="718" ht="12.0" customHeight="1">
      <c r="A718" s="480"/>
      <c r="B718" s="485"/>
      <c r="C718" s="525"/>
      <c r="D718" s="525"/>
      <c r="E718" s="526"/>
      <c r="F718" s="526"/>
      <c r="G718" s="474"/>
      <c r="H718" s="474"/>
      <c r="I718" s="474"/>
      <c r="J718" s="474"/>
      <c r="K718" s="474"/>
      <c r="L718" s="474"/>
      <c r="M718" s="474"/>
      <c r="N718" s="474"/>
      <c r="O718" s="474"/>
      <c r="P718" s="474"/>
      <c r="Q718" s="474"/>
      <c r="R718" s="474"/>
      <c r="S718" s="474"/>
      <c r="T718" s="474"/>
      <c r="U718" s="474"/>
      <c r="V718" s="474"/>
      <c r="W718" s="474"/>
      <c r="X718" s="474"/>
      <c r="Y718" s="474"/>
      <c r="Z718" s="474"/>
    </row>
    <row r="719" ht="12.0" customHeight="1">
      <c r="A719" s="480"/>
      <c r="B719" s="485"/>
      <c r="C719" s="525"/>
      <c r="D719" s="525"/>
      <c r="E719" s="526"/>
      <c r="F719" s="526"/>
      <c r="G719" s="474"/>
      <c r="H719" s="474"/>
      <c r="I719" s="474"/>
      <c r="J719" s="474"/>
      <c r="K719" s="474"/>
      <c r="L719" s="474"/>
      <c r="M719" s="474"/>
      <c r="N719" s="474"/>
      <c r="O719" s="474"/>
      <c r="P719" s="474"/>
      <c r="Q719" s="474"/>
      <c r="R719" s="474"/>
      <c r="S719" s="474"/>
      <c r="T719" s="474"/>
      <c r="U719" s="474"/>
      <c r="V719" s="474"/>
      <c r="W719" s="474"/>
      <c r="X719" s="474"/>
      <c r="Y719" s="474"/>
      <c r="Z719" s="474"/>
    </row>
    <row r="720" ht="12.0" customHeight="1">
      <c r="A720" s="480"/>
      <c r="B720" s="485"/>
      <c r="C720" s="525"/>
      <c r="D720" s="525"/>
      <c r="E720" s="526"/>
      <c r="F720" s="526"/>
      <c r="G720" s="474"/>
      <c r="H720" s="474"/>
      <c r="I720" s="474"/>
      <c r="J720" s="474"/>
      <c r="K720" s="474"/>
      <c r="L720" s="474"/>
      <c r="M720" s="474"/>
      <c r="N720" s="474"/>
      <c r="O720" s="474"/>
      <c r="P720" s="474"/>
      <c r="Q720" s="474"/>
      <c r="R720" s="474"/>
      <c r="S720" s="474"/>
      <c r="T720" s="474"/>
      <c r="U720" s="474"/>
      <c r="V720" s="474"/>
      <c r="W720" s="474"/>
      <c r="X720" s="474"/>
      <c r="Y720" s="474"/>
      <c r="Z720" s="474"/>
    </row>
    <row r="721" ht="12.0" customHeight="1">
      <c r="A721" s="480"/>
      <c r="B721" s="485"/>
      <c r="C721" s="525"/>
      <c r="D721" s="525"/>
      <c r="E721" s="526"/>
      <c r="F721" s="526"/>
      <c r="G721" s="474"/>
      <c r="H721" s="474"/>
      <c r="I721" s="474"/>
      <c r="J721" s="474"/>
      <c r="K721" s="474"/>
      <c r="L721" s="474"/>
      <c r="M721" s="474"/>
      <c r="N721" s="474"/>
      <c r="O721" s="474"/>
      <c r="P721" s="474"/>
      <c r="Q721" s="474"/>
      <c r="R721" s="474"/>
      <c r="S721" s="474"/>
      <c r="T721" s="474"/>
      <c r="U721" s="474"/>
      <c r="V721" s="474"/>
      <c r="W721" s="474"/>
      <c r="X721" s="474"/>
      <c r="Y721" s="474"/>
      <c r="Z721" s="474"/>
    </row>
    <row r="722" ht="12.0" customHeight="1">
      <c r="A722" s="480"/>
      <c r="B722" s="485"/>
      <c r="C722" s="525"/>
      <c r="D722" s="525"/>
      <c r="E722" s="526"/>
      <c r="F722" s="526"/>
      <c r="G722" s="474"/>
      <c r="H722" s="474"/>
      <c r="I722" s="474"/>
      <c r="J722" s="474"/>
      <c r="K722" s="474"/>
      <c r="L722" s="474"/>
      <c r="M722" s="474"/>
      <c r="N722" s="474"/>
      <c r="O722" s="474"/>
      <c r="P722" s="474"/>
      <c r="Q722" s="474"/>
      <c r="R722" s="474"/>
      <c r="S722" s="474"/>
      <c r="T722" s="474"/>
      <c r="U722" s="474"/>
      <c r="V722" s="474"/>
      <c r="W722" s="474"/>
      <c r="X722" s="474"/>
      <c r="Y722" s="474"/>
      <c r="Z722" s="474"/>
    </row>
    <row r="723" ht="12.0" customHeight="1">
      <c r="A723" s="480"/>
      <c r="B723" s="485"/>
      <c r="C723" s="525"/>
      <c r="D723" s="525"/>
      <c r="E723" s="526"/>
      <c r="F723" s="526"/>
      <c r="G723" s="474"/>
      <c r="H723" s="474"/>
      <c r="I723" s="474"/>
      <c r="J723" s="474"/>
      <c r="K723" s="474"/>
      <c r="L723" s="474"/>
      <c r="M723" s="474"/>
      <c r="N723" s="474"/>
      <c r="O723" s="474"/>
      <c r="P723" s="474"/>
      <c r="Q723" s="474"/>
      <c r="R723" s="474"/>
      <c r="S723" s="474"/>
      <c r="T723" s="474"/>
      <c r="U723" s="474"/>
      <c r="V723" s="474"/>
      <c r="W723" s="474"/>
      <c r="X723" s="474"/>
      <c r="Y723" s="474"/>
      <c r="Z723" s="474"/>
    </row>
    <row r="724" ht="12.0" customHeight="1">
      <c r="A724" s="480"/>
      <c r="B724" s="485"/>
      <c r="C724" s="525"/>
      <c r="D724" s="525"/>
      <c r="E724" s="526"/>
      <c r="F724" s="526"/>
      <c r="G724" s="474"/>
      <c r="H724" s="474"/>
      <c r="I724" s="474"/>
      <c r="J724" s="474"/>
      <c r="K724" s="474"/>
      <c r="L724" s="474"/>
      <c r="M724" s="474"/>
      <c r="N724" s="474"/>
      <c r="O724" s="474"/>
      <c r="P724" s="474"/>
      <c r="Q724" s="474"/>
      <c r="R724" s="474"/>
      <c r="S724" s="474"/>
      <c r="T724" s="474"/>
      <c r="U724" s="474"/>
      <c r="V724" s="474"/>
      <c r="W724" s="474"/>
      <c r="X724" s="474"/>
      <c r="Y724" s="474"/>
      <c r="Z724" s="474"/>
    </row>
    <row r="725" ht="12.0" customHeight="1">
      <c r="A725" s="480"/>
      <c r="B725" s="485"/>
      <c r="C725" s="525"/>
      <c r="D725" s="525"/>
      <c r="E725" s="526"/>
      <c r="F725" s="526"/>
      <c r="G725" s="474"/>
      <c r="H725" s="474"/>
      <c r="I725" s="474"/>
      <c r="J725" s="474"/>
      <c r="K725" s="474"/>
      <c r="L725" s="474"/>
      <c r="M725" s="474"/>
      <c r="N725" s="474"/>
      <c r="O725" s="474"/>
      <c r="P725" s="474"/>
      <c r="Q725" s="474"/>
      <c r="R725" s="474"/>
      <c r="S725" s="474"/>
      <c r="T725" s="474"/>
      <c r="U725" s="474"/>
      <c r="V725" s="474"/>
      <c r="W725" s="474"/>
      <c r="X725" s="474"/>
      <c r="Y725" s="474"/>
      <c r="Z725" s="474"/>
    </row>
    <row r="726" ht="12.0" customHeight="1">
      <c r="A726" s="480"/>
      <c r="B726" s="485"/>
      <c r="C726" s="525"/>
      <c r="D726" s="525"/>
      <c r="E726" s="526"/>
      <c r="F726" s="526"/>
      <c r="G726" s="474"/>
      <c r="H726" s="474"/>
      <c r="I726" s="474"/>
      <c r="J726" s="474"/>
      <c r="K726" s="474"/>
      <c r="L726" s="474"/>
      <c r="M726" s="474"/>
      <c r="N726" s="474"/>
      <c r="O726" s="474"/>
      <c r="P726" s="474"/>
      <c r="Q726" s="474"/>
      <c r="R726" s="474"/>
      <c r="S726" s="474"/>
      <c r="T726" s="474"/>
      <c r="U726" s="474"/>
      <c r="V726" s="474"/>
      <c r="W726" s="474"/>
      <c r="X726" s="474"/>
      <c r="Y726" s="474"/>
      <c r="Z726" s="474"/>
    </row>
    <row r="727" ht="12.0" customHeight="1">
      <c r="A727" s="480"/>
      <c r="B727" s="485"/>
      <c r="C727" s="525"/>
      <c r="D727" s="525"/>
      <c r="E727" s="526"/>
      <c r="F727" s="526"/>
      <c r="G727" s="474"/>
      <c r="H727" s="474"/>
      <c r="I727" s="474"/>
      <c r="J727" s="474"/>
      <c r="K727" s="474"/>
      <c r="L727" s="474"/>
      <c r="M727" s="474"/>
      <c r="N727" s="474"/>
      <c r="O727" s="474"/>
      <c r="P727" s="474"/>
      <c r="Q727" s="474"/>
      <c r="R727" s="474"/>
      <c r="S727" s="474"/>
      <c r="T727" s="474"/>
      <c r="U727" s="474"/>
      <c r="V727" s="474"/>
      <c r="W727" s="474"/>
      <c r="X727" s="474"/>
      <c r="Y727" s="474"/>
      <c r="Z727" s="474"/>
    </row>
    <row r="728" ht="12.0" customHeight="1">
      <c r="A728" s="480"/>
      <c r="B728" s="485"/>
      <c r="C728" s="525"/>
      <c r="D728" s="525"/>
      <c r="E728" s="526"/>
      <c r="F728" s="526"/>
      <c r="G728" s="474"/>
      <c r="H728" s="474"/>
      <c r="I728" s="474"/>
      <c r="J728" s="474"/>
      <c r="K728" s="474"/>
      <c r="L728" s="474"/>
      <c r="M728" s="474"/>
      <c r="N728" s="474"/>
      <c r="O728" s="474"/>
      <c r="P728" s="474"/>
      <c r="Q728" s="474"/>
      <c r="R728" s="474"/>
      <c r="S728" s="474"/>
      <c r="T728" s="474"/>
      <c r="U728" s="474"/>
      <c r="V728" s="474"/>
      <c r="W728" s="474"/>
      <c r="X728" s="474"/>
      <c r="Y728" s="474"/>
      <c r="Z728" s="474"/>
    </row>
    <row r="729" ht="12.0" customHeight="1">
      <c r="A729" s="480"/>
      <c r="B729" s="485"/>
      <c r="C729" s="525"/>
      <c r="D729" s="525"/>
      <c r="E729" s="526"/>
      <c r="F729" s="526"/>
      <c r="G729" s="474"/>
      <c r="H729" s="474"/>
      <c r="I729" s="474"/>
      <c r="J729" s="474"/>
      <c r="K729" s="474"/>
      <c r="L729" s="474"/>
      <c r="M729" s="474"/>
      <c r="N729" s="474"/>
      <c r="O729" s="474"/>
      <c r="P729" s="474"/>
      <c r="Q729" s="474"/>
      <c r="R729" s="474"/>
      <c r="S729" s="474"/>
      <c r="T729" s="474"/>
      <c r="U729" s="474"/>
      <c r="V729" s="474"/>
      <c r="W729" s="474"/>
      <c r="X729" s="474"/>
      <c r="Y729" s="474"/>
      <c r="Z729" s="474"/>
    </row>
    <row r="730" ht="12.0" customHeight="1">
      <c r="A730" s="480"/>
      <c r="B730" s="485"/>
      <c r="C730" s="525"/>
      <c r="D730" s="525"/>
      <c r="E730" s="526"/>
      <c r="F730" s="526"/>
      <c r="G730" s="474"/>
      <c r="H730" s="474"/>
      <c r="I730" s="474"/>
      <c r="J730" s="474"/>
      <c r="K730" s="474"/>
      <c r="L730" s="474"/>
      <c r="M730" s="474"/>
      <c r="N730" s="474"/>
      <c r="O730" s="474"/>
      <c r="P730" s="474"/>
      <c r="Q730" s="474"/>
      <c r="R730" s="474"/>
      <c r="S730" s="474"/>
      <c r="T730" s="474"/>
      <c r="U730" s="474"/>
      <c r="V730" s="474"/>
      <c r="W730" s="474"/>
      <c r="X730" s="474"/>
      <c r="Y730" s="474"/>
      <c r="Z730" s="474"/>
    </row>
    <row r="731" ht="12.0" customHeight="1">
      <c r="A731" s="480"/>
      <c r="B731" s="485"/>
      <c r="C731" s="525"/>
      <c r="D731" s="525"/>
      <c r="E731" s="526"/>
      <c r="F731" s="526"/>
      <c r="G731" s="474"/>
      <c r="H731" s="474"/>
      <c r="I731" s="474"/>
      <c r="J731" s="474"/>
      <c r="K731" s="474"/>
      <c r="L731" s="474"/>
      <c r="M731" s="474"/>
      <c r="N731" s="474"/>
      <c r="O731" s="474"/>
      <c r="P731" s="474"/>
      <c r="Q731" s="474"/>
      <c r="R731" s="474"/>
      <c r="S731" s="474"/>
      <c r="T731" s="474"/>
      <c r="U731" s="474"/>
      <c r="V731" s="474"/>
      <c r="W731" s="474"/>
      <c r="X731" s="474"/>
      <c r="Y731" s="474"/>
      <c r="Z731" s="474"/>
    </row>
    <row r="732" ht="12.0" customHeight="1">
      <c r="A732" s="480"/>
      <c r="B732" s="485"/>
      <c r="C732" s="525"/>
      <c r="D732" s="525"/>
      <c r="E732" s="526"/>
      <c r="F732" s="526"/>
      <c r="G732" s="474"/>
      <c r="H732" s="474"/>
      <c r="I732" s="474"/>
      <c r="J732" s="474"/>
      <c r="K732" s="474"/>
      <c r="L732" s="474"/>
      <c r="M732" s="474"/>
      <c r="N732" s="474"/>
      <c r="O732" s="474"/>
      <c r="P732" s="474"/>
      <c r="Q732" s="474"/>
      <c r="R732" s="474"/>
      <c r="S732" s="474"/>
      <c r="T732" s="474"/>
      <c r="U732" s="474"/>
      <c r="V732" s="474"/>
      <c r="W732" s="474"/>
      <c r="X732" s="474"/>
      <c r="Y732" s="474"/>
      <c r="Z732" s="474"/>
    </row>
    <row r="733" ht="12.0" customHeight="1">
      <c r="A733" s="480"/>
      <c r="B733" s="485"/>
      <c r="C733" s="525"/>
      <c r="D733" s="525"/>
      <c r="E733" s="526"/>
      <c r="F733" s="526"/>
      <c r="G733" s="474"/>
      <c r="H733" s="474"/>
      <c r="I733" s="474"/>
      <c r="J733" s="474"/>
      <c r="K733" s="474"/>
      <c r="L733" s="474"/>
      <c r="M733" s="474"/>
      <c r="N733" s="474"/>
      <c r="O733" s="474"/>
      <c r="P733" s="474"/>
      <c r="Q733" s="474"/>
      <c r="R733" s="474"/>
      <c r="S733" s="474"/>
      <c r="T733" s="474"/>
      <c r="U733" s="474"/>
      <c r="V733" s="474"/>
      <c r="W733" s="474"/>
      <c r="X733" s="474"/>
      <c r="Y733" s="474"/>
      <c r="Z733" s="474"/>
    </row>
    <row r="734" ht="12.0" customHeight="1">
      <c r="A734" s="480"/>
      <c r="B734" s="485"/>
      <c r="C734" s="525"/>
      <c r="D734" s="525"/>
      <c r="E734" s="526"/>
      <c r="F734" s="526"/>
      <c r="G734" s="474"/>
      <c r="H734" s="474"/>
      <c r="I734" s="474"/>
      <c r="J734" s="474"/>
      <c r="K734" s="474"/>
      <c r="L734" s="474"/>
      <c r="M734" s="474"/>
      <c r="N734" s="474"/>
      <c r="O734" s="474"/>
      <c r="P734" s="474"/>
      <c r="Q734" s="474"/>
      <c r="R734" s="474"/>
      <c r="S734" s="474"/>
      <c r="T734" s="474"/>
      <c r="U734" s="474"/>
      <c r="V734" s="474"/>
      <c r="W734" s="474"/>
      <c r="X734" s="474"/>
      <c r="Y734" s="474"/>
      <c r="Z734" s="474"/>
    </row>
    <row r="735" ht="12.0" customHeight="1">
      <c r="A735" s="480"/>
      <c r="B735" s="485"/>
      <c r="C735" s="525"/>
      <c r="D735" s="525"/>
      <c r="E735" s="526"/>
      <c r="F735" s="526"/>
      <c r="G735" s="474"/>
      <c r="H735" s="474"/>
      <c r="I735" s="474"/>
      <c r="J735" s="474"/>
      <c r="K735" s="474"/>
      <c r="L735" s="474"/>
      <c r="M735" s="474"/>
      <c r="N735" s="474"/>
      <c r="O735" s="474"/>
      <c r="P735" s="474"/>
      <c r="Q735" s="474"/>
      <c r="R735" s="474"/>
      <c r="S735" s="474"/>
      <c r="T735" s="474"/>
      <c r="U735" s="474"/>
      <c r="V735" s="474"/>
      <c r="W735" s="474"/>
      <c r="X735" s="474"/>
      <c r="Y735" s="474"/>
      <c r="Z735" s="474"/>
    </row>
    <row r="736" ht="12.0" customHeight="1">
      <c r="A736" s="480"/>
      <c r="B736" s="485"/>
      <c r="C736" s="525"/>
      <c r="D736" s="525"/>
      <c r="E736" s="526"/>
      <c r="F736" s="526"/>
      <c r="G736" s="474"/>
      <c r="H736" s="474"/>
      <c r="I736" s="474"/>
      <c r="J736" s="474"/>
      <c r="K736" s="474"/>
      <c r="L736" s="474"/>
      <c r="M736" s="474"/>
      <c r="N736" s="474"/>
      <c r="O736" s="474"/>
      <c r="P736" s="474"/>
      <c r="Q736" s="474"/>
      <c r="R736" s="474"/>
      <c r="S736" s="474"/>
      <c r="T736" s="474"/>
      <c r="U736" s="474"/>
      <c r="V736" s="474"/>
      <c r="W736" s="474"/>
      <c r="X736" s="474"/>
      <c r="Y736" s="474"/>
      <c r="Z736" s="474"/>
    </row>
    <row r="737" ht="12.0" customHeight="1">
      <c r="A737" s="480"/>
      <c r="B737" s="485"/>
      <c r="C737" s="525"/>
      <c r="D737" s="525"/>
      <c r="E737" s="526"/>
      <c r="F737" s="526"/>
      <c r="G737" s="474"/>
      <c r="H737" s="474"/>
      <c r="I737" s="474"/>
      <c r="J737" s="474"/>
      <c r="K737" s="474"/>
      <c r="L737" s="474"/>
      <c r="M737" s="474"/>
      <c r="N737" s="474"/>
      <c r="O737" s="474"/>
      <c r="P737" s="474"/>
      <c r="Q737" s="474"/>
      <c r="R737" s="474"/>
      <c r="S737" s="474"/>
      <c r="T737" s="474"/>
      <c r="U737" s="474"/>
      <c r="V737" s="474"/>
      <c r="W737" s="474"/>
      <c r="X737" s="474"/>
      <c r="Y737" s="474"/>
      <c r="Z737" s="474"/>
    </row>
    <row r="738" ht="12.0" customHeight="1">
      <c r="A738" s="480"/>
      <c r="B738" s="485"/>
      <c r="C738" s="525"/>
      <c r="D738" s="525"/>
      <c r="E738" s="526"/>
      <c r="F738" s="526"/>
      <c r="G738" s="474"/>
      <c r="H738" s="474"/>
      <c r="I738" s="474"/>
      <c r="J738" s="474"/>
      <c r="K738" s="474"/>
      <c r="L738" s="474"/>
      <c r="M738" s="474"/>
      <c r="N738" s="474"/>
      <c r="O738" s="474"/>
      <c r="P738" s="474"/>
      <c r="Q738" s="474"/>
      <c r="R738" s="474"/>
      <c r="S738" s="474"/>
      <c r="T738" s="474"/>
      <c r="U738" s="474"/>
      <c r="V738" s="474"/>
      <c r="W738" s="474"/>
      <c r="X738" s="474"/>
      <c r="Y738" s="474"/>
      <c r="Z738" s="474"/>
    </row>
    <row r="739" ht="12.0" customHeight="1">
      <c r="A739" s="480"/>
      <c r="B739" s="485"/>
      <c r="C739" s="525"/>
      <c r="D739" s="525"/>
      <c r="E739" s="526"/>
      <c r="F739" s="526"/>
      <c r="G739" s="474"/>
      <c r="H739" s="474"/>
      <c r="I739" s="474"/>
      <c r="J739" s="474"/>
      <c r="K739" s="474"/>
      <c r="L739" s="474"/>
      <c r="M739" s="474"/>
      <c r="N739" s="474"/>
      <c r="O739" s="474"/>
      <c r="P739" s="474"/>
      <c r="Q739" s="474"/>
      <c r="R739" s="474"/>
      <c r="S739" s="474"/>
      <c r="T739" s="474"/>
      <c r="U739" s="474"/>
      <c r="V739" s="474"/>
      <c r="W739" s="474"/>
      <c r="X739" s="474"/>
      <c r="Y739" s="474"/>
      <c r="Z739" s="474"/>
    </row>
    <row r="740" ht="12.0" customHeight="1">
      <c r="A740" s="480"/>
      <c r="B740" s="485"/>
      <c r="C740" s="525"/>
      <c r="D740" s="525"/>
      <c r="E740" s="526"/>
      <c r="F740" s="526"/>
      <c r="G740" s="474"/>
      <c r="H740" s="474"/>
      <c r="I740" s="474"/>
      <c r="J740" s="474"/>
      <c r="K740" s="474"/>
      <c r="L740" s="474"/>
      <c r="M740" s="474"/>
      <c r="N740" s="474"/>
      <c r="O740" s="474"/>
      <c r="P740" s="474"/>
      <c r="Q740" s="474"/>
      <c r="R740" s="474"/>
      <c r="S740" s="474"/>
      <c r="T740" s="474"/>
      <c r="U740" s="474"/>
      <c r="V740" s="474"/>
      <c r="W740" s="474"/>
      <c r="X740" s="474"/>
      <c r="Y740" s="474"/>
      <c r="Z740" s="474"/>
    </row>
    <row r="741" ht="12.0" customHeight="1">
      <c r="A741" s="480"/>
      <c r="B741" s="485"/>
      <c r="C741" s="525"/>
      <c r="D741" s="525"/>
      <c r="E741" s="526"/>
      <c r="F741" s="526"/>
      <c r="G741" s="474"/>
      <c r="H741" s="474"/>
      <c r="I741" s="474"/>
      <c r="J741" s="474"/>
      <c r="K741" s="474"/>
      <c r="L741" s="474"/>
      <c r="M741" s="474"/>
      <c r="N741" s="474"/>
      <c r="O741" s="474"/>
      <c r="P741" s="474"/>
      <c r="Q741" s="474"/>
      <c r="R741" s="474"/>
      <c r="S741" s="474"/>
      <c r="T741" s="474"/>
      <c r="U741" s="474"/>
      <c r="V741" s="474"/>
      <c r="W741" s="474"/>
      <c r="X741" s="474"/>
      <c r="Y741" s="474"/>
      <c r="Z741" s="474"/>
    </row>
    <row r="742" ht="12.0" customHeight="1">
      <c r="A742" s="480"/>
      <c r="B742" s="485"/>
      <c r="C742" s="525"/>
      <c r="D742" s="525"/>
      <c r="E742" s="526"/>
      <c r="F742" s="526"/>
      <c r="G742" s="474"/>
      <c r="H742" s="474"/>
      <c r="I742" s="474"/>
      <c r="J742" s="474"/>
      <c r="K742" s="474"/>
      <c r="L742" s="474"/>
      <c r="M742" s="474"/>
      <c r="N742" s="474"/>
      <c r="O742" s="474"/>
      <c r="P742" s="474"/>
      <c r="Q742" s="474"/>
      <c r="R742" s="474"/>
      <c r="S742" s="474"/>
      <c r="T742" s="474"/>
      <c r="U742" s="474"/>
      <c r="V742" s="474"/>
      <c r="W742" s="474"/>
      <c r="X742" s="474"/>
      <c r="Y742" s="474"/>
      <c r="Z742" s="474"/>
    </row>
    <row r="743" ht="12.0" customHeight="1">
      <c r="A743" s="480"/>
      <c r="B743" s="485"/>
      <c r="C743" s="525"/>
      <c r="D743" s="525"/>
      <c r="E743" s="526"/>
      <c r="F743" s="526"/>
      <c r="G743" s="474"/>
      <c r="H743" s="474"/>
      <c r="I743" s="474"/>
      <c r="J743" s="474"/>
      <c r="K743" s="474"/>
      <c r="L743" s="474"/>
      <c r="M743" s="474"/>
      <c r="N743" s="474"/>
      <c r="O743" s="474"/>
      <c r="P743" s="474"/>
      <c r="Q743" s="474"/>
      <c r="R743" s="474"/>
      <c r="S743" s="474"/>
      <c r="T743" s="474"/>
      <c r="U743" s="474"/>
      <c r="V743" s="474"/>
      <c r="W743" s="474"/>
      <c r="X743" s="474"/>
      <c r="Y743" s="474"/>
      <c r="Z743" s="474"/>
    </row>
    <row r="744" ht="12.0" customHeight="1">
      <c r="A744" s="480"/>
      <c r="B744" s="485"/>
      <c r="C744" s="525"/>
      <c r="D744" s="525"/>
      <c r="E744" s="526"/>
      <c r="F744" s="526"/>
      <c r="G744" s="474"/>
      <c r="H744" s="474"/>
      <c r="I744" s="474"/>
      <c r="J744" s="474"/>
      <c r="K744" s="474"/>
      <c r="L744" s="474"/>
      <c r="M744" s="474"/>
      <c r="N744" s="474"/>
      <c r="O744" s="474"/>
      <c r="P744" s="474"/>
      <c r="Q744" s="474"/>
      <c r="R744" s="474"/>
      <c r="S744" s="474"/>
      <c r="T744" s="474"/>
      <c r="U744" s="474"/>
      <c r="V744" s="474"/>
      <c r="W744" s="474"/>
      <c r="X744" s="474"/>
      <c r="Y744" s="474"/>
      <c r="Z744" s="474"/>
    </row>
    <row r="745" ht="12.0" customHeight="1">
      <c r="A745" s="480"/>
      <c r="B745" s="485"/>
      <c r="C745" s="525"/>
      <c r="D745" s="525"/>
      <c r="E745" s="526"/>
      <c r="F745" s="526"/>
      <c r="G745" s="474"/>
      <c r="H745" s="474"/>
      <c r="I745" s="474"/>
      <c r="J745" s="474"/>
      <c r="K745" s="474"/>
      <c r="L745" s="474"/>
      <c r="M745" s="474"/>
      <c r="N745" s="474"/>
      <c r="O745" s="474"/>
      <c r="P745" s="474"/>
      <c r="Q745" s="474"/>
      <c r="R745" s="474"/>
      <c r="S745" s="474"/>
      <c r="T745" s="474"/>
      <c r="U745" s="474"/>
      <c r="V745" s="474"/>
      <c r="W745" s="474"/>
      <c r="X745" s="474"/>
      <c r="Y745" s="474"/>
      <c r="Z745" s="474"/>
    </row>
    <row r="746" ht="12.0" customHeight="1">
      <c r="A746" s="480"/>
      <c r="B746" s="485"/>
      <c r="C746" s="525"/>
      <c r="D746" s="525"/>
      <c r="E746" s="526"/>
      <c r="F746" s="526"/>
      <c r="G746" s="474"/>
      <c r="H746" s="474"/>
      <c r="I746" s="474"/>
      <c r="J746" s="474"/>
      <c r="K746" s="474"/>
      <c r="L746" s="474"/>
      <c r="M746" s="474"/>
      <c r="N746" s="474"/>
      <c r="O746" s="474"/>
      <c r="P746" s="474"/>
      <c r="Q746" s="474"/>
      <c r="R746" s="474"/>
      <c r="S746" s="474"/>
      <c r="T746" s="474"/>
      <c r="U746" s="474"/>
      <c r="V746" s="474"/>
      <c r="W746" s="474"/>
      <c r="X746" s="474"/>
      <c r="Y746" s="474"/>
      <c r="Z746" s="474"/>
    </row>
    <row r="747" ht="12.0" customHeight="1">
      <c r="A747" s="480"/>
      <c r="B747" s="485"/>
      <c r="C747" s="525"/>
      <c r="D747" s="525"/>
      <c r="E747" s="526"/>
      <c r="F747" s="526"/>
      <c r="G747" s="474"/>
      <c r="H747" s="474"/>
      <c r="I747" s="474"/>
      <c r="J747" s="474"/>
      <c r="K747" s="474"/>
      <c r="L747" s="474"/>
      <c r="M747" s="474"/>
      <c r="N747" s="474"/>
      <c r="O747" s="474"/>
      <c r="P747" s="474"/>
      <c r="Q747" s="474"/>
      <c r="R747" s="474"/>
      <c r="S747" s="474"/>
      <c r="T747" s="474"/>
      <c r="U747" s="474"/>
      <c r="V747" s="474"/>
      <c r="W747" s="474"/>
      <c r="X747" s="474"/>
      <c r="Y747" s="474"/>
      <c r="Z747" s="474"/>
    </row>
    <row r="748" ht="12.0" customHeight="1">
      <c r="A748" s="480"/>
      <c r="B748" s="485"/>
      <c r="C748" s="525"/>
      <c r="D748" s="525"/>
      <c r="E748" s="526"/>
      <c r="F748" s="526"/>
      <c r="G748" s="474"/>
      <c r="H748" s="474"/>
      <c r="I748" s="474"/>
      <c r="J748" s="474"/>
      <c r="K748" s="474"/>
      <c r="L748" s="474"/>
      <c r="M748" s="474"/>
      <c r="N748" s="474"/>
      <c r="O748" s="474"/>
      <c r="P748" s="474"/>
      <c r="Q748" s="474"/>
      <c r="R748" s="474"/>
      <c r="S748" s="474"/>
      <c r="T748" s="474"/>
      <c r="U748" s="474"/>
      <c r="V748" s="474"/>
      <c r="W748" s="474"/>
      <c r="X748" s="474"/>
      <c r="Y748" s="474"/>
      <c r="Z748" s="474"/>
    </row>
    <row r="749" ht="12.0" customHeight="1">
      <c r="A749" s="480"/>
      <c r="B749" s="485"/>
      <c r="C749" s="525"/>
      <c r="D749" s="525"/>
      <c r="E749" s="526"/>
      <c r="F749" s="526"/>
      <c r="G749" s="474"/>
      <c r="H749" s="474"/>
      <c r="I749" s="474"/>
      <c r="J749" s="474"/>
      <c r="K749" s="474"/>
      <c r="L749" s="474"/>
      <c r="M749" s="474"/>
      <c r="N749" s="474"/>
      <c r="O749" s="474"/>
      <c r="P749" s="474"/>
      <c r="Q749" s="474"/>
      <c r="R749" s="474"/>
      <c r="S749" s="474"/>
      <c r="T749" s="474"/>
      <c r="U749" s="474"/>
      <c r="V749" s="474"/>
      <c r="W749" s="474"/>
      <c r="X749" s="474"/>
      <c r="Y749" s="474"/>
      <c r="Z749" s="474"/>
    </row>
    <row r="750" ht="12.0" customHeight="1">
      <c r="A750" s="480"/>
      <c r="B750" s="485"/>
      <c r="C750" s="525"/>
      <c r="D750" s="525"/>
      <c r="E750" s="526"/>
      <c r="F750" s="526"/>
      <c r="G750" s="474"/>
      <c r="H750" s="474"/>
      <c r="I750" s="474"/>
      <c r="J750" s="474"/>
      <c r="K750" s="474"/>
      <c r="L750" s="474"/>
      <c r="M750" s="474"/>
      <c r="N750" s="474"/>
      <c r="O750" s="474"/>
      <c r="P750" s="474"/>
      <c r="Q750" s="474"/>
      <c r="R750" s="474"/>
      <c r="S750" s="474"/>
      <c r="T750" s="474"/>
      <c r="U750" s="474"/>
      <c r="V750" s="474"/>
      <c r="W750" s="474"/>
      <c r="X750" s="474"/>
      <c r="Y750" s="474"/>
      <c r="Z750" s="474"/>
    </row>
    <row r="751" ht="12.0" customHeight="1">
      <c r="A751" s="480"/>
      <c r="B751" s="485"/>
      <c r="C751" s="525"/>
      <c r="D751" s="525"/>
      <c r="E751" s="526"/>
      <c r="F751" s="526"/>
      <c r="G751" s="474"/>
      <c r="H751" s="474"/>
      <c r="I751" s="474"/>
      <c r="J751" s="474"/>
      <c r="K751" s="474"/>
      <c r="L751" s="474"/>
      <c r="M751" s="474"/>
      <c r="N751" s="474"/>
      <c r="O751" s="474"/>
      <c r="P751" s="474"/>
      <c r="Q751" s="474"/>
      <c r="R751" s="474"/>
      <c r="S751" s="474"/>
      <c r="T751" s="474"/>
      <c r="U751" s="474"/>
      <c r="V751" s="474"/>
      <c r="W751" s="474"/>
      <c r="X751" s="474"/>
      <c r="Y751" s="474"/>
      <c r="Z751" s="474"/>
    </row>
    <row r="752" ht="12.0" customHeight="1">
      <c r="A752" s="480"/>
      <c r="B752" s="485"/>
      <c r="C752" s="525"/>
      <c r="D752" s="525"/>
      <c r="E752" s="526"/>
      <c r="F752" s="526"/>
      <c r="G752" s="474"/>
      <c r="H752" s="474"/>
      <c r="I752" s="474"/>
      <c r="J752" s="474"/>
      <c r="K752" s="474"/>
      <c r="L752" s="474"/>
      <c r="M752" s="474"/>
      <c r="N752" s="474"/>
      <c r="O752" s="474"/>
      <c r="P752" s="474"/>
      <c r="Q752" s="474"/>
      <c r="R752" s="474"/>
      <c r="S752" s="474"/>
      <c r="T752" s="474"/>
      <c r="U752" s="474"/>
      <c r="V752" s="474"/>
      <c r="W752" s="474"/>
      <c r="X752" s="474"/>
      <c r="Y752" s="474"/>
      <c r="Z752" s="474"/>
    </row>
    <row r="753" ht="12.0" customHeight="1">
      <c r="A753" s="480"/>
      <c r="B753" s="485"/>
      <c r="C753" s="525"/>
      <c r="D753" s="525"/>
      <c r="E753" s="526"/>
      <c r="F753" s="526"/>
      <c r="G753" s="474"/>
      <c r="H753" s="474"/>
      <c r="I753" s="474"/>
      <c r="J753" s="474"/>
      <c r="K753" s="474"/>
      <c r="L753" s="474"/>
      <c r="M753" s="474"/>
      <c r="N753" s="474"/>
      <c r="O753" s="474"/>
      <c r="P753" s="474"/>
      <c r="Q753" s="474"/>
      <c r="R753" s="474"/>
      <c r="S753" s="474"/>
      <c r="T753" s="474"/>
      <c r="U753" s="474"/>
      <c r="V753" s="474"/>
      <c r="W753" s="474"/>
      <c r="X753" s="474"/>
      <c r="Y753" s="474"/>
      <c r="Z753" s="474"/>
    </row>
    <row r="754" ht="12.0" customHeight="1">
      <c r="A754" s="480"/>
      <c r="B754" s="485"/>
      <c r="C754" s="525"/>
      <c r="D754" s="525"/>
      <c r="E754" s="526"/>
      <c r="F754" s="526"/>
      <c r="G754" s="474"/>
      <c r="H754" s="474"/>
      <c r="I754" s="474"/>
      <c r="J754" s="474"/>
      <c r="K754" s="474"/>
      <c r="L754" s="474"/>
      <c r="M754" s="474"/>
      <c r="N754" s="474"/>
      <c r="O754" s="474"/>
      <c r="P754" s="474"/>
      <c r="Q754" s="474"/>
      <c r="R754" s="474"/>
      <c r="S754" s="474"/>
      <c r="T754" s="474"/>
      <c r="U754" s="474"/>
      <c r="V754" s="474"/>
      <c r="W754" s="474"/>
      <c r="X754" s="474"/>
      <c r="Y754" s="474"/>
      <c r="Z754" s="474"/>
    </row>
    <row r="755" ht="12.0" customHeight="1">
      <c r="A755" s="480"/>
      <c r="B755" s="485"/>
      <c r="C755" s="525"/>
      <c r="D755" s="525"/>
      <c r="E755" s="526"/>
      <c r="F755" s="526"/>
      <c r="G755" s="474"/>
      <c r="H755" s="474"/>
      <c r="I755" s="474"/>
      <c r="J755" s="474"/>
      <c r="K755" s="474"/>
      <c r="L755" s="474"/>
      <c r="M755" s="474"/>
      <c r="N755" s="474"/>
      <c r="O755" s="474"/>
      <c r="P755" s="474"/>
      <c r="Q755" s="474"/>
      <c r="R755" s="474"/>
      <c r="S755" s="474"/>
      <c r="T755" s="474"/>
      <c r="U755" s="474"/>
      <c r="V755" s="474"/>
      <c r="W755" s="474"/>
      <c r="X755" s="474"/>
      <c r="Y755" s="474"/>
      <c r="Z755" s="474"/>
    </row>
    <row r="756" ht="12.0" customHeight="1">
      <c r="A756" s="480"/>
      <c r="B756" s="485"/>
      <c r="C756" s="525"/>
      <c r="D756" s="525"/>
      <c r="E756" s="526"/>
      <c r="F756" s="526"/>
      <c r="G756" s="474"/>
      <c r="H756" s="474"/>
      <c r="I756" s="474"/>
      <c r="J756" s="474"/>
      <c r="K756" s="474"/>
      <c r="L756" s="474"/>
      <c r="M756" s="474"/>
      <c r="N756" s="474"/>
      <c r="O756" s="474"/>
      <c r="P756" s="474"/>
      <c r="Q756" s="474"/>
      <c r="R756" s="474"/>
      <c r="S756" s="474"/>
      <c r="T756" s="474"/>
      <c r="U756" s="474"/>
      <c r="V756" s="474"/>
      <c r="W756" s="474"/>
      <c r="X756" s="474"/>
      <c r="Y756" s="474"/>
      <c r="Z756" s="474"/>
    </row>
    <row r="757" ht="12.0" customHeight="1">
      <c r="A757" s="480"/>
      <c r="B757" s="485"/>
      <c r="C757" s="525"/>
      <c r="D757" s="525"/>
      <c r="E757" s="526"/>
      <c r="F757" s="526"/>
      <c r="G757" s="474"/>
      <c r="H757" s="474"/>
      <c r="I757" s="474"/>
      <c r="J757" s="474"/>
      <c r="K757" s="474"/>
      <c r="L757" s="474"/>
      <c r="M757" s="474"/>
      <c r="N757" s="474"/>
      <c r="O757" s="474"/>
      <c r="P757" s="474"/>
      <c r="Q757" s="474"/>
      <c r="R757" s="474"/>
      <c r="S757" s="474"/>
      <c r="T757" s="474"/>
      <c r="U757" s="474"/>
      <c r="V757" s="474"/>
      <c r="W757" s="474"/>
      <c r="X757" s="474"/>
      <c r="Y757" s="474"/>
      <c r="Z757" s="474"/>
    </row>
    <row r="758" ht="12.0" customHeight="1">
      <c r="A758" s="480"/>
      <c r="B758" s="485"/>
      <c r="C758" s="525"/>
      <c r="D758" s="525"/>
      <c r="E758" s="526"/>
      <c r="F758" s="526"/>
      <c r="G758" s="474"/>
      <c r="H758" s="474"/>
      <c r="I758" s="474"/>
      <c r="J758" s="474"/>
      <c r="K758" s="474"/>
      <c r="L758" s="474"/>
      <c r="M758" s="474"/>
      <c r="N758" s="474"/>
      <c r="O758" s="474"/>
      <c r="P758" s="474"/>
      <c r="Q758" s="474"/>
      <c r="R758" s="474"/>
      <c r="S758" s="474"/>
      <c r="T758" s="474"/>
      <c r="U758" s="474"/>
      <c r="V758" s="474"/>
      <c r="W758" s="474"/>
      <c r="X758" s="474"/>
      <c r="Y758" s="474"/>
      <c r="Z758" s="474"/>
    </row>
    <row r="759" ht="12.0" customHeight="1">
      <c r="A759" s="480"/>
      <c r="B759" s="485"/>
      <c r="C759" s="525"/>
      <c r="D759" s="525"/>
      <c r="E759" s="526"/>
      <c r="F759" s="526"/>
      <c r="G759" s="474"/>
      <c r="H759" s="474"/>
      <c r="I759" s="474"/>
      <c r="J759" s="474"/>
      <c r="K759" s="474"/>
      <c r="L759" s="474"/>
      <c r="M759" s="474"/>
      <c r="N759" s="474"/>
      <c r="O759" s="474"/>
      <c r="P759" s="474"/>
      <c r="Q759" s="474"/>
      <c r="R759" s="474"/>
      <c r="S759" s="474"/>
      <c r="T759" s="474"/>
      <c r="U759" s="474"/>
      <c r="V759" s="474"/>
      <c r="W759" s="474"/>
      <c r="X759" s="474"/>
      <c r="Y759" s="474"/>
      <c r="Z759" s="474"/>
    </row>
    <row r="760" ht="12.0" customHeight="1">
      <c r="A760" s="480"/>
      <c r="B760" s="485"/>
      <c r="C760" s="525"/>
      <c r="D760" s="525"/>
      <c r="E760" s="526"/>
      <c r="F760" s="526"/>
      <c r="G760" s="474"/>
      <c r="H760" s="474"/>
      <c r="I760" s="474"/>
      <c r="J760" s="474"/>
      <c r="K760" s="474"/>
      <c r="L760" s="474"/>
      <c r="M760" s="474"/>
      <c r="N760" s="474"/>
      <c r="O760" s="474"/>
      <c r="P760" s="474"/>
      <c r="Q760" s="474"/>
      <c r="R760" s="474"/>
      <c r="S760" s="474"/>
      <c r="T760" s="474"/>
      <c r="U760" s="474"/>
      <c r="V760" s="474"/>
      <c r="W760" s="474"/>
      <c r="X760" s="474"/>
      <c r="Y760" s="474"/>
      <c r="Z760" s="474"/>
    </row>
    <row r="761" ht="12.0" customHeight="1">
      <c r="A761" s="480"/>
      <c r="B761" s="485"/>
      <c r="C761" s="525"/>
      <c r="D761" s="525"/>
      <c r="E761" s="526"/>
      <c r="F761" s="526"/>
      <c r="G761" s="474"/>
      <c r="H761" s="474"/>
      <c r="I761" s="474"/>
      <c r="J761" s="474"/>
      <c r="K761" s="474"/>
      <c r="L761" s="474"/>
      <c r="M761" s="474"/>
      <c r="N761" s="474"/>
      <c r="O761" s="474"/>
      <c r="P761" s="474"/>
      <c r="Q761" s="474"/>
      <c r="R761" s="474"/>
      <c r="S761" s="474"/>
      <c r="T761" s="474"/>
      <c r="U761" s="474"/>
      <c r="V761" s="474"/>
      <c r="W761" s="474"/>
      <c r="X761" s="474"/>
      <c r="Y761" s="474"/>
      <c r="Z761" s="474"/>
    </row>
    <row r="762" ht="12.0" customHeight="1">
      <c r="A762" s="480"/>
      <c r="B762" s="485"/>
      <c r="C762" s="525"/>
      <c r="D762" s="525"/>
      <c r="E762" s="526"/>
      <c r="F762" s="526"/>
      <c r="G762" s="474"/>
      <c r="H762" s="474"/>
      <c r="I762" s="474"/>
      <c r="J762" s="474"/>
      <c r="K762" s="474"/>
      <c r="L762" s="474"/>
      <c r="M762" s="474"/>
      <c r="N762" s="474"/>
      <c r="O762" s="474"/>
      <c r="P762" s="474"/>
      <c r="Q762" s="474"/>
      <c r="R762" s="474"/>
      <c r="S762" s="474"/>
      <c r="T762" s="474"/>
      <c r="U762" s="474"/>
      <c r="V762" s="474"/>
      <c r="W762" s="474"/>
      <c r="X762" s="474"/>
      <c r="Y762" s="474"/>
      <c r="Z762" s="474"/>
    </row>
    <row r="763" ht="12.0" customHeight="1">
      <c r="A763" s="480"/>
      <c r="B763" s="485"/>
      <c r="C763" s="525"/>
      <c r="D763" s="525"/>
      <c r="E763" s="526"/>
      <c r="F763" s="526"/>
      <c r="G763" s="474"/>
      <c r="H763" s="474"/>
      <c r="I763" s="474"/>
      <c r="J763" s="474"/>
      <c r="K763" s="474"/>
      <c r="L763" s="474"/>
      <c r="M763" s="474"/>
      <c r="N763" s="474"/>
      <c r="O763" s="474"/>
      <c r="P763" s="474"/>
      <c r="Q763" s="474"/>
      <c r="R763" s="474"/>
      <c r="S763" s="474"/>
      <c r="T763" s="474"/>
      <c r="U763" s="474"/>
      <c r="V763" s="474"/>
      <c r="W763" s="474"/>
      <c r="X763" s="474"/>
      <c r="Y763" s="474"/>
      <c r="Z763" s="474"/>
    </row>
    <row r="764" ht="12.0" customHeight="1">
      <c r="A764" s="480"/>
      <c r="B764" s="485"/>
      <c r="C764" s="525"/>
      <c r="D764" s="525"/>
      <c r="E764" s="526"/>
      <c r="F764" s="526"/>
      <c r="G764" s="474"/>
      <c r="H764" s="474"/>
      <c r="I764" s="474"/>
      <c r="J764" s="474"/>
      <c r="K764" s="474"/>
      <c r="L764" s="474"/>
      <c r="M764" s="474"/>
      <c r="N764" s="474"/>
      <c r="O764" s="474"/>
      <c r="P764" s="474"/>
      <c r="Q764" s="474"/>
      <c r="R764" s="474"/>
      <c r="S764" s="474"/>
      <c r="T764" s="474"/>
      <c r="U764" s="474"/>
      <c r="V764" s="474"/>
      <c r="W764" s="474"/>
      <c r="X764" s="474"/>
      <c r="Y764" s="474"/>
      <c r="Z764" s="474"/>
    </row>
    <row r="765" ht="12.0" customHeight="1">
      <c r="A765" s="480"/>
      <c r="B765" s="485"/>
      <c r="C765" s="525"/>
      <c r="D765" s="525"/>
      <c r="E765" s="526"/>
      <c r="F765" s="526"/>
      <c r="G765" s="474"/>
      <c r="H765" s="474"/>
      <c r="I765" s="474"/>
      <c r="J765" s="474"/>
      <c r="K765" s="474"/>
      <c r="L765" s="474"/>
      <c r="M765" s="474"/>
      <c r="N765" s="474"/>
      <c r="O765" s="474"/>
      <c r="P765" s="474"/>
      <c r="Q765" s="474"/>
      <c r="R765" s="474"/>
      <c r="S765" s="474"/>
      <c r="T765" s="474"/>
      <c r="U765" s="474"/>
      <c r="V765" s="474"/>
      <c r="W765" s="474"/>
      <c r="X765" s="474"/>
      <c r="Y765" s="474"/>
      <c r="Z765" s="474"/>
    </row>
    <row r="766" ht="12.0" customHeight="1">
      <c r="A766" s="480"/>
      <c r="B766" s="485"/>
      <c r="C766" s="525"/>
      <c r="D766" s="525"/>
      <c r="E766" s="526"/>
      <c r="F766" s="526"/>
      <c r="G766" s="474"/>
      <c r="H766" s="474"/>
      <c r="I766" s="474"/>
      <c r="J766" s="474"/>
      <c r="K766" s="474"/>
      <c r="L766" s="474"/>
      <c r="M766" s="474"/>
      <c r="N766" s="474"/>
      <c r="O766" s="474"/>
      <c r="P766" s="474"/>
      <c r="Q766" s="474"/>
      <c r="R766" s="474"/>
      <c r="S766" s="474"/>
      <c r="T766" s="474"/>
      <c r="U766" s="474"/>
      <c r="V766" s="474"/>
      <c r="W766" s="474"/>
      <c r="X766" s="474"/>
      <c r="Y766" s="474"/>
      <c r="Z766" s="474"/>
    </row>
    <row r="767" ht="12.0" customHeight="1">
      <c r="A767" s="480"/>
      <c r="B767" s="485"/>
      <c r="C767" s="525"/>
      <c r="D767" s="525"/>
      <c r="E767" s="526"/>
      <c r="F767" s="526"/>
      <c r="G767" s="474"/>
      <c r="H767" s="474"/>
      <c r="I767" s="474"/>
      <c r="J767" s="474"/>
      <c r="K767" s="474"/>
      <c r="L767" s="474"/>
      <c r="M767" s="474"/>
      <c r="N767" s="474"/>
      <c r="O767" s="474"/>
      <c r="P767" s="474"/>
      <c r="Q767" s="474"/>
      <c r="R767" s="474"/>
      <c r="S767" s="474"/>
      <c r="T767" s="474"/>
      <c r="U767" s="474"/>
      <c r="V767" s="474"/>
      <c r="W767" s="474"/>
      <c r="X767" s="474"/>
      <c r="Y767" s="474"/>
      <c r="Z767" s="474"/>
    </row>
    <row r="768" ht="12.0" customHeight="1">
      <c r="A768" s="480"/>
      <c r="B768" s="485"/>
      <c r="C768" s="525"/>
      <c r="D768" s="525"/>
      <c r="E768" s="526"/>
      <c r="F768" s="526"/>
      <c r="G768" s="474"/>
      <c r="H768" s="474"/>
      <c r="I768" s="474"/>
      <c r="J768" s="474"/>
      <c r="K768" s="474"/>
      <c r="L768" s="474"/>
      <c r="M768" s="474"/>
      <c r="N768" s="474"/>
      <c r="O768" s="474"/>
      <c r="P768" s="474"/>
      <c r="Q768" s="474"/>
      <c r="R768" s="474"/>
      <c r="S768" s="474"/>
      <c r="T768" s="474"/>
      <c r="U768" s="474"/>
      <c r="V768" s="474"/>
      <c r="W768" s="474"/>
      <c r="X768" s="474"/>
      <c r="Y768" s="474"/>
      <c r="Z768" s="474"/>
    </row>
    <row r="769" ht="12.0" customHeight="1">
      <c r="A769" s="480"/>
      <c r="B769" s="485"/>
      <c r="C769" s="525"/>
      <c r="D769" s="525"/>
      <c r="E769" s="526"/>
      <c r="F769" s="526"/>
      <c r="G769" s="474"/>
      <c r="H769" s="474"/>
      <c r="I769" s="474"/>
      <c r="J769" s="474"/>
      <c r="K769" s="474"/>
      <c r="L769" s="474"/>
      <c r="M769" s="474"/>
      <c r="N769" s="474"/>
      <c r="O769" s="474"/>
      <c r="P769" s="474"/>
      <c r="Q769" s="474"/>
      <c r="R769" s="474"/>
      <c r="S769" s="474"/>
      <c r="T769" s="474"/>
      <c r="U769" s="474"/>
      <c r="V769" s="474"/>
      <c r="W769" s="474"/>
      <c r="X769" s="474"/>
      <c r="Y769" s="474"/>
      <c r="Z769" s="474"/>
    </row>
    <row r="770" ht="12.0" customHeight="1">
      <c r="A770" s="480"/>
      <c r="B770" s="485"/>
      <c r="C770" s="525"/>
      <c r="D770" s="525"/>
      <c r="E770" s="526"/>
      <c r="F770" s="526"/>
      <c r="G770" s="474"/>
      <c r="H770" s="474"/>
      <c r="I770" s="474"/>
      <c r="J770" s="474"/>
      <c r="K770" s="474"/>
      <c r="L770" s="474"/>
      <c r="M770" s="474"/>
      <c r="N770" s="474"/>
      <c r="O770" s="474"/>
      <c r="P770" s="474"/>
      <c r="Q770" s="474"/>
      <c r="R770" s="474"/>
      <c r="S770" s="474"/>
      <c r="T770" s="474"/>
      <c r="U770" s="474"/>
      <c r="V770" s="474"/>
      <c r="W770" s="474"/>
      <c r="X770" s="474"/>
      <c r="Y770" s="474"/>
      <c r="Z770" s="474"/>
    </row>
    <row r="771" ht="12.0" customHeight="1">
      <c r="A771" s="480"/>
      <c r="B771" s="485"/>
      <c r="C771" s="525"/>
      <c r="D771" s="525"/>
      <c r="E771" s="526"/>
      <c r="F771" s="526"/>
      <c r="G771" s="474"/>
      <c r="H771" s="474"/>
      <c r="I771" s="474"/>
      <c r="J771" s="474"/>
      <c r="K771" s="474"/>
      <c r="L771" s="474"/>
      <c r="M771" s="474"/>
      <c r="N771" s="474"/>
      <c r="O771" s="474"/>
      <c r="P771" s="474"/>
      <c r="Q771" s="474"/>
      <c r="R771" s="474"/>
      <c r="S771" s="474"/>
      <c r="T771" s="474"/>
      <c r="U771" s="474"/>
      <c r="V771" s="474"/>
      <c r="W771" s="474"/>
      <c r="X771" s="474"/>
      <c r="Y771" s="474"/>
      <c r="Z771" s="474"/>
    </row>
    <row r="772" ht="12.0" customHeight="1">
      <c r="A772" s="480"/>
      <c r="B772" s="485"/>
      <c r="C772" s="525"/>
      <c r="D772" s="525"/>
      <c r="E772" s="526"/>
      <c r="F772" s="526"/>
      <c r="G772" s="474"/>
      <c r="H772" s="474"/>
      <c r="I772" s="474"/>
      <c r="J772" s="474"/>
      <c r="K772" s="474"/>
      <c r="L772" s="474"/>
      <c r="M772" s="474"/>
      <c r="N772" s="474"/>
      <c r="O772" s="474"/>
      <c r="P772" s="474"/>
      <c r="Q772" s="474"/>
      <c r="R772" s="474"/>
      <c r="S772" s="474"/>
      <c r="T772" s="474"/>
      <c r="U772" s="474"/>
      <c r="V772" s="474"/>
      <c r="W772" s="474"/>
      <c r="X772" s="474"/>
      <c r="Y772" s="474"/>
      <c r="Z772" s="474"/>
    </row>
    <row r="773" ht="12.0" customHeight="1">
      <c r="A773" s="480"/>
      <c r="B773" s="485"/>
      <c r="C773" s="525"/>
      <c r="D773" s="525"/>
      <c r="E773" s="526"/>
      <c r="F773" s="526"/>
      <c r="G773" s="474"/>
      <c r="H773" s="474"/>
      <c r="I773" s="474"/>
      <c r="J773" s="474"/>
      <c r="K773" s="474"/>
      <c r="L773" s="474"/>
      <c r="M773" s="474"/>
      <c r="N773" s="474"/>
      <c r="O773" s="474"/>
      <c r="P773" s="474"/>
      <c r="Q773" s="474"/>
      <c r="R773" s="474"/>
      <c r="S773" s="474"/>
      <c r="T773" s="474"/>
      <c r="U773" s="474"/>
      <c r="V773" s="474"/>
      <c r="W773" s="474"/>
      <c r="X773" s="474"/>
      <c r="Y773" s="474"/>
      <c r="Z773" s="474"/>
    </row>
    <row r="774" ht="12.0" customHeight="1">
      <c r="A774" s="480"/>
      <c r="B774" s="485"/>
      <c r="C774" s="525"/>
      <c r="D774" s="525"/>
      <c r="E774" s="526"/>
      <c r="F774" s="526"/>
      <c r="G774" s="474"/>
      <c r="H774" s="474"/>
      <c r="I774" s="474"/>
      <c r="J774" s="474"/>
      <c r="K774" s="474"/>
      <c r="L774" s="474"/>
      <c r="M774" s="474"/>
      <c r="N774" s="474"/>
      <c r="O774" s="474"/>
      <c r="P774" s="474"/>
      <c r="Q774" s="474"/>
      <c r="R774" s="474"/>
      <c r="S774" s="474"/>
      <c r="T774" s="474"/>
      <c r="U774" s="474"/>
      <c r="V774" s="474"/>
      <c r="W774" s="474"/>
      <c r="X774" s="474"/>
      <c r="Y774" s="474"/>
      <c r="Z774" s="474"/>
    </row>
    <row r="775" ht="12.0" customHeight="1">
      <c r="A775" s="480"/>
      <c r="B775" s="485"/>
      <c r="C775" s="525"/>
      <c r="D775" s="525"/>
      <c r="E775" s="526"/>
      <c r="F775" s="526"/>
      <c r="G775" s="474"/>
      <c r="H775" s="474"/>
      <c r="I775" s="474"/>
      <c r="J775" s="474"/>
      <c r="K775" s="474"/>
      <c r="L775" s="474"/>
      <c r="M775" s="474"/>
      <c r="N775" s="474"/>
      <c r="O775" s="474"/>
      <c r="P775" s="474"/>
      <c r="Q775" s="474"/>
      <c r="R775" s="474"/>
      <c r="S775" s="474"/>
      <c r="T775" s="474"/>
      <c r="U775" s="474"/>
      <c r="V775" s="474"/>
      <c r="W775" s="474"/>
      <c r="X775" s="474"/>
      <c r="Y775" s="474"/>
      <c r="Z775" s="474"/>
    </row>
    <row r="776" ht="12.0" customHeight="1">
      <c r="A776" s="480"/>
      <c r="B776" s="485"/>
      <c r="C776" s="525"/>
      <c r="D776" s="525"/>
      <c r="E776" s="526"/>
      <c r="F776" s="526"/>
      <c r="G776" s="474"/>
      <c r="H776" s="474"/>
      <c r="I776" s="474"/>
      <c r="J776" s="474"/>
      <c r="K776" s="474"/>
      <c r="L776" s="474"/>
      <c r="M776" s="474"/>
      <c r="N776" s="474"/>
      <c r="O776" s="474"/>
      <c r="P776" s="474"/>
      <c r="Q776" s="474"/>
      <c r="R776" s="474"/>
      <c r="S776" s="474"/>
      <c r="T776" s="474"/>
      <c r="U776" s="474"/>
      <c r="V776" s="474"/>
      <c r="W776" s="474"/>
      <c r="X776" s="474"/>
      <c r="Y776" s="474"/>
      <c r="Z776" s="474"/>
    </row>
    <row r="777" ht="12.0" customHeight="1">
      <c r="A777" s="480"/>
      <c r="B777" s="485"/>
      <c r="C777" s="525"/>
      <c r="D777" s="525"/>
      <c r="E777" s="526"/>
      <c r="F777" s="526"/>
      <c r="G777" s="474"/>
      <c r="H777" s="474"/>
      <c r="I777" s="474"/>
      <c r="J777" s="474"/>
      <c r="K777" s="474"/>
      <c r="L777" s="474"/>
      <c r="M777" s="474"/>
      <c r="N777" s="474"/>
      <c r="O777" s="474"/>
      <c r="P777" s="474"/>
      <c r="Q777" s="474"/>
      <c r="R777" s="474"/>
      <c r="S777" s="474"/>
      <c r="T777" s="474"/>
      <c r="U777" s="474"/>
      <c r="V777" s="474"/>
      <c r="W777" s="474"/>
      <c r="X777" s="474"/>
      <c r="Y777" s="474"/>
      <c r="Z777" s="474"/>
    </row>
    <row r="778" ht="12.0" customHeight="1">
      <c r="A778" s="480"/>
      <c r="B778" s="485"/>
      <c r="C778" s="525"/>
      <c r="D778" s="525"/>
      <c r="E778" s="526"/>
      <c r="F778" s="526"/>
      <c r="G778" s="474"/>
      <c r="H778" s="474"/>
      <c r="I778" s="474"/>
      <c r="J778" s="474"/>
      <c r="K778" s="474"/>
      <c r="L778" s="474"/>
      <c r="M778" s="474"/>
      <c r="N778" s="474"/>
      <c r="O778" s="474"/>
      <c r="P778" s="474"/>
      <c r="Q778" s="474"/>
      <c r="R778" s="474"/>
      <c r="S778" s="474"/>
      <c r="T778" s="474"/>
      <c r="U778" s="474"/>
      <c r="V778" s="474"/>
      <c r="W778" s="474"/>
      <c r="X778" s="474"/>
      <c r="Y778" s="474"/>
      <c r="Z778" s="474"/>
    </row>
    <row r="779" ht="12.0" customHeight="1">
      <c r="A779" s="480"/>
      <c r="B779" s="485"/>
      <c r="C779" s="525"/>
      <c r="D779" s="525"/>
      <c r="E779" s="526"/>
      <c r="F779" s="526"/>
      <c r="G779" s="474"/>
      <c r="H779" s="474"/>
      <c r="I779" s="474"/>
      <c r="J779" s="474"/>
      <c r="K779" s="474"/>
      <c r="L779" s="474"/>
      <c r="M779" s="474"/>
      <c r="N779" s="474"/>
      <c r="O779" s="474"/>
      <c r="P779" s="474"/>
      <c r="Q779" s="474"/>
      <c r="R779" s="474"/>
      <c r="S779" s="474"/>
      <c r="T779" s="474"/>
      <c r="U779" s="474"/>
      <c r="V779" s="474"/>
      <c r="W779" s="474"/>
      <c r="X779" s="474"/>
      <c r="Y779" s="474"/>
      <c r="Z779" s="474"/>
    </row>
    <row r="780" ht="12.0" customHeight="1">
      <c r="A780" s="480"/>
      <c r="B780" s="485"/>
      <c r="C780" s="525"/>
      <c r="D780" s="525"/>
      <c r="E780" s="526"/>
      <c r="F780" s="526"/>
      <c r="G780" s="474"/>
      <c r="H780" s="474"/>
      <c r="I780" s="474"/>
      <c r="J780" s="474"/>
      <c r="K780" s="474"/>
      <c r="L780" s="474"/>
      <c r="M780" s="474"/>
      <c r="N780" s="474"/>
      <c r="O780" s="474"/>
      <c r="P780" s="474"/>
      <c r="Q780" s="474"/>
      <c r="R780" s="474"/>
      <c r="S780" s="474"/>
      <c r="T780" s="474"/>
      <c r="U780" s="474"/>
      <c r="V780" s="474"/>
      <c r="W780" s="474"/>
      <c r="X780" s="474"/>
      <c r="Y780" s="474"/>
      <c r="Z780" s="474"/>
    </row>
    <row r="781" ht="12.0" customHeight="1">
      <c r="A781" s="480"/>
      <c r="B781" s="485"/>
      <c r="C781" s="525"/>
      <c r="D781" s="525"/>
      <c r="E781" s="526"/>
      <c r="F781" s="526"/>
      <c r="G781" s="474"/>
      <c r="H781" s="474"/>
      <c r="I781" s="474"/>
      <c r="J781" s="474"/>
      <c r="K781" s="474"/>
      <c r="L781" s="474"/>
      <c r="M781" s="474"/>
      <c r="N781" s="474"/>
      <c r="O781" s="474"/>
      <c r="P781" s="474"/>
      <c r="Q781" s="474"/>
      <c r="R781" s="474"/>
      <c r="S781" s="474"/>
      <c r="T781" s="474"/>
      <c r="U781" s="474"/>
      <c r="V781" s="474"/>
      <c r="W781" s="474"/>
      <c r="X781" s="474"/>
      <c r="Y781" s="474"/>
      <c r="Z781" s="474"/>
    </row>
    <row r="782" ht="12.0" customHeight="1">
      <c r="A782" s="480"/>
      <c r="B782" s="485"/>
      <c r="C782" s="525"/>
      <c r="D782" s="525"/>
      <c r="E782" s="526"/>
      <c r="F782" s="526"/>
      <c r="G782" s="474"/>
      <c r="H782" s="474"/>
      <c r="I782" s="474"/>
      <c r="J782" s="474"/>
      <c r="K782" s="474"/>
      <c r="L782" s="474"/>
      <c r="M782" s="474"/>
      <c r="N782" s="474"/>
      <c r="O782" s="474"/>
      <c r="P782" s="474"/>
      <c r="Q782" s="474"/>
      <c r="R782" s="474"/>
      <c r="S782" s="474"/>
      <c r="T782" s="474"/>
      <c r="U782" s="474"/>
      <c r="V782" s="474"/>
      <c r="W782" s="474"/>
      <c r="X782" s="474"/>
      <c r="Y782" s="474"/>
      <c r="Z782" s="474"/>
    </row>
    <row r="783" ht="12.0" customHeight="1">
      <c r="A783" s="480"/>
      <c r="B783" s="485"/>
      <c r="C783" s="525"/>
      <c r="D783" s="525"/>
      <c r="E783" s="526"/>
      <c r="F783" s="526"/>
      <c r="G783" s="474"/>
      <c r="H783" s="474"/>
      <c r="I783" s="474"/>
      <c r="J783" s="474"/>
      <c r="K783" s="474"/>
      <c r="L783" s="474"/>
      <c r="M783" s="474"/>
      <c r="N783" s="474"/>
      <c r="O783" s="474"/>
      <c r="P783" s="474"/>
      <c r="Q783" s="474"/>
      <c r="R783" s="474"/>
      <c r="S783" s="474"/>
      <c r="T783" s="474"/>
      <c r="U783" s="474"/>
      <c r="V783" s="474"/>
      <c r="W783" s="474"/>
      <c r="X783" s="474"/>
      <c r="Y783" s="474"/>
      <c r="Z783" s="474"/>
    </row>
    <row r="784" ht="12.0" customHeight="1">
      <c r="A784" s="480"/>
      <c r="B784" s="485"/>
      <c r="C784" s="525"/>
      <c r="D784" s="525"/>
      <c r="E784" s="526"/>
      <c r="F784" s="526"/>
      <c r="G784" s="474"/>
      <c r="H784" s="474"/>
      <c r="I784" s="474"/>
      <c r="J784" s="474"/>
      <c r="K784" s="474"/>
      <c r="L784" s="474"/>
      <c r="M784" s="474"/>
      <c r="N784" s="474"/>
      <c r="O784" s="474"/>
      <c r="P784" s="474"/>
      <c r="Q784" s="474"/>
      <c r="R784" s="474"/>
      <c r="S784" s="474"/>
      <c r="T784" s="474"/>
      <c r="U784" s="474"/>
      <c r="V784" s="474"/>
      <c r="W784" s="474"/>
      <c r="X784" s="474"/>
      <c r="Y784" s="474"/>
      <c r="Z784" s="474"/>
    </row>
    <row r="785" ht="12.0" customHeight="1">
      <c r="A785" s="480"/>
      <c r="B785" s="485"/>
      <c r="C785" s="525"/>
      <c r="D785" s="525"/>
      <c r="E785" s="526"/>
      <c r="F785" s="526"/>
      <c r="G785" s="474"/>
      <c r="H785" s="474"/>
      <c r="I785" s="474"/>
      <c r="J785" s="474"/>
      <c r="K785" s="474"/>
      <c r="L785" s="474"/>
      <c r="M785" s="474"/>
      <c r="N785" s="474"/>
      <c r="O785" s="474"/>
      <c r="P785" s="474"/>
      <c r="Q785" s="474"/>
      <c r="R785" s="474"/>
      <c r="S785" s="474"/>
      <c r="T785" s="474"/>
      <c r="U785" s="474"/>
      <c r="V785" s="474"/>
      <c r="W785" s="474"/>
      <c r="X785" s="474"/>
      <c r="Y785" s="474"/>
      <c r="Z785" s="474"/>
    </row>
    <row r="786" ht="12.0" customHeight="1">
      <c r="A786" s="480"/>
      <c r="B786" s="485"/>
      <c r="C786" s="525"/>
      <c r="D786" s="525"/>
      <c r="E786" s="526"/>
      <c r="F786" s="526"/>
      <c r="G786" s="474"/>
      <c r="H786" s="474"/>
      <c r="I786" s="474"/>
      <c r="J786" s="474"/>
      <c r="K786" s="474"/>
      <c r="L786" s="474"/>
      <c r="M786" s="474"/>
      <c r="N786" s="474"/>
      <c r="O786" s="474"/>
      <c r="P786" s="474"/>
      <c r="Q786" s="474"/>
      <c r="R786" s="474"/>
      <c r="S786" s="474"/>
      <c r="T786" s="474"/>
      <c r="U786" s="474"/>
      <c r="V786" s="474"/>
      <c r="W786" s="474"/>
      <c r="X786" s="474"/>
      <c r="Y786" s="474"/>
      <c r="Z786" s="474"/>
    </row>
    <row r="787" ht="12.0" customHeight="1">
      <c r="A787" s="480"/>
      <c r="B787" s="485"/>
      <c r="C787" s="525"/>
      <c r="D787" s="525"/>
      <c r="E787" s="526"/>
      <c r="F787" s="526"/>
      <c r="G787" s="474"/>
      <c r="H787" s="474"/>
      <c r="I787" s="474"/>
      <c r="J787" s="474"/>
      <c r="K787" s="474"/>
      <c r="L787" s="474"/>
      <c r="M787" s="474"/>
      <c r="N787" s="474"/>
      <c r="O787" s="474"/>
      <c r="P787" s="474"/>
      <c r="Q787" s="474"/>
      <c r="R787" s="474"/>
      <c r="S787" s="474"/>
      <c r="T787" s="474"/>
      <c r="U787" s="474"/>
      <c r="V787" s="474"/>
      <c r="W787" s="474"/>
      <c r="X787" s="474"/>
      <c r="Y787" s="474"/>
      <c r="Z787" s="474"/>
    </row>
    <row r="788" ht="12.0" customHeight="1">
      <c r="A788" s="480"/>
      <c r="B788" s="485"/>
      <c r="C788" s="525"/>
      <c r="D788" s="525"/>
      <c r="E788" s="526"/>
      <c r="F788" s="526"/>
      <c r="G788" s="474"/>
      <c r="H788" s="474"/>
      <c r="I788" s="474"/>
      <c r="J788" s="474"/>
      <c r="K788" s="474"/>
      <c r="L788" s="474"/>
      <c r="M788" s="474"/>
      <c r="N788" s="474"/>
      <c r="O788" s="474"/>
      <c r="P788" s="474"/>
      <c r="Q788" s="474"/>
      <c r="R788" s="474"/>
      <c r="S788" s="474"/>
      <c r="T788" s="474"/>
      <c r="U788" s="474"/>
      <c r="V788" s="474"/>
      <c r="W788" s="474"/>
      <c r="X788" s="474"/>
      <c r="Y788" s="474"/>
      <c r="Z788" s="474"/>
    </row>
    <row r="789" ht="12.0" customHeight="1">
      <c r="A789" s="480"/>
      <c r="B789" s="485"/>
      <c r="C789" s="525"/>
      <c r="D789" s="525"/>
      <c r="E789" s="526"/>
      <c r="F789" s="526"/>
      <c r="G789" s="474"/>
      <c r="H789" s="474"/>
      <c r="I789" s="474"/>
      <c r="J789" s="474"/>
      <c r="K789" s="474"/>
      <c r="L789" s="474"/>
      <c r="M789" s="474"/>
      <c r="N789" s="474"/>
      <c r="O789" s="474"/>
      <c r="P789" s="474"/>
      <c r="Q789" s="474"/>
      <c r="R789" s="474"/>
      <c r="S789" s="474"/>
      <c r="T789" s="474"/>
      <c r="U789" s="474"/>
      <c r="V789" s="474"/>
      <c r="W789" s="474"/>
      <c r="X789" s="474"/>
      <c r="Y789" s="474"/>
      <c r="Z789" s="474"/>
    </row>
    <row r="790" ht="12.0" customHeight="1">
      <c r="A790" s="480"/>
      <c r="B790" s="485"/>
      <c r="C790" s="525"/>
      <c r="D790" s="525"/>
      <c r="E790" s="526"/>
      <c r="F790" s="526"/>
      <c r="G790" s="474"/>
      <c r="H790" s="474"/>
      <c r="I790" s="474"/>
      <c r="J790" s="474"/>
      <c r="K790" s="474"/>
      <c r="L790" s="474"/>
      <c r="M790" s="474"/>
      <c r="N790" s="474"/>
      <c r="O790" s="474"/>
      <c r="P790" s="474"/>
      <c r="Q790" s="474"/>
      <c r="R790" s="474"/>
      <c r="S790" s="474"/>
      <c r="T790" s="474"/>
      <c r="U790" s="474"/>
      <c r="V790" s="474"/>
      <c r="W790" s="474"/>
      <c r="X790" s="474"/>
      <c r="Y790" s="474"/>
      <c r="Z790" s="474"/>
    </row>
    <row r="791" ht="12.0" customHeight="1">
      <c r="A791" s="480"/>
      <c r="B791" s="485"/>
      <c r="C791" s="525"/>
      <c r="D791" s="525"/>
      <c r="E791" s="526"/>
      <c r="F791" s="526"/>
      <c r="G791" s="474"/>
      <c r="H791" s="474"/>
      <c r="I791" s="474"/>
      <c r="J791" s="474"/>
      <c r="K791" s="474"/>
      <c r="L791" s="474"/>
      <c r="M791" s="474"/>
      <c r="N791" s="474"/>
      <c r="O791" s="474"/>
      <c r="P791" s="474"/>
      <c r="Q791" s="474"/>
      <c r="R791" s="474"/>
      <c r="S791" s="474"/>
      <c r="T791" s="474"/>
      <c r="U791" s="474"/>
      <c r="V791" s="474"/>
      <c r="W791" s="474"/>
      <c r="X791" s="474"/>
      <c r="Y791" s="474"/>
      <c r="Z791" s="474"/>
    </row>
    <row r="792" ht="12.0" customHeight="1">
      <c r="A792" s="480"/>
      <c r="B792" s="485"/>
      <c r="C792" s="525"/>
      <c r="D792" s="525"/>
      <c r="E792" s="526"/>
      <c r="F792" s="526"/>
      <c r="G792" s="474"/>
      <c r="H792" s="474"/>
      <c r="I792" s="474"/>
      <c r="J792" s="474"/>
      <c r="K792" s="474"/>
      <c r="L792" s="474"/>
      <c r="M792" s="474"/>
      <c r="N792" s="474"/>
      <c r="O792" s="474"/>
      <c r="P792" s="474"/>
      <c r="Q792" s="474"/>
      <c r="R792" s="474"/>
      <c r="S792" s="474"/>
      <c r="T792" s="474"/>
      <c r="U792" s="474"/>
      <c r="V792" s="474"/>
      <c r="W792" s="474"/>
      <c r="X792" s="474"/>
      <c r="Y792" s="474"/>
      <c r="Z792" s="474"/>
    </row>
    <row r="793" ht="12.0" customHeight="1">
      <c r="A793" s="480"/>
      <c r="B793" s="485"/>
      <c r="C793" s="525"/>
      <c r="D793" s="525"/>
      <c r="E793" s="526"/>
      <c r="F793" s="526"/>
      <c r="G793" s="474"/>
      <c r="H793" s="474"/>
      <c r="I793" s="474"/>
      <c r="J793" s="474"/>
      <c r="K793" s="474"/>
      <c r="L793" s="474"/>
      <c r="M793" s="474"/>
      <c r="N793" s="474"/>
      <c r="O793" s="474"/>
      <c r="P793" s="474"/>
      <c r="Q793" s="474"/>
      <c r="R793" s="474"/>
      <c r="S793" s="474"/>
      <c r="T793" s="474"/>
      <c r="U793" s="474"/>
      <c r="V793" s="474"/>
      <c r="W793" s="474"/>
      <c r="X793" s="474"/>
      <c r="Y793" s="474"/>
      <c r="Z793" s="474"/>
    </row>
    <row r="794" ht="12.0" customHeight="1">
      <c r="A794" s="480"/>
      <c r="B794" s="485"/>
      <c r="C794" s="525"/>
      <c r="D794" s="525"/>
      <c r="E794" s="526"/>
      <c r="F794" s="526"/>
      <c r="G794" s="474"/>
      <c r="H794" s="474"/>
      <c r="I794" s="474"/>
      <c r="J794" s="474"/>
      <c r="K794" s="474"/>
      <c r="L794" s="474"/>
      <c r="M794" s="474"/>
      <c r="N794" s="474"/>
      <c r="O794" s="474"/>
      <c r="P794" s="474"/>
      <c r="Q794" s="474"/>
      <c r="R794" s="474"/>
      <c r="S794" s="474"/>
      <c r="T794" s="474"/>
      <c r="U794" s="474"/>
      <c r="V794" s="474"/>
      <c r="W794" s="474"/>
      <c r="X794" s="474"/>
      <c r="Y794" s="474"/>
      <c r="Z794" s="474"/>
    </row>
    <row r="795" ht="12.0" customHeight="1">
      <c r="A795" s="480"/>
      <c r="B795" s="485"/>
      <c r="C795" s="525"/>
      <c r="D795" s="525"/>
      <c r="E795" s="526"/>
      <c r="F795" s="526"/>
      <c r="G795" s="474"/>
      <c r="H795" s="474"/>
      <c r="I795" s="474"/>
      <c r="J795" s="474"/>
      <c r="K795" s="474"/>
      <c r="L795" s="474"/>
      <c r="M795" s="474"/>
      <c r="N795" s="474"/>
      <c r="O795" s="474"/>
      <c r="P795" s="474"/>
      <c r="Q795" s="474"/>
      <c r="R795" s="474"/>
      <c r="S795" s="474"/>
      <c r="T795" s="474"/>
      <c r="U795" s="474"/>
      <c r="V795" s="474"/>
      <c r="W795" s="474"/>
      <c r="X795" s="474"/>
      <c r="Y795" s="474"/>
      <c r="Z795" s="474"/>
    </row>
    <row r="796" ht="12.0" customHeight="1">
      <c r="A796" s="480"/>
      <c r="B796" s="485"/>
      <c r="C796" s="525"/>
      <c r="D796" s="525"/>
      <c r="E796" s="526"/>
      <c r="F796" s="526"/>
      <c r="G796" s="474"/>
      <c r="H796" s="474"/>
      <c r="I796" s="474"/>
      <c r="J796" s="474"/>
      <c r="K796" s="474"/>
      <c r="L796" s="474"/>
      <c r="M796" s="474"/>
      <c r="N796" s="474"/>
      <c r="O796" s="474"/>
      <c r="P796" s="474"/>
      <c r="Q796" s="474"/>
      <c r="R796" s="474"/>
      <c r="S796" s="474"/>
      <c r="T796" s="474"/>
      <c r="U796" s="474"/>
      <c r="V796" s="474"/>
      <c r="W796" s="474"/>
      <c r="X796" s="474"/>
      <c r="Y796" s="474"/>
      <c r="Z796" s="474"/>
    </row>
    <row r="797" ht="12.0" customHeight="1">
      <c r="A797" s="480"/>
      <c r="B797" s="485"/>
      <c r="C797" s="525"/>
      <c r="D797" s="525"/>
      <c r="E797" s="526"/>
      <c r="F797" s="526"/>
      <c r="G797" s="474"/>
      <c r="H797" s="474"/>
      <c r="I797" s="474"/>
      <c r="J797" s="474"/>
      <c r="K797" s="474"/>
      <c r="L797" s="474"/>
      <c r="M797" s="474"/>
      <c r="N797" s="474"/>
      <c r="O797" s="474"/>
      <c r="P797" s="474"/>
      <c r="Q797" s="474"/>
      <c r="R797" s="474"/>
      <c r="S797" s="474"/>
      <c r="T797" s="474"/>
      <c r="U797" s="474"/>
      <c r="V797" s="474"/>
      <c r="W797" s="474"/>
      <c r="X797" s="474"/>
      <c r="Y797" s="474"/>
      <c r="Z797" s="474"/>
    </row>
    <row r="798" ht="12.0" customHeight="1">
      <c r="A798" s="480"/>
      <c r="B798" s="485"/>
      <c r="C798" s="525"/>
      <c r="D798" s="525"/>
      <c r="E798" s="526"/>
      <c r="F798" s="526"/>
      <c r="G798" s="474"/>
      <c r="H798" s="474"/>
      <c r="I798" s="474"/>
      <c r="J798" s="474"/>
      <c r="K798" s="474"/>
      <c r="L798" s="474"/>
      <c r="M798" s="474"/>
      <c r="N798" s="474"/>
      <c r="O798" s="474"/>
      <c r="P798" s="474"/>
      <c r="Q798" s="474"/>
      <c r="R798" s="474"/>
      <c r="S798" s="474"/>
      <c r="T798" s="474"/>
      <c r="U798" s="474"/>
      <c r="V798" s="474"/>
      <c r="W798" s="474"/>
      <c r="X798" s="474"/>
      <c r="Y798" s="474"/>
      <c r="Z798" s="474"/>
    </row>
    <row r="799" ht="12.0" customHeight="1">
      <c r="A799" s="480"/>
      <c r="B799" s="485"/>
      <c r="C799" s="525"/>
      <c r="D799" s="525"/>
      <c r="E799" s="526"/>
      <c r="F799" s="526"/>
      <c r="G799" s="474"/>
      <c r="H799" s="474"/>
      <c r="I799" s="474"/>
      <c r="J799" s="474"/>
      <c r="K799" s="474"/>
      <c r="L799" s="474"/>
      <c r="M799" s="474"/>
      <c r="N799" s="474"/>
      <c r="O799" s="474"/>
      <c r="P799" s="474"/>
      <c r="Q799" s="474"/>
      <c r="R799" s="474"/>
      <c r="S799" s="474"/>
      <c r="T799" s="474"/>
      <c r="U799" s="474"/>
      <c r="V799" s="474"/>
      <c r="W799" s="474"/>
      <c r="X799" s="474"/>
      <c r="Y799" s="474"/>
      <c r="Z799" s="474"/>
    </row>
    <row r="800" ht="12.0" customHeight="1">
      <c r="A800" s="480"/>
      <c r="B800" s="485"/>
      <c r="C800" s="525"/>
      <c r="D800" s="525"/>
      <c r="E800" s="526"/>
      <c r="F800" s="526"/>
      <c r="G800" s="474"/>
      <c r="H800" s="474"/>
      <c r="I800" s="474"/>
      <c r="J800" s="474"/>
      <c r="K800" s="474"/>
      <c r="L800" s="474"/>
      <c r="M800" s="474"/>
      <c r="N800" s="474"/>
      <c r="O800" s="474"/>
      <c r="P800" s="474"/>
      <c r="Q800" s="474"/>
      <c r="R800" s="474"/>
      <c r="S800" s="474"/>
      <c r="T800" s="474"/>
      <c r="U800" s="474"/>
      <c r="V800" s="474"/>
      <c r="W800" s="474"/>
      <c r="X800" s="474"/>
      <c r="Y800" s="474"/>
      <c r="Z800" s="474"/>
    </row>
    <row r="801" ht="12.0" customHeight="1">
      <c r="A801" s="480"/>
      <c r="B801" s="485"/>
      <c r="C801" s="525"/>
      <c r="D801" s="525"/>
      <c r="E801" s="526"/>
      <c r="F801" s="526"/>
      <c r="G801" s="474"/>
      <c r="H801" s="474"/>
      <c r="I801" s="474"/>
      <c r="J801" s="474"/>
      <c r="K801" s="474"/>
      <c r="L801" s="474"/>
      <c r="M801" s="474"/>
      <c r="N801" s="474"/>
      <c r="O801" s="474"/>
      <c r="P801" s="474"/>
      <c r="Q801" s="474"/>
      <c r="R801" s="474"/>
      <c r="S801" s="474"/>
      <c r="T801" s="474"/>
      <c r="U801" s="474"/>
      <c r="V801" s="474"/>
      <c r="W801" s="474"/>
      <c r="X801" s="474"/>
      <c r="Y801" s="474"/>
      <c r="Z801" s="474"/>
    </row>
    <row r="802" ht="12.0" customHeight="1">
      <c r="A802" s="480"/>
      <c r="B802" s="485"/>
      <c r="C802" s="525"/>
      <c r="D802" s="525"/>
      <c r="E802" s="526"/>
      <c r="F802" s="526"/>
      <c r="G802" s="474"/>
      <c r="H802" s="474"/>
      <c r="I802" s="474"/>
      <c r="J802" s="474"/>
      <c r="K802" s="474"/>
      <c r="L802" s="474"/>
      <c r="M802" s="474"/>
      <c r="N802" s="474"/>
      <c r="O802" s="474"/>
      <c r="P802" s="474"/>
      <c r="Q802" s="474"/>
      <c r="R802" s="474"/>
      <c r="S802" s="474"/>
      <c r="T802" s="474"/>
      <c r="U802" s="474"/>
      <c r="V802" s="474"/>
      <c r="W802" s="474"/>
      <c r="X802" s="474"/>
      <c r="Y802" s="474"/>
      <c r="Z802" s="474"/>
    </row>
    <row r="803" ht="12.0" customHeight="1">
      <c r="A803" s="480"/>
      <c r="B803" s="485"/>
      <c r="C803" s="525"/>
      <c r="D803" s="525"/>
      <c r="E803" s="526"/>
      <c r="F803" s="526"/>
      <c r="G803" s="474"/>
      <c r="H803" s="474"/>
      <c r="I803" s="474"/>
      <c r="J803" s="474"/>
      <c r="K803" s="474"/>
      <c r="L803" s="474"/>
      <c r="M803" s="474"/>
      <c r="N803" s="474"/>
      <c r="O803" s="474"/>
      <c r="P803" s="474"/>
      <c r="Q803" s="474"/>
      <c r="R803" s="474"/>
      <c r="S803" s="474"/>
      <c r="T803" s="474"/>
      <c r="U803" s="474"/>
      <c r="V803" s="474"/>
      <c r="W803" s="474"/>
      <c r="X803" s="474"/>
      <c r="Y803" s="474"/>
      <c r="Z803" s="474"/>
    </row>
    <row r="804" ht="12.0" customHeight="1">
      <c r="A804" s="480"/>
      <c r="B804" s="485"/>
      <c r="C804" s="525"/>
      <c r="D804" s="525"/>
      <c r="E804" s="526"/>
      <c r="F804" s="526"/>
      <c r="G804" s="474"/>
      <c r="H804" s="474"/>
      <c r="I804" s="474"/>
      <c r="J804" s="474"/>
      <c r="K804" s="474"/>
      <c r="L804" s="474"/>
      <c r="M804" s="474"/>
      <c r="N804" s="474"/>
      <c r="O804" s="474"/>
      <c r="P804" s="474"/>
      <c r="Q804" s="474"/>
      <c r="R804" s="474"/>
      <c r="S804" s="474"/>
      <c r="T804" s="474"/>
      <c r="U804" s="474"/>
      <c r="V804" s="474"/>
      <c r="W804" s="474"/>
      <c r="X804" s="474"/>
      <c r="Y804" s="474"/>
      <c r="Z804" s="474"/>
    </row>
    <row r="805" ht="12.0" customHeight="1">
      <c r="A805" s="480"/>
      <c r="B805" s="485"/>
      <c r="C805" s="525"/>
      <c r="D805" s="525"/>
      <c r="E805" s="526"/>
      <c r="F805" s="526"/>
      <c r="G805" s="474"/>
      <c r="H805" s="474"/>
      <c r="I805" s="474"/>
      <c r="J805" s="474"/>
      <c r="K805" s="474"/>
      <c r="L805" s="474"/>
      <c r="M805" s="474"/>
      <c r="N805" s="474"/>
      <c r="O805" s="474"/>
      <c r="P805" s="474"/>
      <c r="Q805" s="474"/>
      <c r="R805" s="474"/>
      <c r="S805" s="474"/>
      <c r="T805" s="474"/>
      <c r="U805" s="474"/>
      <c r="V805" s="474"/>
      <c r="W805" s="474"/>
      <c r="X805" s="474"/>
      <c r="Y805" s="474"/>
      <c r="Z805" s="474"/>
    </row>
    <row r="806" ht="12.0" customHeight="1">
      <c r="A806" s="480"/>
      <c r="B806" s="485"/>
      <c r="C806" s="525"/>
      <c r="D806" s="525"/>
      <c r="E806" s="526"/>
      <c r="F806" s="526"/>
      <c r="G806" s="474"/>
      <c r="H806" s="474"/>
      <c r="I806" s="474"/>
      <c r="J806" s="474"/>
      <c r="K806" s="474"/>
      <c r="L806" s="474"/>
      <c r="M806" s="474"/>
      <c r="N806" s="474"/>
      <c r="O806" s="474"/>
      <c r="P806" s="474"/>
      <c r="Q806" s="474"/>
      <c r="R806" s="474"/>
      <c r="S806" s="474"/>
      <c r="T806" s="474"/>
      <c r="U806" s="474"/>
      <c r="V806" s="474"/>
      <c r="W806" s="474"/>
      <c r="X806" s="474"/>
      <c r="Y806" s="474"/>
      <c r="Z806" s="474"/>
    </row>
    <row r="807" ht="12.0" customHeight="1">
      <c r="A807" s="480"/>
      <c r="B807" s="485"/>
      <c r="C807" s="525"/>
      <c r="D807" s="525"/>
      <c r="E807" s="526"/>
      <c r="F807" s="526"/>
      <c r="G807" s="474"/>
      <c r="H807" s="474"/>
      <c r="I807" s="474"/>
      <c r="J807" s="474"/>
      <c r="K807" s="474"/>
      <c r="L807" s="474"/>
      <c r="M807" s="474"/>
      <c r="N807" s="474"/>
      <c r="O807" s="474"/>
      <c r="P807" s="474"/>
      <c r="Q807" s="474"/>
      <c r="R807" s="474"/>
      <c r="S807" s="474"/>
      <c r="T807" s="474"/>
      <c r="U807" s="474"/>
      <c r="V807" s="474"/>
      <c r="W807" s="474"/>
      <c r="X807" s="474"/>
      <c r="Y807" s="474"/>
      <c r="Z807" s="474"/>
    </row>
    <row r="808" ht="12.0" customHeight="1">
      <c r="A808" s="480"/>
      <c r="B808" s="485"/>
      <c r="C808" s="525"/>
      <c r="D808" s="525"/>
      <c r="E808" s="526"/>
      <c r="F808" s="526"/>
      <c r="G808" s="474"/>
      <c r="H808" s="474"/>
      <c r="I808" s="474"/>
      <c r="J808" s="474"/>
      <c r="K808" s="474"/>
      <c r="L808" s="474"/>
      <c r="M808" s="474"/>
      <c r="N808" s="474"/>
      <c r="O808" s="474"/>
      <c r="P808" s="474"/>
      <c r="Q808" s="474"/>
      <c r="R808" s="474"/>
      <c r="S808" s="474"/>
      <c r="T808" s="474"/>
      <c r="U808" s="474"/>
      <c r="V808" s="474"/>
      <c r="W808" s="474"/>
      <c r="X808" s="474"/>
      <c r="Y808" s="474"/>
      <c r="Z808" s="474"/>
    </row>
    <row r="809" ht="12.0" customHeight="1">
      <c r="A809" s="480"/>
      <c r="B809" s="485"/>
      <c r="C809" s="525"/>
      <c r="D809" s="525"/>
      <c r="E809" s="526"/>
      <c r="F809" s="526"/>
      <c r="G809" s="474"/>
      <c r="H809" s="474"/>
      <c r="I809" s="474"/>
      <c r="J809" s="474"/>
      <c r="K809" s="474"/>
      <c r="L809" s="474"/>
      <c r="M809" s="474"/>
      <c r="N809" s="474"/>
      <c r="O809" s="474"/>
      <c r="P809" s="474"/>
      <c r="Q809" s="474"/>
      <c r="R809" s="474"/>
      <c r="S809" s="474"/>
      <c r="T809" s="474"/>
      <c r="U809" s="474"/>
      <c r="V809" s="474"/>
      <c r="W809" s="474"/>
      <c r="X809" s="474"/>
      <c r="Y809" s="474"/>
      <c r="Z809" s="474"/>
    </row>
    <row r="810" ht="12.0" customHeight="1">
      <c r="A810" s="480"/>
      <c r="B810" s="485"/>
      <c r="C810" s="525"/>
      <c r="D810" s="525"/>
      <c r="E810" s="526"/>
      <c r="F810" s="526"/>
      <c r="G810" s="474"/>
      <c r="H810" s="474"/>
      <c r="I810" s="474"/>
      <c r="J810" s="474"/>
      <c r="K810" s="474"/>
      <c r="L810" s="474"/>
      <c r="M810" s="474"/>
      <c r="N810" s="474"/>
      <c r="O810" s="474"/>
      <c r="P810" s="474"/>
      <c r="Q810" s="474"/>
      <c r="R810" s="474"/>
      <c r="S810" s="474"/>
      <c r="T810" s="474"/>
      <c r="U810" s="474"/>
      <c r="V810" s="474"/>
      <c r="W810" s="474"/>
      <c r="X810" s="474"/>
      <c r="Y810" s="474"/>
      <c r="Z810" s="474"/>
    </row>
    <row r="811" ht="12.0" customHeight="1">
      <c r="A811" s="480"/>
      <c r="B811" s="485"/>
      <c r="C811" s="525"/>
      <c r="D811" s="525"/>
      <c r="E811" s="526"/>
      <c r="F811" s="526"/>
      <c r="G811" s="474"/>
      <c r="H811" s="474"/>
      <c r="I811" s="474"/>
      <c r="J811" s="474"/>
      <c r="K811" s="474"/>
      <c r="L811" s="474"/>
      <c r="M811" s="474"/>
      <c r="N811" s="474"/>
      <c r="O811" s="474"/>
      <c r="P811" s="474"/>
      <c r="Q811" s="474"/>
      <c r="R811" s="474"/>
      <c r="S811" s="474"/>
      <c r="T811" s="474"/>
      <c r="U811" s="474"/>
      <c r="V811" s="474"/>
      <c r="W811" s="474"/>
      <c r="X811" s="474"/>
      <c r="Y811" s="474"/>
      <c r="Z811" s="474"/>
    </row>
    <row r="812" ht="12.0" customHeight="1">
      <c r="A812" s="480"/>
      <c r="B812" s="485"/>
      <c r="C812" s="525"/>
      <c r="D812" s="525"/>
      <c r="E812" s="526"/>
      <c r="F812" s="526"/>
      <c r="G812" s="474"/>
      <c r="H812" s="474"/>
      <c r="I812" s="474"/>
      <c r="J812" s="474"/>
      <c r="K812" s="474"/>
      <c r="L812" s="474"/>
      <c r="M812" s="474"/>
      <c r="N812" s="474"/>
      <c r="O812" s="474"/>
      <c r="P812" s="474"/>
      <c r="Q812" s="474"/>
      <c r="R812" s="474"/>
      <c r="S812" s="474"/>
      <c r="T812" s="474"/>
      <c r="U812" s="474"/>
      <c r="V812" s="474"/>
      <c r="W812" s="474"/>
      <c r="X812" s="474"/>
      <c r="Y812" s="474"/>
      <c r="Z812" s="474"/>
    </row>
    <row r="813" ht="12.0" customHeight="1">
      <c r="A813" s="480"/>
      <c r="B813" s="485"/>
      <c r="C813" s="525"/>
      <c r="D813" s="525"/>
      <c r="E813" s="526"/>
      <c r="F813" s="526"/>
      <c r="G813" s="474"/>
      <c r="H813" s="474"/>
      <c r="I813" s="474"/>
      <c r="J813" s="474"/>
      <c r="K813" s="474"/>
      <c r="L813" s="474"/>
      <c r="M813" s="474"/>
      <c r="N813" s="474"/>
      <c r="O813" s="474"/>
      <c r="P813" s="474"/>
      <c r="Q813" s="474"/>
      <c r="R813" s="474"/>
      <c r="S813" s="474"/>
      <c r="T813" s="474"/>
      <c r="U813" s="474"/>
      <c r="V813" s="474"/>
      <c r="W813" s="474"/>
      <c r="X813" s="474"/>
      <c r="Y813" s="474"/>
      <c r="Z813" s="474"/>
    </row>
    <row r="814" ht="12.0" customHeight="1">
      <c r="A814" s="480"/>
      <c r="B814" s="485"/>
      <c r="C814" s="525"/>
      <c r="D814" s="525"/>
      <c r="E814" s="526"/>
      <c r="F814" s="526"/>
      <c r="G814" s="474"/>
      <c r="H814" s="474"/>
      <c r="I814" s="474"/>
      <c r="J814" s="474"/>
      <c r="K814" s="474"/>
      <c r="L814" s="474"/>
      <c r="M814" s="474"/>
      <c r="N814" s="474"/>
      <c r="O814" s="474"/>
      <c r="P814" s="474"/>
      <c r="Q814" s="474"/>
      <c r="R814" s="474"/>
      <c r="S814" s="474"/>
      <c r="T814" s="474"/>
      <c r="U814" s="474"/>
      <c r="V814" s="474"/>
      <c r="W814" s="474"/>
      <c r="X814" s="474"/>
      <c r="Y814" s="474"/>
      <c r="Z814" s="474"/>
    </row>
    <row r="815" ht="12.0" customHeight="1">
      <c r="A815" s="480"/>
      <c r="B815" s="485"/>
      <c r="C815" s="525"/>
      <c r="D815" s="525"/>
      <c r="E815" s="526"/>
      <c r="F815" s="526"/>
      <c r="G815" s="474"/>
      <c r="H815" s="474"/>
      <c r="I815" s="474"/>
      <c r="J815" s="474"/>
      <c r="K815" s="474"/>
      <c r="L815" s="474"/>
      <c r="M815" s="474"/>
      <c r="N815" s="474"/>
      <c r="O815" s="474"/>
      <c r="P815" s="474"/>
      <c r="Q815" s="474"/>
      <c r="R815" s="474"/>
      <c r="S815" s="474"/>
      <c r="T815" s="474"/>
      <c r="U815" s="474"/>
      <c r="V815" s="474"/>
      <c r="W815" s="474"/>
      <c r="X815" s="474"/>
      <c r="Y815" s="474"/>
      <c r="Z815" s="474"/>
    </row>
    <row r="816" ht="12.0" customHeight="1">
      <c r="A816" s="480"/>
      <c r="B816" s="485"/>
      <c r="C816" s="525"/>
      <c r="D816" s="525"/>
      <c r="E816" s="526"/>
      <c r="F816" s="526"/>
      <c r="G816" s="474"/>
      <c r="H816" s="474"/>
      <c r="I816" s="474"/>
      <c r="J816" s="474"/>
      <c r="K816" s="474"/>
      <c r="L816" s="474"/>
      <c r="M816" s="474"/>
      <c r="N816" s="474"/>
      <c r="O816" s="474"/>
      <c r="P816" s="474"/>
      <c r="Q816" s="474"/>
      <c r="R816" s="474"/>
      <c r="S816" s="474"/>
      <c r="T816" s="474"/>
      <c r="U816" s="474"/>
      <c r="V816" s="474"/>
      <c r="W816" s="474"/>
      <c r="X816" s="474"/>
      <c r="Y816" s="474"/>
      <c r="Z816" s="474"/>
    </row>
    <row r="817" ht="12.0" customHeight="1">
      <c r="A817" s="480"/>
      <c r="B817" s="485"/>
      <c r="C817" s="525"/>
      <c r="D817" s="525"/>
      <c r="E817" s="526"/>
      <c r="F817" s="526"/>
      <c r="G817" s="474"/>
      <c r="H817" s="474"/>
      <c r="I817" s="474"/>
      <c r="J817" s="474"/>
      <c r="K817" s="474"/>
      <c r="L817" s="474"/>
      <c r="M817" s="474"/>
      <c r="N817" s="474"/>
      <c r="O817" s="474"/>
      <c r="P817" s="474"/>
      <c r="Q817" s="474"/>
      <c r="R817" s="474"/>
      <c r="S817" s="474"/>
      <c r="T817" s="474"/>
      <c r="U817" s="474"/>
      <c r="V817" s="474"/>
      <c r="W817" s="474"/>
      <c r="X817" s="474"/>
      <c r="Y817" s="474"/>
      <c r="Z817" s="474"/>
    </row>
    <row r="818" ht="12.0" customHeight="1">
      <c r="A818" s="480"/>
      <c r="B818" s="485"/>
      <c r="C818" s="525"/>
      <c r="D818" s="525"/>
      <c r="E818" s="526"/>
      <c r="F818" s="526"/>
      <c r="G818" s="474"/>
      <c r="H818" s="474"/>
      <c r="I818" s="474"/>
      <c r="J818" s="474"/>
      <c r="K818" s="474"/>
      <c r="L818" s="474"/>
      <c r="M818" s="474"/>
      <c r="N818" s="474"/>
      <c r="O818" s="474"/>
      <c r="P818" s="474"/>
      <c r="Q818" s="474"/>
      <c r="R818" s="474"/>
      <c r="S818" s="474"/>
      <c r="T818" s="474"/>
      <c r="U818" s="474"/>
      <c r="V818" s="474"/>
      <c r="W818" s="474"/>
      <c r="X818" s="474"/>
      <c r="Y818" s="474"/>
      <c r="Z818" s="474"/>
    </row>
    <row r="819" ht="12.0" customHeight="1">
      <c r="A819" s="480"/>
      <c r="B819" s="485"/>
      <c r="C819" s="525"/>
      <c r="D819" s="525"/>
      <c r="E819" s="526"/>
      <c r="F819" s="526"/>
      <c r="G819" s="474"/>
      <c r="H819" s="474"/>
      <c r="I819" s="474"/>
      <c r="J819" s="474"/>
      <c r="K819" s="474"/>
      <c r="L819" s="474"/>
      <c r="M819" s="474"/>
      <c r="N819" s="474"/>
      <c r="O819" s="474"/>
      <c r="P819" s="474"/>
      <c r="Q819" s="474"/>
      <c r="R819" s="474"/>
      <c r="S819" s="474"/>
      <c r="T819" s="474"/>
      <c r="U819" s="474"/>
      <c r="V819" s="474"/>
      <c r="W819" s="474"/>
      <c r="X819" s="474"/>
      <c r="Y819" s="474"/>
      <c r="Z819" s="474"/>
    </row>
    <row r="820" ht="12.0" customHeight="1">
      <c r="A820" s="480"/>
      <c r="B820" s="485"/>
      <c r="C820" s="525"/>
      <c r="D820" s="525"/>
      <c r="E820" s="526"/>
      <c r="F820" s="526"/>
      <c r="G820" s="474"/>
      <c r="H820" s="474"/>
      <c r="I820" s="474"/>
      <c r="J820" s="474"/>
      <c r="K820" s="474"/>
      <c r="L820" s="474"/>
      <c r="M820" s="474"/>
      <c r="N820" s="474"/>
      <c r="O820" s="474"/>
      <c r="P820" s="474"/>
      <c r="Q820" s="474"/>
      <c r="R820" s="474"/>
      <c r="S820" s="474"/>
      <c r="T820" s="474"/>
      <c r="U820" s="474"/>
      <c r="V820" s="474"/>
      <c r="W820" s="474"/>
      <c r="X820" s="474"/>
      <c r="Y820" s="474"/>
      <c r="Z820" s="474"/>
    </row>
    <row r="821" ht="12.0" customHeight="1">
      <c r="A821" s="480"/>
      <c r="B821" s="485"/>
      <c r="C821" s="525"/>
      <c r="D821" s="525"/>
      <c r="E821" s="526"/>
      <c r="F821" s="526"/>
      <c r="G821" s="474"/>
      <c r="H821" s="474"/>
      <c r="I821" s="474"/>
      <c r="J821" s="474"/>
      <c r="K821" s="474"/>
      <c r="L821" s="474"/>
      <c r="M821" s="474"/>
      <c r="N821" s="474"/>
      <c r="O821" s="474"/>
      <c r="P821" s="474"/>
      <c r="Q821" s="474"/>
      <c r="R821" s="474"/>
      <c r="S821" s="474"/>
      <c r="T821" s="474"/>
      <c r="U821" s="474"/>
      <c r="V821" s="474"/>
      <c r="W821" s="474"/>
      <c r="X821" s="474"/>
      <c r="Y821" s="474"/>
      <c r="Z821" s="474"/>
    </row>
    <row r="822" ht="12.0" customHeight="1">
      <c r="A822" s="480"/>
      <c r="B822" s="485"/>
      <c r="C822" s="525"/>
      <c r="D822" s="525"/>
      <c r="E822" s="526"/>
      <c r="F822" s="526"/>
      <c r="G822" s="474"/>
      <c r="H822" s="474"/>
      <c r="I822" s="474"/>
      <c r="J822" s="474"/>
      <c r="K822" s="474"/>
      <c r="L822" s="474"/>
      <c r="M822" s="474"/>
      <c r="N822" s="474"/>
      <c r="O822" s="474"/>
      <c r="P822" s="474"/>
      <c r="Q822" s="474"/>
      <c r="R822" s="474"/>
      <c r="S822" s="474"/>
      <c r="T822" s="474"/>
      <c r="U822" s="474"/>
      <c r="V822" s="474"/>
      <c r="W822" s="474"/>
      <c r="X822" s="474"/>
      <c r="Y822" s="474"/>
      <c r="Z822" s="474"/>
    </row>
    <row r="823" ht="12.0" customHeight="1">
      <c r="A823" s="480"/>
      <c r="B823" s="485"/>
      <c r="C823" s="525"/>
      <c r="D823" s="525"/>
      <c r="E823" s="526"/>
      <c r="F823" s="526"/>
      <c r="G823" s="474"/>
      <c r="H823" s="474"/>
      <c r="I823" s="474"/>
      <c r="J823" s="474"/>
      <c r="K823" s="474"/>
      <c r="L823" s="474"/>
      <c r="M823" s="474"/>
      <c r="N823" s="474"/>
      <c r="O823" s="474"/>
      <c r="P823" s="474"/>
      <c r="Q823" s="474"/>
      <c r="R823" s="474"/>
      <c r="S823" s="474"/>
      <c r="T823" s="474"/>
      <c r="U823" s="474"/>
      <c r="V823" s="474"/>
      <c r="W823" s="474"/>
      <c r="X823" s="474"/>
      <c r="Y823" s="474"/>
      <c r="Z823" s="474"/>
    </row>
    <row r="824" ht="12.0" customHeight="1">
      <c r="A824" s="480"/>
      <c r="B824" s="485"/>
      <c r="C824" s="525"/>
      <c r="D824" s="525"/>
      <c r="E824" s="526"/>
      <c r="F824" s="526"/>
      <c r="G824" s="474"/>
      <c r="H824" s="474"/>
      <c r="I824" s="474"/>
      <c r="J824" s="474"/>
      <c r="K824" s="474"/>
      <c r="L824" s="474"/>
      <c r="M824" s="474"/>
      <c r="N824" s="474"/>
      <c r="O824" s="474"/>
      <c r="P824" s="474"/>
      <c r="Q824" s="474"/>
      <c r="R824" s="474"/>
      <c r="S824" s="474"/>
      <c r="T824" s="474"/>
      <c r="U824" s="474"/>
      <c r="V824" s="474"/>
      <c r="W824" s="474"/>
      <c r="X824" s="474"/>
      <c r="Y824" s="474"/>
      <c r="Z824" s="474"/>
    </row>
    <row r="825" ht="12.0" customHeight="1">
      <c r="A825" s="480"/>
      <c r="B825" s="485"/>
      <c r="C825" s="525"/>
      <c r="D825" s="525"/>
      <c r="E825" s="526"/>
      <c r="F825" s="526"/>
      <c r="G825" s="474"/>
      <c r="H825" s="474"/>
      <c r="I825" s="474"/>
      <c r="J825" s="474"/>
      <c r="K825" s="474"/>
      <c r="L825" s="474"/>
      <c r="M825" s="474"/>
      <c r="N825" s="474"/>
      <c r="O825" s="474"/>
      <c r="P825" s="474"/>
      <c r="Q825" s="474"/>
      <c r="R825" s="474"/>
      <c r="S825" s="474"/>
      <c r="T825" s="474"/>
      <c r="U825" s="474"/>
      <c r="V825" s="474"/>
      <c r="W825" s="474"/>
      <c r="X825" s="474"/>
      <c r="Y825" s="474"/>
      <c r="Z825" s="474"/>
    </row>
    <row r="826" ht="12.0" customHeight="1">
      <c r="A826" s="480"/>
      <c r="B826" s="485"/>
      <c r="C826" s="525"/>
      <c r="D826" s="525"/>
      <c r="E826" s="526"/>
      <c r="F826" s="526"/>
      <c r="G826" s="474"/>
      <c r="H826" s="474"/>
      <c r="I826" s="474"/>
      <c r="J826" s="474"/>
      <c r="K826" s="474"/>
      <c r="L826" s="474"/>
      <c r="M826" s="474"/>
      <c r="N826" s="474"/>
      <c r="O826" s="474"/>
      <c r="P826" s="474"/>
      <c r="Q826" s="474"/>
      <c r="R826" s="474"/>
      <c r="S826" s="474"/>
      <c r="T826" s="474"/>
      <c r="U826" s="474"/>
      <c r="V826" s="474"/>
      <c r="W826" s="474"/>
      <c r="X826" s="474"/>
      <c r="Y826" s="474"/>
      <c r="Z826" s="474"/>
    </row>
    <row r="827" ht="12.0" customHeight="1">
      <c r="A827" s="480"/>
      <c r="B827" s="485"/>
      <c r="C827" s="525"/>
      <c r="D827" s="525"/>
      <c r="E827" s="526"/>
      <c r="F827" s="526"/>
      <c r="G827" s="474"/>
      <c r="H827" s="474"/>
      <c r="I827" s="474"/>
      <c r="J827" s="474"/>
      <c r="K827" s="474"/>
      <c r="L827" s="474"/>
      <c r="M827" s="474"/>
      <c r="N827" s="474"/>
      <c r="O827" s="474"/>
      <c r="P827" s="474"/>
      <c r="Q827" s="474"/>
      <c r="R827" s="474"/>
      <c r="S827" s="474"/>
      <c r="T827" s="474"/>
      <c r="U827" s="474"/>
      <c r="V827" s="474"/>
      <c r="W827" s="474"/>
      <c r="X827" s="474"/>
      <c r="Y827" s="474"/>
      <c r="Z827" s="474"/>
    </row>
    <row r="828" ht="12.0" customHeight="1">
      <c r="A828" s="480"/>
      <c r="B828" s="485"/>
      <c r="C828" s="525"/>
      <c r="D828" s="525"/>
      <c r="E828" s="526"/>
      <c r="F828" s="526"/>
      <c r="G828" s="474"/>
      <c r="H828" s="474"/>
      <c r="I828" s="474"/>
      <c r="J828" s="474"/>
      <c r="K828" s="474"/>
      <c r="L828" s="474"/>
      <c r="M828" s="474"/>
      <c r="N828" s="474"/>
      <c r="O828" s="474"/>
      <c r="P828" s="474"/>
      <c r="Q828" s="474"/>
      <c r="R828" s="474"/>
      <c r="S828" s="474"/>
      <c r="T828" s="474"/>
      <c r="U828" s="474"/>
      <c r="V828" s="474"/>
      <c r="W828" s="474"/>
      <c r="X828" s="474"/>
      <c r="Y828" s="474"/>
      <c r="Z828" s="474"/>
    </row>
    <row r="829" ht="12.0" customHeight="1">
      <c r="A829" s="480"/>
      <c r="B829" s="485"/>
      <c r="C829" s="525"/>
      <c r="D829" s="525"/>
      <c r="E829" s="526"/>
      <c r="F829" s="526"/>
      <c r="G829" s="474"/>
      <c r="H829" s="474"/>
      <c r="I829" s="474"/>
      <c r="J829" s="474"/>
      <c r="K829" s="474"/>
      <c r="L829" s="474"/>
      <c r="M829" s="474"/>
      <c r="N829" s="474"/>
      <c r="O829" s="474"/>
      <c r="P829" s="474"/>
      <c r="Q829" s="474"/>
      <c r="R829" s="474"/>
      <c r="S829" s="474"/>
      <c r="T829" s="474"/>
      <c r="U829" s="474"/>
      <c r="V829" s="474"/>
      <c r="W829" s="474"/>
      <c r="X829" s="474"/>
      <c r="Y829" s="474"/>
      <c r="Z829" s="474"/>
    </row>
    <row r="830" ht="12.0" customHeight="1">
      <c r="A830" s="480"/>
      <c r="B830" s="485"/>
      <c r="C830" s="525"/>
      <c r="D830" s="525"/>
      <c r="E830" s="526"/>
      <c r="F830" s="526"/>
      <c r="G830" s="474"/>
      <c r="H830" s="474"/>
      <c r="I830" s="474"/>
      <c r="J830" s="474"/>
      <c r="K830" s="474"/>
      <c r="L830" s="474"/>
      <c r="M830" s="474"/>
      <c r="N830" s="474"/>
      <c r="O830" s="474"/>
      <c r="P830" s="474"/>
      <c r="Q830" s="474"/>
      <c r="R830" s="474"/>
      <c r="S830" s="474"/>
      <c r="T830" s="474"/>
      <c r="U830" s="474"/>
      <c r="V830" s="474"/>
      <c r="W830" s="474"/>
      <c r="X830" s="474"/>
      <c r="Y830" s="474"/>
      <c r="Z830" s="474"/>
    </row>
    <row r="831" ht="12.0" customHeight="1">
      <c r="A831" s="480"/>
      <c r="B831" s="485"/>
      <c r="C831" s="525"/>
      <c r="D831" s="525"/>
      <c r="E831" s="526"/>
      <c r="F831" s="526"/>
      <c r="G831" s="474"/>
      <c r="H831" s="474"/>
      <c r="I831" s="474"/>
      <c r="J831" s="474"/>
      <c r="K831" s="474"/>
      <c r="L831" s="474"/>
      <c r="M831" s="474"/>
      <c r="N831" s="474"/>
      <c r="O831" s="474"/>
      <c r="P831" s="474"/>
      <c r="Q831" s="474"/>
      <c r="R831" s="474"/>
      <c r="S831" s="474"/>
      <c r="T831" s="474"/>
      <c r="U831" s="474"/>
      <c r="V831" s="474"/>
      <c r="W831" s="474"/>
      <c r="X831" s="474"/>
      <c r="Y831" s="474"/>
      <c r="Z831" s="474"/>
    </row>
    <row r="832" ht="12.0" customHeight="1">
      <c r="A832" s="480"/>
      <c r="B832" s="485"/>
      <c r="C832" s="525"/>
      <c r="D832" s="525"/>
      <c r="E832" s="526"/>
      <c r="F832" s="526"/>
      <c r="G832" s="474"/>
      <c r="H832" s="474"/>
      <c r="I832" s="474"/>
      <c r="J832" s="474"/>
      <c r="K832" s="474"/>
      <c r="L832" s="474"/>
      <c r="M832" s="474"/>
      <c r="N832" s="474"/>
      <c r="O832" s="474"/>
      <c r="P832" s="474"/>
      <c r="Q832" s="474"/>
      <c r="R832" s="474"/>
      <c r="S832" s="474"/>
      <c r="T832" s="474"/>
      <c r="U832" s="474"/>
      <c r="V832" s="474"/>
      <c r="W832" s="474"/>
      <c r="X832" s="474"/>
      <c r="Y832" s="474"/>
      <c r="Z832" s="474"/>
    </row>
    <row r="833" ht="12.0" customHeight="1">
      <c r="A833" s="480"/>
      <c r="B833" s="485"/>
      <c r="C833" s="525"/>
      <c r="D833" s="525"/>
      <c r="E833" s="526"/>
      <c r="F833" s="526"/>
      <c r="G833" s="474"/>
      <c r="H833" s="474"/>
      <c r="I833" s="474"/>
      <c r="J833" s="474"/>
      <c r="K833" s="474"/>
      <c r="L833" s="474"/>
      <c r="M833" s="474"/>
      <c r="N833" s="474"/>
      <c r="O833" s="474"/>
      <c r="P833" s="474"/>
      <c r="Q833" s="474"/>
      <c r="R833" s="474"/>
      <c r="S833" s="474"/>
      <c r="T833" s="474"/>
      <c r="U833" s="474"/>
      <c r="V833" s="474"/>
      <c r="W833" s="474"/>
      <c r="X833" s="474"/>
      <c r="Y833" s="474"/>
      <c r="Z833" s="474"/>
    </row>
    <row r="834" ht="12.0" customHeight="1">
      <c r="A834" s="480"/>
      <c r="B834" s="485"/>
      <c r="C834" s="525"/>
      <c r="D834" s="525"/>
      <c r="E834" s="526"/>
      <c r="F834" s="526"/>
      <c r="G834" s="474"/>
      <c r="H834" s="474"/>
      <c r="I834" s="474"/>
      <c r="J834" s="474"/>
      <c r="K834" s="474"/>
      <c r="L834" s="474"/>
      <c r="M834" s="474"/>
      <c r="N834" s="474"/>
      <c r="O834" s="474"/>
      <c r="P834" s="474"/>
      <c r="Q834" s="474"/>
      <c r="R834" s="474"/>
      <c r="S834" s="474"/>
      <c r="T834" s="474"/>
      <c r="U834" s="474"/>
      <c r="V834" s="474"/>
      <c r="W834" s="474"/>
      <c r="X834" s="474"/>
      <c r="Y834" s="474"/>
      <c r="Z834" s="474"/>
    </row>
    <row r="835" ht="12.0" customHeight="1">
      <c r="A835" s="480"/>
      <c r="B835" s="485"/>
      <c r="C835" s="525"/>
      <c r="D835" s="525"/>
      <c r="E835" s="526"/>
      <c r="F835" s="526"/>
      <c r="G835" s="474"/>
      <c r="H835" s="474"/>
      <c r="I835" s="474"/>
      <c r="J835" s="474"/>
      <c r="K835" s="474"/>
      <c r="L835" s="474"/>
      <c r="M835" s="474"/>
      <c r="N835" s="474"/>
      <c r="O835" s="474"/>
      <c r="P835" s="474"/>
      <c r="Q835" s="474"/>
      <c r="R835" s="474"/>
      <c r="S835" s="474"/>
      <c r="T835" s="474"/>
      <c r="U835" s="474"/>
      <c r="V835" s="474"/>
      <c r="W835" s="474"/>
      <c r="X835" s="474"/>
      <c r="Y835" s="474"/>
      <c r="Z835" s="474"/>
    </row>
    <row r="836" ht="12.0" customHeight="1">
      <c r="A836" s="480"/>
      <c r="B836" s="485"/>
      <c r="C836" s="525"/>
      <c r="D836" s="525"/>
      <c r="E836" s="526"/>
      <c r="F836" s="526"/>
      <c r="G836" s="474"/>
      <c r="H836" s="474"/>
      <c r="I836" s="474"/>
      <c r="J836" s="474"/>
      <c r="K836" s="474"/>
      <c r="L836" s="474"/>
      <c r="M836" s="474"/>
      <c r="N836" s="474"/>
      <c r="O836" s="474"/>
      <c r="P836" s="474"/>
      <c r="Q836" s="474"/>
      <c r="R836" s="474"/>
      <c r="S836" s="474"/>
      <c r="T836" s="474"/>
      <c r="U836" s="474"/>
      <c r="V836" s="474"/>
      <c r="W836" s="474"/>
      <c r="X836" s="474"/>
      <c r="Y836" s="474"/>
      <c r="Z836" s="474"/>
    </row>
    <row r="837" ht="12.0" customHeight="1">
      <c r="A837" s="480"/>
      <c r="B837" s="485"/>
      <c r="C837" s="525"/>
      <c r="D837" s="525"/>
      <c r="E837" s="526"/>
      <c r="F837" s="526"/>
      <c r="G837" s="474"/>
      <c r="H837" s="474"/>
      <c r="I837" s="474"/>
      <c r="J837" s="474"/>
      <c r="K837" s="474"/>
      <c r="L837" s="474"/>
      <c r="M837" s="474"/>
      <c r="N837" s="474"/>
      <c r="O837" s="474"/>
      <c r="P837" s="474"/>
      <c r="Q837" s="474"/>
      <c r="R837" s="474"/>
      <c r="S837" s="474"/>
      <c r="T837" s="474"/>
      <c r="U837" s="474"/>
      <c r="V837" s="474"/>
      <c r="W837" s="474"/>
      <c r="X837" s="474"/>
      <c r="Y837" s="474"/>
      <c r="Z837" s="474"/>
    </row>
    <row r="838" ht="12.0" customHeight="1">
      <c r="A838" s="480"/>
      <c r="B838" s="485"/>
      <c r="C838" s="525"/>
      <c r="D838" s="525"/>
      <c r="E838" s="526"/>
      <c r="F838" s="526"/>
      <c r="G838" s="474"/>
      <c r="H838" s="474"/>
      <c r="I838" s="474"/>
      <c r="J838" s="474"/>
      <c r="K838" s="474"/>
      <c r="L838" s="474"/>
      <c r="M838" s="474"/>
      <c r="N838" s="474"/>
      <c r="O838" s="474"/>
      <c r="P838" s="474"/>
      <c r="Q838" s="474"/>
      <c r="R838" s="474"/>
      <c r="S838" s="474"/>
      <c r="T838" s="474"/>
      <c r="U838" s="474"/>
      <c r="V838" s="474"/>
      <c r="W838" s="474"/>
      <c r="X838" s="474"/>
      <c r="Y838" s="474"/>
      <c r="Z838" s="474"/>
    </row>
    <row r="839" ht="12.0" customHeight="1">
      <c r="A839" s="480"/>
      <c r="B839" s="485"/>
      <c r="C839" s="525"/>
      <c r="D839" s="525"/>
      <c r="E839" s="526"/>
      <c r="F839" s="526"/>
      <c r="G839" s="474"/>
      <c r="H839" s="474"/>
      <c r="I839" s="474"/>
      <c r="J839" s="474"/>
      <c r="K839" s="474"/>
      <c r="L839" s="474"/>
      <c r="M839" s="474"/>
      <c r="N839" s="474"/>
      <c r="O839" s="474"/>
      <c r="P839" s="474"/>
      <c r="Q839" s="474"/>
      <c r="R839" s="474"/>
      <c r="S839" s="474"/>
      <c r="T839" s="474"/>
      <c r="U839" s="474"/>
      <c r="V839" s="474"/>
      <c r="W839" s="474"/>
      <c r="X839" s="474"/>
      <c r="Y839" s="474"/>
      <c r="Z839" s="474"/>
    </row>
    <row r="840" ht="12.0" customHeight="1">
      <c r="A840" s="480"/>
      <c r="B840" s="485"/>
      <c r="C840" s="525"/>
      <c r="D840" s="525"/>
      <c r="E840" s="526"/>
      <c r="F840" s="526"/>
      <c r="G840" s="474"/>
      <c r="H840" s="474"/>
      <c r="I840" s="474"/>
      <c r="J840" s="474"/>
      <c r="K840" s="474"/>
      <c r="L840" s="474"/>
      <c r="M840" s="474"/>
      <c r="N840" s="474"/>
      <c r="O840" s="474"/>
      <c r="P840" s="474"/>
      <c r="Q840" s="474"/>
      <c r="R840" s="474"/>
      <c r="S840" s="474"/>
      <c r="T840" s="474"/>
      <c r="U840" s="474"/>
      <c r="V840" s="474"/>
      <c r="W840" s="474"/>
      <c r="X840" s="474"/>
      <c r="Y840" s="474"/>
      <c r="Z840" s="474"/>
    </row>
    <row r="841" ht="12.0" customHeight="1">
      <c r="A841" s="480"/>
      <c r="B841" s="485"/>
      <c r="C841" s="525"/>
      <c r="D841" s="525"/>
      <c r="E841" s="526"/>
      <c r="F841" s="526"/>
      <c r="G841" s="474"/>
      <c r="H841" s="474"/>
      <c r="I841" s="474"/>
      <c r="J841" s="474"/>
      <c r="K841" s="474"/>
      <c r="L841" s="474"/>
      <c r="M841" s="474"/>
      <c r="N841" s="474"/>
      <c r="O841" s="474"/>
      <c r="P841" s="474"/>
      <c r="Q841" s="474"/>
      <c r="R841" s="474"/>
      <c r="S841" s="474"/>
      <c r="T841" s="474"/>
      <c r="U841" s="474"/>
      <c r="V841" s="474"/>
      <c r="W841" s="474"/>
      <c r="X841" s="474"/>
      <c r="Y841" s="474"/>
      <c r="Z841" s="474"/>
    </row>
    <row r="842" ht="12.0" customHeight="1">
      <c r="A842" s="480"/>
      <c r="B842" s="485"/>
      <c r="C842" s="525"/>
      <c r="D842" s="525"/>
      <c r="E842" s="526"/>
      <c r="F842" s="526"/>
      <c r="G842" s="474"/>
      <c r="H842" s="474"/>
      <c r="I842" s="474"/>
      <c r="J842" s="474"/>
      <c r="K842" s="474"/>
      <c r="L842" s="474"/>
      <c r="M842" s="474"/>
      <c r="N842" s="474"/>
      <c r="O842" s="474"/>
      <c r="P842" s="474"/>
      <c r="Q842" s="474"/>
      <c r="R842" s="474"/>
      <c r="S842" s="474"/>
      <c r="T842" s="474"/>
      <c r="U842" s="474"/>
      <c r="V842" s="474"/>
      <c r="W842" s="474"/>
      <c r="X842" s="474"/>
      <c r="Y842" s="474"/>
      <c r="Z842" s="474"/>
    </row>
    <row r="843" ht="12.0" customHeight="1">
      <c r="A843" s="480"/>
      <c r="B843" s="485"/>
      <c r="C843" s="525"/>
      <c r="D843" s="525"/>
      <c r="E843" s="526"/>
      <c r="F843" s="526"/>
      <c r="G843" s="474"/>
      <c r="H843" s="474"/>
      <c r="I843" s="474"/>
      <c r="J843" s="474"/>
      <c r="K843" s="474"/>
      <c r="L843" s="474"/>
      <c r="M843" s="474"/>
      <c r="N843" s="474"/>
      <c r="O843" s="474"/>
      <c r="P843" s="474"/>
      <c r="Q843" s="474"/>
      <c r="R843" s="474"/>
      <c r="S843" s="474"/>
      <c r="T843" s="474"/>
      <c r="U843" s="474"/>
      <c r="V843" s="474"/>
      <c r="W843" s="474"/>
      <c r="X843" s="474"/>
      <c r="Y843" s="474"/>
      <c r="Z843" s="474"/>
    </row>
    <row r="844" ht="12.0" customHeight="1">
      <c r="A844" s="480"/>
      <c r="B844" s="485"/>
      <c r="C844" s="525"/>
      <c r="D844" s="525"/>
      <c r="E844" s="526"/>
      <c r="F844" s="526"/>
      <c r="G844" s="474"/>
      <c r="H844" s="474"/>
      <c r="I844" s="474"/>
      <c r="J844" s="474"/>
      <c r="K844" s="474"/>
      <c r="L844" s="474"/>
      <c r="M844" s="474"/>
      <c r="N844" s="474"/>
      <c r="O844" s="474"/>
      <c r="P844" s="474"/>
      <c r="Q844" s="474"/>
      <c r="R844" s="474"/>
      <c r="S844" s="474"/>
      <c r="T844" s="474"/>
      <c r="U844" s="474"/>
      <c r="V844" s="474"/>
      <c r="W844" s="474"/>
      <c r="X844" s="474"/>
      <c r="Y844" s="474"/>
      <c r="Z844" s="474"/>
    </row>
    <row r="845" ht="12.0" customHeight="1">
      <c r="A845" s="480"/>
      <c r="B845" s="485"/>
      <c r="C845" s="525"/>
      <c r="D845" s="525"/>
      <c r="E845" s="526"/>
      <c r="F845" s="526"/>
      <c r="G845" s="474"/>
      <c r="H845" s="474"/>
      <c r="I845" s="474"/>
      <c r="J845" s="474"/>
      <c r="K845" s="474"/>
      <c r="L845" s="474"/>
      <c r="M845" s="474"/>
      <c r="N845" s="474"/>
      <c r="O845" s="474"/>
      <c r="P845" s="474"/>
      <c r="Q845" s="474"/>
      <c r="R845" s="474"/>
      <c r="S845" s="474"/>
      <c r="T845" s="474"/>
      <c r="U845" s="474"/>
      <c r="V845" s="474"/>
      <c r="W845" s="474"/>
      <c r="X845" s="474"/>
      <c r="Y845" s="474"/>
      <c r="Z845" s="474"/>
    </row>
    <row r="846" ht="12.0" customHeight="1">
      <c r="A846" s="480"/>
      <c r="B846" s="485"/>
      <c r="C846" s="525"/>
      <c r="D846" s="525"/>
      <c r="E846" s="526"/>
      <c r="F846" s="526"/>
      <c r="G846" s="474"/>
      <c r="H846" s="474"/>
      <c r="I846" s="474"/>
      <c r="J846" s="474"/>
      <c r="K846" s="474"/>
      <c r="L846" s="474"/>
      <c r="M846" s="474"/>
      <c r="N846" s="474"/>
      <c r="O846" s="474"/>
      <c r="P846" s="474"/>
      <c r="Q846" s="474"/>
      <c r="R846" s="474"/>
      <c r="S846" s="474"/>
      <c r="T846" s="474"/>
      <c r="U846" s="474"/>
      <c r="V846" s="474"/>
      <c r="W846" s="474"/>
      <c r="X846" s="474"/>
      <c r="Y846" s="474"/>
      <c r="Z846" s="474"/>
    </row>
    <row r="847" ht="12.0" customHeight="1">
      <c r="A847" s="480"/>
      <c r="B847" s="485"/>
      <c r="C847" s="525"/>
      <c r="D847" s="525"/>
      <c r="E847" s="526"/>
      <c r="F847" s="526"/>
      <c r="G847" s="474"/>
      <c r="H847" s="474"/>
      <c r="I847" s="474"/>
      <c r="J847" s="474"/>
      <c r="K847" s="474"/>
      <c r="L847" s="474"/>
      <c r="M847" s="474"/>
      <c r="N847" s="474"/>
      <c r="O847" s="474"/>
      <c r="P847" s="474"/>
      <c r="Q847" s="474"/>
      <c r="R847" s="474"/>
      <c r="S847" s="474"/>
      <c r="T847" s="474"/>
      <c r="U847" s="474"/>
      <c r="V847" s="474"/>
      <c r="W847" s="474"/>
      <c r="X847" s="474"/>
      <c r="Y847" s="474"/>
      <c r="Z847" s="474"/>
    </row>
    <row r="848" ht="12.0" customHeight="1">
      <c r="A848" s="480"/>
      <c r="B848" s="485"/>
      <c r="C848" s="525"/>
      <c r="D848" s="525"/>
      <c r="E848" s="526"/>
      <c r="F848" s="526"/>
      <c r="G848" s="474"/>
      <c r="H848" s="474"/>
      <c r="I848" s="474"/>
      <c r="J848" s="474"/>
      <c r="K848" s="474"/>
      <c r="L848" s="474"/>
      <c r="M848" s="474"/>
      <c r="N848" s="474"/>
      <c r="O848" s="474"/>
      <c r="P848" s="474"/>
      <c r="Q848" s="474"/>
      <c r="R848" s="474"/>
      <c r="S848" s="474"/>
      <c r="T848" s="474"/>
      <c r="U848" s="474"/>
      <c r="V848" s="474"/>
      <c r="W848" s="474"/>
      <c r="X848" s="474"/>
      <c r="Y848" s="474"/>
      <c r="Z848" s="474"/>
    </row>
    <row r="849" ht="12.0" customHeight="1">
      <c r="A849" s="480"/>
      <c r="B849" s="485"/>
      <c r="C849" s="525"/>
      <c r="D849" s="525"/>
      <c r="E849" s="526"/>
      <c r="F849" s="526"/>
      <c r="G849" s="474"/>
      <c r="H849" s="474"/>
      <c r="I849" s="474"/>
      <c r="J849" s="474"/>
      <c r="K849" s="474"/>
      <c r="L849" s="474"/>
      <c r="M849" s="474"/>
      <c r="N849" s="474"/>
      <c r="O849" s="474"/>
      <c r="P849" s="474"/>
      <c r="Q849" s="474"/>
      <c r="R849" s="474"/>
      <c r="S849" s="474"/>
      <c r="T849" s="474"/>
      <c r="U849" s="474"/>
      <c r="V849" s="474"/>
      <c r="W849" s="474"/>
      <c r="X849" s="474"/>
      <c r="Y849" s="474"/>
      <c r="Z849" s="474"/>
    </row>
    <row r="850" ht="12.0" customHeight="1">
      <c r="A850" s="480"/>
      <c r="B850" s="485"/>
      <c r="C850" s="525"/>
      <c r="D850" s="525"/>
      <c r="E850" s="526"/>
      <c r="F850" s="526"/>
      <c r="G850" s="474"/>
      <c r="H850" s="474"/>
      <c r="I850" s="474"/>
      <c r="J850" s="474"/>
      <c r="K850" s="474"/>
      <c r="L850" s="474"/>
      <c r="M850" s="474"/>
      <c r="N850" s="474"/>
      <c r="O850" s="474"/>
      <c r="P850" s="474"/>
      <c r="Q850" s="474"/>
      <c r="R850" s="474"/>
      <c r="S850" s="474"/>
      <c r="T850" s="474"/>
      <c r="U850" s="474"/>
      <c r="V850" s="474"/>
      <c r="W850" s="474"/>
      <c r="X850" s="474"/>
      <c r="Y850" s="474"/>
      <c r="Z850" s="474"/>
    </row>
    <row r="851" ht="12.0" customHeight="1">
      <c r="A851" s="480"/>
      <c r="B851" s="485"/>
      <c r="C851" s="525"/>
      <c r="D851" s="525"/>
      <c r="E851" s="526"/>
      <c r="F851" s="526"/>
      <c r="G851" s="474"/>
      <c r="H851" s="474"/>
      <c r="I851" s="474"/>
      <c r="J851" s="474"/>
      <c r="K851" s="474"/>
      <c r="L851" s="474"/>
      <c r="M851" s="474"/>
      <c r="N851" s="474"/>
      <c r="O851" s="474"/>
      <c r="P851" s="474"/>
      <c r="Q851" s="474"/>
      <c r="R851" s="474"/>
      <c r="S851" s="474"/>
      <c r="T851" s="474"/>
      <c r="U851" s="474"/>
      <c r="V851" s="474"/>
      <c r="W851" s="474"/>
      <c r="X851" s="474"/>
      <c r="Y851" s="474"/>
      <c r="Z851" s="474"/>
    </row>
    <row r="852" ht="12.0" customHeight="1">
      <c r="A852" s="480"/>
      <c r="B852" s="485"/>
      <c r="C852" s="525"/>
      <c r="D852" s="525"/>
      <c r="E852" s="526"/>
      <c r="F852" s="526"/>
      <c r="G852" s="474"/>
      <c r="H852" s="474"/>
      <c r="I852" s="474"/>
      <c r="J852" s="474"/>
      <c r="K852" s="474"/>
      <c r="L852" s="474"/>
      <c r="M852" s="474"/>
      <c r="N852" s="474"/>
      <c r="O852" s="474"/>
      <c r="P852" s="474"/>
      <c r="Q852" s="474"/>
      <c r="R852" s="474"/>
      <c r="S852" s="474"/>
      <c r="T852" s="474"/>
      <c r="U852" s="474"/>
      <c r="V852" s="474"/>
      <c r="W852" s="474"/>
      <c r="X852" s="474"/>
      <c r="Y852" s="474"/>
      <c r="Z852" s="474"/>
    </row>
    <row r="853" ht="12.0" customHeight="1">
      <c r="A853" s="480"/>
      <c r="B853" s="485"/>
      <c r="C853" s="525"/>
      <c r="D853" s="525"/>
      <c r="E853" s="526"/>
      <c r="F853" s="526"/>
      <c r="G853" s="474"/>
      <c r="H853" s="474"/>
      <c r="I853" s="474"/>
      <c r="J853" s="474"/>
      <c r="K853" s="474"/>
      <c r="L853" s="474"/>
      <c r="M853" s="474"/>
      <c r="N853" s="474"/>
      <c r="O853" s="474"/>
      <c r="P853" s="474"/>
      <c r="Q853" s="474"/>
      <c r="R853" s="474"/>
      <c r="S853" s="474"/>
      <c r="T853" s="474"/>
      <c r="U853" s="474"/>
      <c r="V853" s="474"/>
      <c r="W853" s="474"/>
      <c r="X853" s="474"/>
      <c r="Y853" s="474"/>
      <c r="Z853" s="474"/>
    </row>
    <row r="854" ht="12.0" customHeight="1">
      <c r="A854" s="480"/>
      <c r="B854" s="485"/>
      <c r="C854" s="525"/>
      <c r="D854" s="525"/>
      <c r="E854" s="526"/>
      <c r="F854" s="526"/>
      <c r="G854" s="474"/>
      <c r="H854" s="474"/>
      <c r="I854" s="474"/>
      <c r="J854" s="474"/>
      <c r="K854" s="474"/>
      <c r="L854" s="474"/>
      <c r="M854" s="474"/>
      <c r="N854" s="474"/>
      <c r="O854" s="474"/>
      <c r="P854" s="474"/>
      <c r="Q854" s="474"/>
      <c r="R854" s="474"/>
      <c r="S854" s="474"/>
      <c r="T854" s="474"/>
      <c r="U854" s="474"/>
      <c r="V854" s="474"/>
      <c r="W854" s="474"/>
      <c r="X854" s="474"/>
      <c r="Y854" s="474"/>
      <c r="Z854" s="474"/>
    </row>
    <row r="855" ht="12.0" customHeight="1">
      <c r="A855" s="480"/>
      <c r="B855" s="485"/>
      <c r="C855" s="525"/>
      <c r="D855" s="525"/>
      <c r="E855" s="526"/>
      <c r="F855" s="526"/>
      <c r="G855" s="474"/>
      <c r="H855" s="474"/>
      <c r="I855" s="474"/>
      <c r="J855" s="474"/>
      <c r="K855" s="474"/>
      <c r="L855" s="474"/>
      <c r="M855" s="474"/>
      <c r="N855" s="474"/>
      <c r="O855" s="474"/>
      <c r="P855" s="474"/>
      <c r="Q855" s="474"/>
      <c r="R855" s="474"/>
      <c r="S855" s="474"/>
      <c r="T855" s="474"/>
      <c r="U855" s="474"/>
      <c r="V855" s="474"/>
      <c r="W855" s="474"/>
      <c r="X855" s="474"/>
      <c r="Y855" s="474"/>
      <c r="Z855" s="474"/>
    </row>
    <row r="856" ht="12.0" customHeight="1">
      <c r="A856" s="480"/>
      <c r="B856" s="485"/>
      <c r="C856" s="525"/>
      <c r="D856" s="525"/>
      <c r="E856" s="526"/>
      <c r="F856" s="526"/>
      <c r="G856" s="474"/>
      <c r="H856" s="474"/>
      <c r="I856" s="474"/>
      <c r="J856" s="474"/>
      <c r="K856" s="474"/>
      <c r="L856" s="474"/>
      <c r="M856" s="474"/>
      <c r="N856" s="474"/>
      <c r="O856" s="474"/>
      <c r="P856" s="474"/>
      <c r="Q856" s="474"/>
      <c r="R856" s="474"/>
      <c r="S856" s="474"/>
      <c r="T856" s="474"/>
      <c r="U856" s="474"/>
      <c r="V856" s="474"/>
      <c r="W856" s="474"/>
      <c r="X856" s="474"/>
      <c r="Y856" s="474"/>
      <c r="Z856" s="474"/>
    </row>
    <row r="857" ht="12.0" customHeight="1">
      <c r="A857" s="480"/>
      <c r="B857" s="485"/>
      <c r="C857" s="525"/>
      <c r="D857" s="525"/>
      <c r="E857" s="526"/>
      <c r="F857" s="526"/>
      <c r="G857" s="474"/>
      <c r="H857" s="474"/>
      <c r="I857" s="474"/>
      <c r="J857" s="474"/>
      <c r="K857" s="474"/>
      <c r="L857" s="474"/>
      <c r="M857" s="474"/>
      <c r="N857" s="474"/>
      <c r="O857" s="474"/>
      <c r="P857" s="474"/>
      <c r="Q857" s="474"/>
      <c r="R857" s="474"/>
      <c r="S857" s="474"/>
      <c r="T857" s="474"/>
      <c r="U857" s="474"/>
      <c r="V857" s="474"/>
      <c r="W857" s="474"/>
      <c r="X857" s="474"/>
      <c r="Y857" s="474"/>
      <c r="Z857" s="474"/>
    </row>
    <row r="858" ht="12.0" customHeight="1">
      <c r="A858" s="480"/>
      <c r="B858" s="485"/>
      <c r="C858" s="525"/>
      <c r="D858" s="525"/>
      <c r="E858" s="526"/>
      <c r="F858" s="526"/>
      <c r="G858" s="474"/>
      <c r="H858" s="474"/>
      <c r="I858" s="474"/>
      <c r="J858" s="474"/>
      <c r="K858" s="474"/>
      <c r="L858" s="474"/>
      <c r="M858" s="474"/>
      <c r="N858" s="474"/>
      <c r="O858" s="474"/>
      <c r="P858" s="474"/>
      <c r="Q858" s="474"/>
      <c r="R858" s="474"/>
      <c r="S858" s="474"/>
      <c r="T858" s="474"/>
      <c r="U858" s="474"/>
      <c r="V858" s="474"/>
      <c r="W858" s="474"/>
      <c r="X858" s="474"/>
      <c r="Y858" s="474"/>
      <c r="Z858" s="474"/>
    </row>
    <row r="859" ht="12.0" customHeight="1">
      <c r="A859" s="480"/>
      <c r="B859" s="485"/>
      <c r="C859" s="525"/>
      <c r="D859" s="525"/>
      <c r="E859" s="526"/>
      <c r="F859" s="526"/>
      <c r="G859" s="474"/>
      <c r="H859" s="474"/>
      <c r="I859" s="474"/>
      <c r="J859" s="474"/>
      <c r="K859" s="474"/>
      <c r="L859" s="474"/>
      <c r="M859" s="474"/>
      <c r="N859" s="474"/>
      <c r="O859" s="474"/>
      <c r="P859" s="474"/>
      <c r="Q859" s="474"/>
      <c r="R859" s="474"/>
      <c r="S859" s="474"/>
      <c r="T859" s="474"/>
      <c r="U859" s="474"/>
      <c r="V859" s="474"/>
      <c r="W859" s="474"/>
      <c r="X859" s="474"/>
      <c r="Y859" s="474"/>
      <c r="Z859" s="474"/>
    </row>
    <row r="860" ht="12.0" customHeight="1">
      <c r="A860" s="480"/>
      <c r="B860" s="485"/>
      <c r="C860" s="525"/>
      <c r="D860" s="525"/>
      <c r="E860" s="526"/>
      <c r="F860" s="526"/>
      <c r="G860" s="474"/>
      <c r="H860" s="474"/>
      <c r="I860" s="474"/>
      <c r="J860" s="474"/>
      <c r="K860" s="474"/>
      <c r="L860" s="474"/>
      <c r="M860" s="474"/>
      <c r="N860" s="474"/>
      <c r="O860" s="474"/>
      <c r="P860" s="474"/>
      <c r="Q860" s="474"/>
      <c r="R860" s="474"/>
      <c r="S860" s="474"/>
      <c r="T860" s="474"/>
      <c r="U860" s="474"/>
      <c r="V860" s="474"/>
      <c r="W860" s="474"/>
      <c r="X860" s="474"/>
      <c r="Y860" s="474"/>
      <c r="Z860" s="474"/>
    </row>
    <row r="861" ht="12.0" customHeight="1">
      <c r="A861" s="480"/>
      <c r="B861" s="485"/>
      <c r="C861" s="525"/>
      <c r="D861" s="525"/>
      <c r="E861" s="526"/>
      <c r="F861" s="526"/>
      <c r="G861" s="474"/>
      <c r="H861" s="474"/>
      <c r="I861" s="474"/>
      <c r="J861" s="474"/>
      <c r="K861" s="474"/>
      <c r="L861" s="474"/>
      <c r="M861" s="474"/>
      <c r="N861" s="474"/>
      <c r="O861" s="474"/>
      <c r="P861" s="474"/>
      <c r="Q861" s="474"/>
      <c r="R861" s="474"/>
      <c r="S861" s="474"/>
      <c r="T861" s="474"/>
      <c r="U861" s="474"/>
      <c r="V861" s="474"/>
      <c r="W861" s="474"/>
      <c r="X861" s="474"/>
      <c r="Y861" s="474"/>
      <c r="Z861" s="474"/>
    </row>
    <row r="862" ht="12.0" customHeight="1">
      <c r="A862" s="480"/>
      <c r="B862" s="485"/>
      <c r="C862" s="525"/>
      <c r="D862" s="525"/>
      <c r="E862" s="526"/>
      <c r="F862" s="526"/>
      <c r="G862" s="474"/>
      <c r="H862" s="474"/>
      <c r="I862" s="474"/>
      <c r="J862" s="474"/>
      <c r="K862" s="474"/>
      <c r="L862" s="474"/>
      <c r="M862" s="474"/>
      <c r="N862" s="474"/>
      <c r="O862" s="474"/>
      <c r="P862" s="474"/>
      <c r="Q862" s="474"/>
      <c r="R862" s="474"/>
      <c r="S862" s="474"/>
      <c r="T862" s="474"/>
      <c r="U862" s="474"/>
      <c r="V862" s="474"/>
      <c r="W862" s="474"/>
      <c r="X862" s="474"/>
      <c r="Y862" s="474"/>
      <c r="Z862" s="474"/>
    </row>
    <row r="863" ht="12.0" customHeight="1">
      <c r="A863" s="480"/>
      <c r="B863" s="485"/>
      <c r="C863" s="525"/>
      <c r="D863" s="525"/>
      <c r="E863" s="526"/>
      <c r="F863" s="526"/>
      <c r="G863" s="474"/>
      <c r="H863" s="474"/>
      <c r="I863" s="474"/>
      <c r="J863" s="474"/>
      <c r="K863" s="474"/>
      <c r="L863" s="474"/>
      <c r="M863" s="474"/>
      <c r="N863" s="474"/>
      <c r="O863" s="474"/>
      <c r="P863" s="474"/>
      <c r="Q863" s="474"/>
      <c r="R863" s="474"/>
      <c r="S863" s="474"/>
      <c r="T863" s="474"/>
      <c r="U863" s="474"/>
      <c r="V863" s="474"/>
      <c r="W863" s="474"/>
      <c r="X863" s="474"/>
      <c r="Y863" s="474"/>
      <c r="Z863" s="474"/>
    </row>
    <row r="864" ht="12.0" customHeight="1">
      <c r="A864" s="480"/>
      <c r="B864" s="485"/>
      <c r="C864" s="525"/>
      <c r="D864" s="525"/>
      <c r="E864" s="526"/>
      <c r="F864" s="526"/>
      <c r="G864" s="474"/>
      <c r="H864" s="474"/>
      <c r="I864" s="474"/>
      <c r="J864" s="474"/>
      <c r="K864" s="474"/>
      <c r="L864" s="474"/>
      <c r="M864" s="474"/>
      <c r="N864" s="474"/>
      <c r="O864" s="474"/>
      <c r="P864" s="474"/>
      <c r="Q864" s="474"/>
      <c r="R864" s="474"/>
      <c r="S864" s="474"/>
      <c r="T864" s="474"/>
      <c r="U864" s="474"/>
      <c r="V864" s="474"/>
      <c r="W864" s="474"/>
      <c r="X864" s="474"/>
      <c r="Y864" s="474"/>
      <c r="Z864" s="474"/>
    </row>
    <row r="865" ht="12.0" customHeight="1">
      <c r="A865" s="480"/>
      <c r="B865" s="485"/>
      <c r="C865" s="525"/>
      <c r="D865" s="525"/>
      <c r="E865" s="526"/>
      <c r="F865" s="526"/>
      <c r="G865" s="474"/>
      <c r="H865" s="474"/>
      <c r="I865" s="474"/>
      <c r="J865" s="474"/>
      <c r="K865" s="474"/>
      <c r="L865" s="474"/>
      <c r="M865" s="474"/>
      <c r="N865" s="474"/>
      <c r="O865" s="474"/>
      <c r="P865" s="474"/>
      <c r="Q865" s="474"/>
      <c r="R865" s="474"/>
      <c r="S865" s="474"/>
      <c r="T865" s="474"/>
      <c r="U865" s="474"/>
      <c r="V865" s="474"/>
      <c r="W865" s="474"/>
      <c r="X865" s="474"/>
      <c r="Y865" s="474"/>
      <c r="Z865" s="474"/>
    </row>
    <row r="866" ht="12.0" customHeight="1">
      <c r="A866" s="480"/>
      <c r="B866" s="485"/>
      <c r="C866" s="525"/>
      <c r="D866" s="525"/>
      <c r="E866" s="526"/>
      <c r="F866" s="526"/>
      <c r="G866" s="474"/>
      <c r="H866" s="474"/>
      <c r="I866" s="474"/>
      <c r="J866" s="474"/>
      <c r="K866" s="474"/>
      <c r="L866" s="474"/>
      <c r="M866" s="474"/>
      <c r="N866" s="474"/>
      <c r="O866" s="474"/>
      <c r="P866" s="474"/>
      <c r="Q866" s="474"/>
      <c r="R866" s="474"/>
      <c r="S866" s="474"/>
      <c r="T866" s="474"/>
      <c r="U866" s="474"/>
      <c r="V866" s="474"/>
      <c r="W866" s="474"/>
      <c r="X866" s="474"/>
      <c r="Y866" s="474"/>
      <c r="Z866" s="474"/>
    </row>
    <row r="867" ht="12.0" customHeight="1">
      <c r="A867" s="480"/>
      <c r="B867" s="485"/>
      <c r="C867" s="525"/>
      <c r="D867" s="525"/>
      <c r="E867" s="526"/>
      <c r="F867" s="526"/>
      <c r="G867" s="474"/>
      <c r="H867" s="474"/>
      <c r="I867" s="474"/>
      <c r="J867" s="474"/>
      <c r="K867" s="474"/>
      <c r="L867" s="474"/>
      <c r="M867" s="474"/>
      <c r="N867" s="474"/>
      <c r="O867" s="474"/>
      <c r="P867" s="474"/>
      <c r="Q867" s="474"/>
      <c r="R867" s="474"/>
      <c r="S867" s="474"/>
      <c r="T867" s="474"/>
      <c r="U867" s="474"/>
      <c r="V867" s="474"/>
      <c r="W867" s="474"/>
      <c r="X867" s="474"/>
      <c r="Y867" s="474"/>
      <c r="Z867" s="474"/>
    </row>
    <row r="868" ht="12.0" customHeight="1">
      <c r="A868" s="480"/>
      <c r="B868" s="485"/>
      <c r="C868" s="525"/>
      <c r="D868" s="525"/>
      <c r="E868" s="526"/>
      <c r="F868" s="526"/>
      <c r="G868" s="474"/>
      <c r="H868" s="474"/>
      <c r="I868" s="474"/>
      <c r="J868" s="474"/>
      <c r="K868" s="474"/>
      <c r="L868" s="474"/>
      <c r="M868" s="474"/>
      <c r="N868" s="474"/>
      <c r="O868" s="474"/>
      <c r="P868" s="474"/>
      <c r="Q868" s="474"/>
      <c r="R868" s="474"/>
      <c r="S868" s="474"/>
      <c r="T868" s="474"/>
      <c r="U868" s="474"/>
      <c r="V868" s="474"/>
      <c r="W868" s="474"/>
      <c r="X868" s="474"/>
      <c r="Y868" s="474"/>
      <c r="Z868" s="474"/>
    </row>
    <row r="869" ht="12.0" customHeight="1">
      <c r="A869" s="480"/>
      <c r="B869" s="485"/>
      <c r="C869" s="525"/>
      <c r="D869" s="525"/>
      <c r="E869" s="526"/>
      <c r="F869" s="526"/>
      <c r="G869" s="474"/>
      <c r="H869" s="474"/>
      <c r="I869" s="474"/>
      <c r="J869" s="474"/>
      <c r="K869" s="474"/>
      <c r="L869" s="474"/>
      <c r="M869" s="474"/>
      <c r="N869" s="474"/>
      <c r="O869" s="474"/>
      <c r="P869" s="474"/>
      <c r="Q869" s="474"/>
      <c r="R869" s="474"/>
      <c r="S869" s="474"/>
      <c r="T869" s="474"/>
      <c r="U869" s="474"/>
      <c r="V869" s="474"/>
      <c r="W869" s="474"/>
      <c r="X869" s="474"/>
      <c r="Y869" s="474"/>
      <c r="Z869" s="474"/>
    </row>
    <row r="870" ht="12.0" customHeight="1">
      <c r="A870" s="480"/>
      <c r="B870" s="485"/>
      <c r="C870" s="525"/>
      <c r="D870" s="525"/>
      <c r="E870" s="526"/>
      <c r="F870" s="526"/>
      <c r="G870" s="474"/>
      <c r="H870" s="474"/>
      <c r="I870" s="474"/>
      <c r="J870" s="474"/>
      <c r="K870" s="474"/>
      <c r="L870" s="474"/>
      <c r="M870" s="474"/>
      <c r="N870" s="474"/>
      <c r="O870" s="474"/>
      <c r="P870" s="474"/>
      <c r="Q870" s="474"/>
      <c r="R870" s="474"/>
      <c r="S870" s="474"/>
      <c r="T870" s="474"/>
      <c r="U870" s="474"/>
      <c r="V870" s="474"/>
      <c r="W870" s="474"/>
      <c r="X870" s="474"/>
      <c r="Y870" s="474"/>
      <c r="Z870" s="474"/>
    </row>
    <row r="871" ht="12.0" customHeight="1">
      <c r="A871" s="480"/>
      <c r="B871" s="485"/>
      <c r="C871" s="525"/>
      <c r="D871" s="525"/>
      <c r="E871" s="526"/>
      <c r="F871" s="526"/>
      <c r="G871" s="474"/>
      <c r="H871" s="474"/>
      <c r="I871" s="474"/>
      <c r="J871" s="474"/>
      <c r="K871" s="474"/>
      <c r="L871" s="474"/>
      <c r="M871" s="474"/>
      <c r="N871" s="474"/>
      <c r="O871" s="474"/>
      <c r="P871" s="474"/>
      <c r="Q871" s="474"/>
      <c r="R871" s="474"/>
      <c r="S871" s="474"/>
      <c r="T871" s="474"/>
      <c r="U871" s="474"/>
      <c r="V871" s="474"/>
      <c r="W871" s="474"/>
      <c r="X871" s="474"/>
      <c r="Y871" s="474"/>
      <c r="Z871" s="474"/>
    </row>
    <row r="872" ht="12.0" customHeight="1">
      <c r="A872" s="480"/>
      <c r="B872" s="485"/>
      <c r="C872" s="525"/>
      <c r="D872" s="525"/>
      <c r="E872" s="526"/>
      <c r="F872" s="526"/>
      <c r="G872" s="474"/>
      <c r="H872" s="474"/>
      <c r="I872" s="474"/>
      <c r="J872" s="474"/>
      <c r="K872" s="474"/>
      <c r="L872" s="474"/>
      <c r="M872" s="474"/>
      <c r="N872" s="474"/>
      <c r="O872" s="474"/>
      <c r="P872" s="474"/>
      <c r="Q872" s="474"/>
      <c r="R872" s="474"/>
      <c r="S872" s="474"/>
      <c r="T872" s="474"/>
      <c r="U872" s="474"/>
      <c r="V872" s="474"/>
      <c r="W872" s="474"/>
      <c r="X872" s="474"/>
      <c r="Y872" s="474"/>
      <c r="Z872" s="474"/>
    </row>
    <row r="873" ht="12.0" customHeight="1">
      <c r="A873" s="480"/>
      <c r="B873" s="485"/>
      <c r="C873" s="525"/>
      <c r="D873" s="525"/>
      <c r="E873" s="526"/>
      <c r="F873" s="526"/>
      <c r="G873" s="474"/>
      <c r="H873" s="474"/>
      <c r="I873" s="474"/>
      <c r="J873" s="474"/>
      <c r="K873" s="474"/>
      <c r="L873" s="474"/>
      <c r="M873" s="474"/>
      <c r="N873" s="474"/>
      <c r="O873" s="474"/>
      <c r="P873" s="474"/>
      <c r="Q873" s="474"/>
      <c r="R873" s="474"/>
      <c r="S873" s="474"/>
      <c r="T873" s="474"/>
      <c r="U873" s="474"/>
      <c r="V873" s="474"/>
      <c r="W873" s="474"/>
      <c r="X873" s="474"/>
      <c r="Y873" s="474"/>
      <c r="Z873" s="474"/>
    </row>
    <row r="874" ht="12.0" customHeight="1">
      <c r="A874" s="480"/>
      <c r="B874" s="485"/>
      <c r="C874" s="525"/>
      <c r="D874" s="525"/>
      <c r="E874" s="526"/>
      <c r="F874" s="526"/>
      <c r="G874" s="474"/>
      <c r="H874" s="474"/>
      <c r="I874" s="474"/>
      <c r="J874" s="474"/>
      <c r="K874" s="474"/>
      <c r="L874" s="474"/>
      <c r="M874" s="474"/>
      <c r="N874" s="474"/>
      <c r="O874" s="474"/>
      <c r="P874" s="474"/>
      <c r="Q874" s="474"/>
      <c r="R874" s="474"/>
      <c r="S874" s="474"/>
      <c r="T874" s="474"/>
      <c r="U874" s="474"/>
      <c r="V874" s="474"/>
      <c r="W874" s="474"/>
      <c r="X874" s="474"/>
      <c r="Y874" s="474"/>
      <c r="Z874" s="474"/>
    </row>
    <row r="875" ht="12.0" customHeight="1">
      <c r="A875" s="480"/>
      <c r="B875" s="485"/>
      <c r="C875" s="525"/>
      <c r="D875" s="525"/>
      <c r="E875" s="526"/>
      <c r="F875" s="526"/>
      <c r="G875" s="474"/>
      <c r="H875" s="474"/>
      <c r="I875" s="474"/>
      <c r="J875" s="474"/>
      <c r="K875" s="474"/>
      <c r="L875" s="474"/>
      <c r="M875" s="474"/>
      <c r="N875" s="474"/>
      <c r="O875" s="474"/>
      <c r="P875" s="474"/>
      <c r="Q875" s="474"/>
      <c r="R875" s="474"/>
      <c r="S875" s="474"/>
      <c r="T875" s="474"/>
      <c r="U875" s="474"/>
      <c r="V875" s="474"/>
      <c r="W875" s="474"/>
      <c r="X875" s="474"/>
      <c r="Y875" s="474"/>
      <c r="Z875" s="474"/>
    </row>
    <row r="876" ht="12.0" customHeight="1">
      <c r="A876" s="480"/>
      <c r="B876" s="485"/>
      <c r="C876" s="525"/>
      <c r="D876" s="525"/>
      <c r="E876" s="526"/>
      <c r="F876" s="526"/>
      <c r="G876" s="474"/>
      <c r="H876" s="474"/>
      <c r="I876" s="474"/>
      <c r="J876" s="474"/>
      <c r="K876" s="474"/>
      <c r="L876" s="474"/>
      <c r="M876" s="474"/>
      <c r="N876" s="474"/>
      <c r="O876" s="474"/>
      <c r="P876" s="474"/>
      <c r="Q876" s="474"/>
      <c r="R876" s="474"/>
      <c r="S876" s="474"/>
      <c r="T876" s="474"/>
      <c r="U876" s="474"/>
      <c r="V876" s="474"/>
      <c r="W876" s="474"/>
      <c r="X876" s="474"/>
      <c r="Y876" s="474"/>
      <c r="Z876" s="474"/>
    </row>
    <row r="877" ht="12.0" customHeight="1">
      <c r="A877" s="480"/>
      <c r="B877" s="485"/>
      <c r="C877" s="525"/>
      <c r="D877" s="525"/>
      <c r="E877" s="526"/>
      <c r="F877" s="526"/>
      <c r="G877" s="474"/>
      <c r="H877" s="474"/>
      <c r="I877" s="474"/>
      <c r="J877" s="474"/>
      <c r="K877" s="474"/>
      <c r="L877" s="474"/>
      <c r="M877" s="474"/>
      <c r="N877" s="474"/>
      <c r="O877" s="474"/>
      <c r="P877" s="474"/>
      <c r="Q877" s="474"/>
      <c r="R877" s="474"/>
      <c r="S877" s="474"/>
      <c r="T877" s="474"/>
      <c r="U877" s="474"/>
      <c r="V877" s="474"/>
      <c r="W877" s="474"/>
      <c r="X877" s="474"/>
      <c r="Y877" s="474"/>
      <c r="Z877" s="474"/>
    </row>
    <row r="878" ht="12.0" customHeight="1">
      <c r="A878" s="480"/>
      <c r="B878" s="485"/>
      <c r="C878" s="525"/>
      <c r="D878" s="525"/>
      <c r="E878" s="526"/>
      <c r="F878" s="526"/>
      <c r="G878" s="474"/>
      <c r="H878" s="474"/>
      <c r="I878" s="474"/>
      <c r="J878" s="474"/>
      <c r="K878" s="474"/>
      <c r="L878" s="474"/>
      <c r="M878" s="474"/>
      <c r="N878" s="474"/>
      <c r="O878" s="474"/>
      <c r="P878" s="474"/>
      <c r="Q878" s="474"/>
      <c r="R878" s="474"/>
      <c r="S878" s="474"/>
      <c r="T878" s="474"/>
      <c r="U878" s="474"/>
      <c r="V878" s="474"/>
      <c r="W878" s="474"/>
      <c r="X878" s="474"/>
      <c r="Y878" s="474"/>
      <c r="Z878" s="474"/>
    </row>
    <row r="879" ht="12.0" customHeight="1">
      <c r="A879" s="480"/>
      <c r="B879" s="485"/>
      <c r="C879" s="525"/>
      <c r="D879" s="525"/>
      <c r="E879" s="526"/>
      <c r="F879" s="526"/>
      <c r="G879" s="474"/>
      <c r="H879" s="474"/>
      <c r="I879" s="474"/>
      <c r="J879" s="474"/>
      <c r="K879" s="474"/>
      <c r="L879" s="474"/>
      <c r="M879" s="474"/>
      <c r="N879" s="474"/>
      <c r="O879" s="474"/>
      <c r="P879" s="474"/>
      <c r="Q879" s="474"/>
      <c r="R879" s="474"/>
      <c r="S879" s="474"/>
      <c r="T879" s="474"/>
      <c r="U879" s="474"/>
      <c r="V879" s="474"/>
      <c r="W879" s="474"/>
      <c r="X879" s="474"/>
      <c r="Y879" s="474"/>
      <c r="Z879" s="474"/>
    </row>
    <row r="880" ht="12.0" customHeight="1">
      <c r="A880" s="480"/>
      <c r="B880" s="485"/>
      <c r="C880" s="525"/>
      <c r="D880" s="525"/>
      <c r="E880" s="526"/>
      <c r="F880" s="526"/>
      <c r="G880" s="474"/>
      <c r="H880" s="474"/>
      <c r="I880" s="474"/>
      <c r="J880" s="474"/>
      <c r="K880" s="474"/>
      <c r="L880" s="474"/>
      <c r="M880" s="474"/>
      <c r="N880" s="474"/>
      <c r="O880" s="474"/>
      <c r="P880" s="474"/>
      <c r="Q880" s="474"/>
      <c r="R880" s="474"/>
      <c r="S880" s="474"/>
      <c r="T880" s="474"/>
      <c r="U880" s="474"/>
      <c r="V880" s="474"/>
      <c r="W880" s="474"/>
      <c r="X880" s="474"/>
      <c r="Y880" s="474"/>
      <c r="Z880" s="474"/>
    </row>
    <row r="881" ht="12.0" customHeight="1">
      <c r="A881" s="480"/>
      <c r="B881" s="485"/>
      <c r="C881" s="525"/>
      <c r="D881" s="525"/>
      <c r="E881" s="526"/>
      <c r="F881" s="526"/>
      <c r="G881" s="474"/>
      <c r="H881" s="474"/>
      <c r="I881" s="474"/>
      <c r="J881" s="474"/>
      <c r="K881" s="474"/>
      <c r="L881" s="474"/>
      <c r="M881" s="474"/>
      <c r="N881" s="474"/>
      <c r="O881" s="474"/>
      <c r="P881" s="474"/>
      <c r="Q881" s="474"/>
      <c r="R881" s="474"/>
      <c r="S881" s="474"/>
      <c r="T881" s="474"/>
      <c r="U881" s="474"/>
      <c r="V881" s="474"/>
      <c r="W881" s="474"/>
      <c r="X881" s="474"/>
      <c r="Y881" s="474"/>
      <c r="Z881" s="474"/>
    </row>
    <row r="882" ht="12.0" customHeight="1">
      <c r="A882" s="480"/>
      <c r="B882" s="485"/>
      <c r="C882" s="525"/>
      <c r="D882" s="525"/>
      <c r="E882" s="526"/>
      <c r="F882" s="526"/>
      <c r="G882" s="474"/>
      <c r="H882" s="474"/>
      <c r="I882" s="474"/>
      <c r="J882" s="474"/>
      <c r="K882" s="474"/>
      <c r="L882" s="474"/>
      <c r="M882" s="474"/>
      <c r="N882" s="474"/>
      <c r="O882" s="474"/>
      <c r="P882" s="474"/>
      <c r="Q882" s="474"/>
      <c r="R882" s="474"/>
      <c r="S882" s="474"/>
      <c r="T882" s="474"/>
      <c r="U882" s="474"/>
      <c r="V882" s="474"/>
      <c r="W882" s="474"/>
      <c r="X882" s="474"/>
      <c r="Y882" s="474"/>
      <c r="Z882" s="474"/>
    </row>
    <row r="883" ht="12.0" customHeight="1">
      <c r="A883" s="480"/>
      <c r="B883" s="485"/>
      <c r="C883" s="525"/>
      <c r="D883" s="525"/>
      <c r="E883" s="526"/>
      <c r="F883" s="526"/>
      <c r="G883" s="474"/>
      <c r="H883" s="474"/>
      <c r="I883" s="474"/>
      <c r="J883" s="474"/>
      <c r="K883" s="474"/>
      <c r="L883" s="474"/>
      <c r="M883" s="474"/>
      <c r="N883" s="474"/>
      <c r="O883" s="474"/>
      <c r="P883" s="474"/>
      <c r="Q883" s="474"/>
      <c r="R883" s="474"/>
      <c r="S883" s="474"/>
      <c r="T883" s="474"/>
      <c r="U883" s="474"/>
      <c r="V883" s="474"/>
      <c r="W883" s="474"/>
      <c r="X883" s="474"/>
      <c r="Y883" s="474"/>
      <c r="Z883" s="474"/>
    </row>
    <row r="884" ht="12.0" customHeight="1">
      <c r="A884" s="480"/>
      <c r="B884" s="485"/>
      <c r="C884" s="525"/>
      <c r="D884" s="525"/>
      <c r="E884" s="526"/>
      <c r="F884" s="526"/>
      <c r="G884" s="474"/>
      <c r="H884" s="474"/>
      <c r="I884" s="474"/>
      <c r="J884" s="474"/>
      <c r="K884" s="474"/>
      <c r="L884" s="474"/>
      <c r="M884" s="474"/>
      <c r="N884" s="474"/>
      <c r="O884" s="474"/>
      <c r="P884" s="474"/>
      <c r="Q884" s="474"/>
      <c r="R884" s="474"/>
      <c r="S884" s="474"/>
      <c r="T884" s="474"/>
      <c r="U884" s="474"/>
      <c r="V884" s="474"/>
      <c r="W884" s="474"/>
      <c r="X884" s="474"/>
      <c r="Y884" s="474"/>
      <c r="Z884" s="474"/>
    </row>
    <row r="885" ht="12.0" customHeight="1">
      <c r="A885" s="480"/>
      <c r="B885" s="485"/>
      <c r="C885" s="525"/>
      <c r="D885" s="525"/>
      <c r="E885" s="526"/>
      <c r="F885" s="526"/>
      <c r="G885" s="474"/>
      <c r="H885" s="474"/>
      <c r="I885" s="474"/>
      <c r="J885" s="474"/>
      <c r="K885" s="474"/>
      <c r="L885" s="474"/>
      <c r="M885" s="474"/>
      <c r="N885" s="474"/>
      <c r="O885" s="474"/>
      <c r="P885" s="474"/>
      <c r="Q885" s="474"/>
      <c r="R885" s="474"/>
      <c r="S885" s="474"/>
      <c r="T885" s="474"/>
      <c r="U885" s="474"/>
      <c r="V885" s="474"/>
      <c r="W885" s="474"/>
      <c r="X885" s="474"/>
      <c r="Y885" s="474"/>
      <c r="Z885" s="474"/>
    </row>
    <row r="886" ht="12.0" customHeight="1">
      <c r="A886" s="480"/>
      <c r="B886" s="485"/>
      <c r="C886" s="525"/>
      <c r="D886" s="525"/>
      <c r="E886" s="526"/>
      <c r="F886" s="526"/>
      <c r="G886" s="474"/>
      <c r="H886" s="474"/>
      <c r="I886" s="474"/>
      <c r="J886" s="474"/>
      <c r="K886" s="474"/>
      <c r="L886" s="474"/>
      <c r="M886" s="474"/>
      <c r="N886" s="474"/>
      <c r="O886" s="474"/>
      <c r="P886" s="474"/>
      <c r="Q886" s="474"/>
      <c r="R886" s="474"/>
      <c r="S886" s="474"/>
      <c r="T886" s="474"/>
      <c r="U886" s="474"/>
      <c r="V886" s="474"/>
      <c r="W886" s="474"/>
      <c r="X886" s="474"/>
      <c r="Y886" s="474"/>
      <c r="Z886" s="474"/>
    </row>
    <row r="887" ht="12.0" customHeight="1">
      <c r="A887" s="480"/>
      <c r="B887" s="485"/>
      <c r="C887" s="525"/>
      <c r="D887" s="525"/>
      <c r="E887" s="526"/>
      <c r="F887" s="526"/>
      <c r="G887" s="474"/>
      <c r="H887" s="474"/>
      <c r="I887" s="474"/>
      <c r="J887" s="474"/>
      <c r="K887" s="474"/>
      <c r="L887" s="474"/>
      <c r="M887" s="474"/>
      <c r="N887" s="474"/>
      <c r="O887" s="474"/>
      <c r="P887" s="474"/>
      <c r="Q887" s="474"/>
      <c r="R887" s="474"/>
      <c r="S887" s="474"/>
      <c r="T887" s="474"/>
      <c r="U887" s="474"/>
      <c r="V887" s="474"/>
      <c r="W887" s="474"/>
      <c r="X887" s="474"/>
      <c r="Y887" s="474"/>
      <c r="Z887" s="474"/>
    </row>
    <row r="888" ht="12.0" customHeight="1">
      <c r="A888" s="480"/>
      <c r="B888" s="485"/>
      <c r="C888" s="525"/>
      <c r="D888" s="525"/>
      <c r="E888" s="526"/>
      <c r="F888" s="526"/>
      <c r="G888" s="474"/>
      <c r="H888" s="474"/>
      <c r="I888" s="474"/>
      <c r="J888" s="474"/>
      <c r="K888" s="474"/>
      <c r="L888" s="474"/>
      <c r="M888" s="474"/>
      <c r="N888" s="474"/>
      <c r="O888" s="474"/>
      <c r="P888" s="474"/>
      <c r="Q888" s="474"/>
      <c r="R888" s="474"/>
      <c r="S888" s="474"/>
      <c r="T888" s="474"/>
      <c r="U888" s="474"/>
      <c r="V888" s="474"/>
      <c r="W888" s="474"/>
      <c r="X888" s="474"/>
      <c r="Y888" s="474"/>
      <c r="Z888" s="474"/>
    </row>
    <row r="889" ht="12.0" customHeight="1">
      <c r="A889" s="480"/>
      <c r="B889" s="485"/>
      <c r="C889" s="525"/>
      <c r="D889" s="525"/>
      <c r="E889" s="526"/>
      <c r="F889" s="526"/>
      <c r="G889" s="474"/>
      <c r="H889" s="474"/>
      <c r="I889" s="474"/>
      <c r="J889" s="474"/>
      <c r="K889" s="474"/>
      <c r="L889" s="474"/>
      <c r="M889" s="474"/>
      <c r="N889" s="474"/>
      <c r="O889" s="474"/>
      <c r="P889" s="474"/>
      <c r="Q889" s="474"/>
      <c r="R889" s="474"/>
      <c r="S889" s="474"/>
      <c r="T889" s="474"/>
      <c r="U889" s="474"/>
      <c r="V889" s="474"/>
      <c r="W889" s="474"/>
      <c r="X889" s="474"/>
      <c r="Y889" s="474"/>
      <c r="Z889" s="474"/>
    </row>
    <row r="890" ht="12.0" customHeight="1">
      <c r="A890" s="480"/>
      <c r="B890" s="485"/>
      <c r="C890" s="525"/>
      <c r="D890" s="525"/>
      <c r="E890" s="526"/>
      <c r="F890" s="526"/>
      <c r="G890" s="474"/>
      <c r="H890" s="474"/>
      <c r="I890" s="474"/>
      <c r="J890" s="474"/>
      <c r="K890" s="474"/>
      <c r="L890" s="474"/>
      <c r="M890" s="474"/>
      <c r="N890" s="474"/>
      <c r="O890" s="474"/>
      <c r="P890" s="474"/>
      <c r="Q890" s="474"/>
      <c r="R890" s="474"/>
      <c r="S890" s="474"/>
      <c r="T890" s="474"/>
      <c r="U890" s="474"/>
      <c r="V890" s="474"/>
      <c r="W890" s="474"/>
      <c r="X890" s="474"/>
      <c r="Y890" s="474"/>
      <c r="Z890" s="474"/>
    </row>
    <row r="891" ht="12.0" customHeight="1">
      <c r="A891" s="480"/>
      <c r="B891" s="485"/>
      <c r="C891" s="525"/>
      <c r="D891" s="525"/>
      <c r="E891" s="526"/>
      <c r="F891" s="526"/>
      <c r="G891" s="474"/>
      <c r="H891" s="474"/>
      <c r="I891" s="474"/>
      <c r="J891" s="474"/>
      <c r="K891" s="474"/>
      <c r="L891" s="474"/>
      <c r="M891" s="474"/>
      <c r="N891" s="474"/>
      <c r="O891" s="474"/>
      <c r="P891" s="474"/>
      <c r="Q891" s="474"/>
      <c r="R891" s="474"/>
      <c r="S891" s="474"/>
      <c r="T891" s="474"/>
      <c r="U891" s="474"/>
      <c r="V891" s="474"/>
      <c r="W891" s="474"/>
      <c r="X891" s="474"/>
      <c r="Y891" s="474"/>
      <c r="Z891" s="474"/>
    </row>
    <row r="892" ht="12.0" customHeight="1">
      <c r="A892" s="480"/>
      <c r="B892" s="485"/>
      <c r="C892" s="525"/>
      <c r="D892" s="525"/>
      <c r="E892" s="526"/>
      <c r="F892" s="526"/>
      <c r="G892" s="474"/>
      <c r="H892" s="474"/>
      <c r="I892" s="474"/>
      <c r="J892" s="474"/>
      <c r="K892" s="474"/>
      <c r="L892" s="474"/>
      <c r="M892" s="474"/>
      <c r="N892" s="474"/>
      <c r="O892" s="474"/>
      <c r="P892" s="474"/>
      <c r="Q892" s="474"/>
      <c r="R892" s="474"/>
      <c r="S892" s="474"/>
      <c r="T892" s="474"/>
      <c r="U892" s="474"/>
      <c r="V892" s="474"/>
      <c r="W892" s="474"/>
      <c r="X892" s="474"/>
      <c r="Y892" s="474"/>
      <c r="Z892" s="474"/>
    </row>
    <row r="893" ht="12.0" customHeight="1">
      <c r="A893" s="480"/>
      <c r="B893" s="485"/>
      <c r="C893" s="525"/>
      <c r="D893" s="525"/>
      <c r="E893" s="526"/>
      <c r="F893" s="526"/>
      <c r="G893" s="474"/>
      <c r="H893" s="474"/>
      <c r="I893" s="474"/>
      <c r="J893" s="474"/>
      <c r="K893" s="474"/>
      <c r="L893" s="474"/>
      <c r="M893" s="474"/>
      <c r="N893" s="474"/>
      <c r="O893" s="474"/>
      <c r="P893" s="474"/>
      <c r="Q893" s="474"/>
      <c r="R893" s="474"/>
      <c r="S893" s="474"/>
      <c r="T893" s="474"/>
      <c r="U893" s="474"/>
      <c r="V893" s="474"/>
      <c r="W893" s="474"/>
      <c r="X893" s="474"/>
      <c r="Y893" s="474"/>
      <c r="Z893" s="474"/>
    </row>
    <row r="894" ht="12.0" customHeight="1">
      <c r="A894" s="480"/>
      <c r="B894" s="485"/>
      <c r="C894" s="525"/>
      <c r="D894" s="525"/>
      <c r="E894" s="526"/>
      <c r="F894" s="526"/>
      <c r="G894" s="474"/>
      <c r="H894" s="474"/>
      <c r="I894" s="474"/>
      <c r="J894" s="474"/>
      <c r="K894" s="474"/>
      <c r="L894" s="474"/>
      <c r="M894" s="474"/>
      <c r="N894" s="474"/>
      <c r="O894" s="474"/>
      <c r="P894" s="474"/>
      <c r="Q894" s="474"/>
      <c r="R894" s="474"/>
      <c r="S894" s="474"/>
      <c r="T894" s="474"/>
      <c r="U894" s="474"/>
      <c r="V894" s="474"/>
      <c r="W894" s="474"/>
      <c r="X894" s="474"/>
      <c r="Y894" s="474"/>
      <c r="Z894" s="474"/>
    </row>
    <row r="895" ht="12.0" customHeight="1">
      <c r="A895" s="480"/>
      <c r="B895" s="485"/>
      <c r="C895" s="525"/>
      <c r="D895" s="525"/>
      <c r="E895" s="526"/>
      <c r="F895" s="526"/>
      <c r="G895" s="474"/>
      <c r="H895" s="474"/>
      <c r="I895" s="474"/>
      <c r="J895" s="474"/>
      <c r="K895" s="474"/>
      <c r="L895" s="474"/>
      <c r="M895" s="474"/>
      <c r="N895" s="474"/>
      <c r="O895" s="474"/>
      <c r="P895" s="474"/>
      <c r="Q895" s="474"/>
      <c r="R895" s="474"/>
      <c r="S895" s="474"/>
      <c r="T895" s="474"/>
      <c r="U895" s="474"/>
      <c r="V895" s="474"/>
      <c r="W895" s="474"/>
      <c r="X895" s="474"/>
      <c r="Y895" s="474"/>
      <c r="Z895" s="474"/>
    </row>
    <row r="896" ht="12.0" customHeight="1">
      <c r="A896" s="480"/>
      <c r="B896" s="485"/>
      <c r="C896" s="525"/>
      <c r="D896" s="525"/>
      <c r="E896" s="526"/>
      <c r="F896" s="526"/>
      <c r="G896" s="474"/>
      <c r="H896" s="474"/>
      <c r="I896" s="474"/>
      <c r="J896" s="474"/>
      <c r="K896" s="474"/>
      <c r="L896" s="474"/>
      <c r="M896" s="474"/>
      <c r="N896" s="474"/>
      <c r="O896" s="474"/>
      <c r="P896" s="474"/>
      <c r="Q896" s="474"/>
      <c r="R896" s="474"/>
      <c r="S896" s="474"/>
      <c r="T896" s="474"/>
      <c r="U896" s="474"/>
      <c r="V896" s="474"/>
      <c r="W896" s="474"/>
      <c r="X896" s="474"/>
      <c r="Y896" s="474"/>
      <c r="Z896" s="474"/>
    </row>
    <row r="897" ht="12.0" customHeight="1">
      <c r="A897" s="480"/>
      <c r="B897" s="485"/>
      <c r="C897" s="525"/>
      <c r="D897" s="525"/>
      <c r="E897" s="526"/>
      <c r="F897" s="526"/>
      <c r="G897" s="474"/>
      <c r="H897" s="474"/>
      <c r="I897" s="474"/>
      <c r="J897" s="474"/>
      <c r="K897" s="474"/>
      <c r="L897" s="474"/>
      <c r="M897" s="474"/>
      <c r="N897" s="474"/>
      <c r="O897" s="474"/>
      <c r="P897" s="474"/>
      <c r="Q897" s="474"/>
      <c r="R897" s="474"/>
      <c r="S897" s="474"/>
      <c r="T897" s="474"/>
      <c r="U897" s="474"/>
      <c r="V897" s="474"/>
      <c r="W897" s="474"/>
      <c r="X897" s="474"/>
      <c r="Y897" s="474"/>
      <c r="Z897" s="474"/>
    </row>
    <row r="898" ht="12.0" customHeight="1">
      <c r="A898" s="480"/>
      <c r="B898" s="485"/>
      <c r="C898" s="525"/>
      <c r="D898" s="525"/>
      <c r="E898" s="526"/>
      <c r="F898" s="526"/>
      <c r="G898" s="474"/>
      <c r="H898" s="474"/>
      <c r="I898" s="474"/>
      <c r="J898" s="474"/>
      <c r="K898" s="474"/>
      <c r="L898" s="474"/>
      <c r="M898" s="474"/>
      <c r="N898" s="474"/>
      <c r="O898" s="474"/>
      <c r="P898" s="474"/>
      <c r="Q898" s="474"/>
      <c r="R898" s="474"/>
      <c r="S898" s="474"/>
      <c r="T898" s="474"/>
      <c r="U898" s="474"/>
      <c r="V898" s="474"/>
      <c r="W898" s="474"/>
      <c r="X898" s="474"/>
      <c r="Y898" s="474"/>
      <c r="Z898" s="474"/>
    </row>
    <row r="899" ht="12.0" customHeight="1">
      <c r="A899" s="480"/>
      <c r="B899" s="485"/>
      <c r="C899" s="525"/>
      <c r="D899" s="525"/>
      <c r="E899" s="526"/>
      <c r="F899" s="526"/>
      <c r="G899" s="474"/>
      <c r="H899" s="474"/>
      <c r="I899" s="474"/>
      <c r="J899" s="474"/>
      <c r="K899" s="474"/>
      <c r="L899" s="474"/>
      <c r="M899" s="474"/>
      <c r="N899" s="474"/>
      <c r="O899" s="474"/>
      <c r="P899" s="474"/>
      <c r="Q899" s="474"/>
      <c r="R899" s="474"/>
      <c r="S899" s="474"/>
      <c r="T899" s="474"/>
      <c r="U899" s="474"/>
      <c r="V899" s="474"/>
      <c r="W899" s="474"/>
      <c r="X899" s="474"/>
      <c r="Y899" s="474"/>
      <c r="Z899" s="474"/>
    </row>
    <row r="900" ht="12.0" customHeight="1">
      <c r="A900" s="480"/>
      <c r="B900" s="485"/>
      <c r="C900" s="525"/>
      <c r="D900" s="525"/>
      <c r="E900" s="526"/>
      <c r="F900" s="526"/>
      <c r="G900" s="474"/>
      <c r="H900" s="474"/>
      <c r="I900" s="474"/>
      <c r="J900" s="474"/>
      <c r="K900" s="474"/>
      <c r="L900" s="474"/>
      <c r="M900" s="474"/>
      <c r="N900" s="474"/>
      <c r="O900" s="474"/>
      <c r="P900" s="474"/>
      <c r="Q900" s="474"/>
      <c r="R900" s="474"/>
      <c r="S900" s="474"/>
      <c r="T900" s="474"/>
      <c r="U900" s="474"/>
      <c r="V900" s="474"/>
      <c r="W900" s="474"/>
      <c r="X900" s="474"/>
      <c r="Y900" s="474"/>
      <c r="Z900" s="474"/>
    </row>
    <row r="901" ht="12.0" customHeight="1">
      <c r="A901" s="480"/>
      <c r="B901" s="485"/>
      <c r="C901" s="525"/>
      <c r="D901" s="525"/>
      <c r="E901" s="526"/>
      <c r="F901" s="526"/>
      <c r="G901" s="474"/>
      <c r="H901" s="474"/>
      <c r="I901" s="474"/>
      <c r="J901" s="474"/>
      <c r="K901" s="474"/>
      <c r="L901" s="474"/>
      <c r="M901" s="474"/>
      <c r="N901" s="474"/>
      <c r="O901" s="474"/>
      <c r="P901" s="474"/>
      <c r="Q901" s="474"/>
      <c r="R901" s="474"/>
      <c r="S901" s="474"/>
      <c r="T901" s="474"/>
      <c r="U901" s="474"/>
      <c r="V901" s="474"/>
      <c r="W901" s="474"/>
      <c r="X901" s="474"/>
      <c r="Y901" s="474"/>
      <c r="Z901" s="474"/>
    </row>
    <row r="902" ht="12.0" customHeight="1">
      <c r="A902" s="480"/>
      <c r="B902" s="485"/>
      <c r="C902" s="525"/>
      <c r="D902" s="525"/>
      <c r="E902" s="526"/>
      <c r="F902" s="526"/>
      <c r="G902" s="474"/>
      <c r="H902" s="474"/>
      <c r="I902" s="474"/>
      <c r="J902" s="474"/>
      <c r="K902" s="474"/>
      <c r="L902" s="474"/>
      <c r="M902" s="474"/>
      <c r="N902" s="474"/>
      <c r="O902" s="474"/>
      <c r="P902" s="474"/>
      <c r="Q902" s="474"/>
      <c r="R902" s="474"/>
      <c r="S902" s="474"/>
      <c r="T902" s="474"/>
      <c r="U902" s="474"/>
      <c r="V902" s="474"/>
      <c r="W902" s="474"/>
      <c r="X902" s="474"/>
      <c r="Y902" s="474"/>
      <c r="Z902" s="474"/>
    </row>
    <row r="903" ht="12.0" customHeight="1">
      <c r="A903" s="480"/>
      <c r="B903" s="485"/>
      <c r="C903" s="525"/>
      <c r="D903" s="525"/>
      <c r="E903" s="526"/>
      <c r="F903" s="526"/>
      <c r="G903" s="474"/>
      <c r="H903" s="474"/>
      <c r="I903" s="474"/>
      <c r="J903" s="474"/>
      <c r="K903" s="474"/>
      <c r="L903" s="474"/>
      <c r="M903" s="474"/>
      <c r="N903" s="474"/>
      <c r="O903" s="474"/>
      <c r="P903" s="474"/>
      <c r="Q903" s="474"/>
      <c r="R903" s="474"/>
      <c r="S903" s="474"/>
      <c r="T903" s="474"/>
      <c r="U903" s="474"/>
      <c r="V903" s="474"/>
      <c r="W903" s="474"/>
      <c r="X903" s="474"/>
      <c r="Y903" s="474"/>
      <c r="Z903" s="474"/>
    </row>
    <row r="904" ht="12.0" customHeight="1">
      <c r="A904" s="480"/>
      <c r="B904" s="485"/>
      <c r="C904" s="525"/>
      <c r="D904" s="525"/>
      <c r="E904" s="526"/>
      <c r="F904" s="526"/>
      <c r="G904" s="474"/>
      <c r="H904" s="474"/>
      <c r="I904" s="474"/>
      <c r="J904" s="474"/>
      <c r="K904" s="474"/>
      <c r="L904" s="474"/>
      <c r="M904" s="474"/>
      <c r="N904" s="474"/>
      <c r="O904" s="474"/>
      <c r="P904" s="474"/>
      <c r="Q904" s="474"/>
      <c r="R904" s="474"/>
      <c r="S904" s="474"/>
      <c r="T904" s="474"/>
      <c r="U904" s="474"/>
      <c r="V904" s="474"/>
      <c r="W904" s="474"/>
      <c r="X904" s="474"/>
      <c r="Y904" s="474"/>
      <c r="Z904" s="474"/>
    </row>
    <row r="905" ht="12.0" customHeight="1">
      <c r="A905" s="480"/>
      <c r="B905" s="485"/>
      <c r="C905" s="525"/>
      <c r="D905" s="525"/>
      <c r="E905" s="526"/>
      <c r="F905" s="526"/>
      <c r="G905" s="474"/>
      <c r="H905" s="474"/>
      <c r="I905" s="474"/>
      <c r="J905" s="474"/>
      <c r="K905" s="474"/>
      <c r="L905" s="474"/>
      <c r="M905" s="474"/>
      <c r="N905" s="474"/>
      <c r="O905" s="474"/>
      <c r="P905" s="474"/>
      <c r="Q905" s="474"/>
      <c r="R905" s="474"/>
      <c r="S905" s="474"/>
      <c r="T905" s="474"/>
      <c r="U905" s="474"/>
      <c r="V905" s="474"/>
      <c r="W905" s="474"/>
      <c r="X905" s="474"/>
      <c r="Y905" s="474"/>
      <c r="Z905" s="474"/>
    </row>
    <row r="906" ht="12.0" customHeight="1">
      <c r="A906" s="480"/>
      <c r="B906" s="485"/>
      <c r="C906" s="525"/>
      <c r="D906" s="525"/>
      <c r="E906" s="526"/>
      <c r="F906" s="526"/>
      <c r="G906" s="474"/>
      <c r="H906" s="474"/>
      <c r="I906" s="474"/>
      <c r="J906" s="474"/>
      <c r="K906" s="474"/>
      <c r="L906" s="474"/>
      <c r="M906" s="474"/>
      <c r="N906" s="474"/>
      <c r="O906" s="474"/>
      <c r="P906" s="474"/>
      <c r="Q906" s="474"/>
      <c r="R906" s="474"/>
      <c r="S906" s="474"/>
      <c r="T906" s="474"/>
      <c r="U906" s="474"/>
      <c r="V906" s="474"/>
      <c r="W906" s="474"/>
      <c r="X906" s="474"/>
      <c r="Y906" s="474"/>
      <c r="Z906" s="474"/>
    </row>
    <row r="907" ht="12.0" customHeight="1">
      <c r="A907" s="480"/>
      <c r="B907" s="485"/>
      <c r="C907" s="525"/>
      <c r="D907" s="525"/>
      <c r="E907" s="526"/>
      <c r="F907" s="526"/>
      <c r="G907" s="474"/>
      <c r="H907" s="474"/>
      <c r="I907" s="474"/>
      <c r="J907" s="474"/>
      <c r="K907" s="474"/>
      <c r="L907" s="474"/>
      <c r="M907" s="474"/>
      <c r="N907" s="474"/>
      <c r="O907" s="474"/>
      <c r="P907" s="474"/>
      <c r="Q907" s="474"/>
      <c r="R907" s="474"/>
      <c r="S907" s="474"/>
      <c r="T907" s="474"/>
      <c r="U907" s="474"/>
      <c r="V907" s="474"/>
      <c r="W907" s="474"/>
      <c r="X907" s="474"/>
      <c r="Y907" s="474"/>
      <c r="Z907" s="474"/>
    </row>
    <row r="908" ht="12.0" customHeight="1">
      <c r="A908" s="480"/>
      <c r="B908" s="485"/>
      <c r="C908" s="525"/>
      <c r="D908" s="525"/>
      <c r="E908" s="526"/>
      <c r="F908" s="526"/>
      <c r="G908" s="474"/>
      <c r="H908" s="474"/>
      <c r="I908" s="474"/>
      <c r="J908" s="474"/>
      <c r="K908" s="474"/>
      <c r="L908" s="474"/>
      <c r="M908" s="474"/>
      <c r="N908" s="474"/>
      <c r="O908" s="474"/>
      <c r="P908" s="474"/>
      <c r="Q908" s="474"/>
      <c r="R908" s="474"/>
      <c r="S908" s="474"/>
      <c r="T908" s="474"/>
      <c r="U908" s="474"/>
      <c r="V908" s="474"/>
      <c r="W908" s="474"/>
      <c r="X908" s="474"/>
      <c r="Y908" s="474"/>
      <c r="Z908" s="474"/>
    </row>
    <row r="909" ht="12.0" customHeight="1">
      <c r="A909" s="480"/>
      <c r="B909" s="485"/>
      <c r="C909" s="525"/>
      <c r="D909" s="525"/>
      <c r="E909" s="526"/>
      <c r="F909" s="526"/>
      <c r="G909" s="474"/>
      <c r="H909" s="474"/>
      <c r="I909" s="474"/>
      <c r="J909" s="474"/>
      <c r="K909" s="474"/>
      <c r="L909" s="474"/>
      <c r="M909" s="474"/>
      <c r="N909" s="474"/>
      <c r="O909" s="474"/>
      <c r="P909" s="474"/>
      <c r="Q909" s="474"/>
      <c r="R909" s="474"/>
      <c r="S909" s="474"/>
      <c r="T909" s="474"/>
      <c r="U909" s="474"/>
      <c r="V909" s="474"/>
      <c r="W909" s="474"/>
      <c r="X909" s="474"/>
      <c r="Y909" s="474"/>
      <c r="Z909" s="474"/>
    </row>
    <row r="910" ht="12.0" customHeight="1">
      <c r="A910" s="480"/>
      <c r="B910" s="485"/>
      <c r="C910" s="525"/>
      <c r="D910" s="525"/>
      <c r="E910" s="526"/>
      <c r="F910" s="526"/>
      <c r="G910" s="474"/>
      <c r="H910" s="474"/>
      <c r="I910" s="474"/>
      <c r="J910" s="474"/>
      <c r="K910" s="474"/>
      <c r="L910" s="474"/>
      <c r="M910" s="474"/>
      <c r="N910" s="474"/>
      <c r="O910" s="474"/>
      <c r="P910" s="474"/>
      <c r="Q910" s="474"/>
      <c r="R910" s="474"/>
      <c r="S910" s="474"/>
      <c r="T910" s="474"/>
      <c r="U910" s="474"/>
      <c r="V910" s="474"/>
      <c r="W910" s="474"/>
      <c r="X910" s="474"/>
      <c r="Y910" s="474"/>
      <c r="Z910" s="474"/>
    </row>
    <row r="911" ht="12.0" customHeight="1">
      <c r="A911" s="480"/>
      <c r="B911" s="485"/>
      <c r="C911" s="525"/>
      <c r="D911" s="525"/>
      <c r="E911" s="526"/>
      <c r="F911" s="526"/>
      <c r="G911" s="474"/>
      <c r="H911" s="474"/>
      <c r="I911" s="474"/>
      <c r="J911" s="474"/>
      <c r="K911" s="474"/>
      <c r="L911" s="474"/>
      <c r="M911" s="474"/>
      <c r="N911" s="474"/>
      <c r="O911" s="474"/>
      <c r="P911" s="474"/>
      <c r="Q911" s="474"/>
      <c r="R911" s="474"/>
      <c r="S911" s="474"/>
      <c r="T911" s="474"/>
      <c r="U911" s="474"/>
      <c r="V911" s="474"/>
      <c r="W911" s="474"/>
      <c r="X911" s="474"/>
      <c r="Y911" s="474"/>
      <c r="Z911" s="474"/>
    </row>
    <row r="912" ht="12.0" customHeight="1">
      <c r="A912" s="480"/>
      <c r="B912" s="485"/>
      <c r="C912" s="525"/>
      <c r="D912" s="525"/>
      <c r="E912" s="526"/>
      <c r="F912" s="526"/>
      <c r="G912" s="474"/>
      <c r="H912" s="474"/>
      <c r="I912" s="474"/>
      <c r="J912" s="474"/>
      <c r="K912" s="474"/>
      <c r="L912" s="474"/>
      <c r="M912" s="474"/>
      <c r="N912" s="474"/>
      <c r="O912" s="474"/>
      <c r="P912" s="474"/>
      <c r="Q912" s="474"/>
      <c r="R912" s="474"/>
      <c r="S912" s="474"/>
      <c r="T912" s="474"/>
      <c r="U912" s="474"/>
      <c r="V912" s="474"/>
      <c r="W912" s="474"/>
      <c r="X912" s="474"/>
      <c r="Y912" s="474"/>
      <c r="Z912" s="474"/>
    </row>
    <row r="913" ht="12.0" customHeight="1">
      <c r="A913" s="480"/>
      <c r="B913" s="485"/>
      <c r="C913" s="525"/>
      <c r="D913" s="525"/>
      <c r="E913" s="526"/>
      <c r="F913" s="526"/>
      <c r="G913" s="474"/>
      <c r="H913" s="474"/>
      <c r="I913" s="474"/>
      <c r="J913" s="474"/>
      <c r="K913" s="474"/>
      <c r="L913" s="474"/>
      <c r="M913" s="474"/>
      <c r="N913" s="474"/>
      <c r="O913" s="474"/>
      <c r="P913" s="474"/>
      <c r="Q913" s="474"/>
      <c r="R913" s="474"/>
      <c r="S913" s="474"/>
      <c r="T913" s="474"/>
      <c r="U913" s="474"/>
      <c r="V913" s="474"/>
      <c r="W913" s="474"/>
      <c r="X913" s="474"/>
      <c r="Y913" s="474"/>
      <c r="Z913" s="474"/>
    </row>
    <row r="914" ht="12.0" customHeight="1">
      <c r="A914" s="480"/>
      <c r="B914" s="485"/>
      <c r="C914" s="525"/>
      <c r="D914" s="525"/>
      <c r="E914" s="526"/>
      <c r="F914" s="526"/>
      <c r="G914" s="474"/>
      <c r="H914" s="474"/>
      <c r="I914" s="474"/>
      <c r="J914" s="474"/>
      <c r="K914" s="474"/>
      <c r="L914" s="474"/>
      <c r="M914" s="474"/>
      <c r="N914" s="474"/>
      <c r="O914" s="474"/>
      <c r="P914" s="474"/>
      <c r="Q914" s="474"/>
      <c r="R914" s="474"/>
      <c r="S914" s="474"/>
      <c r="T914" s="474"/>
      <c r="U914" s="474"/>
      <c r="V914" s="474"/>
      <c r="W914" s="474"/>
      <c r="X914" s="474"/>
      <c r="Y914" s="474"/>
      <c r="Z914" s="474"/>
    </row>
    <row r="915" ht="12.0" customHeight="1">
      <c r="A915" s="480"/>
      <c r="B915" s="485"/>
      <c r="C915" s="525"/>
      <c r="D915" s="525"/>
      <c r="E915" s="526"/>
      <c r="F915" s="526"/>
      <c r="G915" s="474"/>
      <c r="H915" s="474"/>
      <c r="I915" s="474"/>
      <c r="J915" s="474"/>
      <c r="K915" s="474"/>
      <c r="L915" s="474"/>
      <c r="M915" s="474"/>
      <c r="N915" s="474"/>
      <c r="O915" s="474"/>
      <c r="P915" s="474"/>
      <c r="Q915" s="474"/>
      <c r="R915" s="474"/>
      <c r="S915" s="474"/>
      <c r="T915" s="474"/>
      <c r="U915" s="474"/>
      <c r="V915" s="474"/>
      <c r="W915" s="474"/>
      <c r="X915" s="474"/>
      <c r="Y915" s="474"/>
      <c r="Z915" s="474"/>
    </row>
    <row r="916" ht="12.0" customHeight="1">
      <c r="A916" s="480"/>
      <c r="B916" s="485"/>
      <c r="C916" s="525"/>
      <c r="D916" s="525"/>
      <c r="E916" s="526"/>
      <c r="F916" s="526"/>
      <c r="G916" s="474"/>
      <c r="H916" s="474"/>
      <c r="I916" s="474"/>
      <c r="J916" s="474"/>
      <c r="K916" s="474"/>
      <c r="L916" s="474"/>
      <c r="M916" s="474"/>
      <c r="N916" s="474"/>
      <c r="O916" s="474"/>
      <c r="P916" s="474"/>
      <c r="Q916" s="474"/>
      <c r="R916" s="474"/>
      <c r="S916" s="474"/>
      <c r="T916" s="474"/>
      <c r="U916" s="474"/>
      <c r="V916" s="474"/>
      <c r="W916" s="474"/>
      <c r="X916" s="474"/>
      <c r="Y916" s="474"/>
      <c r="Z916" s="474"/>
    </row>
    <row r="917" ht="12.0" customHeight="1">
      <c r="A917" s="480"/>
      <c r="B917" s="485"/>
      <c r="C917" s="525"/>
      <c r="D917" s="525"/>
      <c r="E917" s="526"/>
      <c r="F917" s="526"/>
      <c r="G917" s="474"/>
      <c r="H917" s="474"/>
      <c r="I917" s="474"/>
      <c r="J917" s="474"/>
      <c r="K917" s="474"/>
      <c r="L917" s="474"/>
      <c r="M917" s="474"/>
      <c r="N917" s="474"/>
      <c r="O917" s="474"/>
      <c r="P917" s="474"/>
      <c r="Q917" s="474"/>
      <c r="R917" s="474"/>
      <c r="S917" s="474"/>
      <c r="T917" s="474"/>
      <c r="U917" s="474"/>
      <c r="V917" s="474"/>
      <c r="W917" s="474"/>
      <c r="X917" s="474"/>
      <c r="Y917" s="474"/>
      <c r="Z917" s="474"/>
    </row>
    <row r="918" ht="12.0" customHeight="1">
      <c r="A918" s="480"/>
      <c r="B918" s="485"/>
      <c r="C918" s="525"/>
      <c r="D918" s="525"/>
      <c r="E918" s="526"/>
      <c r="F918" s="526"/>
      <c r="G918" s="474"/>
      <c r="H918" s="474"/>
      <c r="I918" s="474"/>
      <c r="J918" s="474"/>
      <c r="K918" s="474"/>
      <c r="L918" s="474"/>
      <c r="M918" s="474"/>
      <c r="N918" s="474"/>
      <c r="O918" s="474"/>
      <c r="P918" s="474"/>
      <c r="Q918" s="474"/>
      <c r="R918" s="474"/>
      <c r="S918" s="474"/>
      <c r="T918" s="474"/>
      <c r="U918" s="474"/>
      <c r="V918" s="474"/>
      <c r="W918" s="474"/>
      <c r="X918" s="474"/>
      <c r="Y918" s="474"/>
      <c r="Z918" s="474"/>
    </row>
    <row r="919" ht="12.0" customHeight="1">
      <c r="A919" s="480"/>
      <c r="B919" s="485"/>
      <c r="C919" s="525"/>
      <c r="D919" s="525"/>
      <c r="E919" s="526"/>
      <c r="F919" s="526"/>
      <c r="G919" s="474"/>
      <c r="H919" s="474"/>
      <c r="I919" s="474"/>
      <c r="J919" s="474"/>
      <c r="K919" s="474"/>
      <c r="L919" s="474"/>
      <c r="M919" s="474"/>
      <c r="N919" s="474"/>
      <c r="O919" s="474"/>
      <c r="P919" s="474"/>
      <c r="Q919" s="474"/>
      <c r="R919" s="474"/>
      <c r="S919" s="474"/>
      <c r="T919" s="474"/>
      <c r="U919" s="474"/>
      <c r="V919" s="474"/>
      <c r="W919" s="474"/>
      <c r="X919" s="474"/>
      <c r="Y919" s="474"/>
      <c r="Z919" s="474"/>
    </row>
    <row r="920" ht="12.0" customHeight="1">
      <c r="A920" s="480"/>
      <c r="B920" s="485"/>
      <c r="C920" s="525"/>
      <c r="D920" s="525"/>
      <c r="E920" s="526"/>
      <c r="F920" s="526"/>
      <c r="G920" s="474"/>
      <c r="H920" s="474"/>
      <c r="I920" s="474"/>
      <c r="J920" s="474"/>
      <c r="K920" s="474"/>
      <c r="L920" s="474"/>
      <c r="M920" s="474"/>
      <c r="N920" s="474"/>
      <c r="O920" s="474"/>
      <c r="P920" s="474"/>
      <c r="Q920" s="474"/>
      <c r="R920" s="474"/>
      <c r="S920" s="474"/>
      <c r="T920" s="474"/>
      <c r="U920" s="474"/>
      <c r="V920" s="474"/>
      <c r="W920" s="474"/>
      <c r="X920" s="474"/>
      <c r="Y920" s="474"/>
      <c r="Z920" s="474"/>
    </row>
    <row r="921" ht="12.0" customHeight="1">
      <c r="A921" s="480"/>
      <c r="B921" s="485"/>
      <c r="C921" s="525"/>
      <c r="D921" s="525"/>
      <c r="E921" s="526"/>
      <c r="F921" s="526"/>
      <c r="G921" s="474"/>
      <c r="H921" s="474"/>
      <c r="I921" s="474"/>
      <c r="J921" s="474"/>
      <c r="K921" s="474"/>
      <c r="L921" s="474"/>
      <c r="M921" s="474"/>
      <c r="N921" s="474"/>
      <c r="O921" s="474"/>
      <c r="P921" s="474"/>
      <c r="Q921" s="474"/>
      <c r="R921" s="474"/>
      <c r="S921" s="474"/>
      <c r="T921" s="474"/>
      <c r="U921" s="474"/>
      <c r="V921" s="474"/>
      <c r="W921" s="474"/>
      <c r="X921" s="474"/>
      <c r="Y921" s="474"/>
      <c r="Z921" s="474"/>
    </row>
    <row r="922" ht="12.0" customHeight="1">
      <c r="A922" s="480"/>
      <c r="B922" s="485"/>
      <c r="C922" s="525"/>
      <c r="D922" s="525"/>
      <c r="E922" s="526"/>
      <c r="F922" s="526"/>
      <c r="G922" s="474"/>
      <c r="H922" s="474"/>
      <c r="I922" s="474"/>
      <c r="J922" s="474"/>
      <c r="K922" s="474"/>
      <c r="L922" s="474"/>
      <c r="M922" s="474"/>
      <c r="N922" s="474"/>
      <c r="O922" s="474"/>
      <c r="P922" s="474"/>
      <c r="Q922" s="474"/>
      <c r="R922" s="474"/>
      <c r="S922" s="474"/>
      <c r="T922" s="474"/>
      <c r="U922" s="474"/>
      <c r="V922" s="474"/>
      <c r="W922" s="474"/>
      <c r="X922" s="474"/>
      <c r="Y922" s="474"/>
      <c r="Z922" s="474"/>
    </row>
    <row r="923" ht="12.0" customHeight="1">
      <c r="A923" s="480"/>
      <c r="B923" s="485"/>
      <c r="C923" s="525"/>
      <c r="D923" s="525"/>
      <c r="E923" s="526"/>
      <c r="F923" s="526"/>
      <c r="G923" s="474"/>
      <c r="H923" s="474"/>
      <c r="I923" s="474"/>
      <c r="J923" s="474"/>
      <c r="K923" s="474"/>
      <c r="L923" s="474"/>
      <c r="M923" s="474"/>
      <c r="N923" s="474"/>
      <c r="O923" s="474"/>
      <c r="P923" s="474"/>
      <c r="Q923" s="474"/>
      <c r="R923" s="474"/>
      <c r="S923" s="474"/>
      <c r="T923" s="474"/>
      <c r="U923" s="474"/>
      <c r="V923" s="474"/>
      <c r="W923" s="474"/>
      <c r="X923" s="474"/>
      <c r="Y923" s="474"/>
      <c r="Z923" s="474"/>
    </row>
    <row r="924" ht="12.0" customHeight="1">
      <c r="A924" s="480"/>
      <c r="B924" s="485"/>
      <c r="C924" s="525"/>
      <c r="D924" s="525"/>
      <c r="E924" s="526"/>
      <c r="F924" s="526"/>
      <c r="G924" s="474"/>
      <c r="H924" s="474"/>
      <c r="I924" s="474"/>
      <c r="J924" s="474"/>
      <c r="K924" s="474"/>
      <c r="L924" s="474"/>
      <c r="M924" s="474"/>
      <c r="N924" s="474"/>
      <c r="O924" s="474"/>
      <c r="P924" s="474"/>
      <c r="Q924" s="474"/>
      <c r="R924" s="474"/>
      <c r="S924" s="474"/>
      <c r="T924" s="474"/>
      <c r="U924" s="474"/>
      <c r="V924" s="474"/>
      <c r="W924" s="474"/>
      <c r="X924" s="474"/>
      <c r="Y924" s="474"/>
      <c r="Z924" s="474"/>
    </row>
    <row r="925" ht="12.0" customHeight="1">
      <c r="A925" s="480"/>
      <c r="B925" s="485"/>
      <c r="C925" s="525"/>
      <c r="D925" s="525"/>
      <c r="E925" s="526"/>
      <c r="F925" s="526"/>
      <c r="G925" s="474"/>
      <c r="H925" s="474"/>
      <c r="I925" s="474"/>
      <c r="J925" s="474"/>
      <c r="K925" s="474"/>
      <c r="L925" s="474"/>
      <c r="M925" s="474"/>
      <c r="N925" s="474"/>
      <c r="O925" s="474"/>
      <c r="P925" s="474"/>
      <c r="Q925" s="474"/>
      <c r="R925" s="474"/>
      <c r="S925" s="474"/>
      <c r="T925" s="474"/>
      <c r="U925" s="474"/>
      <c r="V925" s="474"/>
      <c r="W925" s="474"/>
      <c r="X925" s="474"/>
      <c r="Y925" s="474"/>
      <c r="Z925" s="474"/>
    </row>
    <row r="926" ht="12.0" customHeight="1">
      <c r="A926" s="480"/>
      <c r="B926" s="485"/>
      <c r="C926" s="525"/>
      <c r="D926" s="525"/>
      <c r="E926" s="526"/>
      <c r="F926" s="526"/>
      <c r="G926" s="474"/>
      <c r="H926" s="474"/>
      <c r="I926" s="474"/>
      <c r="J926" s="474"/>
      <c r="K926" s="474"/>
      <c r="L926" s="474"/>
      <c r="M926" s="474"/>
      <c r="N926" s="474"/>
      <c r="O926" s="474"/>
      <c r="P926" s="474"/>
      <c r="Q926" s="474"/>
      <c r="R926" s="474"/>
      <c r="S926" s="474"/>
      <c r="T926" s="474"/>
      <c r="U926" s="474"/>
      <c r="V926" s="474"/>
      <c r="W926" s="474"/>
      <c r="X926" s="474"/>
      <c r="Y926" s="474"/>
      <c r="Z926" s="474"/>
    </row>
    <row r="927" ht="12.0" customHeight="1">
      <c r="A927" s="480"/>
      <c r="B927" s="485"/>
      <c r="C927" s="525"/>
      <c r="D927" s="525"/>
      <c r="E927" s="526"/>
      <c r="F927" s="526"/>
      <c r="G927" s="474"/>
      <c r="H927" s="474"/>
      <c r="I927" s="474"/>
      <c r="J927" s="474"/>
      <c r="K927" s="474"/>
      <c r="L927" s="474"/>
      <c r="M927" s="474"/>
      <c r="N927" s="474"/>
      <c r="O927" s="474"/>
      <c r="P927" s="474"/>
      <c r="Q927" s="474"/>
      <c r="R927" s="474"/>
      <c r="S927" s="474"/>
      <c r="T927" s="474"/>
      <c r="U927" s="474"/>
      <c r="V927" s="474"/>
      <c r="W927" s="474"/>
      <c r="X927" s="474"/>
      <c r="Y927" s="474"/>
      <c r="Z927" s="474"/>
    </row>
    <row r="928" ht="12.0" customHeight="1">
      <c r="A928" s="480"/>
      <c r="B928" s="485"/>
      <c r="C928" s="525"/>
      <c r="D928" s="525"/>
      <c r="E928" s="526"/>
      <c r="F928" s="526"/>
      <c r="G928" s="474"/>
      <c r="H928" s="474"/>
      <c r="I928" s="474"/>
      <c r="J928" s="474"/>
      <c r="K928" s="474"/>
      <c r="L928" s="474"/>
      <c r="M928" s="474"/>
      <c r="N928" s="474"/>
      <c r="O928" s="474"/>
      <c r="P928" s="474"/>
      <c r="Q928" s="474"/>
      <c r="R928" s="474"/>
      <c r="S928" s="474"/>
      <c r="T928" s="474"/>
      <c r="U928" s="474"/>
      <c r="V928" s="474"/>
      <c r="W928" s="474"/>
      <c r="X928" s="474"/>
      <c r="Y928" s="474"/>
      <c r="Z928" s="474"/>
    </row>
    <row r="929" ht="12.0" customHeight="1">
      <c r="A929" s="480"/>
      <c r="B929" s="485"/>
      <c r="C929" s="525"/>
      <c r="D929" s="525"/>
      <c r="E929" s="526"/>
      <c r="F929" s="526"/>
      <c r="G929" s="474"/>
      <c r="H929" s="474"/>
      <c r="I929" s="474"/>
      <c r="J929" s="474"/>
      <c r="K929" s="474"/>
      <c r="L929" s="474"/>
      <c r="M929" s="474"/>
      <c r="N929" s="474"/>
      <c r="O929" s="474"/>
      <c r="P929" s="474"/>
      <c r="Q929" s="474"/>
      <c r="R929" s="474"/>
      <c r="S929" s="474"/>
      <c r="T929" s="474"/>
      <c r="U929" s="474"/>
      <c r="V929" s="474"/>
      <c r="W929" s="474"/>
      <c r="X929" s="474"/>
      <c r="Y929" s="474"/>
      <c r="Z929" s="474"/>
    </row>
    <row r="930" ht="12.0" customHeight="1">
      <c r="A930" s="480"/>
      <c r="B930" s="485"/>
      <c r="C930" s="525"/>
      <c r="D930" s="525"/>
      <c r="E930" s="526"/>
      <c r="F930" s="526"/>
      <c r="G930" s="474"/>
      <c r="H930" s="474"/>
      <c r="I930" s="474"/>
      <c r="J930" s="474"/>
      <c r="K930" s="474"/>
      <c r="L930" s="474"/>
      <c r="M930" s="474"/>
      <c r="N930" s="474"/>
      <c r="O930" s="474"/>
      <c r="P930" s="474"/>
      <c r="Q930" s="474"/>
      <c r="R930" s="474"/>
      <c r="S930" s="474"/>
      <c r="T930" s="474"/>
      <c r="U930" s="474"/>
      <c r="V930" s="474"/>
      <c r="W930" s="474"/>
      <c r="X930" s="474"/>
      <c r="Y930" s="474"/>
      <c r="Z930" s="474"/>
    </row>
    <row r="931" ht="12.0" customHeight="1">
      <c r="A931" s="480"/>
      <c r="B931" s="485"/>
      <c r="C931" s="525"/>
      <c r="D931" s="525"/>
      <c r="E931" s="526"/>
      <c r="F931" s="526"/>
      <c r="G931" s="474"/>
      <c r="H931" s="474"/>
      <c r="I931" s="474"/>
      <c r="J931" s="474"/>
      <c r="K931" s="474"/>
      <c r="L931" s="474"/>
      <c r="M931" s="474"/>
      <c r="N931" s="474"/>
      <c r="O931" s="474"/>
      <c r="P931" s="474"/>
      <c r="Q931" s="474"/>
      <c r="R931" s="474"/>
      <c r="S931" s="474"/>
      <c r="T931" s="474"/>
      <c r="U931" s="474"/>
      <c r="V931" s="474"/>
      <c r="W931" s="474"/>
      <c r="X931" s="474"/>
      <c r="Y931" s="474"/>
      <c r="Z931" s="474"/>
    </row>
    <row r="932" ht="12.0" customHeight="1">
      <c r="A932" s="480"/>
      <c r="B932" s="485"/>
      <c r="C932" s="525"/>
      <c r="D932" s="525"/>
      <c r="E932" s="526"/>
      <c r="F932" s="526"/>
      <c r="G932" s="474"/>
      <c r="H932" s="474"/>
      <c r="I932" s="474"/>
      <c r="J932" s="474"/>
      <c r="K932" s="474"/>
      <c r="L932" s="474"/>
      <c r="M932" s="474"/>
      <c r="N932" s="474"/>
      <c r="O932" s="474"/>
      <c r="P932" s="474"/>
      <c r="Q932" s="474"/>
      <c r="R932" s="474"/>
      <c r="S932" s="474"/>
      <c r="T932" s="474"/>
      <c r="U932" s="474"/>
      <c r="V932" s="474"/>
      <c r="W932" s="474"/>
      <c r="X932" s="474"/>
      <c r="Y932" s="474"/>
      <c r="Z932" s="474"/>
    </row>
    <row r="933" ht="12.0" customHeight="1">
      <c r="A933" s="480"/>
      <c r="B933" s="485"/>
      <c r="C933" s="525"/>
      <c r="D933" s="525"/>
      <c r="E933" s="526"/>
      <c r="F933" s="526"/>
      <c r="G933" s="474"/>
      <c r="H933" s="474"/>
      <c r="I933" s="474"/>
      <c r="J933" s="474"/>
      <c r="K933" s="474"/>
      <c r="L933" s="474"/>
      <c r="M933" s="474"/>
      <c r="N933" s="474"/>
      <c r="O933" s="474"/>
      <c r="P933" s="474"/>
      <c r="Q933" s="474"/>
      <c r="R933" s="474"/>
      <c r="S933" s="474"/>
      <c r="T933" s="474"/>
      <c r="U933" s="474"/>
      <c r="V933" s="474"/>
      <c r="W933" s="474"/>
      <c r="X933" s="474"/>
      <c r="Y933" s="474"/>
      <c r="Z933" s="474"/>
    </row>
    <row r="934" ht="12.0" customHeight="1">
      <c r="A934" s="480"/>
      <c r="B934" s="485"/>
      <c r="C934" s="525"/>
      <c r="D934" s="525"/>
      <c r="E934" s="526"/>
      <c r="F934" s="526"/>
      <c r="G934" s="474"/>
      <c r="H934" s="474"/>
      <c r="I934" s="474"/>
      <c r="J934" s="474"/>
      <c r="K934" s="474"/>
      <c r="L934" s="474"/>
      <c r="M934" s="474"/>
      <c r="N934" s="474"/>
      <c r="O934" s="474"/>
      <c r="P934" s="474"/>
      <c r="Q934" s="474"/>
      <c r="R934" s="474"/>
      <c r="S934" s="474"/>
      <c r="T934" s="474"/>
      <c r="U934" s="474"/>
      <c r="V934" s="474"/>
      <c r="W934" s="474"/>
      <c r="X934" s="474"/>
      <c r="Y934" s="474"/>
      <c r="Z934" s="474"/>
    </row>
    <row r="935" ht="12.0" customHeight="1">
      <c r="A935" s="480"/>
      <c r="B935" s="485"/>
      <c r="C935" s="525"/>
      <c r="D935" s="525"/>
      <c r="E935" s="526"/>
      <c r="F935" s="526"/>
      <c r="G935" s="474"/>
      <c r="H935" s="474"/>
      <c r="I935" s="474"/>
      <c r="J935" s="474"/>
      <c r="K935" s="474"/>
      <c r="L935" s="474"/>
      <c r="M935" s="474"/>
      <c r="N935" s="474"/>
      <c r="O935" s="474"/>
      <c r="P935" s="474"/>
      <c r="Q935" s="474"/>
      <c r="R935" s="474"/>
      <c r="S935" s="474"/>
      <c r="T935" s="474"/>
      <c r="U935" s="474"/>
      <c r="V935" s="474"/>
      <c r="W935" s="474"/>
      <c r="X935" s="474"/>
      <c r="Y935" s="474"/>
      <c r="Z935" s="474"/>
    </row>
    <row r="936" ht="12.0" customHeight="1">
      <c r="A936" s="480"/>
      <c r="B936" s="485"/>
      <c r="C936" s="525"/>
      <c r="D936" s="525"/>
      <c r="E936" s="526"/>
      <c r="F936" s="526"/>
      <c r="G936" s="474"/>
      <c r="H936" s="474"/>
      <c r="I936" s="474"/>
      <c r="J936" s="474"/>
      <c r="K936" s="474"/>
      <c r="L936" s="474"/>
      <c r="M936" s="474"/>
      <c r="N936" s="474"/>
      <c r="O936" s="474"/>
      <c r="P936" s="474"/>
      <c r="Q936" s="474"/>
      <c r="R936" s="474"/>
      <c r="S936" s="474"/>
      <c r="T936" s="474"/>
      <c r="U936" s="474"/>
      <c r="V936" s="474"/>
      <c r="W936" s="474"/>
      <c r="X936" s="474"/>
      <c r="Y936" s="474"/>
      <c r="Z936" s="474"/>
    </row>
    <row r="937" ht="12.0" customHeight="1">
      <c r="A937" s="480"/>
      <c r="B937" s="485"/>
      <c r="C937" s="525"/>
      <c r="D937" s="525"/>
      <c r="E937" s="526"/>
      <c r="F937" s="526"/>
      <c r="G937" s="474"/>
      <c r="H937" s="474"/>
      <c r="I937" s="474"/>
      <c r="J937" s="474"/>
      <c r="K937" s="474"/>
      <c r="L937" s="474"/>
      <c r="M937" s="474"/>
      <c r="N937" s="474"/>
      <c r="O937" s="474"/>
      <c r="P937" s="474"/>
      <c r="Q937" s="474"/>
      <c r="R937" s="474"/>
      <c r="S937" s="474"/>
      <c r="T937" s="474"/>
      <c r="U937" s="474"/>
      <c r="V937" s="474"/>
      <c r="W937" s="474"/>
      <c r="X937" s="474"/>
      <c r="Y937" s="474"/>
      <c r="Z937" s="474"/>
    </row>
    <row r="938" ht="12.0" customHeight="1">
      <c r="A938" s="480"/>
      <c r="B938" s="485"/>
      <c r="C938" s="525"/>
      <c r="D938" s="525"/>
      <c r="E938" s="526"/>
      <c r="F938" s="526"/>
      <c r="G938" s="474"/>
      <c r="H938" s="474"/>
      <c r="I938" s="474"/>
      <c r="J938" s="474"/>
      <c r="K938" s="474"/>
      <c r="L938" s="474"/>
      <c r="M938" s="474"/>
      <c r="N938" s="474"/>
      <c r="O938" s="474"/>
      <c r="P938" s="474"/>
      <c r="Q938" s="474"/>
      <c r="R938" s="474"/>
      <c r="S938" s="474"/>
      <c r="T938" s="474"/>
      <c r="U938" s="474"/>
      <c r="V938" s="474"/>
      <c r="W938" s="474"/>
      <c r="X938" s="474"/>
      <c r="Y938" s="474"/>
      <c r="Z938" s="474"/>
    </row>
    <row r="939" ht="12.0" customHeight="1">
      <c r="A939" s="480"/>
      <c r="B939" s="485"/>
      <c r="C939" s="525"/>
      <c r="D939" s="525"/>
      <c r="E939" s="526"/>
      <c r="F939" s="526"/>
      <c r="G939" s="474"/>
      <c r="H939" s="474"/>
      <c r="I939" s="474"/>
      <c r="J939" s="474"/>
      <c r="K939" s="474"/>
      <c r="L939" s="474"/>
      <c r="M939" s="474"/>
      <c r="N939" s="474"/>
      <c r="O939" s="474"/>
      <c r="P939" s="474"/>
      <c r="Q939" s="474"/>
      <c r="R939" s="474"/>
      <c r="S939" s="474"/>
      <c r="T939" s="474"/>
      <c r="U939" s="474"/>
      <c r="V939" s="474"/>
      <c r="W939" s="474"/>
      <c r="X939" s="474"/>
      <c r="Y939" s="474"/>
      <c r="Z939" s="474"/>
    </row>
    <row r="940" ht="12.0" customHeight="1">
      <c r="A940" s="480"/>
      <c r="B940" s="485"/>
      <c r="C940" s="525"/>
      <c r="D940" s="525"/>
      <c r="E940" s="526"/>
      <c r="F940" s="526"/>
      <c r="G940" s="474"/>
      <c r="H940" s="474"/>
      <c r="I940" s="474"/>
      <c r="J940" s="474"/>
      <c r="K940" s="474"/>
      <c r="L940" s="474"/>
      <c r="M940" s="474"/>
      <c r="N940" s="474"/>
      <c r="O940" s="474"/>
      <c r="P940" s="474"/>
      <c r="Q940" s="474"/>
      <c r="R940" s="474"/>
      <c r="S940" s="474"/>
      <c r="T940" s="474"/>
      <c r="U940" s="474"/>
      <c r="V940" s="474"/>
      <c r="W940" s="474"/>
      <c r="X940" s="474"/>
      <c r="Y940" s="474"/>
      <c r="Z940" s="474"/>
    </row>
    <row r="941" ht="12.0" customHeight="1">
      <c r="A941" s="480"/>
      <c r="B941" s="485"/>
      <c r="C941" s="525"/>
      <c r="D941" s="525"/>
      <c r="E941" s="526"/>
      <c r="F941" s="526"/>
      <c r="G941" s="474"/>
      <c r="H941" s="474"/>
      <c r="I941" s="474"/>
      <c r="J941" s="474"/>
      <c r="K941" s="474"/>
      <c r="L941" s="474"/>
      <c r="M941" s="474"/>
      <c r="N941" s="474"/>
      <c r="O941" s="474"/>
      <c r="P941" s="474"/>
      <c r="Q941" s="474"/>
      <c r="R941" s="474"/>
      <c r="S941" s="474"/>
      <c r="T941" s="474"/>
      <c r="U941" s="474"/>
      <c r="V941" s="474"/>
      <c r="W941" s="474"/>
      <c r="X941" s="474"/>
      <c r="Y941" s="474"/>
      <c r="Z941" s="474"/>
    </row>
    <row r="942" ht="12.0" customHeight="1">
      <c r="A942" s="480"/>
      <c r="B942" s="485"/>
      <c r="C942" s="525"/>
      <c r="D942" s="525"/>
      <c r="E942" s="526"/>
      <c r="F942" s="526"/>
      <c r="G942" s="474"/>
      <c r="H942" s="474"/>
      <c r="I942" s="474"/>
      <c r="J942" s="474"/>
      <c r="K942" s="474"/>
      <c r="L942" s="474"/>
      <c r="M942" s="474"/>
      <c r="N942" s="474"/>
      <c r="O942" s="474"/>
      <c r="P942" s="474"/>
      <c r="Q942" s="474"/>
      <c r="R942" s="474"/>
      <c r="S942" s="474"/>
      <c r="T942" s="474"/>
      <c r="U942" s="474"/>
      <c r="V942" s="474"/>
      <c r="W942" s="474"/>
      <c r="X942" s="474"/>
      <c r="Y942" s="474"/>
      <c r="Z942" s="474"/>
    </row>
    <row r="943" ht="12.0" customHeight="1">
      <c r="A943" s="480"/>
      <c r="B943" s="485"/>
      <c r="C943" s="525"/>
      <c r="D943" s="525"/>
      <c r="E943" s="526"/>
      <c r="F943" s="526"/>
      <c r="G943" s="474"/>
      <c r="H943" s="474"/>
      <c r="I943" s="474"/>
      <c r="J943" s="474"/>
      <c r="K943" s="474"/>
      <c r="L943" s="474"/>
      <c r="M943" s="474"/>
      <c r="N943" s="474"/>
      <c r="O943" s="474"/>
      <c r="P943" s="474"/>
      <c r="Q943" s="474"/>
      <c r="R943" s="474"/>
      <c r="S943" s="474"/>
      <c r="T943" s="474"/>
      <c r="U943" s="474"/>
      <c r="V943" s="474"/>
      <c r="W943" s="474"/>
      <c r="X943" s="474"/>
      <c r="Y943" s="474"/>
      <c r="Z943" s="474"/>
    </row>
    <row r="944" ht="12.0" customHeight="1">
      <c r="A944" s="480"/>
      <c r="B944" s="485"/>
      <c r="C944" s="525"/>
      <c r="D944" s="525"/>
      <c r="E944" s="526"/>
      <c r="F944" s="526"/>
      <c r="G944" s="474"/>
      <c r="H944" s="474"/>
      <c r="I944" s="474"/>
      <c r="J944" s="474"/>
      <c r="K944" s="474"/>
      <c r="L944" s="474"/>
      <c r="M944" s="474"/>
      <c r="N944" s="474"/>
      <c r="O944" s="474"/>
      <c r="P944" s="474"/>
      <c r="Q944" s="474"/>
      <c r="R944" s="474"/>
      <c r="S944" s="474"/>
      <c r="T944" s="474"/>
      <c r="U944" s="474"/>
      <c r="V944" s="474"/>
      <c r="W944" s="474"/>
      <c r="X944" s="474"/>
      <c r="Y944" s="474"/>
      <c r="Z944" s="474"/>
    </row>
    <row r="945" ht="12.0" customHeight="1">
      <c r="A945" s="480"/>
      <c r="B945" s="485"/>
      <c r="C945" s="525"/>
      <c r="D945" s="525"/>
      <c r="E945" s="526"/>
      <c r="F945" s="526"/>
      <c r="G945" s="474"/>
      <c r="H945" s="474"/>
      <c r="I945" s="474"/>
      <c r="J945" s="474"/>
      <c r="K945" s="474"/>
      <c r="L945" s="474"/>
      <c r="M945" s="474"/>
      <c r="N945" s="474"/>
      <c r="O945" s="474"/>
      <c r="P945" s="474"/>
      <c r="Q945" s="474"/>
      <c r="R945" s="474"/>
      <c r="S945" s="474"/>
      <c r="T945" s="474"/>
      <c r="U945" s="474"/>
      <c r="V945" s="474"/>
      <c r="W945" s="474"/>
      <c r="X945" s="474"/>
      <c r="Y945" s="474"/>
      <c r="Z945" s="474"/>
    </row>
    <row r="946" ht="12.0" customHeight="1">
      <c r="A946" s="480"/>
      <c r="B946" s="485"/>
      <c r="C946" s="525"/>
      <c r="D946" s="525"/>
      <c r="E946" s="526"/>
      <c r="F946" s="526"/>
      <c r="G946" s="474"/>
      <c r="H946" s="474"/>
      <c r="I946" s="474"/>
      <c r="J946" s="474"/>
      <c r="K946" s="474"/>
      <c r="L946" s="474"/>
      <c r="M946" s="474"/>
      <c r="N946" s="474"/>
      <c r="O946" s="474"/>
      <c r="P946" s="474"/>
      <c r="Q946" s="474"/>
      <c r="R946" s="474"/>
      <c r="S946" s="474"/>
      <c r="T946" s="474"/>
      <c r="U946" s="474"/>
      <c r="V946" s="474"/>
      <c r="W946" s="474"/>
      <c r="X946" s="474"/>
      <c r="Y946" s="474"/>
      <c r="Z946" s="474"/>
    </row>
    <row r="947" ht="12.0" customHeight="1">
      <c r="A947" s="480"/>
      <c r="B947" s="485"/>
      <c r="C947" s="525"/>
      <c r="D947" s="525"/>
      <c r="E947" s="526"/>
      <c r="F947" s="526"/>
      <c r="G947" s="474"/>
      <c r="H947" s="474"/>
      <c r="I947" s="474"/>
      <c r="J947" s="474"/>
      <c r="K947" s="474"/>
      <c r="L947" s="474"/>
      <c r="M947" s="474"/>
      <c r="N947" s="474"/>
      <c r="O947" s="474"/>
      <c r="P947" s="474"/>
      <c r="Q947" s="474"/>
      <c r="R947" s="474"/>
      <c r="S947" s="474"/>
      <c r="T947" s="474"/>
      <c r="U947" s="474"/>
      <c r="V947" s="474"/>
      <c r="W947" s="474"/>
      <c r="X947" s="474"/>
      <c r="Y947" s="474"/>
      <c r="Z947" s="474"/>
    </row>
    <row r="948" ht="12.0" customHeight="1">
      <c r="A948" s="480"/>
      <c r="B948" s="485"/>
      <c r="C948" s="525"/>
      <c r="D948" s="525"/>
      <c r="E948" s="526"/>
      <c r="F948" s="526"/>
      <c r="G948" s="474"/>
      <c r="H948" s="474"/>
      <c r="I948" s="474"/>
      <c r="J948" s="474"/>
      <c r="K948" s="474"/>
      <c r="L948" s="474"/>
      <c r="M948" s="474"/>
      <c r="N948" s="474"/>
      <c r="O948" s="474"/>
      <c r="P948" s="474"/>
      <c r="Q948" s="474"/>
      <c r="R948" s="474"/>
      <c r="S948" s="474"/>
      <c r="T948" s="474"/>
      <c r="U948" s="474"/>
      <c r="V948" s="474"/>
      <c r="W948" s="474"/>
      <c r="X948" s="474"/>
      <c r="Y948" s="474"/>
      <c r="Z948" s="474"/>
    </row>
    <row r="949" ht="12.0" customHeight="1">
      <c r="A949" s="480"/>
      <c r="B949" s="485"/>
      <c r="C949" s="525"/>
      <c r="D949" s="525"/>
      <c r="E949" s="526"/>
      <c r="F949" s="526"/>
      <c r="G949" s="474"/>
      <c r="H949" s="474"/>
      <c r="I949" s="474"/>
      <c r="J949" s="474"/>
      <c r="K949" s="474"/>
      <c r="L949" s="474"/>
      <c r="M949" s="474"/>
      <c r="N949" s="474"/>
      <c r="O949" s="474"/>
      <c r="P949" s="474"/>
      <c r="Q949" s="474"/>
      <c r="R949" s="474"/>
      <c r="S949" s="474"/>
      <c r="T949" s="474"/>
      <c r="U949" s="474"/>
      <c r="V949" s="474"/>
      <c r="W949" s="474"/>
      <c r="X949" s="474"/>
      <c r="Y949" s="474"/>
      <c r="Z949" s="474"/>
    </row>
    <row r="950" ht="12.0" customHeight="1">
      <c r="A950" s="480"/>
      <c r="B950" s="485"/>
      <c r="C950" s="525"/>
      <c r="D950" s="525"/>
      <c r="E950" s="526"/>
      <c r="F950" s="526"/>
      <c r="G950" s="474"/>
      <c r="H950" s="474"/>
      <c r="I950" s="474"/>
      <c r="J950" s="474"/>
      <c r="K950" s="474"/>
      <c r="L950" s="474"/>
      <c r="M950" s="474"/>
      <c r="N950" s="474"/>
      <c r="O950" s="474"/>
      <c r="P950" s="474"/>
      <c r="Q950" s="474"/>
      <c r="R950" s="474"/>
      <c r="S950" s="474"/>
      <c r="T950" s="474"/>
      <c r="U950" s="474"/>
      <c r="V950" s="474"/>
      <c r="W950" s="474"/>
      <c r="X950" s="474"/>
      <c r="Y950" s="474"/>
      <c r="Z950" s="474"/>
    </row>
    <row r="951" ht="12.0" customHeight="1">
      <c r="A951" s="480"/>
      <c r="B951" s="485"/>
      <c r="C951" s="525"/>
      <c r="D951" s="525"/>
      <c r="E951" s="526"/>
      <c r="F951" s="526"/>
      <c r="G951" s="474"/>
      <c r="H951" s="474"/>
      <c r="I951" s="474"/>
      <c r="J951" s="474"/>
      <c r="K951" s="474"/>
      <c r="L951" s="474"/>
      <c r="M951" s="474"/>
      <c r="N951" s="474"/>
      <c r="O951" s="474"/>
      <c r="P951" s="474"/>
      <c r="Q951" s="474"/>
      <c r="R951" s="474"/>
      <c r="S951" s="474"/>
      <c r="T951" s="474"/>
      <c r="U951" s="474"/>
      <c r="V951" s="474"/>
      <c r="W951" s="474"/>
      <c r="X951" s="474"/>
      <c r="Y951" s="474"/>
      <c r="Z951" s="474"/>
    </row>
    <row r="952" ht="12.0" customHeight="1">
      <c r="A952" s="480"/>
      <c r="B952" s="485"/>
      <c r="C952" s="525"/>
      <c r="D952" s="525"/>
      <c r="E952" s="526"/>
      <c r="F952" s="526"/>
      <c r="G952" s="474"/>
      <c r="H952" s="474"/>
      <c r="I952" s="474"/>
      <c r="J952" s="474"/>
      <c r="K952" s="474"/>
      <c r="L952" s="474"/>
      <c r="M952" s="474"/>
      <c r="N952" s="474"/>
      <c r="O952" s="474"/>
      <c r="P952" s="474"/>
      <c r="Q952" s="474"/>
      <c r="R952" s="474"/>
      <c r="S952" s="474"/>
      <c r="T952" s="474"/>
      <c r="U952" s="474"/>
      <c r="V952" s="474"/>
      <c r="W952" s="474"/>
      <c r="X952" s="474"/>
      <c r="Y952" s="474"/>
      <c r="Z952" s="474"/>
    </row>
    <row r="953" ht="12.0" customHeight="1">
      <c r="A953" s="480"/>
      <c r="B953" s="485"/>
      <c r="C953" s="525"/>
      <c r="D953" s="525"/>
      <c r="E953" s="526"/>
      <c r="F953" s="526"/>
      <c r="G953" s="474"/>
      <c r="H953" s="474"/>
      <c r="I953" s="474"/>
      <c r="J953" s="474"/>
      <c r="K953" s="474"/>
      <c r="L953" s="474"/>
      <c r="M953" s="474"/>
      <c r="N953" s="474"/>
      <c r="O953" s="474"/>
      <c r="P953" s="474"/>
      <c r="Q953" s="474"/>
      <c r="R953" s="474"/>
      <c r="S953" s="474"/>
      <c r="T953" s="474"/>
      <c r="U953" s="474"/>
      <c r="V953" s="474"/>
      <c r="W953" s="474"/>
      <c r="X953" s="474"/>
      <c r="Y953" s="474"/>
      <c r="Z953" s="474"/>
    </row>
    <row r="954" ht="12.0" customHeight="1">
      <c r="A954" s="480"/>
      <c r="B954" s="485"/>
      <c r="C954" s="525"/>
      <c r="D954" s="525"/>
      <c r="E954" s="526"/>
      <c r="F954" s="526"/>
      <c r="G954" s="474"/>
      <c r="H954" s="474"/>
      <c r="I954" s="474"/>
      <c r="J954" s="474"/>
      <c r="K954" s="474"/>
      <c r="L954" s="474"/>
      <c r="M954" s="474"/>
      <c r="N954" s="474"/>
      <c r="O954" s="474"/>
      <c r="P954" s="474"/>
      <c r="Q954" s="474"/>
      <c r="R954" s="474"/>
      <c r="S954" s="474"/>
      <c r="T954" s="474"/>
      <c r="U954" s="474"/>
      <c r="V954" s="474"/>
      <c r="W954" s="474"/>
      <c r="X954" s="474"/>
      <c r="Y954" s="474"/>
      <c r="Z954" s="474"/>
    </row>
    <row r="955" ht="12.0" customHeight="1">
      <c r="A955" s="480"/>
      <c r="B955" s="485"/>
      <c r="C955" s="525"/>
      <c r="D955" s="525"/>
      <c r="E955" s="526"/>
      <c r="F955" s="526"/>
      <c r="G955" s="474"/>
      <c r="H955" s="474"/>
      <c r="I955" s="474"/>
      <c r="J955" s="474"/>
      <c r="K955" s="474"/>
      <c r="L955" s="474"/>
      <c r="M955" s="474"/>
      <c r="N955" s="474"/>
      <c r="O955" s="474"/>
      <c r="P955" s="474"/>
      <c r="Q955" s="474"/>
      <c r="R955" s="474"/>
      <c r="S955" s="474"/>
      <c r="T955" s="474"/>
      <c r="U955" s="474"/>
      <c r="V955" s="474"/>
      <c r="W955" s="474"/>
      <c r="X955" s="474"/>
      <c r="Y955" s="474"/>
      <c r="Z955" s="474"/>
    </row>
    <row r="956" ht="12.0" customHeight="1">
      <c r="A956" s="480"/>
      <c r="B956" s="485"/>
      <c r="C956" s="525"/>
      <c r="D956" s="525"/>
      <c r="E956" s="526"/>
      <c r="F956" s="526"/>
      <c r="G956" s="474"/>
      <c r="H956" s="474"/>
      <c r="I956" s="474"/>
      <c r="J956" s="474"/>
      <c r="K956" s="474"/>
      <c r="L956" s="474"/>
      <c r="M956" s="474"/>
      <c r="N956" s="474"/>
      <c r="O956" s="474"/>
      <c r="P956" s="474"/>
      <c r="Q956" s="474"/>
      <c r="R956" s="474"/>
      <c r="S956" s="474"/>
      <c r="T956" s="474"/>
      <c r="U956" s="474"/>
      <c r="V956" s="474"/>
      <c r="W956" s="474"/>
      <c r="X956" s="474"/>
      <c r="Y956" s="474"/>
      <c r="Z956" s="474"/>
    </row>
    <row r="957" ht="12.0" customHeight="1">
      <c r="A957" s="480"/>
      <c r="B957" s="485"/>
      <c r="C957" s="525"/>
      <c r="D957" s="525"/>
      <c r="E957" s="526"/>
      <c r="F957" s="526"/>
      <c r="G957" s="474"/>
      <c r="H957" s="474"/>
      <c r="I957" s="474"/>
      <c r="J957" s="474"/>
      <c r="K957" s="474"/>
      <c r="L957" s="474"/>
      <c r="M957" s="474"/>
      <c r="N957" s="474"/>
      <c r="O957" s="474"/>
      <c r="P957" s="474"/>
      <c r="Q957" s="474"/>
      <c r="R957" s="474"/>
      <c r="S957" s="474"/>
      <c r="T957" s="474"/>
      <c r="U957" s="474"/>
      <c r="V957" s="474"/>
      <c r="W957" s="474"/>
      <c r="X957" s="474"/>
      <c r="Y957" s="474"/>
      <c r="Z957" s="474"/>
    </row>
    <row r="958" ht="12.0" customHeight="1">
      <c r="A958" s="480"/>
      <c r="B958" s="485"/>
      <c r="C958" s="525"/>
      <c r="D958" s="525"/>
      <c r="E958" s="526"/>
      <c r="F958" s="526"/>
      <c r="G958" s="474"/>
      <c r="H958" s="474"/>
      <c r="I958" s="474"/>
      <c r="J958" s="474"/>
      <c r="K958" s="474"/>
      <c r="L958" s="474"/>
      <c r="M958" s="474"/>
      <c r="N958" s="474"/>
      <c r="O958" s="474"/>
      <c r="P958" s="474"/>
      <c r="Q958" s="474"/>
      <c r="R958" s="474"/>
      <c r="S958" s="474"/>
      <c r="T958" s="474"/>
      <c r="U958" s="474"/>
      <c r="V958" s="474"/>
      <c r="W958" s="474"/>
      <c r="X958" s="474"/>
      <c r="Y958" s="474"/>
      <c r="Z958" s="474"/>
    </row>
    <row r="959" ht="12.0" customHeight="1">
      <c r="A959" s="480"/>
      <c r="B959" s="485"/>
      <c r="C959" s="525"/>
      <c r="D959" s="525"/>
      <c r="E959" s="526"/>
      <c r="F959" s="526"/>
      <c r="G959" s="474"/>
      <c r="H959" s="474"/>
      <c r="I959" s="474"/>
      <c r="J959" s="474"/>
      <c r="K959" s="474"/>
      <c r="L959" s="474"/>
      <c r="M959" s="474"/>
      <c r="N959" s="474"/>
      <c r="O959" s="474"/>
      <c r="P959" s="474"/>
      <c r="Q959" s="474"/>
      <c r="R959" s="474"/>
      <c r="S959" s="474"/>
      <c r="T959" s="474"/>
      <c r="U959" s="474"/>
      <c r="V959" s="474"/>
      <c r="W959" s="474"/>
      <c r="X959" s="474"/>
      <c r="Y959" s="474"/>
      <c r="Z959" s="474"/>
    </row>
    <row r="960" ht="12.0" customHeight="1">
      <c r="A960" s="480"/>
      <c r="B960" s="485"/>
      <c r="C960" s="525"/>
      <c r="D960" s="525"/>
      <c r="E960" s="526"/>
      <c r="F960" s="526"/>
      <c r="G960" s="474"/>
      <c r="H960" s="474"/>
      <c r="I960" s="474"/>
      <c r="J960" s="474"/>
      <c r="K960" s="474"/>
      <c r="L960" s="474"/>
      <c r="M960" s="474"/>
      <c r="N960" s="474"/>
      <c r="O960" s="474"/>
      <c r="P960" s="474"/>
      <c r="Q960" s="474"/>
      <c r="R960" s="474"/>
      <c r="S960" s="474"/>
      <c r="T960" s="474"/>
      <c r="U960" s="474"/>
      <c r="V960" s="474"/>
      <c r="W960" s="474"/>
      <c r="X960" s="474"/>
      <c r="Y960" s="474"/>
      <c r="Z960" s="474"/>
    </row>
    <row r="961" ht="12.0" customHeight="1">
      <c r="A961" s="480"/>
      <c r="B961" s="485"/>
      <c r="C961" s="525"/>
      <c r="D961" s="525"/>
      <c r="E961" s="526"/>
      <c r="F961" s="526"/>
      <c r="G961" s="474"/>
      <c r="H961" s="474"/>
      <c r="I961" s="474"/>
      <c r="J961" s="474"/>
      <c r="K961" s="474"/>
      <c r="L961" s="474"/>
      <c r="M961" s="474"/>
      <c r="N961" s="474"/>
      <c r="O961" s="474"/>
      <c r="P961" s="474"/>
      <c r="Q961" s="474"/>
      <c r="R961" s="474"/>
      <c r="S961" s="474"/>
      <c r="T961" s="474"/>
      <c r="U961" s="474"/>
      <c r="V961" s="474"/>
      <c r="W961" s="474"/>
      <c r="X961" s="474"/>
      <c r="Y961" s="474"/>
      <c r="Z961" s="474"/>
    </row>
    <row r="962" ht="12.0" customHeight="1">
      <c r="A962" s="480"/>
      <c r="B962" s="485"/>
      <c r="C962" s="525"/>
      <c r="D962" s="525"/>
      <c r="E962" s="526"/>
      <c r="F962" s="526"/>
      <c r="G962" s="474"/>
      <c r="H962" s="474"/>
      <c r="I962" s="474"/>
      <c r="J962" s="474"/>
      <c r="K962" s="474"/>
      <c r="L962" s="474"/>
      <c r="M962" s="474"/>
      <c r="N962" s="474"/>
      <c r="O962" s="474"/>
      <c r="P962" s="474"/>
      <c r="Q962" s="474"/>
      <c r="R962" s="474"/>
      <c r="S962" s="474"/>
      <c r="T962" s="474"/>
      <c r="U962" s="474"/>
      <c r="V962" s="474"/>
      <c r="W962" s="474"/>
      <c r="X962" s="474"/>
      <c r="Y962" s="474"/>
      <c r="Z962" s="474"/>
    </row>
    <row r="963" ht="12.0" customHeight="1">
      <c r="A963" s="480"/>
      <c r="B963" s="485"/>
      <c r="C963" s="525"/>
      <c r="D963" s="525"/>
      <c r="E963" s="526"/>
      <c r="F963" s="526"/>
      <c r="G963" s="474"/>
      <c r="H963" s="474"/>
      <c r="I963" s="474"/>
      <c r="J963" s="474"/>
      <c r="K963" s="474"/>
      <c r="L963" s="474"/>
      <c r="M963" s="474"/>
      <c r="N963" s="474"/>
      <c r="O963" s="474"/>
      <c r="P963" s="474"/>
      <c r="Q963" s="474"/>
      <c r="R963" s="474"/>
      <c r="S963" s="474"/>
      <c r="T963" s="474"/>
      <c r="U963" s="474"/>
      <c r="V963" s="474"/>
      <c r="W963" s="474"/>
      <c r="X963" s="474"/>
      <c r="Y963" s="474"/>
      <c r="Z963" s="474"/>
    </row>
    <row r="964" ht="12.0" customHeight="1">
      <c r="A964" s="480"/>
      <c r="B964" s="485"/>
      <c r="C964" s="525"/>
      <c r="D964" s="525"/>
      <c r="E964" s="526"/>
      <c r="F964" s="526"/>
      <c r="G964" s="474"/>
      <c r="H964" s="474"/>
      <c r="I964" s="474"/>
      <c r="J964" s="474"/>
      <c r="K964" s="474"/>
      <c r="L964" s="474"/>
      <c r="M964" s="474"/>
      <c r="N964" s="474"/>
      <c r="O964" s="474"/>
      <c r="P964" s="474"/>
      <c r="Q964" s="474"/>
      <c r="R964" s="474"/>
      <c r="S964" s="474"/>
      <c r="T964" s="474"/>
      <c r="U964" s="474"/>
      <c r="V964" s="474"/>
      <c r="W964" s="474"/>
      <c r="X964" s="474"/>
      <c r="Y964" s="474"/>
      <c r="Z964" s="474"/>
    </row>
    <row r="965" ht="12.0" customHeight="1">
      <c r="A965" s="480"/>
      <c r="B965" s="485"/>
      <c r="C965" s="525"/>
      <c r="D965" s="525"/>
      <c r="E965" s="526"/>
      <c r="F965" s="526"/>
      <c r="G965" s="474"/>
      <c r="H965" s="474"/>
      <c r="I965" s="474"/>
      <c r="J965" s="474"/>
      <c r="K965" s="474"/>
      <c r="L965" s="474"/>
      <c r="M965" s="474"/>
      <c r="N965" s="474"/>
      <c r="O965" s="474"/>
      <c r="P965" s="474"/>
      <c r="Q965" s="474"/>
      <c r="R965" s="474"/>
      <c r="S965" s="474"/>
      <c r="T965" s="474"/>
      <c r="U965" s="474"/>
      <c r="V965" s="474"/>
      <c r="W965" s="474"/>
      <c r="X965" s="474"/>
      <c r="Y965" s="474"/>
      <c r="Z965" s="474"/>
    </row>
    <row r="966" ht="12.0" customHeight="1">
      <c r="A966" s="480"/>
      <c r="B966" s="485"/>
      <c r="C966" s="525"/>
      <c r="D966" s="525"/>
      <c r="E966" s="526"/>
      <c r="F966" s="526"/>
      <c r="G966" s="474"/>
      <c r="H966" s="474"/>
      <c r="I966" s="474"/>
      <c r="J966" s="474"/>
      <c r="K966" s="474"/>
      <c r="L966" s="474"/>
      <c r="M966" s="474"/>
      <c r="N966" s="474"/>
      <c r="O966" s="474"/>
      <c r="P966" s="474"/>
      <c r="Q966" s="474"/>
      <c r="R966" s="474"/>
      <c r="S966" s="474"/>
      <c r="T966" s="474"/>
      <c r="U966" s="474"/>
      <c r="V966" s="474"/>
      <c r="W966" s="474"/>
      <c r="X966" s="474"/>
      <c r="Y966" s="474"/>
      <c r="Z966" s="474"/>
    </row>
    <row r="967" ht="12.0" customHeight="1">
      <c r="A967" s="480"/>
      <c r="B967" s="485"/>
      <c r="C967" s="525"/>
      <c r="D967" s="525"/>
      <c r="E967" s="526"/>
      <c r="F967" s="526"/>
      <c r="G967" s="474"/>
      <c r="H967" s="474"/>
      <c r="I967" s="474"/>
      <c r="J967" s="474"/>
      <c r="K967" s="474"/>
      <c r="L967" s="474"/>
      <c r="M967" s="474"/>
      <c r="N967" s="474"/>
      <c r="O967" s="474"/>
      <c r="P967" s="474"/>
      <c r="Q967" s="474"/>
      <c r="R967" s="474"/>
      <c r="S967" s="474"/>
      <c r="T967" s="474"/>
      <c r="U967" s="474"/>
      <c r="V967" s="474"/>
      <c r="W967" s="474"/>
      <c r="X967" s="474"/>
      <c r="Y967" s="474"/>
      <c r="Z967" s="474"/>
    </row>
    <row r="968" ht="12.0" customHeight="1">
      <c r="A968" s="480"/>
      <c r="B968" s="485"/>
      <c r="C968" s="525"/>
      <c r="D968" s="525"/>
      <c r="E968" s="526"/>
      <c r="F968" s="526"/>
      <c r="G968" s="474"/>
      <c r="H968" s="474"/>
      <c r="I968" s="474"/>
      <c r="J968" s="474"/>
      <c r="K968" s="474"/>
      <c r="L968" s="474"/>
      <c r="M968" s="474"/>
      <c r="N968" s="474"/>
      <c r="O968" s="474"/>
      <c r="P968" s="474"/>
      <c r="Q968" s="474"/>
      <c r="R968" s="474"/>
      <c r="S968" s="474"/>
      <c r="T968" s="474"/>
      <c r="U968" s="474"/>
      <c r="V968" s="474"/>
      <c r="W968" s="474"/>
      <c r="X968" s="474"/>
      <c r="Y968" s="474"/>
      <c r="Z968" s="474"/>
    </row>
    <row r="969" ht="12.0" customHeight="1">
      <c r="A969" s="480"/>
      <c r="B969" s="485"/>
      <c r="C969" s="525"/>
      <c r="D969" s="525"/>
      <c r="E969" s="526"/>
      <c r="F969" s="526"/>
      <c r="G969" s="474"/>
      <c r="H969" s="474"/>
      <c r="I969" s="474"/>
      <c r="J969" s="474"/>
      <c r="K969" s="474"/>
      <c r="L969" s="474"/>
      <c r="M969" s="474"/>
      <c r="N969" s="474"/>
      <c r="O969" s="474"/>
      <c r="P969" s="474"/>
      <c r="Q969" s="474"/>
      <c r="R969" s="474"/>
      <c r="S969" s="474"/>
      <c r="T969" s="474"/>
      <c r="U969" s="474"/>
      <c r="V969" s="474"/>
      <c r="W969" s="474"/>
      <c r="X969" s="474"/>
      <c r="Y969" s="474"/>
      <c r="Z969" s="474"/>
    </row>
    <row r="970" ht="12.0" customHeight="1">
      <c r="A970" s="480"/>
      <c r="B970" s="485"/>
      <c r="C970" s="525"/>
      <c r="D970" s="525"/>
      <c r="E970" s="526"/>
      <c r="F970" s="526"/>
      <c r="G970" s="474"/>
      <c r="H970" s="474"/>
      <c r="I970" s="474"/>
      <c r="J970" s="474"/>
      <c r="K970" s="474"/>
      <c r="L970" s="474"/>
      <c r="M970" s="474"/>
      <c r="N970" s="474"/>
      <c r="O970" s="474"/>
      <c r="P970" s="474"/>
      <c r="Q970" s="474"/>
      <c r="R970" s="474"/>
      <c r="S970" s="474"/>
      <c r="T970" s="474"/>
      <c r="U970" s="474"/>
      <c r="V970" s="474"/>
      <c r="W970" s="474"/>
      <c r="X970" s="474"/>
      <c r="Y970" s="474"/>
      <c r="Z970" s="474"/>
    </row>
    <row r="971" ht="12.0" customHeight="1">
      <c r="A971" s="480"/>
      <c r="B971" s="485"/>
      <c r="C971" s="525"/>
      <c r="D971" s="525"/>
      <c r="E971" s="526"/>
      <c r="F971" s="526"/>
      <c r="G971" s="474"/>
      <c r="H971" s="474"/>
      <c r="I971" s="474"/>
      <c r="J971" s="474"/>
      <c r="K971" s="474"/>
      <c r="L971" s="474"/>
      <c r="M971" s="474"/>
      <c r="N971" s="474"/>
      <c r="O971" s="474"/>
      <c r="P971" s="474"/>
      <c r="Q971" s="474"/>
      <c r="R971" s="474"/>
      <c r="S971" s="474"/>
      <c r="T971" s="474"/>
      <c r="U971" s="474"/>
      <c r="V971" s="474"/>
      <c r="W971" s="474"/>
      <c r="X971" s="474"/>
      <c r="Y971" s="474"/>
      <c r="Z971" s="474"/>
    </row>
    <row r="972" ht="12.0" customHeight="1">
      <c r="A972" s="480"/>
      <c r="B972" s="485"/>
      <c r="C972" s="525"/>
      <c r="D972" s="525"/>
      <c r="E972" s="526"/>
      <c r="F972" s="526"/>
      <c r="G972" s="474"/>
      <c r="H972" s="474"/>
      <c r="I972" s="474"/>
      <c r="J972" s="474"/>
      <c r="K972" s="474"/>
      <c r="L972" s="474"/>
      <c r="M972" s="474"/>
      <c r="N972" s="474"/>
      <c r="O972" s="474"/>
      <c r="P972" s="474"/>
      <c r="Q972" s="474"/>
      <c r="R972" s="474"/>
      <c r="S972" s="474"/>
      <c r="T972" s="474"/>
      <c r="U972" s="474"/>
      <c r="V972" s="474"/>
      <c r="W972" s="474"/>
      <c r="X972" s="474"/>
      <c r="Y972" s="474"/>
      <c r="Z972" s="474"/>
    </row>
    <row r="973" ht="12.0" customHeight="1">
      <c r="A973" s="480"/>
      <c r="B973" s="485"/>
      <c r="C973" s="525"/>
      <c r="D973" s="525"/>
      <c r="E973" s="526"/>
      <c r="F973" s="526"/>
      <c r="G973" s="474"/>
      <c r="H973" s="474"/>
      <c r="I973" s="474"/>
      <c r="J973" s="474"/>
      <c r="K973" s="474"/>
      <c r="L973" s="474"/>
      <c r="M973" s="474"/>
      <c r="N973" s="474"/>
      <c r="O973" s="474"/>
      <c r="P973" s="474"/>
      <c r="Q973" s="474"/>
      <c r="R973" s="474"/>
      <c r="S973" s="474"/>
      <c r="T973" s="474"/>
      <c r="U973" s="474"/>
      <c r="V973" s="474"/>
      <c r="W973" s="474"/>
      <c r="X973" s="474"/>
      <c r="Y973" s="474"/>
      <c r="Z973" s="474"/>
    </row>
    <row r="974" ht="12.0" customHeight="1">
      <c r="A974" s="480"/>
      <c r="B974" s="485"/>
      <c r="C974" s="525"/>
      <c r="D974" s="525"/>
      <c r="E974" s="526"/>
      <c r="F974" s="526"/>
      <c r="G974" s="474"/>
      <c r="H974" s="474"/>
      <c r="I974" s="474"/>
      <c r="J974" s="474"/>
      <c r="K974" s="474"/>
      <c r="L974" s="474"/>
      <c r="M974" s="474"/>
      <c r="N974" s="474"/>
      <c r="O974" s="474"/>
      <c r="P974" s="474"/>
      <c r="Q974" s="474"/>
      <c r="R974" s="474"/>
      <c r="S974" s="474"/>
      <c r="T974" s="474"/>
      <c r="U974" s="474"/>
      <c r="V974" s="474"/>
      <c r="W974" s="474"/>
      <c r="X974" s="474"/>
      <c r="Y974" s="474"/>
      <c r="Z974" s="474"/>
    </row>
    <row r="975" ht="12.0" customHeight="1">
      <c r="A975" s="480"/>
      <c r="B975" s="485"/>
      <c r="C975" s="525"/>
      <c r="D975" s="525"/>
      <c r="E975" s="526"/>
      <c r="F975" s="526"/>
      <c r="G975" s="474"/>
      <c r="H975" s="474"/>
      <c r="I975" s="474"/>
      <c r="J975" s="474"/>
      <c r="K975" s="474"/>
      <c r="L975" s="474"/>
      <c r="M975" s="474"/>
      <c r="N975" s="474"/>
      <c r="O975" s="474"/>
      <c r="P975" s="474"/>
      <c r="Q975" s="474"/>
      <c r="R975" s="474"/>
      <c r="S975" s="474"/>
      <c r="T975" s="474"/>
      <c r="U975" s="474"/>
      <c r="V975" s="474"/>
      <c r="W975" s="474"/>
      <c r="X975" s="474"/>
      <c r="Y975" s="474"/>
      <c r="Z975" s="474"/>
    </row>
    <row r="976" ht="12.0" customHeight="1">
      <c r="A976" s="480"/>
      <c r="B976" s="485"/>
      <c r="C976" s="525"/>
      <c r="D976" s="525"/>
      <c r="E976" s="526"/>
      <c r="F976" s="526"/>
      <c r="G976" s="474"/>
      <c r="H976" s="474"/>
      <c r="I976" s="474"/>
      <c r="J976" s="474"/>
      <c r="K976" s="474"/>
      <c r="L976" s="474"/>
      <c r="M976" s="474"/>
      <c r="N976" s="474"/>
      <c r="O976" s="474"/>
      <c r="P976" s="474"/>
      <c r="Q976" s="474"/>
      <c r="R976" s="474"/>
      <c r="S976" s="474"/>
      <c r="T976" s="474"/>
      <c r="U976" s="474"/>
      <c r="V976" s="474"/>
      <c r="W976" s="474"/>
      <c r="X976" s="474"/>
      <c r="Y976" s="474"/>
      <c r="Z976" s="474"/>
    </row>
    <row r="977" ht="12.0" customHeight="1">
      <c r="A977" s="480"/>
      <c r="B977" s="485"/>
      <c r="C977" s="525"/>
      <c r="D977" s="525"/>
      <c r="E977" s="526"/>
      <c r="F977" s="526"/>
      <c r="G977" s="474"/>
      <c r="H977" s="474"/>
      <c r="I977" s="474"/>
      <c r="J977" s="474"/>
      <c r="K977" s="474"/>
      <c r="L977" s="474"/>
      <c r="M977" s="474"/>
      <c r="N977" s="474"/>
      <c r="O977" s="474"/>
      <c r="P977" s="474"/>
      <c r="Q977" s="474"/>
      <c r="R977" s="474"/>
      <c r="S977" s="474"/>
      <c r="T977" s="474"/>
      <c r="U977" s="474"/>
      <c r="V977" s="474"/>
      <c r="W977" s="474"/>
      <c r="X977" s="474"/>
      <c r="Y977" s="474"/>
      <c r="Z977" s="474"/>
    </row>
    <row r="978" ht="12.0" customHeight="1">
      <c r="A978" s="480"/>
      <c r="B978" s="485"/>
      <c r="C978" s="525"/>
      <c r="D978" s="525"/>
      <c r="E978" s="526"/>
      <c r="F978" s="526"/>
      <c r="G978" s="474"/>
      <c r="H978" s="474"/>
      <c r="I978" s="474"/>
      <c r="J978" s="474"/>
      <c r="K978" s="474"/>
      <c r="L978" s="474"/>
      <c r="M978" s="474"/>
      <c r="N978" s="474"/>
      <c r="O978" s="474"/>
      <c r="P978" s="474"/>
      <c r="Q978" s="474"/>
      <c r="R978" s="474"/>
      <c r="S978" s="474"/>
      <c r="T978" s="474"/>
      <c r="U978" s="474"/>
      <c r="V978" s="474"/>
      <c r="W978" s="474"/>
      <c r="X978" s="474"/>
      <c r="Y978" s="474"/>
      <c r="Z978" s="474"/>
    </row>
    <row r="979" ht="12.0" customHeight="1">
      <c r="A979" s="480"/>
      <c r="B979" s="485"/>
      <c r="C979" s="525"/>
      <c r="D979" s="525"/>
      <c r="E979" s="526"/>
      <c r="F979" s="526"/>
      <c r="G979" s="474"/>
      <c r="H979" s="474"/>
      <c r="I979" s="474"/>
      <c r="J979" s="474"/>
      <c r="K979" s="474"/>
      <c r="L979" s="474"/>
      <c r="M979" s="474"/>
      <c r="N979" s="474"/>
      <c r="O979" s="474"/>
      <c r="P979" s="474"/>
      <c r="Q979" s="474"/>
      <c r="R979" s="474"/>
      <c r="S979" s="474"/>
      <c r="T979" s="474"/>
      <c r="U979" s="474"/>
      <c r="V979" s="474"/>
      <c r="W979" s="474"/>
      <c r="X979" s="474"/>
      <c r="Y979" s="474"/>
      <c r="Z979" s="474"/>
    </row>
    <row r="980" ht="12.0" customHeight="1">
      <c r="A980" s="480"/>
      <c r="B980" s="485"/>
      <c r="C980" s="525"/>
      <c r="D980" s="525"/>
      <c r="E980" s="526"/>
      <c r="F980" s="526"/>
      <c r="G980" s="474"/>
      <c r="H980" s="474"/>
      <c r="I980" s="474"/>
      <c r="J980" s="474"/>
      <c r="K980" s="474"/>
      <c r="L980" s="474"/>
      <c r="M980" s="474"/>
      <c r="N980" s="474"/>
      <c r="O980" s="474"/>
      <c r="P980" s="474"/>
      <c r="Q980" s="474"/>
      <c r="R980" s="474"/>
      <c r="S980" s="474"/>
      <c r="T980" s="474"/>
      <c r="U980" s="474"/>
      <c r="V980" s="474"/>
      <c r="W980" s="474"/>
      <c r="X980" s="474"/>
      <c r="Y980" s="474"/>
      <c r="Z980" s="474"/>
    </row>
    <row r="981" ht="12.0" customHeight="1">
      <c r="A981" s="480"/>
      <c r="B981" s="485"/>
      <c r="C981" s="525"/>
      <c r="D981" s="525"/>
      <c r="E981" s="526"/>
      <c r="F981" s="526"/>
      <c r="G981" s="474"/>
      <c r="H981" s="474"/>
      <c r="I981" s="474"/>
      <c r="J981" s="474"/>
      <c r="K981" s="474"/>
      <c r="L981" s="474"/>
      <c r="M981" s="474"/>
      <c r="N981" s="474"/>
      <c r="O981" s="474"/>
      <c r="P981" s="474"/>
      <c r="Q981" s="474"/>
      <c r="R981" s="474"/>
      <c r="S981" s="474"/>
      <c r="T981" s="474"/>
      <c r="U981" s="474"/>
      <c r="V981" s="474"/>
      <c r="W981" s="474"/>
      <c r="X981" s="474"/>
      <c r="Y981" s="474"/>
      <c r="Z981" s="474"/>
    </row>
    <row r="982" ht="12.0" customHeight="1">
      <c r="A982" s="480"/>
      <c r="B982" s="485"/>
      <c r="C982" s="525"/>
      <c r="D982" s="525"/>
      <c r="E982" s="526"/>
      <c r="F982" s="526"/>
      <c r="G982" s="474"/>
      <c r="H982" s="474"/>
      <c r="I982" s="474"/>
      <c r="J982" s="474"/>
      <c r="K982" s="474"/>
      <c r="L982" s="474"/>
      <c r="M982" s="474"/>
      <c r="N982" s="474"/>
      <c r="O982" s="474"/>
      <c r="P982" s="474"/>
      <c r="Q982" s="474"/>
      <c r="R982" s="474"/>
      <c r="S982" s="474"/>
      <c r="T982" s="474"/>
      <c r="U982" s="474"/>
      <c r="V982" s="474"/>
      <c r="W982" s="474"/>
      <c r="X982" s="474"/>
      <c r="Y982" s="474"/>
      <c r="Z982" s="474"/>
    </row>
    <row r="983" ht="12.0" customHeight="1">
      <c r="A983" s="480"/>
      <c r="B983" s="485"/>
      <c r="C983" s="525"/>
      <c r="D983" s="525"/>
      <c r="E983" s="526"/>
      <c r="F983" s="526"/>
      <c r="G983" s="474"/>
      <c r="H983" s="474"/>
      <c r="I983" s="474"/>
      <c r="J983" s="474"/>
      <c r="K983" s="474"/>
      <c r="L983" s="474"/>
      <c r="M983" s="474"/>
      <c r="N983" s="474"/>
      <c r="O983" s="474"/>
      <c r="P983" s="474"/>
      <c r="Q983" s="474"/>
      <c r="R983" s="474"/>
      <c r="S983" s="474"/>
      <c r="T983" s="474"/>
      <c r="U983" s="474"/>
      <c r="V983" s="474"/>
      <c r="W983" s="474"/>
      <c r="X983" s="474"/>
      <c r="Y983" s="474"/>
      <c r="Z983" s="474"/>
    </row>
    <row r="984" ht="12.0" customHeight="1">
      <c r="A984" s="480"/>
      <c r="B984" s="485"/>
      <c r="C984" s="525"/>
      <c r="D984" s="525"/>
      <c r="E984" s="526"/>
      <c r="F984" s="526"/>
      <c r="G984" s="474"/>
      <c r="H984" s="474"/>
      <c r="I984" s="474"/>
      <c r="J984" s="474"/>
      <c r="K984" s="474"/>
      <c r="L984" s="474"/>
      <c r="M984" s="474"/>
      <c r="N984" s="474"/>
      <c r="O984" s="474"/>
      <c r="P984" s="474"/>
      <c r="Q984" s="474"/>
      <c r="R984" s="474"/>
      <c r="S984" s="474"/>
      <c r="T984" s="474"/>
      <c r="U984" s="474"/>
      <c r="V984" s="474"/>
      <c r="W984" s="474"/>
      <c r="X984" s="474"/>
      <c r="Y984" s="474"/>
      <c r="Z984" s="474"/>
    </row>
    <row r="985" ht="12.0" customHeight="1">
      <c r="A985" s="480"/>
      <c r="B985" s="485"/>
      <c r="C985" s="525"/>
      <c r="D985" s="525"/>
      <c r="E985" s="526"/>
      <c r="F985" s="526"/>
      <c r="G985" s="474"/>
      <c r="H985" s="474"/>
      <c r="I985" s="474"/>
      <c r="J985" s="474"/>
      <c r="K985" s="474"/>
      <c r="L985" s="474"/>
      <c r="M985" s="474"/>
      <c r="N985" s="474"/>
      <c r="O985" s="474"/>
      <c r="P985" s="474"/>
      <c r="Q985" s="474"/>
      <c r="R985" s="474"/>
      <c r="S985" s="474"/>
      <c r="T985" s="474"/>
      <c r="U985" s="474"/>
      <c r="V985" s="474"/>
      <c r="W985" s="474"/>
      <c r="X985" s="474"/>
      <c r="Y985" s="474"/>
      <c r="Z985" s="474"/>
    </row>
    <row r="986" ht="12.0" customHeight="1">
      <c r="A986" s="480"/>
      <c r="B986" s="485"/>
      <c r="C986" s="525"/>
      <c r="D986" s="525"/>
      <c r="E986" s="526"/>
      <c r="F986" s="526"/>
      <c r="G986" s="474"/>
      <c r="H986" s="474"/>
      <c r="I986" s="474"/>
      <c r="J986" s="474"/>
      <c r="K986" s="474"/>
      <c r="L986" s="474"/>
      <c r="M986" s="474"/>
      <c r="N986" s="474"/>
      <c r="O986" s="474"/>
      <c r="P986" s="474"/>
      <c r="Q986" s="474"/>
      <c r="R986" s="474"/>
      <c r="S986" s="474"/>
      <c r="T986" s="474"/>
      <c r="U986" s="474"/>
      <c r="V986" s="474"/>
      <c r="W986" s="474"/>
      <c r="X986" s="474"/>
      <c r="Y986" s="474"/>
      <c r="Z986" s="474"/>
    </row>
    <row r="987" ht="12.0" customHeight="1">
      <c r="A987" s="480"/>
      <c r="B987" s="485"/>
      <c r="C987" s="525"/>
      <c r="D987" s="525"/>
      <c r="E987" s="526"/>
      <c r="F987" s="526"/>
      <c r="G987" s="474"/>
      <c r="H987" s="474"/>
      <c r="I987" s="474"/>
      <c r="J987" s="474"/>
      <c r="K987" s="474"/>
      <c r="L987" s="474"/>
      <c r="M987" s="474"/>
      <c r="N987" s="474"/>
      <c r="O987" s="474"/>
      <c r="P987" s="474"/>
      <c r="Q987" s="474"/>
      <c r="R987" s="474"/>
      <c r="S987" s="474"/>
      <c r="T987" s="474"/>
      <c r="U987" s="474"/>
      <c r="V987" s="474"/>
      <c r="W987" s="474"/>
      <c r="X987" s="474"/>
      <c r="Y987" s="474"/>
      <c r="Z987" s="474"/>
    </row>
    <row r="988" ht="12.0" customHeight="1">
      <c r="A988" s="480"/>
      <c r="B988" s="485"/>
      <c r="C988" s="525"/>
      <c r="D988" s="525"/>
      <c r="E988" s="526"/>
      <c r="F988" s="526"/>
      <c r="G988" s="474"/>
      <c r="H988" s="474"/>
      <c r="I988" s="474"/>
      <c r="J988" s="474"/>
      <c r="K988" s="474"/>
      <c r="L988" s="474"/>
      <c r="M988" s="474"/>
      <c r="N988" s="474"/>
      <c r="O988" s="474"/>
      <c r="P988" s="474"/>
      <c r="Q988" s="474"/>
      <c r="R988" s="474"/>
      <c r="S988" s="474"/>
      <c r="T988" s="474"/>
      <c r="U988" s="474"/>
      <c r="V988" s="474"/>
      <c r="W988" s="474"/>
      <c r="X988" s="474"/>
      <c r="Y988" s="474"/>
      <c r="Z988" s="474"/>
    </row>
    <row r="989" ht="12.0" customHeight="1">
      <c r="A989" s="480"/>
      <c r="B989" s="485"/>
      <c r="C989" s="525"/>
      <c r="D989" s="525"/>
      <c r="E989" s="526"/>
      <c r="F989" s="526"/>
      <c r="G989" s="474"/>
      <c r="H989" s="474"/>
      <c r="I989" s="474"/>
      <c r="J989" s="474"/>
      <c r="K989" s="474"/>
      <c r="L989" s="474"/>
      <c r="M989" s="474"/>
      <c r="N989" s="474"/>
      <c r="O989" s="474"/>
      <c r="P989" s="474"/>
      <c r="Q989" s="474"/>
      <c r="R989" s="474"/>
      <c r="S989" s="474"/>
      <c r="T989" s="474"/>
      <c r="U989" s="474"/>
      <c r="V989" s="474"/>
      <c r="W989" s="474"/>
      <c r="X989" s="474"/>
      <c r="Y989" s="474"/>
      <c r="Z989" s="474"/>
    </row>
    <row r="990" ht="12.0" customHeight="1">
      <c r="A990" s="480"/>
      <c r="B990" s="485"/>
      <c r="C990" s="525"/>
      <c r="D990" s="525"/>
      <c r="E990" s="526"/>
      <c r="F990" s="526"/>
      <c r="G990" s="474"/>
      <c r="H990" s="474"/>
      <c r="I990" s="474"/>
      <c r="J990" s="474"/>
      <c r="K990" s="474"/>
      <c r="L990" s="474"/>
      <c r="M990" s="474"/>
      <c r="N990" s="474"/>
      <c r="O990" s="474"/>
      <c r="P990" s="474"/>
      <c r="Q990" s="474"/>
      <c r="R990" s="474"/>
      <c r="S990" s="474"/>
      <c r="T990" s="474"/>
      <c r="U990" s="474"/>
      <c r="V990" s="474"/>
      <c r="W990" s="474"/>
      <c r="X990" s="474"/>
      <c r="Y990" s="474"/>
      <c r="Z990" s="474"/>
    </row>
    <row r="991" ht="12.0" customHeight="1">
      <c r="A991" s="480"/>
      <c r="B991" s="485"/>
      <c r="C991" s="525"/>
      <c r="D991" s="525"/>
      <c r="E991" s="526"/>
      <c r="F991" s="526"/>
      <c r="G991" s="474"/>
      <c r="H991" s="474"/>
      <c r="I991" s="474"/>
      <c r="J991" s="474"/>
      <c r="K991" s="474"/>
      <c r="L991" s="474"/>
      <c r="M991" s="474"/>
      <c r="N991" s="474"/>
      <c r="O991" s="474"/>
      <c r="P991" s="474"/>
      <c r="Q991" s="474"/>
      <c r="R991" s="474"/>
      <c r="S991" s="474"/>
      <c r="T991" s="474"/>
      <c r="U991" s="474"/>
      <c r="V991" s="474"/>
      <c r="W991" s="474"/>
      <c r="X991" s="474"/>
      <c r="Y991" s="474"/>
      <c r="Z991" s="474"/>
    </row>
    <row r="992" ht="12.0" customHeight="1">
      <c r="A992" s="480"/>
      <c r="B992" s="485"/>
      <c r="C992" s="525"/>
      <c r="D992" s="525"/>
      <c r="E992" s="526"/>
      <c r="F992" s="526"/>
      <c r="G992" s="474"/>
      <c r="H992" s="474"/>
      <c r="I992" s="474"/>
      <c r="J992" s="474"/>
      <c r="K992" s="474"/>
      <c r="L992" s="474"/>
      <c r="M992" s="474"/>
      <c r="N992" s="474"/>
      <c r="O992" s="474"/>
      <c r="P992" s="474"/>
      <c r="Q992" s="474"/>
      <c r="R992" s="474"/>
      <c r="S992" s="474"/>
      <c r="T992" s="474"/>
      <c r="U992" s="474"/>
      <c r="V992" s="474"/>
      <c r="W992" s="474"/>
      <c r="X992" s="474"/>
      <c r="Y992" s="474"/>
      <c r="Z992" s="474"/>
    </row>
    <row r="993" ht="12.0" customHeight="1">
      <c r="A993" s="480"/>
      <c r="B993" s="485"/>
      <c r="C993" s="525"/>
      <c r="D993" s="525"/>
      <c r="E993" s="526"/>
      <c r="F993" s="526"/>
      <c r="G993" s="474"/>
      <c r="H993" s="474"/>
      <c r="I993" s="474"/>
      <c r="J993" s="474"/>
      <c r="K993" s="474"/>
      <c r="L993" s="474"/>
      <c r="M993" s="474"/>
      <c r="N993" s="474"/>
      <c r="O993" s="474"/>
      <c r="P993" s="474"/>
      <c r="Q993" s="474"/>
      <c r="R993" s="474"/>
      <c r="S993" s="474"/>
      <c r="T993" s="474"/>
      <c r="U993" s="474"/>
      <c r="V993" s="474"/>
      <c r="W993" s="474"/>
      <c r="X993" s="474"/>
      <c r="Y993" s="474"/>
      <c r="Z993" s="474"/>
    </row>
    <row r="994" ht="12.0" customHeight="1">
      <c r="A994" s="480"/>
      <c r="B994" s="485"/>
      <c r="C994" s="525"/>
      <c r="D994" s="525"/>
      <c r="E994" s="526"/>
      <c r="F994" s="526"/>
      <c r="G994" s="474"/>
      <c r="H994" s="474"/>
      <c r="I994" s="474"/>
      <c r="J994" s="474"/>
      <c r="K994" s="474"/>
      <c r="L994" s="474"/>
      <c r="M994" s="474"/>
      <c r="N994" s="474"/>
      <c r="O994" s="474"/>
      <c r="P994" s="474"/>
      <c r="Q994" s="474"/>
      <c r="R994" s="474"/>
      <c r="S994" s="474"/>
      <c r="T994" s="474"/>
      <c r="U994" s="474"/>
      <c r="V994" s="474"/>
      <c r="W994" s="474"/>
      <c r="X994" s="474"/>
      <c r="Y994" s="474"/>
      <c r="Z994" s="474"/>
    </row>
    <row r="995" ht="12.0" customHeight="1">
      <c r="A995" s="480"/>
      <c r="B995" s="485"/>
      <c r="C995" s="525"/>
      <c r="D995" s="525"/>
      <c r="E995" s="526"/>
      <c r="F995" s="526"/>
      <c r="G995" s="474"/>
      <c r="H995" s="474"/>
      <c r="I995" s="474"/>
      <c r="J995" s="474"/>
      <c r="K995" s="474"/>
      <c r="L995" s="474"/>
      <c r="M995" s="474"/>
      <c r="N995" s="474"/>
      <c r="O995" s="474"/>
      <c r="P995" s="474"/>
      <c r="Q995" s="474"/>
      <c r="R995" s="474"/>
      <c r="S995" s="474"/>
      <c r="T995" s="474"/>
      <c r="U995" s="474"/>
      <c r="V995" s="474"/>
      <c r="W995" s="474"/>
      <c r="X995" s="474"/>
      <c r="Y995" s="474"/>
      <c r="Z995" s="474"/>
    </row>
    <row r="996" ht="12.0" customHeight="1">
      <c r="A996" s="480"/>
      <c r="B996" s="485"/>
      <c r="C996" s="525"/>
      <c r="D996" s="525"/>
      <c r="E996" s="526"/>
      <c r="F996" s="526"/>
      <c r="G996" s="474"/>
      <c r="H996" s="474"/>
      <c r="I996" s="474"/>
      <c r="J996" s="474"/>
      <c r="K996" s="474"/>
      <c r="L996" s="474"/>
      <c r="M996" s="474"/>
      <c r="N996" s="474"/>
      <c r="O996" s="474"/>
      <c r="P996" s="474"/>
      <c r="Q996" s="474"/>
      <c r="R996" s="474"/>
      <c r="S996" s="474"/>
      <c r="T996" s="474"/>
      <c r="U996" s="474"/>
      <c r="V996" s="474"/>
      <c r="W996" s="474"/>
      <c r="X996" s="474"/>
      <c r="Y996" s="474"/>
      <c r="Z996" s="474"/>
    </row>
    <row r="997" ht="12.0" customHeight="1">
      <c r="A997" s="480"/>
      <c r="B997" s="485"/>
      <c r="C997" s="525"/>
      <c r="D997" s="525"/>
      <c r="E997" s="526"/>
      <c r="F997" s="526"/>
      <c r="G997" s="474"/>
      <c r="H997" s="474"/>
      <c r="I997" s="474"/>
      <c r="J997" s="474"/>
      <c r="K997" s="474"/>
      <c r="L997" s="474"/>
      <c r="M997" s="474"/>
      <c r="N997" s="474"/>
      <c r="O997" s="474"/>
      <c r="P997" s="474"/>
      <c r="Q997" s="474"/>
      <c r="R997" s="474"/>
      <c r="S997" s="474"/>
      <c r="T997" s="474"/>
      <c r="U997" s="474"/>
      <c r="V997" s="474"/>
      <c r="W997" s="474"/>
      <c r="X997" s="474"/>
      <c r="Y997" s="474"/>
      <c r="Z997" s="474"/>
    </row>
    <row r="998" ht="12.0" customHeight="1">
      <c r="A998" s="480"/>
      <c r="B998" s="485"/>
      <c r="C998" s="525"/>
      <c r="D998" s="525"/>
      <c r="E998" s="526"/>
      <c r="F998" s="526"/>
      <c r="G998" s="474"/>
      <c r="H998" s="474"/>
      <c r="I998" s="474"/>
      <c r="J998" s="474"/>
      <c r="K998" s="474"/>
      <c r="L998" s="474"/>
      <c r="M998" s="474"/>
      <c r="N998" s="474"/>
      <c r="O998" s="474"/>
      <c r="P998" s="474"/>
      <c r="Q998" s="474"/>
      <c r="R998" s="474"/>
      <c r="S998" s="474"/>
      <c r="T998" s="474"/>
      <c r="U998" s="474"/>
      <c r="V998" s="474"/>
      <c r="W998" s="474"/>
      <c r="X998" s="474"/>
      <c r="Y998" s="474"/>
      <c r="Z998" s="474"/>
    </row>
    <row r="999" ht="12.0" customHeight="1">
      <c r="A999" s="480"/>
      <c r="B999" s="485"/>
      <c r="C999" s="525"/>
      <c r="D999" s="525"/>
      <c r="E999" s="526"/>
      <c r="F999" s="526"/>
      <c r="G999" s="474"/>
      <c r="H999" s="474"/>
      <c r="I999" s="474"/>
      <c r="J999" s="474"/>
      <c r="K999" s="474"/>
      <c r="L999" s="474"/>
      <c r="M999" s="474"/>
      <c r="N999" s="474"/>
      <c r="O999" s="474"/>
      <c r="P999" s="474"/>
      <c r="Q999" s="474"/>
      <c r="R999" s="474"/>
      <c r="S999" s="474"/>
      <c r="T999" s="474"/>
      <c r="U999" s="474"/>
      <c r="V999" s="474"/>
      <c r="W999" s="474"/>
      <c r="X999" s="474"/>
      <c r="Y999" s="474"/>
      <c r="Z999" s="474"/>
    </row>
    <row r="1000" ht="12.0" customHeight="1">
      <c r="A1000" s="480"/>
      <c r="B1000" s="485"/>
      <c r="C1000" s="525"/>
      <c r="D1000" s="525"/>
      <c r="E1000" s="526"/>
      <c r="F1000" s="526"/>
      <c r="G1000" s="474"/>
      <c r="H1000" s="474"/>
      <c r="I1000" s="474"/>
      <c r="J1000" s="474"/>
      <c r="K1000" s="474"/>
      <c r="L1000" s="474"/>
      <c r="M1000" s="474"/>
      <c r="N1000" s="474"/>
      <c r="O1000" s="474"/>
      <c r="P1000" s="474"/>
      <c r="Q1000" s="474"/>
      <c r="R1000" s="474"/>
      <c r="S1000" s="474"/>
      <c r="T1000" s="474"/>
      <c r="U1000" s="474"/>
      <c r="V1000" s="474"/>
      <c r="W1000" s="474"/>
      <c r="X1000" s="474"/>
      <c r="Y1000" s="474"/>
      <c r="Z1000" s="474"/>
    </row>
  </sheetData>
  <mergeCells count="6">
    <mergeCell ref="A1:F1"/>
    <mergeCell ref="A2:F2"/>
    <mergeCell ref="A3:F3"/>
    <mergeCell ref="A6:F6"/>
    <mergeCell ref="A130:F130"/>
    <mergeCell ref="A242:F242"/>
  </mergeCells>
  <printOptions/>
  <pageMargins bottom="0.5905511811023623" footer="0.0" header="0.0" left="0.35433070866141736" right="0.3937007874015748" top="0.2755905511811024"/>
  <pageSetup paperSize="9" orientation="portrait"/>
  <headerFooter>
    <oddFooter>&amp;LFichier : &amp;F_x000D_#000000 Data sensitivity - Restricted&amp;RPage : &amp;P/</oddFooter>
  </headerFooter>
  <rowBreaks count="1" manualBreakCount="1">
    <brk id="241" man="1"/>
  </rowBreaks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7.71"/>
    <col customWidth="1" min="2" max="2" width="45.71"/>
    <col customWidth="1" min="3" max="3" width="6.71"/>
    <col customWidth="1" min="4" max="12" width="11.43"/>
    <col customWidth="1" min="13" max="26" width="10.71"/>
  </cols>
  <sheetData>
    <row r="1" ht="15.0" customHeight="1">
      <c r="A1" s="546" t="s">
        <v>971</v>
      </c>
      <c r="B1" s="2"/>
      <c r="C1" s="2"/>
      <c r="D1" s="2"/>
      <c r="E1" s="2"/>
      <c r="F1" s="2"/>
      <c r="G1" s="2"/>
      <c r="H1" s="2"/>
      <c r="I1" s="2"/>
      <c r="J1" s="2"/>
      <c r="K1" s="2"/>
      <c r="L1" s="322"/>
      <c r="M1" s="408"/>
      <c r="N1" s="408"/>
      <c r="O1" s="408"/>
      <c r="P1" s="408"/>
      <c r="Q1" s="408"/>
      <c r="R1" s="408"/>
      <c r="S1" s="408"/>
      <c r="T1" s="408"/>
      <c r="U1" s="408"/>
      <c r="V1" s="408"/>
      <c r="W1" s="408"/>
      <c r="X1" s="408"/>
      <c r="Y1" s="408"/>
      <c r="Z1" s="408"/>
    </row>
    <row r="2" ht="12.0" customHeight="1">
      <c r="A2" s="547"/>
      <c r="L2" s="548"/>
      <c r="M2" s="408"/>
      <c r="N2" s="408"/>
      <c r="O2" s="408"/>
      <c r="P2" s="408"/>
      <c r="Q2" s="408"/>
      <c r="R2" s="408"/>
      <c r="S2" s="408"/>
      <c r="T2" s="408"/>
      <c r="U2" s="408"/>
      <c r="V2" s="408"/>
      <c r="W2" s="408"/>
      <c r="X2" s="408"/>
      <c r="Y2" s="408"/>
      <c r="Z2" s="408"/>
    </row>
    <row r="3" ht="12.75" customHeight="1">
      <c r="A3" s="549"/>
      <c r="B3" s="40"/>
      <c r="C3" s="40"/>
      <c r="D3" s="40"/>
      <c r="E3" s="40"/>
      <c r="F3" s="40"/>
      <c r="G3" s="40"/>
      <c r="H3" s="40"/>
      <c r="I3" s="40"/>
      <c r="J3" s="40"/>
      <c r="K3" s="40"/>
      <c r="L3" s="550"/>
      <c r="M3" s="408"/>
      <c r="N3" s="408"/>
      <c r="O3" s="408"/>
      <c r="P3" s="408"/>
      <c r="Q3" s="408"/>
      <c r="R3" s="408"/>
      <c r="S3" s="408"/>
      <c r="T3" s="408"/>
      <c r="U3" s="408"/>
      <c r="V3" s="408"/>
      <c r="W3" s="408"/>
      <c r="X3" s="408"/>
      <c r="Y3" s="408"/>
      <c r="Z3" s="408"/>
    </row>
    <row r="4" ht="14.25" customHeight="1">
      <c r="A4" s="551"/>
      <c r="B4" s="408"/>
      <c r="C4" s="552"/>
      <c r="D4" s="408"/>
      <c r="E4" s="408"/>
      <c r="F4" s="408"/>
      <c r="G4" s="408"/>
      <c r="H4" s="408"/>
      <c r="I4" s="408"/>
      <c r="J4" s="408"/>
      <c r="K4" s="408"/>
      <c r="L4" s="408"/>
      <c r="M4" s="408"/>
      <c r="N4" s="408"/>
      <c r="O4" s="408"/>
      <c r="P4" s="408"/>
      <c r="Q4" s="408"/>
      <c r="R4" s="408"/>
      <c r="S4" s="408"/>
      <c r="T4" s="408"/>
      <c r="U4" s="408"/>
      <c r="V4" s="408"/>
      <c r="W4" s="408"/>
      <c r="X4" s="408"/>
      <c r="Y4" s="408"/>
      <c r="Z4" s="408"/>
    </row>
    <row r="5" ht="14.25" customHeight="1">
      <c r="A5" s="553"/>
      <c r="B5" s="408"/>
      <c r="C5" s="552"/>
      <c r="D5" s="408"/>
      <c r="E5" s="408"/>
      <c r="F5" s="408"/>
      <c r="G5" s="408"/>
      <c r="H5" s="408"/>
      <c r="I5" s="408"/>
      <c r="J5" s="408"/>
      <c r="K5" s="408"/>
      <c r="L5" s="408"/>
      <c r="M5" s="408"/>
      <c r="N5" s="408"/>
      <c r="O5" s="408"/>
      <c r="P5" s="408"/>
      <c r="Q5" s="408"/>
      <c r="R5" s="408"/>
      <c r="S5" s="408"/>
      <c r="T5" s="408"/>
      <c r="U5" s="408"/>
      <c r="V5" s="408"/>
      <c r="W5" s="408"/>
      <c r="X5" s="408"/>
      <c r="Y5" s="408"/>
      <c r="Z5" s="408"/>
    </row>
    <row r="6" ht="14.25" customHeight="1">
      <c r="A6" s="408"/>
      <c r="B6" s="408"/>
      <c r="C6" s="408"/>
      <c r="D6" s="554" t="s">
        <v>972</v>
      </c>
      <c r="E6" s="462"/>
      <c r="F6" s="236"/>
      <c r="G6" s="555" t="s">
        <v>973</v>
      </c>
      <c r="H6" s="462"/>
      <c r="I6" s="236"/>
      <c r="J6" s="556" t="s">
        <v>974</v>
      </c>
      <c r="K6" s="462"/>
      <c r="L6" s="557"/>
      <c r="M6" s="408"/>
      <c r="N6" s="408"/>
      <c r="O6" s="408"/>
      <c r="P6" s="408"/>
      <c r="Q6" s="408"/>
      <c r="R6" s="408"/>
      <c r="S6" s="408"/>
      <c r="T6" s="408"/>
      <c r="U6" s="408"/>
      <c r="V6" s="408"/>
      <c r="W6" s="408"/>
      <c r="X6" s="408"/>
      <c r="Y6" s="408"/>
      <c r="Z6" s="408"/>
    </row>
    <row r="7" ht="30.0" customHeight="1">
      <c r="A7" s="558" t="s">
        <v>975</v>
      </c>
      <c r="B7" s="559" t="s">
        <v>976</v>
      </c>
      <c r="C7" s="559" t="s">
        <v>17</v>
      </c>
      <c r="D7" s="560" t="s">
        <v>977</v>
      </c>
      <c r="E7" s="560" t="s">
        <v>978</v>
      </c>
      <c r="F7" s="561" t="s">
        <v>979</v>
      </c>
      <c r="G7" s="560" t="s">
        <v>977</v>
      </c>
      <c r="H7" s="560" t="s">
        <v>978</v>
      </c>
      <c r="I7" s="561" t="s">
        <v>979</v>
      </c>
      <c r="J7" s="560" t="s">
        <v>977</v>
      </c>
      <c r="K7" s="560" t="s">
        <v>978</v>
      </c>
      <c r="L7" s="561" t="s">
        <v>979</v>
      </c>
      <c r="M7" s="408"/>
      <c r="N7" s="408"/>
      <c r="O7" s="408"/>
      <c r="P7" s="408"/>
      <c r="Q7" s="408"/>
      <c r="R7" s="408"/>
      <c r="S7" s="408"/>
      <c r="T7" s="408"/>
      <c r="U7" s="408"/>
      <c r="V7" s="408"/>
      <c r="W7" s="408"/>
      <c r="X7" s="408"/>
      <c r="Y7" s="408"/>
      <c r="Z7" s="408"/>
    </row>
    <row r="8" ht="14.25" customHeight="1">
      <c r="A8" s="562" t="s">
        <v>980</v>
      </c>
      <c r="B8" s="563" t="s">
        <v>981</v>
      </c>
      <c r="C8" s="564"/>
      <c r="D8" s="565"/>
      <c r="E8" s="566"/>
      <c r="F8" s="567"/>
      <c r="G8" s="565"/>
      <c r="H8" s="566"/>
      <c r="I8" s="567"/>
      <c r="J8" s="565"/>
      <c r="K8" s="566"/>
      <c r="L8" s="567"/>
      <c r="M8" s="408"/>
      <c r="N8" s="408"/>
      <c r="O8" s="408"/>
      <c r="P8" s="408"/>
      <c r="Q8" s="408"/>
      <c r="R8" s="408"/>
      <c r="S8" s="408"/>
      <c r="T8" s="408"/>
      <c r="U8" s="408"/>
      <c r="V8" s="408"/>
      <c r="W8" s="408"/>
      <c r="X8" s="408"/>
      <c r="Y8" s="408"/>
      <c r="Z8" s="408"/>
    </row>
    <row r="9" ht="14.25" customHeight="1">
      <c r="A9" s="568" t="s">
        <v>982</v>
      </c>
      <c r="B9" s="569" t="s">
        <v>983</v>
      </c>
      <c r="C9" s="564" t="s">
        <v>32</v>
      </c>
      <c r="D9" s="570"/>
      <c r="E9" s="571"/>
      <c r="F9" s="572"/>
      <c r="G9" s="565"/>
      <c r="H9" s="566"/>
      <c r="I9" s="567"/>
      <c r="J9" s="565"/>
      <c r="K9" s="566"/>
      <c r="L9" s="567"/>
      <c r="M9" s="408"/>
      <c r="N9" s="408"/>
      <c r="O9" s="408"/>
      <c r="P9" s="408"/>
      <c r="Q9" s="408"/>
      <c r="R9" s="408"/>
      <c r="S9" s="408"/>
      <c r="T9" s="408"/>
      <c r="U9" s="408"/>
      <c r="V9" s="408"/>
      <c r="W9" s="408"/>
      <c r="X9" s="408"/>
      <c r="Y9" s="408"/>
      <c r="Z9" s="408"/>
    </row>
    <row r="10" ht="14.25" customHeight="1">
      <c r="A10" s="573"/>
      <c r="B10" s="569"/>
      <c r="C10" s="564"/>
      <c r="D10" s="570"/>
      <c r="E10" s="571"/>
      <c r="F10" s="572"/>
      <c r="G10" s="565"/>
      <c r="H10" s="566"/>
      <c r="I10" s="567"/>
      <c r="J10" s="565"/>
      <c r="K10" s="566"/>
      <c r="L10" s="567"/>
      <c r="M10" s="408"/>
      <c r="N10" s="408"/>
      <c r="O10" s="408"/>
      <c r="P10" s="408"/>
      <c r="Q10" s="408"/>
      <c r="R10" s="408"/>
      <c r="S10" s="408"/>
      <c r="T10" s="408"/>
      <c r="U10" s="408"/>
      <c r="V10" s="408"/>
      <c r="W10" s="408"/>
      <c r="X10" s="408"/>
      <c r="Y10" s="408"/>
      <c r="Z10" s="408"/>
    </row>
    <row r="11" ht="14.25" customHeight="1">
      <c r="A11" s="568" t="s">
        <v>984</v>
      </c>
      <c r="B11" s="569" t="s">
        <v>985</v>
      </c>
      <c r="C11" s="564" t="s">
        <v>34</v>
      </c>
      <c r="D11" s="570"/>
      <c r="E11" s="571"/>
      <c r="F11" s="572"/>
      <c r="G11" s="565"/>
      <c r="H11" s="566"/>
      <c r="I11" s="567"/>
      <c r="J11" s="565"/>
      <c r="K11" s="566"/>
      <c r="L11" s="567"/>
      <c r="M11" s="408"/>
      <c r="N11" s="408"/>
      <c r="O11" s="408"/>
      <c r="P11" s="408"/>
      <c r="Q11" s="408"/>
      <c r="R11" s="408"/>
      <c r="S11" s="408"/>
      <c r="T11" s="408"/>
      <c r="U11" s="408"/>
      <c r="V11" s="408"/>
      <c r="W11" s="408"/>
      <c r="X11" s="408"/>
      <c r="Y11" s="408"/>
      <c r="Z11" s="408"/>
    </row>
    <row r="12" ht="14.25" customHeight="1">
      <c r="A12" s="568" t="s">
        <v>984</v>
      </c>
      <c r="B12" s="569" t="s">
        <v>986</v>
      </c>
      <c r="C12" s="564" t="s">
        <v>34</v>
      </c>
      <c r="D12" s="570"/>
      <c r="E12" s="571"/>
      <c r="F12" s="572"/>
      <c r="G12" s="565"/>
      <c r="H12" s="566"/>
      <c r="I12" s="567"/>
      <c r="J12" s="565"/>
      <c r="K12" s="566"/>
      <c r="L12" s="567"/>
      <c r="M12" s="408"/>
      <c r="N12" s="408"/>
      <c r="O12" s="408"/>
      <c r="P12" s="408"/>
      <c r="Q12" s="408"/>
      <c r="R12" s="408"/>
      <c r="S12" s="408"/>
      <c r="T12" s="408"/>
      <c r="U12" s="408"/>
      <c r="V12" s="408"/>
      <c r="W12" s="408"/>
      <c r="X12" s="408"/>
      <c r="Y12" s="408"/>
      <c r="Z12" s="408"/>
    </row>
    <row r="13" ht="14.25" customHeight="1">
      <c r="A13" s="568"/>
      <c r="B13" s="574" t="s">
        <v>987</v>
      </c>
      <c r="C13" s="564"/>
      <c r="D13" s="570"/>
      <c r="E13" s="571"/>
      <c r="F13" s="572"/>
      <c r="G13" s="565"/>
      <c r="H13" s="566"/>
      <c r="I13" s="567"/>
      <c r="J13" s="565"/>
      <c r="K13" s="566"/>
      <c r="L13" s="567"/>
      <c r="M13" s="408"/>
      <c r="N13" s="408"/>
      <c r="O13" s="408"/>
      <c r="P13" s="408"/>
      <c r="Q13" s="408"/>
      <c r="R13" s="408"/>
      <c r="S13" s="408"/>
      <c r="T13" s="408"/>
      <c r="U13" s="408"/>
      <c r="V13" s="408"/>
      <c r="W13" s="408"/>
      <c r="X13" s="408"/>
      <c r="Y13" s="408"/>
      <c r="Z13" s="408"/>
    </row>
    <row r="14" ht="14.25" customHeight="1">
      <c r="A14" s="573"/>
      <c r="B14" s="569"/>
      <c r="C14" s="564"/>
      <c r="D14" s="570"/>
      <c r="E14" s="571"/>
      <c r="F14" s="572"/>
      <c r="G14" s="565"/>
      <c r="H14" s="566"/>
      <c r="I14" s="567"/>
      <c r="J14" s="565"/>
      <c r="K14" s="566"/>
      <c r="L14" s="567"/>
      <c r="M14" s="408"/>
      <c r="N14" s="408"/>
      <c r="O14" s="408"/>
      <c r="P14" s="408"/>
      <c r="Q14" s="408"/>
      <c r="R14" s="408"/>
      <c r="S14" s="408"/>
      <c r="T14" s="408"/>
      <c r="U14" s="408"/>
      <c r="V14" s="408"/>
      <c r="W14" s="408"/>
      <c r="X14" s="408"/>
      <c r="Y14" s="408"/>
      <c r="Z14" s="408"/>
    </row>
    <row r="15" ht="14.25" customHeight="1">
      <c r="A15" s="562" t="s">
        <v>988</v>
      </c>
      <c r="B15" s="563" t="s">
        <v>989</v>
      </c>
      <c r="C15" s="564"/>
      <c r="D15" s="570"/>
      <c r="E15" s="571"/>
      <c r="F15" s="572"/>
      <c r="G15" s="565"/>
      <c r="H15" s="566"/>
      <c r="I15" s="567"/>
      <c r="J15" s="565"/>
      <c r="K15" s="566"/>
      <c r="L15" s="567"/>
      <c r="M15" s="408"/>
      <c r="N15" s="408"/>
      <c r="O15" s="408"/>
      <c r="P15" s="408"/>
      <c r="Q15" s="408"/>
      <c r="R15" s="408"/>
      <c r="S15" s="408"/>
      <c r="T15" s="408"/>
      <c r="U15" s="408"/>
      <c r="V15" s="408"/>
      <c r="W15" s="408"/>
      <c r="X15" s="408"/>
      <c r="Y15" s="408"/>
      <c r="Z15" s="408"/>
    </row>
    <row r="16" ht="14.25" customHeight="1">
      <c r="A16" s="562"/>
      <c r="B16" s="563"/>
      <c r="C16" s="564"/>
      <c r="D16" s="570"/>
      <c r="E16" s="571"/>
      <c r="F16" s="572"/>
      <c r="G16" s="565"/>
      <c r="H16" s="566"/>
      <c r="I16" s="567"/>
      <c r="J16" s="565"/>
      <c r="K16" s="566"/>
      <c r="L16" s="567"/>
      <c r="M16" s="408"/>
      <c r="N16" s="408"/>
      <c r="O16" s="408"/>
      <c r="P16" s="408"/>
      <c r="Q16" s="408"/>
      <c r="R16" s="408"/>
      <c r="S16" s="408"/>
      <c r="T16" s="408"/>
      <c r="U16" s="408"/>
      <c r="V16" s="408"/>
      <c r="W16" s="408"/>
      <c r="X16" s="408"/>
      <c r="Y16" s="408"/>
      <c r="Z16" s="408"/>
    </row>
    <row r="17" ht="14.25" customHeight="1">
      <c r="A17" s="568" t="s">
        <v>953</v>
      </c>
      <c r="B17" s="569" t="s">
        <v>990</v>
      </c>
      <c r="C17" s="564" t="s">
        <v>158</v>
      </c>
      <c r="D17" s="570"/>
      <c r="E17" s="571"/>
      <c r="F17" s="572"/>
      <c r="G17" s="565"/>
      <c r="H17" s="566"/>
      <c r="I17" s="567"/>
      <c r="J17" s="565"/>
      <c r="K17" s="566"/>
      <c r="L17" s="567"/>
      <c r="M17" s="408"/>
      <c r="N17" s="408"/>
      <c r="O17" s="408"/>
      <c r="P17" s="408"/>
      <c r="Q17" s="408"/>
      <c r="R17" s="408"/>
      <c r="S17" s="408"/>
      <c r="T17" s="408"/>
      <c r="U17" s="408"/>
      <c r="V17" s="408"/>
      <c r="W17" s="408"/>
      <c r="X17" s="408"/>
      <c r="Y17" s="408"/>
      <c r="Z17" s="408"/>
    </row>
    <row r="18" ht="14.25" customHeight="1">
      <c r="A18" s="568"/>
      <c r="B18" s="569"/>
      <c r="C18" s="564"/>
      <c r="D18" s="570"/>
      <c r="E18" s="571"/>
      <c r="F18" s="572"/>
      <c r="G18" s="565"/>
      <c r="H18" s="566"/>
      <c r="I18" s="567"/>
      <c r="J18" s="565"/>
      <c r="K18" s="566"/>
      <c r="L18" s="567"/>
      <c r="M18" s="408"/>
      <c r="N18" s="408"/>
      <c r="O18" s="408"/>
      <c r="P18" s="408"/>
      <c r="Q18" s="408"/>
      <c r="R18" s="408"/>
      <c r="S18" s="408"/>
      <c r="T18" s="408"/>
      <c r="U18" s="408"/>
      <c r="V18" s="408"/>
      <c r="W18" s="408"/>
      <c r="X18" s="408"/>
      <c r="Y18" s="408"/>
      <c r="Z18" s="408"/>
    </row>
    <row r="19" ht="14.25" customHeight="1">
      <c r="A19" s="568" t="s">
        <v>955</v>
      </c>
      <c r="B19" s="569" t="s">
        <v>991</v>
      </c>
      <c r="C19" s="564" t="s">
        <v>158</v>
      </c>
      <c r="D19" s="570"/>
      <c r="E19" s="571"/>
      <c r="F19" s="572"/>
      <c r="G19" s="565"/>
      <c r="H19" s="566"/>
      <c r="I19" s="567"/>
      <c r="J19" s="565"/>
      <c r="K19" s="566"/>
      <c r="L19" s="567"/>
      <c r="M19" s="408"/>
      <c r="N19" s="408"/>
      <c r="O19" s="408"/>
      <c r="P19" s="408"/>
      <c r="Q19" s="408"/>
      <c r="R19" s="408"/>
      <c r="S19" s="408"/>
      <c r="T19" s="408"/>
      <c r="U19" s="408"/>
      <c r="V19" s="408"/>
      <c r="W19" s="408"/>
      <c r="X19" s="408"/>
      <c r="Y19" s="408"/>
      <c r="Z19" s="408"/>
    </row>
    <row r="20" ht="14.25" customHeight="1">
      <c r="A20" s="568"/>
      <c r="B20" s="569"/>
      <c r="C20" s="564"/>
      <c r="D20" s="570"/>
      <c r="E20" s="571"/>
      <c r="F20" s="572"/>
      <c r="G20" s="565"/>
      <c r="H20" s="566"/>
      <c r="I20" s="567"/>
      <c r="J20" s="565"/>
      <c r="K20" s="566"/>
      <c r="L20" s="567"/>
      <c r="M20" s="408"/>
      <c r="N20" s="408"/>
      <c r="O20" s="408"/>
      <c r="P20" s="408"/>
      <c r="Q20" s="408"/>
      <c r="R20" s="408"/>
      <c r="S20" s="408"/>
      <c r="T20" s="408"/>
      <c r="U20" s="408"/>
      <c r="V20" s="408"/>
      <c r="W20" s="408"/>
      <c r="X20" s="408"/>
      <c r="Y20" s="408"/>
      <c r="Z20" s="408"/>
    </row>
    <row r="21" ht="14.25" customHeight="1">
      <c r="A21" s="568" t="s">
        <v>960</v>
      </c>
      <c r="B21" s="575" t="s">
        <v>992</v>
      </c>
      <c r="C21" s="564"/>
      <c r="D21" s="570"/>
      <c r="E21" s="571"/>
      <c r="F21" s="572"/>
      <c r="G21" s="565"/>
      <c r="H21" s="566"/>
      <c r="I21" s="567"/>
      <c r="J21" s="565"/>
      <c r="K21" s="566"/>
      <c r="L21" s="567"/>
      <c r="M21" s="408"/>
      <c r="N21" s="408"/>
      <c r="O21" s="408"/>
      <c r="P21" s="408"/>
      <c r="Q21" s="408"/>
      <c r="R21" s="408"/>
      <c r="S21" s="408"/>
      <c r="T21" s="408"/>
      <c r="U21" s="408"/>
      <c r="V21" s="408"/>
      <c r="W21" s="408"/>
      <c r="X21" s="408"/>
      <c r="Y21" s="408"/>
      <c r="Z21" s="408"/>
    </row>
    <row r="22" ht="14.25" customHeight="1">
      <c r="A22" s="568"/>
      <c r="B22" s="569" t="s">
        <v>993</v>
      </c>
      <c r="C22" s="564" t="s">
        <v>34</v>
      </c>
      <c r="D22" s="570"/>
      <c r="E22" s="571"/>
      <c r="F22" s="572"/>
      <c r="G22" s="565"/>
      <c r="H22" s="566"/>
      <c r="I22" s="567"/>
      <c r="J22" s="565"/>
      <c r="K22" s="566"/>
      <c r="L22" s="567"/>
      <c r="M22" s="408"/>
      <c r="N22" s="408"/>
      <c r="O22" s="408"/>
      <c r="P22" s="408"/>
      <c r="Q22" s="408"/>
      <c r="R22" s="408"/>
      <c r="S22" s="408"/>
      <c r="T22" s="408"/>
      <c r="U22" s="408"/>
      <c r="V22" s="408"/>
      <c r="W22" s="408"/>
      <c r="X22" s="408"/>
      <c r="Y22" s="408"/>
      <c r="Z22" s="408"/>
    </row>
    <row r="23" ht="14.25" customHeight="1">
      <c r="A23" s="568"/>
      <c r="B23" s="569" t="s">
        <v>994</v>
      </c>
      <c r="C23" s="564" t="s">
        <v>34</v>
      </c>
      <c r="D23" s="570"/>
      <c r="E23" s="571"/>
      <c r="F23" s="572"/>
      <c r="G23" s="565"/>
      <c r="H23" s="566"/>
      <c r="I23" s="567"/>
      <c r="J23" s="565"/>
      <c r="K23" s="566"/>
      <c r="L23" s="567"/>
      <c r="M23" s="408"/>
      <c r="N23" s="408"/>
      <c r="O23" s="408"/>
      <c r="P23" s="408"/>
      <c r="Q23" s="408"/>
      <c r="R23" s="408"/>
      <c r="S23" s="408"/>
      <c r="T23" s="408"/>
      <c r="U23" s="408"/>
      <c r="V23" s="408"/>
      <c r="W23" s="408"/>
      <c r="X23" s="408"/>
      <c r="Y23" s="408"/>
      <c r="Z23" s="408"/>
    </row>
    <row r="24" ht="14.25" customHeight="1">
      <c r="A24" s="568"/>
      <c r="B24" s="569"/>
      <c r="C24" s="564"/>
      <c r="D24" s="565"/>
      <c r="E24" s="566"/>
      <c r="F24" s="567"/>
      <c r="G24" s="565"/>
      <c r="H24" s="566"/>
      <c r="I24" s="567"/>
      <c r="J24" s="565"/>
      <c r="K24" s="566"/>
      <c r="L24" s="567"/>
      <c r="M24" s="408"/>
      <c r="N24" s="408"/>
      <c r="O24" s="408"/>
      <c r="P24" s="408"/>
      <c r="Q24" s="408"/>
      <c r="R24" s="408"/>
      <c r="S24" s="408"/>
      <c r="T24" s="408"/>
      <c r="U24" s="408"/>
      <c r="V24" s="408"/>
      <c r="W24" s="408"/>
      <c r="X24" s="408"/>
      <c r="Y24" s="408"/>
      <c r="Z24" s="408"/>
    </row>
    <row r="25" ht="14.25" customHeight="1">
      <c r="A25" s="568" t="s">
        <v>961</v>
      </c>
      <c r="B25" s="575" t="s">
        <v>995</v>
      </c>
      <c r="C25" s="564"/>
      <c r="D25" s="565"/>
      <c r="E25" s="566"/>
      <c r="F25" s="567"/>
      <c r="G25" s="565"/>
      <c r="H25" s="566"/>
      <c r="I25" s="567"/>
      <c r="J25" s="565"/>
      <c r="K25" s="566"/>
      <c r="L25" s="567"/>
      <c r="M25" s="408"/>
      <c r="N25" s="408"/>
      <c r="O25" s="408"/>
      <c r="P25" s="408"/>
      <c r="Q25" s="408"/>
      <c r="R25" s="408"/>
      <c r="S25" s="408"/>
      <c r="T25" s="408"/>
      <c r="U25" s="408"/>
      <c r="V25" s="408"/>
      <c r="W25" s="408"/>
      <c r="X25" s="408"/>
      <c r="Y25" s="408"/>
      <c r="Z25" s="408"/>
    </row>
    <row r="26" ht="14.25" customHeight="1">
      <c r="A26" s="568" t="s">
        <v>996</v>
      </c>
      <c r="B26" s="575" t="s">
        <v>997</v>
      </c>
      <c r="C26" s="564"/>
      <c r="D26" s="565"/>
      <c r="E26" s="566"/>
      <c r="F26" s="567"/>
      <c r="G26" s="565"/>
      <c r="H26" s="566"/>
      <c r="I26" s="567"/>
      <c r="J26" s="565"/>
      <c r="K26" s="566"/>
      <c r="L26" s="567"/>
      <c r="M26" s="408"/>
      <c r="N26" s="408"/>
      <c r="O26" s="408"/>
      <c r="P26" s="408"/>
      <c r="Q26" s="408"/>
      <c r="R26" s="408"/>
      <c r="S26" s="408"/>
      <c r="T26" s="408"/>
      <c r="U26" s="408"/>
      <c r="V26" s="408"/>
      <c r="W26" s="408"/>
      <c r="X26" s="408"/>
      <c r="Y26" s="408"/>
      <c r="Z26" s="408"/>
    </row>
    <row r="27" ht="14.25" customHeight="1">
      <c r="A27" s="568"/>
      <c r="B27" s="569" t="s">
        <v>998</v>
      </c>
      <c r="C27" s="564" t="s">
        <v>34</v>
      </c>
      <c r="D27" s="565"/>
      <c r="E27" s="566"/>
      <c r="F27" s="567"/>
      <c r="G27" s="565"/>
      <c r="H27" s="566"/>
      <c r="I27" s="567"/>
      <c r="J27" s="576"/>
      <c r="K27" s="577"/>
      <c r="L27" s="578"/>
      <c r="M27" s="408"/>
      <c r="N27" s="408"/>
      <c r="O27" s="408"/>
      <c r="P27" s="408"/>
      <c r="Q27" s="408"/>
      <c r="R27" s="408"/>
      <c r="S27" s="408"/>
      <c r="T27" s="408"/>
      <c r="U27" s="408"/>
      <c r="V27" s="408"/>
      <c r="W27" s="408"/>
      <c r="X27" s="408"/>
      <c r="Y27" s="408"/>
      <c r="Z27" s="408"/>
    </row>
    <row r="28" ht="14.25" customHeight="1">
      <c r="A28" s="568"/>
      <c r="B28" s="569" t="s">
        <v>999</v>
      </c>
      <c r="C28" s="564" t="s">
        <v>34</v>
      </c>
      <c r="D28" s="565"/>
      <c r="E28" s="566"/>
      <c r="F28" s="567"/>
      <c r="G28" s="565"/>
      <c r="H28" s="566"/>
      <c r="I28" s="567"/>
      <c r="J28" s="576"/>
      <c r="K28" s="577"/>
      <c r="L28" s="578"/>
      <c r="M28" s="408"/>
      <c r="N28" s="408"/>
      <c r="O28" s="408"/>
      <c r="P28" s="408"/>
      <c r="Q28" s="408"/>
      <c r="R28" s="408"/>
      <c r="S28" s="408"/>
      <c r="T28" s="408"/>
      <c r="U28" s="408"/>
      <c r="V28" s="408"/>
      <c r="W28" s="408"/>
      <c r="X28" s="408"/>
      <c r="Y28" s="408"/>
      <c r="Z28" s="408"/>
    </row>
    <row r="29" ht="14.25" customHeight="1">
      <c r="A29" s="568"/>
      <c r="B29" s="569" t="s">
        <v>1000</v>
      </c>
      <c r="C29" s="564" t="s">
        <v>34</v>
      </c>
      <c r="D29" s="565"/>
      <c r="E29" s="566"/>
      <c r="F29" s="567"/>
      <c r="G29" s="565"/>
      <c r="H29" s="566"/>
      <c r="I29" s="567"/>
      <c r="J29" s="576"/>
      <c r="K29" s="577"/>
      <c r="L29" s="578"/>
      <c r="M29" s="408"/>
      <c r="N29" s="408"/>
      <c r="O29" s="408"/>
      <c r="P29" s="408"/>
      <c r="Q29" s="408"/>
      <c r="R29" s="408"/>
      <c r="S29" s="408"/>
      <c r="T29" s="408"/>
      <c r="U29" s="408"/>
      <c r="V29" s="408"/>
      <c r="W29" s="408"/>
      <c r="X29" s="408"/>
      <c r="Y29" s="408"/>
      <c r="Z29" s="408"/>
    </row>
    <row r="30" ht="14.25" customHeight="1">
      <c r="A30" s="568"/>
      <c r="B30" s="569" t="s">
        <v>1001</v>
      </c>
      <c r="C30" s="564" t="s">
        <v>34</v>
      </c>
      <c r="D30" s="565"/>
      <c r="E30" s="566"/>
      <c r="F30" s="567"/>
      <c r="G30" s="579"/>
      <c r="H30" s="580"/>
      <c r="I30" s="581"/>
      <c r="J30" s="565"/>
      <c r="K30" s="566"/>
      <c r="L30" s="567"/>
      <c r="M30" s="408"/>
      <c r="N30" s="408"/>
      <c r="O30" s="408"/>
      <c r="P30" s="408"/>
      <c r="Q30" s="408"/>
      <c r="R30" s="408"/>
      <c r="S30" s="408"/>
      <c r="T30" s="408"/>
      <c r="U30" s="408"/>
      <c r="V30" s="408"/>
      <c r="W30" s="408"/>
      <c r="X30" s="408"/>
      <c r="Y30" s="408"/>
      <c r="Z30" s="408"/>
    </row>
    <row r="31" ht="14.25" customHeight="1">
      <c r="A31" s="568"/>
      <c r="B31" s="569" t="s">
        <v>1002</v>
      </c>
      <c r="C31" s="564" t="s">
        <v>34</v>
      </c>
      <c r="D31" s="565"/>
      <c r="E31" s="566"/>
      <c r="F31" s="567"/>
      <c r="G31" s="579"/>
      <c r="H31" s="580"/>
      <c r="I31" s="581"/>
      <c r="J31" s="565"/>
      <c r="K31" s="566"/>
      <c r="L31" s="567"/>
      <c r="M31" s="408"/>
      <c r="N31" s="408"/>
      <c r="O31" s="408"/>
      <c r="P31" s="408"/>
      <c r="Q31" s="408"/>
      <c r="R31" s="408"/>
      <c r="S31" s="408"/>
      <c r="T31" s="408"/>
      <c r="U31" s="408"/>
      <c r="V31" s="408"/>
      <c r="W31" s="408"/>
      <c r="X31" s="408"/>
      <c r="Y31" s="408"/>
      <c r="Z31" s="408"/>
    </row>
    <row r="32" ht="14.25" customHeight="1">
      <c r="A32" s="568"/>
      <c r="B32" s="569"/>
      <c r="C32" s="564"/>
      <c r="D32" s="565"/>
      <c r="E32" s="566"/>
      <c r="F32" s="567"/>
      <c r="G32" s="565"/>
      <c r="H32" s="566"/>
      <c r="I32" s="567"/>
      <c r="J32" s="565"/>
      <c r="K32" s="566"/>
      <c r="L32" s="567"/>
      <c r="M32" s="408"/>
      <c r="N32" s="408"/>
      <c r="O32" s="408"/>
      <c r="P32" s="408"/>
      <c r="Q32" s="408"/>
      <c r="R32" s="408"/>
      <c r="S32" s="408"/>
      <c r="T32" s="408"/>
      <c r="U32" s="408"/>
      <c r="V32" s="408"/>
      <c r="W32" s="408"/>
      <c r="X32" s="408"/>
      <c r="Y32" s="408"/>
      <c r="Z32" s="408"/>
    </row>
    <row r="33" ht="14.25" customHeight="1">
      <c r="A33" s="568" t="s">
        <v>1003</v>
      </c>
      <c r="B33" s="575" t="s">
        <v>1004</v>
      </c>
      <c r="C33" s="564"/>
      <c r="D33" s="565"/>
      <c r="E33" s="566"/>
      <c r="F33" s="567"/>
      <c r="G33" s="565"/>
      <c r="H33" s="566"/>
      <c r="I33" s="567"/>
      <c r="J33" s="565"/>
      <c r="K33" s="566"/>
      <c r="L33" s="567"/>
      <c r="M33" s="408"/>
      <c r="N33" s="408"/>
      <c r="O33" s="408"/>
      <c r="P33" s="408"/>
      <c r="Q33" s="408"/>
      <c r="R33" s="408"/>
      <c r="S33" s="408"/>
      <c r="T33" s="408"/>
      <c r="U33" s="408"/>
      <c r="V33" s="408"/>
      <c r="W33" s="408"/>
      <c r="X33" s="408"/>
      <c r="Y33" s="408"/>
      <c r="Z33" s="408"/>
    </row>
    <row r="34" ht="14.25" customHeight="1">
      <c r="A34" s="568"/>
      <c r="B34" s="569" t="s">
        <v>1005</v>
      </c>
      <c r="C34" s="564" t="s">
        <v>51</v>
      </c>
      <c r="D34" s="570"/>
      <c r="E34" s="570"/>
      <c r="F34" s="570"/>
      <c r="G34" s="565"/>
      <c r="H34" s="566"/>
      <c r="I34" s="567"/>
      <c r="J34" s="565"/>
      <c r="K34" s="566"/>
      <c r="L34" s="567"/>
      <c r="M34" s="408"/>
      <c r="N34" s="408"/>
      <c r="O34" s="408"/>
      <c r="P34" s="408"/>
      <c r="Q34" s="408"/>
      <c r="R34" s="408"/>
      <c r="S34" s="408"/>
      <c r="T34" s="408"/>
      <c r="U34" s="408"/>
      <c r="V34" s="408"/>
      <c r="W34" s="408"/>
      <c r="X34" s="408"/>
      <c r="Y34" s="408"/>
      <c r="Z34" s="408"/>
    </row>
    <row r="35" ht="14.25" customHeight="1">
      <c r="A35" s="568"/>
      <c r="B35" s="569" t="s">
        <v>1006</v>
      </c>
      <c r="C35" s="564" t="s">
        <v>51</v>
      </c>
      <c r="D35" s="570"/>
      <c r="E35" s="570"/>
      <c r="F35" s="570"/>
      <c r="G35" s="565"/>
      <c r="H35" s="566"/>
      <c r="I35" s="567"/>
      <c r="J35" s="565"/>
      <c r="K35" s="566"/>
      <c r="L35" s="567"/>
      <c r="M35" s="408"/>
      <c r="N35" s="408"/>
      <c r="O35" s="408"/>
      <c r="P35" s="408"/>
      <c r="Q35" s="408"/>
      <c r="R35" s="408"/>
      <c r="S35" s="408"/>
      <c r="T35" s="408"/>
      <c r="U35" s="408"/>
      <c r="V35" s="408"/>
      <c r="W35" s="408"/>
      <c r="X35" s="408"/>
      <c r="Y35" s="408"/>
      <c r="Z35" s="408"/>
    </row>
    <row r="36" ht="14.25" customHeight="1">
      <c r="A36" s="568"/>
      <c r="B36" s="569"/>
      <c r="C36" s="564"/>
      <c r="D36" s="565"/>
      <c r="E36" s="566"/>
      <c r="F36" s="567"/>
      <c r="G36" s="565"/>
      <c r="H36" s="566"/>
      <c r="I36" s="567"/>
      <c r="J36" s="565"/>
      <c r="K36" s="566"/>
      <c r="L36" s="567"/>
      <c r="M36" s="408"/>
      <c r="N36" s="408"/>
      <c r="O36" s="408"/>
      <c r="P36" s="408"/>
      <c r="Q36" s="408"/>
      <c r="R36" s="408"/>
      <c r="S36" s="408"/>
      <c r="T36" s="408"/>
      <c r="U36" s="408"/>
      <c r="V36" s="408"/>
      <c r="W36" s="408"/>
      <c r="X36" s="408"/>
      <c r="Y36" s="408"/>
      <c r="Z36" s="408"/>
    </row>
    <row r="37" ht="14.25" customHeight="1">
      <c r="A37" s="568" t="s">
        <v>1007</v>
      </c>
      <c r="B37" s="575" t="s">
        <v>1008</v>
      </c>
      <c r="C37" s="564"/>
      <c r="D37" s="565"/>
      <c r="E37" s="566"/>
      <c r="F37" s="567"/>
      <c r="G37" s="565"/>
      <c r="H37" s="566"/>
      <c r="I37" s="567"/>
      <c r="J37" s="565"/>
      <c r="K37" s="566"/>
      <c r="L37" s="567"/>
      <c r="M37" s="408"/>
      <c r="N37" s="408"/>
      <c r="O37" s="408"/>
      <c r="P37" s="408"/>
      <c r="Q37" s="408"/>
      <c r="R37" s="408"/>
      <c r="S37" s="408"/>
      <c r="T37" s="408"/>
      <c r="U37" s="408"/>
      <c r="V37" s="408"/>
      <c r="W37" s="408"/>
      <c r="X37" s="408"/>
      <c r="Y37" s="408"/>
      <c r="Z37" s="408"/>
    </row>
    <row r="38" ht="14.25" customHeight="1">
      <c r="A38" s="568"/>
      <c r="B38" s="569" t="s">
        <v>1009</v>
      </c>
      <c r="C38" s="564" t="s">
        <v>34</v>
      </c>
      <c r="D38" s="565"/>
      <c r="E38" s="566"/>
      <c r="F38" s="567"/>
      <c r="G38" s="579"/>
      <c r="H38" s="579"/>
      <c r="I38" s="579"/>
      <c r="J38" s="576"/>
      <c r="K38" s="576"/>
      <c r="L38" s="576"/>
      <c r="M38" s="408"/>
      <c r="N38" s="408"/>
      <c r="O38" s="408"/>
      <c r="P38" s="408"/>
      <c r="Q38" s="408"/>
      <c r="R38" s="408"/>
      <c r="S38" s="408"/>
      <c r="T38" s="408"/>
      <c r="U38" s="408"/>
      <c r="V38" s="408"/>
      <c r="W38" s="408"/>
      <c r="X38" s="408"/>
      <c r="Y38" s="408"/>
      <c r="Z38" s="408"/>
    </row>
    <row r="39" ht="14.25" customHeight="1">
      <c r="A39" s="568"/>
      <c r="B39" s="569" t="s">
        <v>1010</v>
      </c>
      <c r="C39" s="564" t="s">
        <v>34</v>
      </c>
      <c r="D39" s="565"/>
      <c r="E39" s="566"/>
      <c r="F39" s="567"/>
      <c r="G39" s="579"/>
      <c r="H39" s="579"/>
      <c r="I39" s="579"/>
      <c r="J39" s="576"/>
      <c r="K39" s="576"/>
      <c r="L39" s="576"/>
      <c r="M39" s="408"/>
      <c r="N39" s="408"/>
      <c r="O39" s="408"/>
      <c r="P39" s="408"/>
      <c r="Q39" s="408"/>
      <c r="R39" s="408"/>
      <c r="S39" s="408"/>
      <c r="T39" s="408"/>
      <c r="U39" s="408"/>
      <c r="V39" s="408"/>
      <c r="W39" s="408"/>
      <c r="X39" s="408"/>
      <c r="Y39" s="408"/>
      <c r="Z39" s="408"/>
    </row>
    <row r="40" ht="14.25" customHeight="1">
      <c r="A40" s="568"/>
      <c r="B40" s="569" t="s">
        <v>1011</v>
      </c>
      <c r="C40" s="564" t="s">
        <v>34</v>
      </c>
      <c r="D40" s="565"/>
      <c r="E40" s="566"/>
      <c r="F40" s="567"/>
      <c r="G40" s="565"/>
      <c r="H40" s="565"/>
      <c r="I40" s="565"/>
      <c r="J40" s="576"/>
      <c r="K40" s="576"/>
      <c r="L40" s="576"/>
      <c r="M40" s="408"/>
      <c r="N40" s="408"/>
      <c r="O40" s="408"/>
      <c r="P40" s="408"/>
      <c r="Q40" s="408"/>
      <c r="R40" s="408"/>
      <c r="S40" s="408"/>
      <c r="T40" s="408"/>
      <c r="U40" s="408"/>
      <c r="V40" s="408"/>
      <c r="W40" s="408"/>
      <c r="X40" s="408"/>
      <c r="Y40" s="408"/>
      <c r="Z40" s="408"/>
    </row>
    <row r="41" ht="14.25" customHeight="1">
      <c r="A41" s="568"/>
      <c r="B41" s="569" t="s">
        <v>1012</v>
      </c>
      <c r="C41" s="564" t="s">
        <v>34</v>
      </c>
      <c r="D41" s="565"/>
      <c r="E41" s="566"/>
      <c r="F41" s="567"/>
      <c r="G41" s="579"/>
      <c r="H41" s="579"/>
      <c r="I41" s="579"/>
      <c r="J41" s="576"/>
      <c r="K41" s="576"/>
      <c r="L41" s="576"/>
      <c r="M41" s="408"/>
      <c r="N41" s="408"/>
      <c r="O41" s="408"/>
      <c r="P41" s="408"/>
      <c r="Q41" s="408"/>
      <c r="R41" s="408"/>
      <c r="S41" s="408"/>
      <c r="T41" s="408"/>
      <c r="U41" s="408"/>
      <c r="V41" s="408"/>
      <c r="W41" s="408"/>
      <c r="X41" s="408"/>
      <c r="Y41" s="408"/>
      <c r="Z41" s="408"/>
    </row>
    <row r="42" ht="14.25" customHeight="1">
      <c r="A42" s="568"/>
      <c r="B42" s="569" t="s">
        <v>1013</v>
      </c>
      <c r="C42" s="564" t="s">
        <v>32</v>
      </c>
      <c r="D42" s="565"/>
      <c r="E42" s="566"/>
      <c r="F42" s="567"/>
      <c r="G42" s="579"/>
      <c r="H42" s="579"/>
      <c r="I42" s="579"/>
      <c r="J42" s="576"/>
      <c r="K42" s="576"/>
      <c r="L42" s="576"/>
      <c r="M42" s="408"/>
      <c r="N42" s="408"/>
      <c r="O42" s="408"/>
      <c r="P42" s="408"/>
      <c r="Q42" s="408"/>
      <c r="R42" s="408"/>
      <c r="S42" s="408"/>
      <c r="T42" s="408"/>
      <c r="U42" s="408"/>
      <c r="V42" s="408"/>
      <c r="W42" s="408"/>
      <c r="X42" s="408"/>
      <c r="Y42" s="408"/>
      <c r="Z42" s="408"/>
    </row>
    <row r="43" ht="14.25" customHeight="1">
      <c r="A43" s="568"/>
      <c r="B43" s="569"/>
      <c r="C43" s="564"/>
      <c r="D43" s="565"/>
      <c r="E43" s="566"/>
      <c r="F43" s="567"/>
      <c r="G43" s="565"/>
      <c r="H43" s="566"/>
      <c r="I43" s="567"/>
      <c r="J43" s="565"/>
      <c r="K43" s="566"/>
      <c r="L43" s="567"/>
      <c r="M43" s="408"/>
      <c r="N43" s="408"/>
      <c r="O43" s="408"/>
      <c r="P43" s="408"/>
      <c r="Q43" s="408"/>
      <c r="R43" s="408"/>
      <c r="S43" s="408"/>
      <c r="T43" s="408"/>
      <c r="U43" s="408"/>
      <c r="V43" s="408"/>
      <c r="W43" s="408"/>
      <c r="X43" s="408"/>
      <c r="Y43" s="408"/>
      <c r="Z43" s="408"/>
    </row>
    <row r="44" ht="14.25" customHeight="1">
      <c r="A44" s="568" t="s">
        <v>1014</v>
      </c>
      <c r="B44" s="575" t="s">
        <v>1015</v>
      </c>
      <c r="C44" s="564"/>
      <c r="D44" s="565"/>
      <c r="E44" s="566"/>
      <c r="F44" s="567"/>
      <c r="G44" s="565"/>
      <c r="H44" s="566"/>
      <c r="I44" s="567"/>
      <c r="J44" s="565"/>
      <c r="K44" s="566"/>
      <c r="L44" s="567"/>
      <c r="M44" s="408"/>
      <c r="N44" s="408"/>
      <c r="O44" s="408"/>
      <c r="P44" s="408"/>
      <c r="Q44" s="408"/>
      <c r="R44" s="408"/>
      <c r="S44" s="408"/>
      <c r="T44" s="408"/>
      <c r="U44" s="408"/>
      <c r="V44" s="408"/>
      <c r="W44" s="408"/>
      <c r="X44" s="408"/>
      <c r="Y44" s="408"/>
      <c r="Z44" s="408"/>
    </row>
    <row r="45" ht="14.25" customHeight="1">
      <c r="A45" s="568"/>
      <c r="B45" s="569" t="s">
        <v>1016</v>
      </c>
      <c r="C45" s="564" t="s">
        <v>32</v>
      </c>
      <c r="D45" s="565"/>
      <c r="E45" s="566"/>
      <c r="F45" s="567"/>
      <c r="G45" s="565"/>
      <c r="H45" s="566"/>
      <c r="I45" s="567"/>
      <c r="J45" s="576"/>
      <c r="K45" s="577"/>
      <c r="L45" s="582"/>
      <c r="M45" s="408"/>
      <c r="N45" s="408"/>
      <c r="O45" s="408"/>
      <c r="P45" s="408"/>
      <c r="Q45" s="408"/>
      <c r="R45" s="408"/>
      <c r="S45" s="408"/>
      <c r="T45" s="408"/>
      <c r="U45" s="408"/>
      <c r="V45" s="408"/>
      <c r="W45" s="408"/>
      <c r="X45" s="408"/>
      <c r="Y45" s="408"/>
      <c r="Z45" s="408"/>
    </row>
    <row r="46" ht="14.25" customHeight="1">
      <c r="A46" s="568"/>
      <c r="B46" s="569" t="s">
        <v>1017</v>
      </c>
      <c r="C46" s="564" t="s">
        <v>32</v>
      </c>
      <c r="D46" s="565"/>
      <c r="E46" s="566"/>
      <c r="F46" s="567"/>
      <c r="G46" s="565"/>
      <c r="H46" s="566"/>
      <c r="I46" s="567"/>
      <c r="J46" s="576"/>
      <c r="K46" s="577"/>
      <c r="L46" s="582"/>
      <c r="M46" s="408"/>
      <c r="N46" s="408"/>
      <c r="O46" s="408"/>
      <c r="P46" s="408"/>
      <c r="Q46" s="408"/>
      <c r="R46" s="408"/>
      <c r="S46" s="408"/>
      <c r="T46" s="408"/>
      <c r="U46" s="408"/>
      <c r="V46" s="408"/>
      <c r="W46" s="408"/>
      <c r="X46" s="408"/>
      <c r="Y46" s="408"/>
      <c r="Z46" s="408"/>
    </row>
    <row r="47" ht="14.25" customHeight="1">
      <c r="A47" s="568"/>
      <c r="B47" s="569" t="s">
        <v>1018</v>
      </c>
      <c r="C47" s="564" t="s">
        <v>32</v>
      </c>
      <c r="D47" s="565"/>
      <c r="E47" s="566"/>
      <c r="F47" s="567"/>
      <c r="G47" s="565"/>
      <c r="H47" s="566"/>
      <c r="I47" s="567"/>
      <c r="J47" s="576"/>
      <c r="K47" s="577"/>
      <c r="L47" s="582"/>
      <c r="M47" s="408"/>
      <c r="N47" s="408"/>
      <c r="O47" s="408"/>
      <c r="P47" s="408"/>
      <c r="Q47" s="408"/>
      <c r="R47" s="408"/>
      <c r="S47" s="408"/>
      <c r="T47" s="408"/>
      <c r="U47" s="408"/>
      <c r="V47" s="408"/>
      <c r="W47" s="408"/>
      <c r="X47" s="408"/>
      <c r="Y47" s="408"/>
      <c r="Z47" s="408"/>
    </row>
    <row r="48" ht="14.25" customHeight="1">
      <c r="A48" s="568"/>
      <c r="B48" s="569" t="s">
        <v>1019</v>
      </c>
      <c r="C48" s="564" t="s">
        <v>32</v>
      </c>
      <c r="D48" s="565"/>
      <c r="E48" s="566"/>
      <c r="F48" s="567"/>
      <c r="G48" s="579"/>
      <c r="H48" s="580"/>
      <c r="I48" s="583"/>
      <c r="J48" s="565"/>
      <c r="K48" s="566"/>
      <c r="L48" s="567"/>
      <c r="M48" s="408"/>
      <c r="N48" s="408"/>
      <c r="O48" s="408"/>
      <c r="P48" s="408"/>
      <c r="Q48" s="408"/>
      <c r="R48" s="408"/>
      <c r="S48" s="408"/>
      <c r="T48" s="408"/>
      <c r="U48" s="408"/>
      <c r="V48" s="408"/>
      <c r="W48" s="408"/>
      <c r="X48" s="408"/>
      <c r="Y48" s="408"/>
      <c r="Z48" s="408"/>
    </row>
    <row r="49" ht="14.25" customHeight="1">
      <c r="A49" s="568"/>
      <c r="B49" s="569" t="s">
        <v>1020</v>
      </c>
      <c r="C49" s="564" t="s">
        <v>32</v>
      </c>
      <c r="D49" s="565"/>
      <c r="E49" s="566"/>
      <c r="F49" s="567"/>
      <c r="G49" s="579"/>
      <c r="H49" s="580"/>
      <c r="I49" s="583"/>
      <c r="J49" s="565"/>
      <c r="K49" s="566"/>
      <c r="L49" s="567"/>
      <c r="M49" s="408"/>
      <c r="N49" s="408"/>
      <c r="O49" s="408"/>
      <c r="P49" s="408"/>
      <c r="Q49" s="408"/>
      <c r="R49" s="408"/>
      <c r="S49" s="408"/>
      <c r="T49" s="408"/>
      <c r="U49" s="408"/>
      <c r="V49" s="408"/>
      <c r="W49" s="408"/>
      <c r="X49" s="408"/>
      <c r="Y49" s="408"/>
      <c r="Z49" s="408"/>
    </row>
    <row r="50" ht="14.25" customHeight="1">
      <c r="A50" s="568"/>
      <c r="B50" s="569"/>
      <c r="C50" s="564"/>
      <c r="D50" s="565"/>
      <c r="E50" s="566"/>
      <c r="F50" s="567"/>
      <c r="G50" s="565"/>
      <c r="H50" s="566"/>
      <c r="I50" s="567"/>
      <c r="J50" s="565"/>
      <c r="K50" s="566"/>
      <c r="L50" s="567"/>
      <c r="M50" s="408"/>
      <c r="N50" s="408"/>
      <c r="O50" s="408"/>
      <c r="P50" s="408"/>
      <c r="Q50" s="408"/>
      <c r="R50" s="408"/>
      <c r="S50" s="408"/>
      <c r="T50" s="408"/>
      <c r="U50" s="408"/>
      <c r="V50" s="408"/>
      <c r="W50" s="408"/>
      <c r="X50" s="408"/>
      <c r="Y50" s="408"/>
      <c r="Z50" s="408"/>
    </row>
    <row r="51" ht="14.25" customHeight="1">
      <c r="A51" s="568" t="s">
        <v>1021</v>
      </c>
      <c r="B51" s="575" t="s">
        <v>1022</v>
      </c>
      <c r="C51" s="564"/>
      <c r="D51" s="565"/>
      <c r="E51" s="566"/>
      <c r="F51" s="567"/>
      <c r="G51" s="565"/>
      <c r="H51" s="566"/>
      <c r="I51" s="567"/>
      <c r="J51" s="565"/>
      <c r="K51" s="566"/>
      <c r="L51" s="567"/>
      <c r="M51" s="408"/>
      <c r="N51" s="408"/>
      <c r="O51" s="408"/>
      <c r="P51" s="408"/>
      <c r="Q51" s="408"/>
      <c r="R51" s="408"/>
      <c r="S51" s="408"/>
      <c r="T51" s="408"/>
      <c r="U51" s="408"/>
      <c r="V51" s="408"/>
      <c r="W51" s="408"/>
      <c r="X51" s="408"/>
      <c r="Y51" s="408"/>
      <c r="Z51" s="408"/>
    </row>
    <row r="52" ht="14.25" customHeight="1">
      <c r="A52" s="568"/>
      <c r="B52" s="575" t="s">
        <v>243</v>
      </c>
      <c r="C52" s="564"/>
      <c r="D52" s="565"/>
      <c r="E52" s="566"/>
      <c r="F52" s="567"/>
      <c r="G52" s="565"/>
      <c r="H52" s="566"/>
      <c r="I52" s="567"/>
      <c r="J52" s="565"/>
      <c r="K52" s="566"/>
      <c r="L52" s="567"/>
      <c r="M52" s="408"/>
      <c r="N52" s="408"/>
      <c r="O52" s="408"/>
      <c r="P52" s="408"/>
      <c r="Q52" s="408"/>
      <c r="R52" s="408"/>
      <c r="S52" s="408"/>
      <c r="T52" s="408"/>
      <c r="U52" s="408"/>
      <c r="V52" s="408"/>
      <c r="W52" s="408"/>
      <c r="X52" s="408"/>
      <c r="Y52" s="408"/>
      <c r="Z52" s="408"/>
    </row>
    <row r="53" ht="14.25" customHeight="1">
      <c r="A53" s="568"/>
      <c r="B53" s="569" t="s">
        <v>1023</v>
      </c>
      <c r="C53" s="564" t="s">
        <v>34</v>
      </c>
      <c r="D53" s="570"/>
      <c r="E53" s="570"/>
      <c r="F53" s="570"/>
      <c r="G53" s="565"/>
      <c r="H53" s="566"/>
      <c r="I53" s="567"/>
      <c r="J53" s="565"/>
      <c r="K53" s="566"/>
      <c r="L53" s="567"/>
      <c r="M53" s="408"/>
      <c r="N53" s="408"/>
      <c r="O53" s="408"/>
      <c r="P53" s="408"/>
      <c r="Q53" s="408"/>
      <c r="R53" s="408"/>
      <c r="S53" s="408"/>
      <c r="T53" s="408"/>
      <c r="U53" s="408"/>
      <c r="V53" s="408"/>
      <c r="W53" s="408"/>
      <c r="X53" s="408"/>
      <c r="Y53" s="408"/>
      <c r="Z53" s="408"/>
    </row>
    <row r="54" ht="14.25" customHeight="1">
      <c r="A54" s="568"/>
      <c r="B54" s="569" t="s">
        <v>1024</v>
      </c>
      <c r="C54" s="564" t="s">
        <v>34</v>
      </c>
      <c r="D54" s="570"/>
      <c r="E54" s="570"/>
      <c r="F54" s="570"/>
      <c r="G54" s="565"/>
      <c r="H54" s="566"/>
      <c r="I54" s="567"/>
      <c r="J54" s="565"/>
      <c r="K54" s="566"/>
      <c r="L54" s="567"/>
      <c r="M54" s="408"/>
      <c r="N54" s="408"/>
      <c r="O54" s="408"/>
      <c r="P54" s="408"/>
      <c r="Q54" s="408"/>
      <c r="R54" s="408"/>
      <c r="S54" s="408"/>
      <c r="T54" s="408"/>
      <c r="U54" s="408"/>
      <c r="V54" s="408"/>
      <c r="W54" s="408"/>
      <c r="X54" s="408"/>
      <c r="Y54" s="408"/>
      <c r="Z54" s="408"/>
    </row>
    <row r="55" ht="14.25" customHeight="1">
      <c r="A55" s="568"/>
      <c r="B55" s="569"/>
      <c r="C55" s="564"/>
      <c r="D55" s="565"/>
      <c r="E55" s="566"/>
      <c r="F55" s="567"/>
      <c r="G55" s="565"/>
      <c r="H55" s="566"/>
      <c r="I55" s="567"/>
      <c r="J55" s="565"/>
      <c r="K55" s="566"/>
      <c r="L55" s="567"/>
      <c r="M55" s="408"/>
      <c r="N55" s="408"/>
      <c r="O55" s="408"/>
      <c r="P55" s="408"/>
      <c r="Q55" s="408"/>
      <c r="R55" s="408"/>
      <c r="S55" s="408"/>
      <c r="T55" s="408"/>
      <c r="U55" s="408"/>
      <c r="V55" s="408"/>
      <c r="W55" s="408"/>
      <c r="X55" s="408"/>
      <c r="Y55" s="408"/>
      <c r="Z55" s="408"/>
    </row>
    <row r="56" ht="14.25" customHeight="1">
      <c r="A56" s="568"/>
      <c r="B56" s="575" t="s">
        <v>1025</v>
      </c>
      <c r="C56" s="564"/>
      <c r="D56" s="565"/>
      <c r="E56" s="566"/>
      <c r="F56" s="567"/>
      <c r="G56" s="565"/>
      <c r="H56" s="566"/>
      <c r="I56" s="567"/>
      <c r="J56" s="565"/>
      <c r="K56" s="566"/>
      <c r="L56" s="567"/>
      <c r="M56" s="408"/>
      <c r="N56" s="408"/>
      <c r="O56" s="408"/>
      <c r="P56" s="408"/>
      <c r="Q56" s="408"/>
      <c r="R56" s="408"/>
      <c r="S56" s="408"/>
      <c r="T56" s="408"/>
      <c r="U56" s="408"/>
      <c r="V56" s="408"/>
      <c r="W56" s="408"/>
      <c r="X56" s="408"/>
      <c r="Y56" s="408"/>
      <c r="Z56" s="408"/>
    </row>
    <row r="57" ht="14.25" customHeight="1">
      <c r="A57" s="568"/>
      <c r="B57" s="569" t="s">
        <v>1026</v>
      </c>
      <c r="C57" s="564" t="s">
        <v>34</v>
      </c>
      <c r="D57" s="570"/>
      <c r="E57" s="570"/>
      <c r="F57" s="570"/>
      <c r="G57" s="565"/>
      <c r="H57" s="566"/>
      <c r="I57" s="567"/>
      <c r="J57" s="565"/>
      <c r="K57" s="566"/>
      <c r="L57" s="567"/>
      <c r="M57" s="408"/>
      <c r="N57" s="408"/>
      <c r="O57" s="408"/>
      <c r="P57" s="408"/>
      <c r="Q57" s="408"/>
      <c r="R57" s="408"/>
      <c r="S57" s="408"/>
      <c r="T57" s="408"/>
      <c r="U57" s="408"/>
      <c r="V57" s="408"/>
      <c r="W57" s="408"/>
      <c r="X57" s="408"/>
      <c r="Y57" s="408"/>
      <c r="Z57" s="408"/>
    </row>
    <row r="58" ht="14.25" customHeight="1">
      <c r="A58" s="568"/>
      <c r="B58" s="569" t="s">
        <v>1027</v>
      </c>
      <c r="C58" s="564" t="s">
        <v>34</v>
      </c>
      <c r="D58" s="570"/>
      <c r="E58" s="570"/>
      <c r="F58" s="570"/>
      <c r="G58" s="565"/>
      <c r="H58" s="566"/>
      <c r="I58" s="567"/>
      <c r="J58" s="565"/>
      <c r="K58" s="566"/>
      <c r="L58" s="567"/>
      <c r="M58" s="408"/>
      <c r="N58" s="408"/>
      <c r="O58" s="408"/>
      <c r="P58" s="408"/>
      <c r="Q58" s="408"/>
      <c r="R58" s="408"/>
      <c r="S58" s="408"/>
      <c r="T58" s="408"/>
      <c r="U58" s="408"/>
      <c r="V58" s="408"/>
      <c r="W58" s="408"/>
      <c r="X58" s="408"/>
      <c r="Y58" s="408"/>
      <c r="Z58" s="408"/>
    </row>
    <row r="59" ht="14.25" customHeight="1">
      <c r="A59" s="568"/>
      <c r="B59" s="569" t="s">
        <v>1028</v>
      </c>
      <c r="C59" s="564" t="s">
        <v>32</v>
      </c>
      <c r="D59" s="570"/>
      <c r="E59" s="570"/>
      <c r="F59" s="570"/>
      <c r="G59" s="565"/>
      <c r="H59" s="566"/>
      <c r="I59" s="567"/>
      <c r="J59" s="565"/>
      <c r="K59" s="566"/>
      <c r="L59" s="567"/>
      <c r="M59" s="408"/>
      <c r="N59" s="408"/>
      <c r="O59" s="408"/>
      <c r="P59" s="408"/>
      <c r="Q59" s="408"/>
      <c r="R59" s="408"/>
      <c r="S59" s="408"/>
      <c r="T59" s="408"/>
      <c r="U59" s="408"/>
      <c r="V59" s="408"/>
      <c r="W59" s="408"/>
      <c r="X59" s="408"/>
      <c r="Y59" s="408"/>
      <c r="Z59" s="408"/>
    </row>
    <row r="60" ht="14.25" customHeight="1">
      <c r="A60" s="568"/>
      <c r="B60" s="569"/>
      <c r="C60" s="564"/>
      <c r="D60" s="565"/>
      <c r="E60" s="566"/>
      <c r="F60" s="567"/>
      <c r="G60" s="565"/>
      <c r="H60" s="566"/>
      <c r="I60" s="567"/>
      <c r="J60" s="565"/>
      <c r="K60" s="566"/>
      <c r="L60" s="567"/>
      <c r="M60" s="408"/>
      <c r="N60" s="408"/>
      <c r="O60" s="408"/>
      <c r="P60" s="408"/>
      <c r="Q60" s="408"/>
      <c r="R60" s="408"/>
      <c r="S60" s="408"/>
      <c r="T60" s="408"/>
      <c r="U60" s="408"/>
      <c r="V60" s="408"/>
      <c r="W60" s="408"/>
      <c r="X60" s="408"/>
      <c r="Y60" s="408"/>
      <c r="Z60" s="408"/>
    </row>
    <row r="61" ht="14.25" customHeight="1">
      <c r="A61" s="568"/>
      <c r="B61" s="575" t="s">
        <v>1029</v>
      </c>
      <c r="C61" s="564"/>
      <c r="D61" s="565"/>
      <c r="E61" s="566"/>
      <c r="F61" s="567"/>
      <c r="G61" s="565"/>
      <c r="H61" s="566"/>
      <c r="I61" s="567"/>
      <c r="J61" s="565"/>
      <c r="K61" s="566"/>
      <c r="L61" s="567"/>
      <c r="M61" s="408"/>
      <c r="N61" s="408"/>
      <c r="O61" s="408"/>
      <c r="P61" s="408"/>
      <c r="Q61" s="408"/>
      <c r="R61" s="408"/>
      <c r="S61" s="408"/>
      <c r="T61" s="408"/>
      <c r="U61" s="408"/>
      <c r="V61" s="408"/>
      <c r="W61" s="408"/>
      <c r="X61" s="408"/>
      <c r="Y61" s="408"/>
      <c r="Z61" s="408"/>
    </row>
    <row r="62" ht="14.25" customHeight="1">
      <c r="A62" s="568"/>
      <c r="B62" s="569" t="s">
        <v>1030</v>
      </c>
      <c r="C62" s="564" t="s">
        <v>34</v>
      </c>
      <c r="D62" s="570"/>
      <c r="E62" s="570"/>
      <c r="F62" s="570"/>
      <c r="G62" s="565"/>
      <c r="H62" s="566"/>
      <c r="I62" s="567"/>
      <c r="J62" s="565"/>
      <c r="K62" s="566"/>
      <c r="L62" s="567"/>
      <c r="M62" s="408"/>
      <c r="N62" s="408"/>
      <c r="O62" s="408"/>
      <c r="P62" s="408"/>
      <c r="Q62" s="408"/>
      <c r="R62" s="408"/>
      <c r="S62" s="408"/>
      <c r="T62" s="408"/>
      <c r="U62" s="408"/>
      <c r="V62" s="408"/>
      <c r="W62" s="408"/>
      <c r="X62" s="408"/>
      <c r="Y62" s="408"/>
      <c r="Z62" s="408"/>
    </row>
    <row r="63" ht="14.25" customHeight="1">
      <c r="A63" s="568"/>
      <c r="B63" s="569" t="s">
        <v>1031</v>
      </c>
      <c r="C63" s="564" t="s">
        <v>32</v>
      </c>
      <c r="D63" s="570"/>
      <c r="E63" s="570"/>
      <c r="F63" s="570"/>
      <c r="G63" s="565"/>
      <c r="H63" s="566"/>
      <c r="I63" s="567"/>
      <c r="J63" s="565"/>
      <c r="K63" s="566"/>
      <c r="L63" s="567"/>
      <c r="M63" s="408"/>
      <c r="N63" s="408"/>
      <c r="O63" s="408"/>
      <c r="P63" s="408"/>
      <c r="Q63" s="408"/>
      <c r="R63" s="408"/>
      <c r="S63" s="408"/>
      <c r="T63" s="408"/>
      <c r="U63" s="408"/>
      <c r="V63" s="408"/>
      <c r="W63" s="408"/>
      <c r="X63" s="408"/>
      <c r="Y63" s="408"/>
      <c r="Z63" s="408"/>
    </row>
    <row r="64" ht="14.25" customHeight="1">
      <c r="A64" s="568"/>
      <c r="B64" s="569"/>
      <c r="C64" s="564"/>
      <c r="D64" s="565"/>
      <c r="E64" s="566"/>
      <c r="F64" s="567"/>
      <c r="G64" s="565"/>
      <c r="H64" s="566"/>
      <c r="I64" s="567"/>
      <c r="J64" s="565"/>
      <c r="K64" s="566"/>
      <c r="L64" s="567"/>
      <c r="M64" s="408"/>
      <c r="N64" s="408"/>
      <c r="O64" s="408"/>
      <c r="P64" s="408"/>
      <c r="Q64" s="408"/>
      <c r="R64" s="408"/>
      <c r="S64" s="408"/>
      <c r="T64" s="408"/>
      <c r="U64" s="408"/>
      <c r="V64" s="408"/>
      <c r="W64" s="408"/>
      <c r="X64" s="408"/>
      <c r="Y64" s="408"/>
      <c r="Z64" s="408"/>
    </row>
    <row r="65" ht="14.25" customHeight="1">
      <c r="A65" s="568" t="s">
        <v>1032</v>
      </c>
      <c r="B65" s="575" t="s">
        <v>348</v>
      </c>
      <c r="C65" s="564"/>
      <c r="D65" s="565"/>
      <c r="E65" s="566"/>
      <c r="F65" s="567"/>
      <c r="G65" s="565"/>
      <c r="H65" s="566"/>
      <c r="I65" s="567"/>
      <c r="J65" s="565"/>
      <c r="K65" s="566"/>
      <c r="L65" s="567"/>
      <c r="M65" s="408"/>
      <c r="N65" s="408"/>
      <c r="O65" s="408"/>
      <c r="P65" s="408"/>
      <c r="Q65" s="408"/>
      <c r="R65" s="408"/>
      <c r="S65" s="408"/>
      <c r="T65" s="408"/>
      <c r="U65" s="408"/>
      <c r="V65" s="408"/>
      <c r="W65" s="408"/>
      <c r="X65" s="408"/>
      <c r="Y65" s="408"/>
      <c r="Z65" s="408"/>
    </row>
    <row r="66" ht="14.25" customHeight="1">
      <c r="A66" s="568"/>
      <c r="B66" s="569" t="s">
        <v>1033</v>
      </c>
      <c r="C66" s="564" t="s">
        <v>34</v>
      </c>
      <c r="D66" s="570"/>
      <c r="E66" s="570"/>
      <c r="F66" s="570"/>
      <c r="G66" s="565"/>
      <c r="H66" s="566"/>
      <c r="I66" s="567"/>
      <c r="J66" s="565"/>
      <c r="K66" s="566"/>
      <c r="L66" s="567"/>
      <c r="M66" s="408"/>
      <c r="N66" s="408"/>
      <c r="O66" s="408"/>
      <c r="P66" s="408"/>
      <c r="Q66" s="408"/>
      <c r="R66" s="408"/>
      <c r="S66" s="408"/>
      <c r="T66" s="408"/>
      <c r="U66" s="408"/>
      <c r="V66" s="408"/>
      <c r="W66" s="408"/>
      <c r="X66" s="408"/>
      <c r="Y66" s="408"/>
      <c r="Z66" s="408"/>
    </row>
    <row r="67" ht="14.25" customHeight="1">
      <c r="A67" s="568"/>
      <c r="B67" s="569" t="s">
        <v>1034</v>
      </c>
      <c r="C67" s="564" t="s">
        <v>34</v>
      </c>
      <c r="D67" s="565"/>
      <c r="E67" s="566"/>
      <c r="F67" s="567"/>
      <c r="G67" s="579"/>
      <c r="H67" s="580"/>
      <c r="I67" s="583"/>
      <c r="J67" s="576"/>
      <c r="K67" s="577"/>
      <c r="L67" s="582"/>
      <c r="M67" s="408"/>
      <c r="N67" s="408"/>
      <c r="O67" s="408"/>
      <c r="P67" s="408"/>
      <c r="Q67" s="408"/>
      <c r="R67" s="408"/>
      <c r="S67" s="408"/>
      <c r="T67" s="408"/>
      <c r="U67" s="408"/>
      <c r="V67" s="408"/>
      <c r="W67" s="408"/>
      <c r="X67" s="408"/>
      <c r="Y67" s="408"/>
      <c r="Z67" s="408"/>
    </row>
    <row r="68" ht="14.25" customHeight="1">
      <c r="A68" s="568"/>
      <c r="B68" s="569" t="s">
        <v>1035</v>
      </c>
      <c r="C68" s="564" t="s">
        <v>34</v>
      </c>
      <c r="D68" s="570"/>
      <c r="E68" s="570"/>
      <c r="F68" s="570"/>
      <c r="G68" s="565"/>
      <c r="H68" s="566"/>
      <c r="I68" s="567"/>
      <c r="J68" s="565"/>
      <c r="K68" s="566"/>
      <c r="L68" s="567"/>
      <c r="M68" s="408"/>
      <c r="N68" s="408"/>
      <c r="O68" s="408"/>
      <c r="P68" s="408"/>
      <c r="Q68" s="408"/>
      <c r="R68" s="408"/>
      <c r="S68" s="408"/>
      <c r="T68" s="408"/>
      <c r="U68" s="408"/>
      <c r="V68" s="408"/>
      <c r="W68" s="408"/>
      <c r="X68" s="408"/>
      <c r="Y68" s="408"/>
      <c r="Z68" s="408"/>
    </row>
    <row r="69" ht="14.25" customHeight="1">
      <c r="A69" s="568"/>
      <c r="B69" s="569" t="s">
        <v>1036</v>
      </c>
      <c r="C69" s="564" t="s">
        <v>34</v>
      </c>
      <c r="D69" s="565"/>
      <c r="E69" s="566"/>
      <c r="F69" s="567"/>
      <c r="G69" s="579"/>
      <c r="H69" s="580"/>
      <c r="I69" s="583"/>
      <c r="J69" s="576"/>
      <c r="K69" s="577"/>
      <c r="L69" s="582"/>
      <c r="M69" s="408"/>
      <c r="N69" s="408"/>
      <c r="O69" s="408"/>
      <c r="P69" s="408"/>
      <c r="Q69" s="408"/>
      <c r="R69" s="408"/>
      <c r="S69" s="408"/>
      <c r="T69" s="408"/>
      <c r="U69" s="408"/>
      <c r="V69" s="408"/>
      <c r="W69" s="408"/>
      <c r="X69" s="408"/>
      <c r="Y69" s="408"/>
      <c r="Z69" s="408"/>
    </row>
    <row r="70" ht="14.25" customHeight="1">
      <c r="A70" s="568"/>
      <c r="B70" s="569" t="s">
        <v>1037</v>
      </c>
      <c r="C70" s="564" t="s">
        <v>34</v>
      </c>
      <c r="D70" s="570"/>
      <c r="E70" s="570"/>
      <c r="F70" s="570"/>
      <c r="G70" s="565"/>
      <c r="H70" s="566"/>
      <c r="I70" s="567"/>
      <c r="J70" s="565"/>
      <c r="K70" s="566"/>
      <c r="L70" s="567"/>
      <c r="M70" s="408"/>
      <c r="N70" s="408"/>
      <c r="O70" s="408"/>
      <c r="P70" s="408"/>
      <c r="Q70" s="408"/>
      <c r="R70" s="408"/>
      <c r="S70" s="408"/>
      <c r="T70" s="408"/>
      <c r="U70" s="408"/>
      <c r="V70" s="408"/>
      <c r="W70" s="408"/>
      <c r="X70" s="408"/>
      <c r="Y70" s="408"/>
      <c r="Z70" s="408"/>
    </row>
    <row r="71" ht="14.25" customHeight="1">
      <c r="A71" s="568"/>
      <c r="B71" s="569" t="s">
        <v>905</v>
      </c>
      <c r="C71" s="564" t="s">
        <v>34</v>
      </c>
      <c r="D71" s="565"/>
      <c r="E71" s="566"/>
      <c r="F71" s="567"/>
      <c r="G71" s="579"/>
      <c r="H71" s="580"/>
      <c r="I71" s="583"/>
      <c r="J71" s="576"/>
      <c r="K71" s="577"/>
      <c r="L71" s="582"/>
      <c r="M71" s="408"/>
      <c r="N71" s="408"/>
      <c r="O71" s="408"/>
      <c r="P71" s="408"/>
      <c r="Q71" s="408"/>
      <c r="R71" s="408"/>
      <c r="S71" s="408"/>
      <c r="T71" s="408"/>
      <c r="U71" s="408"/>
      <c r="V71" s="408"/>
      <c r="W71" s="408"/>
      <c r="X71" s="408"/>
      <c r="Y71" s="408"/>
      <c r="Z71" s="408"/>
    </row>
    <row r="72" ht="14.25" customHeight="1">
      <c r="A72" s="568"/>
      <c r="B72" s="569" t="s">
        <v>1038</v>
      </c>
      <c r="C72" s="564" t="s">
        <v>34</v>
      </c>
      <c r="D72" s="565"/>
      <c r="E72" s="566"/>
      <c r="F72" s="567"/>
      <c r="G72" s="579"/>
      <c r="H72" s="580"/>
      <c r="I72" s="583"/>
      <c r="J72" s="576"/>
      <c r="K72" s="577"/>
      <c r="L72" s="582"/>
      <c r="M72" s="408"/>
      <c r="N72" s="408"/>
      <c r="O72" s="408"/>
      <c r="P72" s="408"/>
      <c r="Q72" s="408"/>
      <c r="R72" s="408"/>
      <c r="S72" s="408"/>
      <c r="T72" s="408"/>
      <c r="U72" s="408"/>
      <c r="V72" s="408"/>
      <c r="W72" s="408"/>
      <c r="X72" s="408"/>
      <c r="Y72" s="408"/>
      <c r="Z72" s="408"/>
    </row>
    <row r="73" ht="14.25" customHeight="1">
      <c r="A73" s="568"/>
      <c r="B73" s="569" t="s">
        <v>1039</v>
      </c>
      <c r="C73" s="564" t="s">
        <v>34</v>
      </c>
      <c r="D73" s="570"/>
      <c r="E73" s="570"/>
      <c r="F73" s="570"/>
      <c r="G73" s="565"/>
      <c r="H73" s="566"/>
      <c r="I73" s="567"/>
      <c r="J73" s="565"/>
      <c r="K73" s="566"/>
      <c r="L73" s="567"/>
      <c r="M73" s="408"/>
      <c r="N73" s="408"/>
      <c r="O73" s="408"/>
      <c r="P73" s="408"/>
      <c r="Q73" s="408"/>
      <c r="R73" s="408"/>
      <c r="S73" s="408"/>
      <c r="T73" s="408"/>
      <c r="U73" s="408"/>
      <c r="V73" s="408"/>
      <c r="W73" s="408"/>
      <c r="X73" s="408"/>
      <c r="Y73" s="408"/>
      <c r="Z73" s="408"/>
    </row>
    <row r="74" ht="14.25" customHeight="1">
      <c r="A74" s="568"/>
      <c r="B74" s="569"/>
      <c r="C74" s="564"/>
      <c r="D74" s="565"/>
      <c r="E74" s="566"/>
      <c r="F74" s="567"/>
      <c r="G74" s="565"/>
      <c r="H74" s="566"/>
      <c r="I74" s="567"/>
      <c r="J74" s="565"/>
      <c r="K74" s="566"/>
      <c r="L74" s="567"/>
      <c r="M74" s="408"/>
      <c r="N74" s="408"/>
      <c r="O74" s="408"/>
      <c r="P74" s="408"/>
      <c r="Q74" s="408"/>
      <c r="R74" s="408"/>
      <c r="S74" s="408"/>
      <c r="T74" s="408"/>
      <c r="U74" s="408"/>
      <c r="V74" s="408"/>
      <c r="W74" s="408"/>
      <c r="X74" s="408"/>
      <c r="Y74" s="408"/>
      <c r="Z74" s="408"/>
    </row>
    <row r="75" ht="14.25" customHeight="1">
      <c r="A75" s="568" t="s">
        <v>964</v>
      </c>
      <c r="B75" s="575" t="s">
        <v>1040</v>
      </c>
      <c r="C75" s="564"/>
      <c r="D75" s="565"/>
      <c r="E75" s="566"/>
      <c r="F75" s="567"/>
      <c r="G75" s="565"/>
      <c r="H75" s="566"/>
      <c r="I75" s="567"/>
      <c r="J75" s="565"/>
      <c r="K75" s="566"/>
      <c r="L75" s="567"/>
      <c r="M75" s="408"/>
      <c r="N75" s="408"/>
      <c r="O75" s="408"/>
      <c r="P75" s="408"/>
      <c r="Q75" s="408"/>
      <c r="R75" s="408"/>
      <c r="S75" s="408"/>
      <c r="T75" s="408"/>
      <c r="U75" s="408"/>
      <c r="V75" s="408"/>
      <c r="W75" s="408"/>
      <c r="X75" s="408"/>
      <c r="Y75" s="408"/>
      <c r="Z75" s="408"/>
    </row>
    <row r="76" ht="14.25" customHeight="1">
      <c r="A76" s="568" t="s">
        <v>1041</v>
      </c>
      <c r="B76" s="569" t="s">
        <v>1042</v>
      </c>
      <c r="C76" s="564"/>
      <c r="D76" s="565"/>
      <c r="E76" s="566"/>
      <c r="F76" s="567"/>
      <c r="G76" s="565"/>
      <c r="H76" s="566"/>
      <c r="I76" s="567"/>
      <c r="J76" s="565"/>
      <c r="K76" s="566"/>
      <c r="L76" s="567"/>
      <c r="M76" s="408"/>
      <c r="N76" s="408"/>
      <c r="O76" s="408"/>
      <c r="P76" s="408"/>
      <c r="Q76" s="408"/>
      <c r="R76" s="408"/>
      <c r="S76" s="408"/>
      <c r="T76" s="408"/>
      <c r="U76" s="408"/>
      <c r="V76" s="408"/>
      <c r="W76" s="408"/>
      <c r="X76" s="408"/>
      <c r="Y76" s="408"/>
      <c r="Z76" s="408"/>
    </row>
    <row r="77" ht="14.25" customHeight="1">
      <c r="A77" s="568"/>
      <c r="B77" s="569" t="s">
        <v>1043</v>
      </c>
      <c r="C77" s="564" t="s">
        <v>34</v>
      </c>
      <c r="D77" s="565"/>
      <c r="E77" s="566"/>
      <c r="F77" s="567"/>
      <c r="G77" s="579"/>
      <c r="H77" s="580"/>
      <c r="I77" s="583"/>
      <c r="J77" s="576"/>
      <c r="K77" s="577"/>
      <c r="L77" s="582"/>
      <c r="M77" s="408"/>
      <c r="N77" s="408"/>
      <c r="O77" s="408"/>
      <c r="P77" s="408"/>
      <c r="Q77" s="408"/>
      <c r="R77" s="408"/>
      <c r="S77" s="408"/>
      <c r="T77" s="408"/>
      <c r="U77" s="408"/>
      <c r="V77" s="408"/>
      <c r="W77" s="408"/>
      <c r="X77" s="408"/>
      <c r="Y77" s="408"/>
      <c r="Z77" s="408"/>
    </row>
    <row r="78" ht="14.25" customHeight="1">
      <c r="A78" s="568"/>
      <c r="B78" s="569" t="s">
        <v>1044</v>
      </c>
      <c r="C78" s="564" t="s">
        <v>34</v>
      </c>
      <c r="D78" s="565"/>
      <c r="E78" s="566"/>
      <c r="F78" s="567"/>
      <c r="G78" s="579"/>
      <c r="H78" s="580"/>
      <c r="I78" s="583"/>
      <c r="J78" s="576"/>
      <c r="K78" s="577"/>
      <c r="L78" s="582"/>
      <c r="M78" s="408"/>
      <c r="N78" s="408"/>
      <c r="O78" s="408"/>
      <c r="P78" s="408"/>
      <c r="Q78" s="408"/>
      <c r="R78" s="408"/>
      <c r="S78" s="408"/>
      <c r="T78" s="408"/>
      <c r="U78" s="408"/>
      <c r="V78" s="408"/>
      <c r="W78" s="408"/>
      <c r="X78" s="408"/>
      <c r="Y78" s="408"/>
      <c r="Z78" s="408"/>
    </row>
    <row r="79" ht="14.25" customHeight="1">
      <c r="A79" s="568"/>
      <c r="B79" s="569" t="s">
        <v>1045</v>
      </c>
      <c r="C79" s="564" t="s">
        <v>34</v>
      </c>
      <c r="D79" s="565"/>
      <c r="E79" s="566"/>
      <c r="F79" s="567"/>
      <c r="G79" s="579"/>
      <c r="H79" s="580"/>
      <c r="I79" s="583"/>
      <c r="J79" s="576"/>
      <c r="K79" s="577"/>
      <c r="L79" s="582"/>
      <c r="M79" s="408"/>
      <c r="N79" s="408"/>
      <c r="O79" s="408"/>
      <c r="P79" s="408"/>
      <c r="Q79" s="408"/>
      <c r="R79" s="408"/>
      <c r="S79" s="408"/>
      <c r="T79" s="408"/>
      <c r="U79" s="408"/>
      <c r="V79" s="408"/>
      <c r="W79" s="408"/>
      <c r="X79" s="408"/>
      <c r="Y79" s="408"/>
      <c r="Z79" s="408"/>
    </row>
    <row r="80" ht="14.25" customHeight="1">
      <c r="A80" s="568"/>
      <c r="B80" s="569" t="s">
        <v>1046</v>
      </c>
      <c r="C80" s="564" t="s">
        <v>34</v>
      </c>
      <c r="D80" s="565"/>
      <c r="E80" s="566"/>
      <c r="F80" s="567"/>
      <c r="G80" s="579"/>
      <c r="H80" s="580"/>
      <c r="I80" s="583"/>
      <c r="J80" s="576"/>
      <c r="K80" s="577"/>
      <c r="L80" s="582"/>
      <c r="M80" s="408"/>
      <c r="N80" s="408"/>
      <c r="O80" s="408"/>
      <c r="P80" s="408"/>
      <c r="Q80" s="408"/>
      <c r="R80" s="408"/>
      <c r="S80" s="408"/>
      <c r="T80" s="408"/>
      <c r="U80" s="408"/>
      <c r="V80" s="408"/>
      <c r="W80" s="408"/>
      <c r="X80" s="408"/>
      <c r="Y80" s="408"/>
      <c r="Z80" s="408"/>
    </row>
    <row r="81" ht="14.25" customHeight="1">
      <c r="A81" s="568"/>
      <c r="B81" s="569"/>
      <c r="C81" s="564"/>
      <c r="D81" s="565"/>
      <c r="E81" s="566"/>
      <c r="F81" s="567"/>
      <c r="G81" s="565"/>
      <c r="H81" s="566"/>
      <c r="I81" s="567"/>
      <c r="J81" s="565"/>
      <c r="K81" s="566"/>
      <c r="L81" s="567"/>
      <c r="M81" s="408"/>
      <c r="N81" s="408"/>
      <c r="O81" s="408"/>
      <c r="P81" s="408"/>
      <c r="Q81" s="408"/>
      <c r="R81" s="408"/>
      <c r="S81" s="408"/>
      <c r="T81" s="408"/>
      <c r="U81" s="408"/>
      <c r="V81" s="408"/>
      <c r="W81" s="408"/>
      <c r="X81" s="408"/>
      <c r="Y81" s="408"/>
      <c r="Z81" s="408"/>
    </row>
    <row r="82" ht="14.25" customHeight="1">
      <c r="A82" s="568" t="s">
        <v>1047</v>
      </c>
      <c r="B82" s="575" t="s">
        <v>1048</v>
      </c>
      <c r="C82" s="564"/>
      <c r="D82" s="565"/>
      <c r="E82" s="566"/>
      <c r="F82" s="567"/>
      <c r="G82" s="565"/>
      <c r="H82" s="566"/>
      <c r="I82" s="567"/>
      <c r="J82" s="565"/>
      <c r="K82" s="566"/>
      <c r="L82" s="567"/>
      <c r="M82" s="408"/>
      <c r="N82" s="408"/>
      <c r="O82" s="408"/>
      <c r="P82" s="408"/>
      <c r="Q82" s="408"/>
      <c r="R82" s="408"/>
      <c r="S82" s="408"/>
      <c r="T82" s="408"/>
      <c r="U82" s="408"/>
      <c r="V82" s="408"/>
      <c r="W82" s="408"/>
      <c r="X82" s="408"/>
      <c r="Y82" s="408"/>
      <c r="Z82" s="408"/>
    </row>
    <row r="83" ht="14.25" customHeight="1">
      <c r="A83" s="568"/>
      <c r="B83" s="569" t="s">
        <v>1043</v>
      </c>
      <c r="C83" s="564" t="s">
        <v>34</v>
      </c>
      <c r="D83" s="565"/>
      <c r="E83" s="566"/>
      <c r="F83" s="567"/>
      <c r="G83" s="579"/>
      <c r="H83" s="580"/>
      <c r="I83" s="583"/>
      <c r="J83" s="576"/>
      <c r="K83" s="577"/>
      <c r="L83" s="582"/>
      <c r="M83" s="408"/>
      <c r="N83" s="408"/>
      <c r="O83" s="408"/>
      <c r="P83" s="408"/>
      <c r="Q83" s="408"/>
      <c r="R83" s="408"/>
      <c r="S83" s="408"/>
      <c r="T83" s="408"/>
      <c r="U83" s="408"/>
      <c r="V83" s="408"/>
      <c r="W83" s="408"/>
      <c r="X83" s="408"/>
      <c r="Y83" s="408"/>
      <c r="Z83" s="408"/>
    </row>
    <row r="84" ht="14.25" customHeight="1">
      <c r="A84" s="568"/>
      <c r="B84" s="569" t="s">
        <v>1044</v>
      </c>
      <c r="C84" s="564" t="s">
        <v>34</v>
      </c>
      <c r="D84" s="565"/>
      <c r="E84" s="566"/>
      <c r="F84" s="567"/>
      <c r="G84" s="579"/>
      <c r="H84" s="580"/>
      <c r="I84" s="583"/>
      <c r="J84" s="576"/>
      <c r="K84" s="577"/>
      <c r="L84" s="582"/>
      <c r="M84" s="408"/>
      <c r="N84" s="408"/>
      <c r="O84" s="408"/>
      <c r="P84" s="408"/>
      <c r="Q84" s="408"/>
      <c r="R84" s="408"/>
      <c r="S84" s="408"/>
      <c r="T84" s="408"/>
      <c r="U84" s="408"/>
      <c r="V84" s="408"/>
      <c r="W84" s="408"/>
      <c r="X84" s="408"/>
      <c r="Y84" s="408"/>
      <c r="Z84" s="408"/>
    </row>
    <row r="85" ht="14.25" customHeight="1">
      <c r="A85" s="568"/>
      <c r="B85" s="569" t="s">
        <v>1045</v>
      </c>
      <c r="C85" s="564" t="s">
        <v>34</v>
      </c>
      <c r="D85" s="565"/>
      <c r="E85" s="566"/>
      <c r="F85" s="567"/>
      <c r="G85" s="579"/>
      <c r="H85" s="580"/>
      <c r="I85" s="583"/>
      <c r="J85" s="576"/>
      <c r="K85" s="577"/>
      <c r="L85" s="582"/>
      <c r="M85" s="408"/>
      <c r="N85" s="408"/>
      <c r="O85" s="408"/>
      <c r="P85" s="408"/>
      <c r="Q85" s="408"/>
      <c r="R85" s="408"/>
      <c r="S85" s="408"/>
      <c r="T85" s="408"/>
      <c r="U85" s="408"/>
      <c r="V85" s="408"/>
      <c r="W85" s="408"/>
      <c r="X85" s="408"/>
      <c r="Y85" s="408"/>
      <c r="Z85" s="408"/>
    </row>
    <row r="86" ht="14.25" customHeight="1">
      <c r="A86" s="568"/>
      <c r="B86" s="569" t="s">
        <v>1046</v>
      </c>
      <c r="C86" s="564" t="s">
        <v>34</v>
      </c>
      <c r="D86" s="565"/>
      <c r="E86" s="566"/>
      <c r="F86" s="567"/>
      <c r="G86" s="579"/>
      <c r="H86" s="580"/>
      <c r="I86" s="583"/>
      <c r="J86" s="576"/>
      <c r="K86" s="577"/>
      <c r="L86" s="582"/>
      <c r="M86" s="408"/>
      <c r="N86" s="408"/>
      <c r="O86" s="408"/>
      <c r="P86" s="408"/>
      <c r="Q86" s="408"/>
      <c r="R86" s="408"/>
      <c r="S86" s="408"/>
      <c r="T86" s="408"/>
      <c r="U86" s="408"/>
      <c r="V86" s="408"/>
      <c r="W86" s="408"/>
      <c r="X86" s="408"/>
      <c r="Y86" s="408"/>
      <c r="Z86" s="408"/>
    </row>
    <row r="87" ht="14.25" customHeight="1">
      <c r="A87" s="568"/>
      <c r="B87" s="569"/>
      <c r="C87" s="564"/>
      <c r="D87" s="565"/>
      <c r="E87" s="566"/>
      <c r="F87" s="567"/>
      <c r="G87" s="565"/>
      <c r="H87" s="566"/>
      <c r="I87" s="567"/>
      <c r="J87" s="565"/>
      <c r="K87" s="566"/>
      <c r="L87" s="567"/>
      <c r="M87" s="408"/>
      <c r="N87" s="408"/>
      <c r="O87" s="408"/>
      <c r="P87" s="408"/>
      <c r="Q87" s="408"/>
      <c r="R87" s="408"/>
      <c r="S87" s="408"/>
      <c r="T87" s="408"/>
      <c r="U87" s="408"/>
      <c r="V87" s="408"/>
      <c r="W87" s="408"/>
      <c r="X87" s="408"/>
      <c r="Y87" s="408"/>
      <c r="Z87" s="408"/>
    </row>
    <row r="88" ht="14.25" customHeight="1">
      <c r="A88" s="568">
        <v>4.0</v>
      </c>
      <c r="B88" s="575" t="s">
        <v>1049</v>
      </c>
      <c r="C88" s="584"/>
      <c r="D88" s="585"/>
      <c r="E88" s="585"/>
      <c r="F88" s="567"/>
      <c r="G88" s="565"/>
      <c r="H88" s="566"/>
      <c r="I88" s="567"/>
      <c r="J88" s="565"/>
      <c r="K88" s="566"/>
      <c r="L88" s="567"/>
      <c r="M88" s="408"/>
      <c r="N88" s="408"/>
      <c r="O88" s="408"/>
      <c r="P88" s="408"/>
      <c r="Q88" s="408"/>
      <c r="R88" s="408"/>
      <c r="S88" s="408"/>
      <c r="T88" s="408"/>
      <c r="U88" s="408"/>
      <c r="V88" s="408"/>
      <c r="W88" s="408"/>
      <c r="X88" s="408"/>
      <c r="Y88" s="408"/>
      <c r="Z88" s="408"/>
    </row>
    <row r="89" ht="14.25" customHeight="1">
      <c r="A89" s="573" t="s">
        <v>1050</v>
      </c>
      <c r="B89" s="575" t="s">
        <v>1051</v>
      </c>
      <c r="C89" s="564"/>
      <c r="D89" s="565"/>
      <c r="E89" s="566"/>
      <c r="F89" s="567"/>
      <c r="G89" s="565"/>
      <c r="H89" s="566"/>
      <c r="I89" s="567"/>
      <c r="J89" s="565"/>
      <c r="K89" s="566"/>
      <c r="L89" s="567"/>
      <c r="M89" s="408"/>
      <c r="N89" s="408"/>
      <c r="O89" s="408"/>
      <c r="P89" s="408"/>
      <c r="Q89" s="408"/>
      <c r="R89" s="408"/>
      <c r="S89" s="408"/>
      <c r="T89" s="408"/>
      <c r="U89" s="408"/>
      <c r="V89" s="408"/>
      <c r="W89" s="408"/>
      <c r="X89" s="408"/>
      <c r="Y89" s="408"/>
      <c r="Z89" s="408"/>
    </row>
    <row r="90" ht="14.25" customHeight="1">
      <c r="A90" s="568"/>
      <c r="B90" s="569" t="s">
        <v>1052</v>
      </c>
      <c r="C90" s="564" t="s">
        <v>32</v>
      </c>
      <c r="D90" s="570"/>
      <c r="E90" s="570"/>
      <c r="F90" s="570"/>
      <c r="G90" s="565"/>
      <c r="H90" s="566"/>
      <c r="I90" s="567"/>
      <c r="J90" s="565"/>
      <c r="K90" s="566"/>
      <c r="L90" s="567"/>
      <c r="M90" s="408"/>
      <c r="N90" s="408"/>
      <c r="O90" s="408"/>
      <c r="P90" s="408"/>
      <c r="Q90" s="408"/>
      <c r="R90" s="408"/>
      <c r="S90" s="408"/>
      <c r="T90" s="408"/>
      <c r="U90" s="408"/>
      <c r="V90" s="408"/>
      <c r="W90" s="408"/>
      <c r="X90" s="408"/>
      <c r="Y90" s="408"/>
      <c r="Z90" s="408"/>
    </row>
    <row r="91" ht="14.25" customHeight="1">
      <c r="A91" s="568"/>
      <c r="B91" s="569" t="s">
        <v>1053</v>
      </c>
      <c r="C91" s="564" t="s">
        <v>32</v>
      </c>
      <c r="D91" s="570"/>
      <c r="E91" s="570"/>
      <c r="F91" s="570"/>
      <c r="G91" s="565"/>
      <c r="H91" s="566"/>
      <c r="I91" s="567"/>
      <c r="J91" s="565"/>
      <c r="K91" s="566"/>
      <c r="L91" s="567"/>
      <c r="M91" s="408"/>
      <c r="N91" s="408"/>
      <c r="O91" s="408"/>
      <c r="P91" s="408"/>
      <c r="Q91" s="408"/>
      <c r="R91" s="408"/>
      <c r="S91" s="408"/>
      <c r="T91" s="408"/>
      <c r="U91" s="408"/>
      <c r="V91" s="408"/>
      <c r="W91" s="408"/>
      <c r="X91" s="408"/>
      <c r="Y91" s="408"/>
      <c r="Z91" s="408"/>
    </row>
    <row r="92" ht="14.25" customHeight="1">
      <c r="A92" s="568"/>
      <c r="B92" s="569" t="s">
        <v>1054</v>
      </c>
      <c r="C92" s="564" t="s">
        <v>51</v>
      </c>
      <c r="D92" s="570"/>
      <c r="E92" s="570"/>
      <c r="F92" s="570"/>
      <c r="G92" s="565"/>
      <c r="H92" s="566"/>
      <c r="I92" s="567"/>
      <c r="J92" s="565"/>
      <c r="K92" s="566"/>
      <c r="L92" s="567"/>
      <c r="M92" s="408"/>
      <c r="N92" s="408"/>
      <c r="O92" s="408"/>
      <c r="P92" s="408"/>
      <c r="Q92" s="408"/>
      <c r="R92" s="408"/>
      <c r="S92" s="408"/>
      <c r="T92" s="408"/>
      <c r="U92" s="408"/>
      <c r="V92" s="408"/>
      <c r="W92" s="408"/>
      <c r="X92" s="408"/>
      <c r="Y92" s="408"/>
      <c r="Z92" s="408"/>
    </row>
    <row r="93" ht="14.25" customHeight="1">
      <c r="A93" s="568"/>
      <c r="B93" s="569" t="s">
        <v>1055</v>
      </c>
      <c r="C93" s="564" t="s">
        <v>51</v>
      </c>
      <c r="D93" s="570"/>
      <c r="E93" s="570"/>
      <c r="F93" s="570"/>
      <c r="G93" s="565"/>
      <c r="H93" s="566"/>
      <c r="I93" s="567"/>
      <c r="J93" s="565"/>
      <c r="K93" s="566"/>
      <c r="L93" s="567"/>
      <c r="M93" s="408"/>
      <c r="N93" s="408"/>
      <c r="O93" s="408"/>
      <c r="P93" s="408"/>
      <c r="Q93" s="408"/>
      <c r="R93" s="408"/>
      <c r="S93" s="408"/>
      <c r="T93" s="408"/>
      <c r="U93" s="408"/>
      <c r="V93" s="408"/>
      <c r="W93" s="408"/>
      <c r="X93" s="408"/>
      <c r="Y93" s="408"/>
      <c r="Z93" s="408"/>
    </row>
    <row r="94" ht="14.25" customHeight="1">
      <c r="A94" s="568"/>
      <c r="B94" s="569"/>
      <c r="C94" s="564"/>
      <c r="D94" s="565"/>
      <c r="E94" s="566"/>
      <c r="F94" s="567"/>
      <c r="G94" s="565"/>
      <c r="H94" s="566"/>
      <c r="I94" s="567"/>
      <c r="J94" s="565"/>
      <c r="K94" s="566"/>
      <c r="L94" s="567"/>
      <c r="M94" s="408"/>
      <c r="N94" s="408"/>
      <c r="O94" s="408"/>
      <c r="P94" s="408"/>
      <c r="Q94" s="408"/>
      <c r="R94" s="408"/>
      <c r="S94" s="408"/>
      <c r="T94" s="408"/>
      <c r="U94" s="408"/>
      <c r="V94" s="408"/>
      <c r="W94" s="408"/>
      <c r="X94" s="408"/>
      <c r="Y94" s="408"/>
      <c r="Z94" s="408"/>
    </row>
    <row r="95" ht="14.25" customHeight="1">
      <c r="A95" s="568" t="s">
        <v>1056</v>
      </c>
      <c r="B95" s="575" t="s">
        <v>441</v>
      </c>
      <c r="C95" s="564"/>
      <c r="D95" s="565"/>
      <c r="E95" s="566"/>
      <c r="F95" s="567"/>
      <c r="G95" s="565"/>
      <c r="H95" s="566"/>
      <c r="I95" s="567"/>
      <c r="J95" s="565"/>
      <c r="K95" s="566"/>
      <c r="L95" s="567"/>
      <c r="M95" s="408"/>
      <c r="N95" s="408"/>
      <c r="O95" s="408"/>
      <c r="P95" s="408"/>
      <c r="Q95" s="408"/>
      <c r="R95" s="408"/>
      <c r="S95" s="408"/>
      <c r="T95" s="408"/>
      <c r="U95" s="408"/>
      <c r="V95" s="408"/>
      <c r="W95" s="408"/>
      <c r="X95" s="408"/>
      <c r="Y95" s="408"/>
      <c r="Z95" s="408"/>
    </row>
    <row r="96" ht="14.25" customHeight="1">
      <c r="A96" s="568"/>
      <c r="B96" s="569" t="s">
        <v>1057</v>
      </c>
      <c r="C96" s="564" t="s">
        <v>34</v>
      </c>
      <c r="D96" s="565"/>
      <c r="E96" s="566"/>
      <c r="F96" s="567"/>
      <c r="G96" s="579"/>
      <c r="H96" s="580"/>
      <c r="I96" s="583"/>
      <c r="J96" s="576"/>
      <c r="K96" s="577"/>
      <c r="L96" s="582"/>
      <c r="M96" s="408"/>
      <c r="N96" s="408"/>
      <c r="O96" s="408"/>
      <c r="P96" s="408"/>
      <c r="Q96" s="408"/>
      <c r="R96" s="408"/>
      <c r="S96" s="408"/>
      <c r="T96" s="408"/>
      <c r="U96" s="408"/>
      <c r="V96" s="408"/>
      <c r="W96" s="408"/>
      <c r="X96" s="408"/>
      <c r="Y96" s="408"/>
      <c r="Z96" s="408"/>
    </row>
    <row r="97" ht="14.25" customHeight="1">
      <c r="A97" s="568"/>
      <c r="B97" s="569"/>
      <c r="C97" s="564"/>
      <c r="D97" s="565"/>
      <c r="E97" s="566"/>
      <c r="F97" s="567"/>
      <c r="G97" s="565"/>
      <c r="H97" s="566"/>
      <c r="I97" s="567"/>
      <c r="J97" s="565"/>
      <c r="K97" s="566"/>
      <c r="L97" s="567"/>
      <c r="M97" s="408"/>
      <c r="N97" s="408"/>
      <c r="O97" s="408"/>
      <c r="P97" s="408"/>
      <c r="Q97" s="408"/>
      <c r="R97" s="408"/>
      <c r="S97" s="408"/>
      <c r="T97" s="408"/>
      <c r="U97" s="408"/>
      <c r="V97" s="408"/>
      <c r="W97" s="408"/>
      <c r="X97" s="408"/>
      <c r="Y97" s="408"/>
      <c r="Z97" s="408"/>
    </row>
    <row r="98" ht="14.25" customHeight="1">
      <c r="A98" s="568" t="s">
        <v>1058</v>
      </c>
      <c r="B98" s="575" t="s">
        <v>1059</v>
      </c>
      <c r="C98" s="564"/>
      <c r="D98" s="565"/>
      <c r="E98" s="566"/>
      <c r="F98" s="567"/>
      <c r="G98" s="565"/>
      <c r="H98" s="566"/>
      <c r="I98" s="567"/>
      <c r="J98" s="565"/>
      <c r="K98" s="566"/>
      <c r="L98" s="567"/>
      <c r="M98" s="408"/>
      <c r="N98" s="408"/>
      <c r="O98" s="408"/>
      <c r="P98" s="408"/>
      <c r="Q98" s="408"/>
      <c r="R98" s="408"/>
      <c r="S98" s="408"/>
      <c r="T98" s="408"/>
      <c r="U98" s="408"/>
      <c r="V98" s="408"/>
      <c r="W98" s="408"/>
      <c r="X98" s="408"/>
      <c r="Y98" s="408"/>
      <c r="Z98" s="408"/>
    </row>
    <row r="99" ht="14.25" customHeight="1">
      <c r="A99" s="568"/>
      <c r="B99" s="569" t="s">
        <v>1060</v>
      </c>
      <c r="C99" s="564" t="s">
        <v>34</v>
      </c>
      <c r="D99" s="565"/>
      <c r="E99" s="566"/>
      <c r="F99" s="567"/>
      <c r="G99" s="579"/>
      <c r="H99" s="580"/>
      <c r="I99" s="583"/>
      <c r="J99" s="576"/>
      <c r="K99" s="577"/>
      <c r="L99" s="582"/>
      <c r="M99" s="408"/>
      <c r="N99" s="408"/>
      <c r="O99" s="408"/>
      <c r="P99" s="408"/>
      <c r="Q99" s="408"/>
      <c r="R99" s="408"/>
      <c r="S99" s="408"/>
      <c r="T99" s="408"/>
      <c r="U99" s="408"/>
      <c r="V99" s="408"/>
      <c r="W99" s="408"/>
      <c r="X99" s="408"/>
      <c r="Y99" s="408"/>
      <c r="Z99" s="408"/>
    </row>
    <row r="100" ht="14.25" customHeight="1">
      <c r="A100" s="568"/>
      <c r="B100" s="569" t="s">
        <v>1061</v>
      </c>
      <c r="C100" s="564" t="s">
        <v>34</v>
      </c>
      <c r="D100" s="565"/>
      <c r="E100" s="566"/>
      <c r="F100" s="567"/>
      <c r="G100" s="579"/>
      <c r="H100" s="580"/>
      <c r="I100" s="583"/>
      <c r="J100" s="576"/>
      <c r="K100" s="577"/>
      <c r="L100" s="582"/>
      <c r="M100" s="408"/>
      <c r="N100" s="408"/>
      <c r="O100" s="408"/>
      <c r="P100" s="408"/>
      <c r="Q100" s="408"/>
      <c r="R100" s="408"/>
      <c r="S100" s="408"/>
      <c r="T100" s="408"/>
      <c r="U100" s="408"/>
      <c r="V100" s="408"/>
      <c r="W100" s="408"/>
      <c r="X100" s="408"/>
      <c r="Y100" s="408"/>
      <c r="Z100" s="408"/>
    </row>
    <row r="101" ht="14.25" customHeight="1">
      <c r="A101" s="568"/>
      <c r="B101" s="569"/>
      <c r="C101" s="564"/>
      <c r="D101" s="565"/>
      <c r="E101" s="566"/>
      <c r="F101" s="567"/>
      <c r="G101" s="565"/>
      <c r="H101" s="566"/>
      <c r="I101" s="567"/>
      <c r="J101" s="565"/>
      <c r="K101" s="566"/>
      <c r="L101" s="567"/>
      <c r="M101" s="408"/>
      <c r="N101" s="408"/>
      <c r="O101" s="408"/>
      <c r="P101" s="408"/>
      <c r="Q101" s="408"/>
      <c r="R101" s="408"/>
      <c r="S101" s="408"/>
      <c r="T101" s="408"/>
      <c r="U101" s="408"/>
      <c r="V101" s="408"/>
      <c r="W101" s="408"/>
      <c r="X101" s="408"/>
      <c r="Y101" s="408"/>
      <c r="Z101" s="408"/>
    </row>
    <row r="102" ht="14.25" customHeight="1">
      <c r="A102" s="568" t="s">
        <v>1062</v>
      </c>
      <c r="B102" s="575" t="s">
        <v>1063</v>
      </c>
      <c r="C102" s="564"/>
      <c r="D102" s="565"/>
      <c r="E102" s="566"/>
      <c r="F102" s="567"/>
      <c r="G102" s="565"/>
      <c r="H102" s="566"/>
      <c r="I102" s="567"/>
      <c r="J102" s="565"/>
      <c r="K102" s="566"/>
      <c r="L102" s="567"/>
      <c r="M102" s="408"/>
      <c r="N102" s="408"/>
      <c r="O102" s="408"/>
      <c r="P102" s="408"/>
      <c r="Q102" s="408"/>
      <c r="R102" s="408"/>
      <c r="S102" s="408"/>
      <c r="T102" s="408"/>
      <c r="U102" s="408"/>
      <c r="V102" s="408"/>
      <c r="W102" s="408"/>
      <c r="X102" s="408"/>
      <c r="Y102" s="408"/>
      <c r="Z102" s="408"/>
    </row>
    <row r="103" ht="14.25" customHeight="1">
      <c r="A103" s="568"/>
      <c r="B103" s="569" t="s">
        <v>584</v>
      </c>
      <c r="C103" s="564" t="s">
        <v>34</v>
      </c>
      <c r="D103" s="565"/>
      <c r="E103" s="566"/>
      <c r="F103" s="567"/>
      <c r="G103" s="579"/>
      <c r="H103" s="580"/>
      <c r="I103" s="583"/>
      <c r="J103" s="576"/>
      <c r="K103" s="577"/>
      <c r="L103" s="582"/>
      <c r="M103" s="408"/>
      <c r="N103" s="408"/>
      <c r="O103" s="408"/>
      <c r="P103" s="408"/>
      <c r="Q103" s="408"/>
      <c r="R103" s="408"/>
      <c r="S103" s="408"/>
      <c r="T103" s="408"/>
      <c r="U103" s="408"/>
      <c r="V103" s="408"/>
      <c r="W103" s="408"/>
      <c r="X103" s="408"/>
      <c r="Y103" s="408"/>
      <c r="Z103" s="408"/>
    </row>
    <row r="104" ht="14.25" customHeight="1">
      <c r="A104" s="568"/>
      <c r="B104" s="569" t="s">
        <v>1064</v>
      </c>
      <c r="C104" s="564" t="s">
        <v>34</v>
      </c>
      <c r="D104" s="565"/>
      <c r="E104" s="566"/>
      <c r="F104" s="567"/>
      <c r="G104" s="579"/>
      <c r="H104" s="580"/>
      <c r="I104" s="583"/>
      <c r="J104" s="576"/>
      <c r="K104" s="577"/>
      <c r="L104" s="582"/>
      <c r="M104" s="408"/>
      <c r="N104" s="408"/>
      <c r="O104" s="408"/>
      <c r="P104" s="408"/>
      <c r="Q104" s="408"/>
      <c r="R104" s="408"/>
      <c r="S104" s="408"/>
      <c r="T104" s="408"/>
      <c r="U104" s="408"/>
      <c r="V104" s="408"/>
      <c r="W104" s="408"/>
      <c r="X104" s="408"/>
      <c r="Y104" s="408"/>
      <c r="Z104" s="408"/>
    </row>
    <row r="105" ht="14.25" customHeight="1">
      <c r="A105" s="568"/>
      <c r="B105" s="569" t="s">
        <v>1065</v>
      </c>
      <c r="C105" s="564" t="s">
        <v>34</v>
      </c>
      <c r="D105" s="565"/>
      <c r="E105" s="566"/>
      <c r="F105" s="567"/>
      <c r="G105" s="579"/>
      <c r="H105" s="580"/>
      <c r="I105" s="583"/>
      <c r="J105" s="576"/>
      <c r="K105" s="577"/>
      <c r="L105" s="582"/>
      <c r="M105" s="408"/>
      <c r="N105" s="408"/>
      <c r="O105" s="408"/>
      <c r="P105" s="408"/>
      <c r="Q105" s="408"/>
      <c r="R105" s="408"/>
      <c r="S105" s="408"/>
      <c r="T105" s="408"/>
      <c r="U105" s="408"/>
      <c r="V105" s="408"/>
      <c r="W105" s="408"/>
      <c r="X105" s="408"/>
      <c r="Y105" s="408"/>
      <c r="Z105" s="408"/>
    </row>
    <row r="106" ht="14.25" customHeight="1">
      <c r="A106" s="568"/>
      <c r="B106" s="569" t="s">
        <v>1066</v>
      </c>
      <c r="C106" s="564" t="s">
        <v>34</v>
      </c>
      <c r="D106" s="565"/>
      <c r="E106" s="566"/>
      <c r="F106" s="567"/>
      <c r="G106" s="579"/>
      <c r="H106" s="580"/>
      <c r="I106" s="583"/>
      <c r="J106" s="576"/>
      <c r="K106" s="577"/>
      <c r="L106" s="582"/>
      <c r="M106" s="408"/>
      <c r="N106" s="408"/>
      <c r="O106" s="408"/>
      <c r="P106" s="408"/>
      <c r="Q106" s="408"/>
      <c r="R106" s="408"/>
      <c r="S106" s="408"/>
      <c r="T106" s="408"/>
      <c r="U106" s="408"/>
      <c r="V106" s="408"/>
      <c r="W106" s="408"/>
      <c r="X106" s="408"/>
      <c r="Y106" s="408"/>
      <c r="Z106" s="408"/>
    </row>
    <row r="107" ht="14.25" customHeight="1">
      <c r="A107" s="568"/>
      <c r="B107" s="569" t="s">
        <v>1067</v>
      </c>
      <c r="C107" s="564" t="s">
        <v>34</v>
      </c>
      <c r="D107" s="565"/>
      <c r="E107" s="566"/>
      <c r="F107" s="567"/>
      <c r="G107" s="579"/>
      <c r="H107" s="580"/>
      <c r="I107" s="583"/>
      <c r="J107" s="576"/>
      <c r="K107" s="577"/>
      <c r="L107" s="582"/>
      <c r="M107" s="408"/>
      <c r="N107" s="408"/>
      <c r="O107" s="408"/>
      <c r="P107" s="408"/>
      <c r="Q107" s="408"/>
      <c r="R107" s="408"/>
      <c r="S107" s="408"/>
      <c r="T107" s="408"/>
      <c r="U107" s="408"/>
      <c r="V107" s="408"/>
      <c r="W107" s="408"/>
      <c r="X107" s="408"/>
      <c r="Y107" s="408"/>
      <c r="Z107" s="408"/>
    </row>
    <row r="108" ht="14.25" customHeight="1">
      <c r="A108" s="568"/>
      <c r="B108" s="569" t="s">
        <v>1068</v>
      </c>
      <c r="C108" s="564" t="s">
        <v>32</v>
      </c>
      <c r="D108" s="565"/>
      <c r="E108" s="566"/>
      <c r="F108" s="567"/>
      <c r="G108" s="579"/>
      <c r="H108" s="580"/>
      <c r="I108" s="583"/>
      <c r="J108" s="576"/>
      <c r="K108" s="577"/>
      <c r="L108" s="582"/>
      <c r="M108" s="408"/>
      <c r="N108" s="408"/>
      <c r="O108" s="408"/>
      <c r="P108" s="408"/>
      <c r="Q108" s="408"/>
      <c r="R108" s="408"/>
      <c r="S108" s="408"/>
      <c r="T108" s="408"/>
      <c r="U108" s="408"/>
      <c r="V108" s="408"/>
      <c r="W108" s="408"/>
      <c r="X108" s="408"/>
      <c r="Y108" s="408"/>
      <c r="Z108" s="408"/>
    </row>
    <row r="109" ht="14.25" customHeight="1">
      <c r="A109" s="568"/>
      <c r="B109" s="569"/>
      <c r="C109" s="564"/>
      <c r="D109" s="565"/>
      <c r="E109" s="566"/>
      <c r="F109" s="567"/>
      <c r="G109" s="565"/>
      <c r="H109" s="566"/>
      <c r="I109" s="567"/>
      <c r="J109" s="565"/>
      <c r="K109" s="566"/>
      <c r="L109" s="567"/>
      <c r="M109" s="408"/>
      <c r="N109" s="408"/>
      <c r="O109" s="408"/>
      <c r="P109" s="408"/>
      <c r="Q109" s="408"/>
      <c r="R109" s="408"/>
      <c r="S109" s="408"/>
      <c r="T109" s="408"/>
      <c r="U109" s="408"/>
      <c r="V109" s="408"/>
      <c r="W109" s="408"/>
      <c r="X109" s="408"/>
      <c r="Y109" s="408"/>
      <c r="Z109" s="408"/>
    </row>
    <row r="110" ht="14.25" customHeight="1">
      <c r="A110" s="568" t="s">
        <v>1069</v>
      </c>
      <c r="B110" s="575" t="s">
        <v>1070</v>
      </c>
      <c r="C110" s="564"/>
      <c r="D110" s="565"/>
      <c r="E110" s="566"/>
      <c r="F110" s="567"/>
      <c r="G110" s="565"/>
      <c r="H110" s="566"/>
      <c r="I110" s="567"/>
      <c r="J110" s="565"/>
      <c r="K110" s="566"/>
      <c r="L110" s="567"/>
      <c r="M110" s="408"/>
      <c r="N110" s="408"/>
      <c r="O110" s="408"/>
      <c r="P110" s="408"/>
      <c r="Q110" s="408"/>
      <c r="R110" s="408"/>
      <c r="S110" s="408"/>
      <c r="T110" s="408"/>
      <c r="U110" s="408"/>
      <c r="V110" s="408"/>
      <c r="W110" s="408"/>
      <c r="X110" s="408"/>
      <c r="Y110" s="408"/>
      <c r="Z110" s="408"/>
    </row>
    <row r="111" ht="14.25" customHeight="1">
      <c r="A111" s="568"/>
      <c r="B111" s="569" t="s">
        <v>1071</v>
      </c>
      <c r="C111" s="564" t="s">
        <v>34</v>
      </c>
      <c r="D111" s="565"/>
      <c r="E111" s="566"/>
      <c r="F111" s="567"/>
      <c r="G111" s="579"/>
      <c r="H111" s="580"/>
      <c r="I111" s="583"/>
      <c r="J111" s="576"/>
      <c r="K111" s="577"/>
      <c r="L111" s="582"/>
      <c r="M111" s="408"/>
      <c r="N111" s="408"/>
      <c r="O111" s="408"/>
      <c r="P111" s="408"/>
      <c r="Q111" s="408"/>
      <c r="R111" s="408"/>
      <c r="S111" s="408"/>
      <c r="T111" s="408"/>
      <c r="U111" s="408"/>
      <c r="V111" s="408"/>
      <c r="W111" s="408"/>
      <c r="X111" s="408"/>
      <c r="Y111" s="408"/>
      <c r="Z111" s="408"/>
    </row>
    <row r="112" ht="14.25" customHeight="1">
      <c r="A112" s="568"/>
      <c r="B112" s="569" t="s">
        <v>1072</v>
      </c>
      <c r="C112" s="564" t="s">
        <v>34</v>
      </c>
      <c r="D112" s="565"/>
      <c r="E112" s="566"/>
      <c r="F112" s="567"/>
      <c r="G112" s="579"/>
      <c r="H112" s="580"/>
      <c r="I112" s="583"/>
      <c r="J112" s="576"/>
      <c r="K112" s="577"/>
      <c r="L112" s="582"/>
      <c r="M112" s="408"/>
      <c r="N112" s="408"/>
      <c r="O112" s="408"/>
      <c r="P112" s="408"/>
      <c r="Q112" s="408"/>
      <c r="R112" s="408"/>
      <c r="S112" s="408"/>
      <c r="T112" s="408"/>
      <c r="U112" s="408"/>
      <c r="V112" s="408"/>
      <c r="W112" s="408"/>
      <c r="X112" s="408"/>
      <c r="Y112" s="408"/>
      <c r="Z112" s="408"/>
    </row>
    <row r="113" ht="14.25" customHeight="1">
      <c r="A113" s="568"/>
      <c r="B113" s="569" t="s">
        <v>1073</v>
      </c>
      <c r="C113" s="564" t="s">
        <v>34</v>
      </c>
      <c r="D113" s="565"/>
      <c r="E113" s="566"/>
      <c r="F113" s="567"/>
      <c r="G113" s="579"/>
      <c r="H113" s="580"/>
      <c r="I113" s="583"/>
      <c r="J113" s="576"/>
      <c r="K113" s="577"/>
      <c r="L113" s="582"/>
      <c r="M113" s="408"/>
      <c r="N113" s="408"/>
      <c r="O113" s="408"/>
      <c r="P113" s="408"/>
      <c r="Q113" s="408"/>
      <c r="R113" s="408"/>
      <c r="S113" s="408"/>
      <c r="T113" s="408"/>
      <c r="U113" s="408"/>
      <c r="V113" s="408"/>
      <c r="W113" s="408"/>
      <c r="X113" s="408"/>
      <c r="Y113" s="408"/>
      <c r="Z113" s="408"/>
    </row>
    <row r="114" ht="14.25" customHeight="1">
      <c r="A114" s="568"/>
      <c r="B114" s="569"/>
      <c r="C114" s="564"/>
      <c r="D114" s="565"/>
      <c r="E114" s="566"/>
      <c r="F114" s="567"/>
      <c r="G114" s="565"/>
      <c r="H114" s="566"/>
      <c r="I114" s="567"/>
      <c r="J114" s="565"/>
      <c r="K114" s="566"/>
      <c r="L114" s="567"/>
      <c r="M114" s="408"/>
      <c r="N114" s="408"/>
      <c r="O114" s="408"/>
      <c r="P114" s="408"/>
      <c r="Q114" s="408"/>
      <c r="R114" s="408"/>
      <c r="S114" s="408"/>
      <c r="T114" s="408"/>
      <c r="U114" s="408"/>
      <c r="V114" s="408"/>
      <c r="W114" s="408"/>
      <c r="X114" s="408"/>
      <c r="Y114" s="408"/>
      <c r="Z114" s="408"/>
    </row>
    <row r="115" ht="14.25" customHeight="1">
      <c r="A115" s="568" t="s">
        <v>1074</v>
      </c>
      <c r="B115" s="575" t="s">
        <v>1075</v>
      </c>
      <c r="C115" s="564"/>
      <c r="D115" s="565"/>
      <c r="E115" s="566"/>
      <c r="F115" s="567"/>
      <c r="G115" s="565"/>
      <c r="H115" s="566"/>
      <c r="I115" s="567"/>
      <c r="J115" s="565"/>
      <c r="K115" s="566"/>
      <c r="L115" s="567"/>
      <c r="M115" s="408"/>
      <c r="N115" s="408"/>
      <c r="O115" s="408"/>
      <c r="P115" s="408"/>
      <c r="Q115" s="408"/>
      <c r="R115" s="408"/>
      <c r="S115" s="408"/>
      <c r="T115" s="408"/>
      <c r="U115" s="408"/>
      <c r="V115" s="408"/>
      <c r="W115" s="408"/>
      <c r="X115" s="408"/>
      <c r="Y115" s="408"/>
      <c r="Z115" s="408"/>
    </row>
    <row r="116" ht="14.25" customHeight="1">
      <c r="A116" s="568"/>
      <c r="B116" s="569" t="s">
        <v>1076</v>
      </c>
      <c r="C116" s="564" t="s">
        <v>34</v>
      </c>
      <c r="D116" s="565"/>
      <c r="E116" s="566"/>
      <c r="F116" s="567"/>
      <c r="G116" s="579"/>
      <c r="H116" s="580"/>
      <c r="I116" s="583"/>
      <c r="J116" s="576"/>
      <c r="K116" s="577"/>
      <c r="L116" s="582"/>
      <c r="M116" s="408"/>
      <c r="N116" s="408"/>
      <c r="O116" s="408"/>
      <c r="P116" s="408"/>
      <c r="Q116" s="408"/>
      <c r="R116" s="408"/>
      <c r="S116" s="408"/>
      <c r="T116" s="408"/>
      <c r="U116" s="408"/>
      <c r="V116" s="408"/>
      <c r="W116" s="408"/>
      <c r="X116" s="408"/>
      <c r="Y116" s="408"/>
      <c r="Z116" s="408"/>
    </row>
    <row r="117" ht="14.25" customHeight="1">
      <c r="A117" s="573"/>
      <c r="B117" s="569" t="s">
        <v>1077</v>
      </c>
      <c r="C117" s="564" t="s">
        <v>34</v>
      </c>
      <c r="D117" s="565"/>
      <c r="E117" s="566"/>
      <c r="F117" s="567"/>
      <c r="G117" s="579"/>
      <c r="H117" s="580"/>
      <c r="I117" s="583"/>
      <c r="J117" s="576"/>
      <c r="K117" s="577"/>
      <c r="L117" s="582"/>
      <c r="M117" s="408"/>
      <c r="N117" s="408"/>
      <c r="O117" s="408"/>
      <c r="P117" s="408"/>
      <c r="Q117" s="408"/>
      <c r="R117" s="408"/>
      <c r="S117" s="408"/>
      <c r="T117" s="408"/>
      <c r="U117" s="408"/>
      <c r="V117" s="408"/>
      <c r="W117" s="408"/>
      <c r="X117" s="408"/>
      <c r="Y117" s="408"/>
      <c r="Z117" s="408"/>
    </row>
    <row r="118" ht="14.25" customHeight="1">
      <c r="A118" s="586"/>
      <c r="B118" s="587"/>
      <c r="C118" s="586"/>
      <c r="D118" s="588"/>
      <c r="E118" s="588"/>
      <c r="F118" s="567"/>
      <c r="G118" s="565"/>
      <c r="H118" s="566"/>
      <c r="I118" s="567"/>
      <c r="J118" s="565"/>
      <c r="K118" s="566"/>
      <c r="L118" s="567"/>
      <c r="M118" s="408"/>
      <c r="N118" s="408"/>
      <c r="O118" s="408"/>
      <c r="P118" s="408"/>
      <c r="Q118" s="408"/>
      <c r="R118" s="408"/>
      <c r="S118" s="408"/>
      <c r="T118" s="408"/>
      <c r="U118" s="408"/>
      <c r="V118" s="408"/>
      <c r="W118" s="408"/>
      <c r="X118" s="408"/>
      <c r="Y118" s="408"/>
      <c r="Z118" s="408"/>
    </row>
    <row r="119" ht="20.25" customHeight="1">
      <c r="A119" s="589" t="s">
        <v>1078</v>
      </c>
      <c r="B119" s="415"/>
      <c r="C119" s="590"/>
      <c r="D119" s="591"/>
      <c r="E119" s="591"/>
      <c r="F119" s="592"/>
      <c r="G119" s="591"/>
      <c r="H119" s="591"/>
      <c r="I119" s="593"/>
      <c r="J119" s="591"/>
      <c r="K119" s="591"/>
      <c r="L119" s="594"/>
      <c r="M119" s="408"/>
      <c r="N119" s="408"/>
      <c r="O119" s="408"/>
      <c r="P119" s="408"/>
      <c r="Q119" s="408"/>
      <c r="R119" s="408"/>
      <c r="S119" s="408"/>
      <c r="T119" s="408"/>
      <c r="U119" s="408"/>
      <c r="V119" s="408"/>
      <c r="W119" s="408"/>
      <c r="X119" s="408"/>
      <c r="Y119" s="408"/>
      <c r="Z119" s="408"/>
    </row>
    <row r="120" ht="14.25" customHeight="1">
      <c r="A120" s="480"/>
      <c r="B120" s="480"/>
      <c r="C120" s="480"/>
      <c r="D120" s="480"/>
      <c r="E120" s="480"/>
      <c r="F120" s="408"/>
      <c r="G120" s="408"/>
      <c r="H120" s="408"/>
      <c r="I120" s="408"/>
      <c r="J120" s="408"/>
      <c r="K120" s="408"/>
      <c r="L120" s="408"/>
      <c r="M120" s="408"/>
      <c r="N120" s="408"/>
      <c r="O120" s="408"/>
      <c r="P120" s="408"/>
      <c r="Q120" s="408"/>
      <c r="R120" s="408"/>
      <c r="S120" s="408"/>
      <c r="T120" s="408"/>
      <c r="U120" s="408"/>
      <c r="V120" s="408"/>
      <c r="W120" s="408"/>
      <c r="X120" s="408"/>
      <c r="Y120" s="408"/>
      <c r="Z120" s="408"/>
    </row>
    <row r="121" ht="14.25" customHeight="1">
      <c r="A121" s="551"/>
      <c r="B121" s="408"/>
      <c r="C121" s="408"/>
      <c r="D121" s="408"/>
      <c r="E121" s="408"/>
      <c r="F121" s="408"/>
      <c r="G121" s="408"/>
      <c r="H121" s="408"/>
      <c r="I121" s="408"/>
      <c r="J121" s="408"/>
      <c r="K121" s="408"/>
      <c r="L121" s="408"/>
      <c r="M121" s="408"/>
      <c r="N121" s="408"/>
      <c r="O121" s="408"/>
      <c r="P121" s="408"/>
      <c r="Q121" s="408"/>
      <c r="R121" s="408"/>
      <c r="S121" s="408"/>
      <c r="T121" s="408"/>
      <c r="U121" s="408"/>
      <c r="V121" s="408"/>
      <c r="W121" s="408"/>
      <c r="X121" s="408"/>
      <c r="Y121" s="408"/>
      <c r="Z121" s="408"/>
    </row>
    <row r="122" ht="14.25" customHeight="1">
      <c r="A122" s="408"/>
      <c r="B122" s="408"/>
      <c r="C122" s="552"/>
      <c r="D122" s="408"/>
      <c r="E122" s="408"/>
      <c r="F122" s="408"/>
      <c r="G122" s="408"/>
      <c r="H122" s="408"/>
      <c r="I122" s="408"/>
      <c r="J122" s="408"/>
      <c r="K122" s="408"/>
      <c r="L122" s="408"/>
      <c r="M122" s="408"/>
      <c r="N122" s="408"/>
      <c r="O122" s="408"/>
      <c r="P122" s="408"/>
      <c r="Q122" s="408"/>
      <c r="R122" s="408"/>
      <c r="S122" s="408"/>
      <c r="T122" s="408"/>
      <c r="U122" s="408"/>
      <c r="V122" s="408"/>
      <c r="W122" s="408"/>
      <c r="X122" s="408"/>
      <c r="Y122" s="408"/>
      <c r="Z122" s="408"/>
    </row>
    <row r="123" ht="14.25" customHeight="1">
      <c r="A123" s="408"/>
      <c r="B123" s="408"/>
      <c r="C123" s="552"/>
      <c r="D123" s="408"/>
      <c r="E123" s="408"/>
      <c r="F123" s="408"/>
      <c r="G123" s="408"/>
      <c r="H123" s="408"/>
      <c r="I123" s="408"/>
      <c r="J123" s="408"/>
      <c r="K123" s="408"/>
      <c r="L123" s="408"/>
      <c r="M123" s="408"/>
      <c r="N123" s="408"/>
      <c r="O123" s="408"/>
      <c r="P123" s="408"/>
      <c r="Q123" s="408"/>
      <c r="R123" s="408"/>
      <c r="S123" s="408"/>
      <c r="T123" s="408"/>
      <c r="U123" s="408"/>
      <c r="V123" s="408"/>
      <c r="W123" s="408"/>
      <c r="X123" s="408"/>
      <c r="Y123" s="408"/>
      <c r="Z123" s="408"/>
    </row>
    <row r="124" ht="14.25" customHeight="1">
      <c r="A124" s="408"/>
      <c r="B124" s="408"/>
      <c r="C124" s="552"/>
      <c r="D124" s="408"/>
      <c r="E124" s="408"/>
      <c r="F124" s="408"/>
      <c r="G124" s="408"/>
      <c r="H124" s="408"/>
      <c r="I124" s="408"/>
      <c r="J124" s="408"/>
      <c r="K124" s="408"/>
      <c r="L124" s="408"/>
      <c r="M124" s="408"/>
      <c r="N124" s="408"/>
      <c r="O124" s="408"/>
      <c r="P124" s="408"/>
      <c r="Q124" s="408"/>
      <c r="R124" s="408"/>
      <c r="S124" s="408"/>
      <c r="T124" s="408"/>
      <c r="U124" s="408"/>
      <c r="V124" s="408"/>
      <c r="W124" s="408"/>
      <c r="X124" s="408"/>
      <c r="Y124" s="408"/>
      <c r="Z124" s="408"/>
    </row>
    <row r="125" ht="14.25" customHeight="1">
      <c r="A125" s="408"/>
      <c r="B125" s="408"/>
      <c r="C125" s="552"/>
      <c r="D125" s="408"/>
      <c r="E125" s="408"/>
      <c r="F125" s="408"/>
      <c r="G125" s="408"/>
      <c r="H125" s="408"/>
      <c r="I125" s="408"/>
      <c r="J125" s="408"/>
      <c r="K125" s="408"/>
      <c r="L125" s="408"/>
      <c r="M125" s="408"/>
      <c r="N125" s="408"/>
      <c r="O125" s="408"/>
      <c r="P125" s="408"/>
      <c r="Q125" s="408"/>
      <c r="R125" s="408"/>
      <c r="S125" s="408"/>
      <c r="T125" s="408"/>
      <c r="U125" s="408"/>
      <c r="V125" s="408"/>
      <c r="W125" s="408"/>
      <c r="X125" s="408"/>
      <c r="Y125" s="408"/>
      <c r="Z125" s="408"/>
    </row>
    <row r="126" ht="14.25" customHeight="1">
      <c r="A126" s="408"/>
      <c r="B126" s="408"/>
      <c r="C126" s="552"/>
      <c r="D126" s="408"/>
      <c r="E126" s="408"/>
      <c r="F126" s="408"/>
      <c r="G126" s="408"/>
      <c r="H126" s="408"/>
      <c r="I126" s="408"/>
      <c r="J126" s="408"/>
      <c r="K126" s="408"/>
      <c r="L126" s="408"/>
      <c r="M126" s="408"/>
      <c r="N126" s="408"/>
      <c r="O126" s="408"/>
      <c r="P126" s="408"/>
      <c r="Q126" s="408"/>
      <c r="R126" s="408"/>
      <c r="S126" s="408"/>
      <c r="T126" s="408"/>
      <c r="U126" s="408"/>
      <c r="V126" s="408"/>
      <c r="W126" s="408"/>
      <c r="X126" s="408"/>
      <c r="Y126" s="408"/>
      <c r="Z126" s="408"/>
    </row>
    <row r="127" ht="14.25" customHeight="1">
      <c r="A127" s="408"/>
      <c r="B127" s="408"/>
      <c r="C127" s="552"/>
      <c r="D127" s="408"/>
      <c r="E127" s="408"/>
      <c r="F127" s="408"/>
      <c r="G127" s="408"/>
      <c r="H127" s="408"/>
      <c r="I127" s="408"/>
      <c r="J127" s="408"/>
      <c r="K127" s="408"/>
      <c r="L127" s="408"/>
      <c r="M127" s="408"/>
      <c r="N127" s="408"/>
      <c r="O127" s="408"/>
      <c r="P127" s="408"/>
      <c r="Q127" s="408"/>
      <c r="R127" s="408"/>
      <c r="S127" s="408"/>
      <c r="T127" s="408"/>
      <c r="U127" s="408"/>
      <c r="V127" s="408"/>
      <c r="W127" s="408"/>
      <c r="X127" s="408"/>
      <c r="Y127" s="408"/>
      <c r="Z127" s="408"/>
    </row>
    <row r="128" ht="14.25" customHeight="1">
      <c r="A128" s="408"/>
      <c r="B128" s="408"/>
      <c r="C128" s="552"/>
      <c r="D128" s="408"/>
      <c r="E128" s="408"/>
      <c r="F128" s="408"/>
      <c r="G128" s="408"/>
      <c r="H128" s="408"/>
      <c r="I128" s="408"/>
      <c r="J128" s="408"/>
      <c r="K128" s="408"/>
      <c r="L128" s="408"/>
      <c r="M128" s="408"/>
      <c r="N128" s="408"/>
      <c r="O128" s="408"/>
      <c r="P128" s="408"/>
      <c r="Q128" s="408"/>
      <c r="R128" s="408"/>
      <c r="S128" s="408"/>
      <c r="T128" s="408"/>
      <c r="U128" s="408"/>
      <c r="V128" s="408"/>
      <c r="W128" s="408"/>
      <c r="X128" s="408"/>
      <c r="Y128" s="408"/>
      <c r="Z128" s="408"/>
    </row>
    <row r="129" ht="14.25" customHeight="1">
      <c r="A129" s="408"/>
      <c r="B129" s="408"/>
      <c r="C129" s="552"/>
      <c r="D129" s="408"/>
      <c r="E129" s="408"/>
      <c r="F129" s="408"/>
      <c r="G129" s="408"/>
      <c r="H129" s="408"/>
      <c r="I129" s="408"/>
      <c r="J129" s="408"/>
      <c r="K129" s="408"/>
      <c r="L129" s="408"/>
      <c r="M129" s="408"/>
      <c r="N129" s="408"/>
      <c r="O129" s="408"/>
      <c r="P129" s="408"/>
      <c r="Q129" s="408"/>
      <c r="R129" s="408"/>
      <c r="S129" s="408"/>
      <c r="T129" s="408"/>
      <c r="U129" s="408"/>
      <c r="V129" s="408"/>
      <c r="W129" s="408"/>
      <c r="X129" s="408"/>
      <c r="Y129" s="408"/>
      <c r="Z129" s="408"/>
    </row>
    <row r="130" ht="14.25" customHeight="1">
      <c r="A130" s="408"/>
      <c r="B130" s="408"/>
      <c r="C130" s="552"/>
      <c r="D130" s="408"/>
      <c r="E130" s="408"/>
      <c r="F130" s="408"/>
      <c r="G130" s="408"/>
      <c r="H130" s="408"/>
      <c r="I130" s="408"/>
      <c r="J130" s="408"/>
      <c r="K130" s="408"/>
      <c r="L130" s="408"/>
      <c r="M130" s="408"/>
      <c r="N130" s="408"/>
      <c r="O130" s="408"/>
      <c r="P130" s="408"/>
      <c r="Q130" s="408"/>
      <c r="R130" s="408"/>
      <c r="S130" s="408"/>
      <c r="T130" s="408"/>
      <c r="U130" s="408"/>
      <c r="V130" s="408"/>
      <c r="W130" s="408"/>
      <c r="X130" s="408"/>
      <c r="Y130" s="408"/>
      <c r="Z130" s="408"/>
    </row>
    <row r="131" ht="14.25" customHeight="1">
      <c r="A131" s="408"/>
      <c r="B131" s="408"/>
      <c r="C131" s="552"/>
      <c r="D131" s="408"/>
      <c r="E131" s="408"/>
      <c r="F131" s="408"/>
      <c r="G131" s="408"/>
      <c r="H131" s="408"/>
      <c r="I131" s="408"/>
      <c r="J131" s="408"/>
      <c r="K131" s="408"/>
      <c r="L131" s="408"/>
      <c r="M131" s="408"/>
      <c r="N131" s="408"/>
      <c r="O131" s="408"/>
      <c r="P131" s="408"/>
      <c r="Q131" s="408"/>
      <c r="R131" s="408"/>
      <c r="S131" s="408"/>
      <c r="T131" s="408"/>
      <c r="U131" s="408"/>
      <c r="V131" s="408"/>
      <c r="W131" s="408"/>
      <c r="X131" s="408"/>
      <c r="Y131" s="408"/>
      <c r="Z131" s="408"/>
    </row>
    <row r="132" ht="14.25" customHeight="1">
      <c r="A132" s="408"/>
      <c r="B132" s="408"/>
      <c r="C132" s="552"/>
      <c r="D132" s="408"/>
      <c r="E132" s="408"/>
      <c r="F132" s="408"/>
      <c r="G132" s="408"/>
      <c r="H132" s="408"/>
      <c r="I132" s="408"/>
      <c r="J132" s="408"/>
      <c r="K132" s="408"/>
      <c r="L132" s="408"/>
      <c r="M132" s="408"/>
      <c r="N132" s="408"/>
      <c r="O132" s="408"/>
      <c r="P132" s="408"/>
      <c r="Q132" s="408"/>
      <c r="R132" s="408"/>
      <c r="S132" s="408"/>
      <c r="T132" s="408"/>
      <c r="U132" s="408"/>
      <c r="V132" s="408"/>
      <c r="W132" s="408"/>
      <c r="X132" s="408"/>
      <c r="Y132" s="408"/>
      <c r="Z132" s="408"/>
    </row>
    <row r="133" ht="14.25" customHeight="1">
      <c r="A133" s="408"/>
      <c r="B133" s="408"/>
      <c r="C133" s="552"/>
      <c r="D133" s="408"/>
      <c r="E133" s="408"/>
      <c r="F133" s="408"/>
      <c r="G133" s="408"/>
      <c r="H133" s="408"/>
      <c r="I133" s="408"/>
      <c r="J133" s="408"/>
      <c r="K133" s="408"/>
      <c r="L133" s="408"/>
      <c r="M133" s="408"/>
      <c r="N133" s="408"/>
      <c r="O133" s="408"/>
      <c r="P133" s="408"/>
      <c r="Q133" s="408"/>
      <c r="R133" s="408"/>
      <c r="S133" s="408"/>
      <c r="T133" s="408"/>
      <c r="U133" s="408"/>
      <c r="V133" s="408"/>
      <c r="W133" s="408"/>
      <c r="X133" s="408"/>
      <c r="Y133" s="408"/>
      <c r="Z133" s="408"/>
    </row>
    <row r="134" ht="14.25" customHeight="1">
      <c r="A134" s="408"/>
      <c r="B134" s="408"/>
      <c r="C134" s="552"/>
      <c r="D134" s="408"/>
      <c r="E134" s="408"/>
      <c r="F134" s="408"/>
      <c r="G134" s="408"/>
      <c r="H134" s="408"/>
      <c r="I134" s="408"/>
      <c r="J134" s="408"/>
      <c r="K134" s="408"/>
      <c r="L134" s="408"/>
      <c r="M134" s="408"/>
      <c r="N134" s="408"/>
      <c r="O134" s="408"/>
      <c r="P134" s="408"/>
      <c r="Q134" s="408"/>
      <c r="R134" s="408"/>
      <c r="S134" s="408"/>
      <c r="T134" s="408"/>
      <c r="U134" s="408"/>
      <c r="V134" s="408"/>
      <c r="W134" s="408"/>
      <c r="X134" s="408"/>
      <c r="Y134" s="408"/>
      <c r="Z134" s="408"/>
    </row>
    <row r="135" ht="14.25" customHeight="1">
      <c r="A135" s="408"/>
      <c r="B135" s="408"/>
      <c r="C135" s="552"/>
      <c r="D135" s="408"/>
      <c r="E135" s="408"/>
      <c r="F135" s="408"/>
      <c r="G135" s="408"/>
      <c r="H135" s="408"/>
      <c r="I135" s="408"/>
      <c r="J135" s="408"/>
      <c r="K135" s="408"/>
      <c r="L135" s="408"/>
      <c r="M135" s="408"/>
      <c r="N135" s="408"/>
      <c r="O135" s="408"/>
      <c r="P135" s="408"/>
      <c r="Q135" s="408"/>
      <c r="R135" s="408"/>
      <c r="S135" s="408"/>
      <c r="T135" s="408"/>
      <c r="U135" s="408"/>
      <c r="V135" s="408"/>
      <c r="W135" s="408"/>
      <c r="X135" s="408"/>
      <c r="Y135" s="408"/>
      <c r="Z135" s="408"/>
    </row>
    <row r="136" ht="14.25" customHeight="1">
      <c r="A136" s="408"/>
      <c r="B136" s="408"/>
      <c r="C136" s="552"/>
      <c r="D136" s="408"/>
      <c r="E136" s="408"/>
      <c r="F136" s="408"/>
      <c r="G136" s="408"/>
      <c r="H136" s="408"/>
      <c r="I136" s="408"/>
      <c r="J136" s="408"/>
      <c r="K136" s="408"/>
      <c r="L136" s="408"/>
      <c r="M136" s="408"/>
      <c r="N136" s="408"/>
      <c r="O136" s="408"/>
      <c r="P136" s="408"/>
      <c r="Q136" s="408"/>
      <c r="R136" s="408"/>
      <c r="S136" s="408"/>
      <c r="T136" s="408"/>
      <c r="U136" s="408"/>
      <c r="V136" s="408"/>
      <c r="W136" s="408"/>
      <c r="X136" s="408"/>
      <c r="Y136" s="408"/>
      <c r="Z136" s="408"/>
    </row>
    <row r="137" ht="14.25" customHeight="1">
      <c r="A137" s="408"/>
      <c r="B137" s="408"/>
      <c r="C137" s="552"/>
      <c r="D137" s="408"/>
      <c r="E137" s="408"/>
      <c r="F137" s="408"/>
      <c r="G137" s="408"/>
      <c r="H137" s="408"/>
      <c r="I137" s="408"/>
      <c r="J137" s="408"/>
      <c r="K137" s="408"/>
      <c r="L137" s="408"/>
      <c r="M137" s="408"/>
      <c r="N137" s="408"/>
      <c r="O137" s="408"/>
      <c r="P137" s="408"/>
      <c r="Q137" s="408"/>
      <c r="R137" s="408"/>
      <c r="S137" s="408"/>
      <c r="T137" s="408"/>
      <c r="U137" s="408"/>
      <c r="V137" s="408"/>
      <c r="W137" s="408"/>
      <c r="X137" s="408"/>
      <c r="Y137" s="408"/>
      <c r="Z137" s="408"/>
    </row>
    <row r="138" ht="14.25" customHeight="1">
      <c r="A138" s="408"/>
      <c r="B138" s="408"/>
      <c r="C138" s="552"/>
      <c r="D138" s="408"/>
      <c r="E138" s="408"/>
      <c r="F138" s="408"/>
      <c r="G138" s="408"/>
      <c r="H138" s="408"/>
      <c r="I138" s="408"/>
      <c r="J138" s="408"/>
      <c r="K138" s="408"/>
      <c r="L138" s="408"/>
      <c r="M138" s="408"/>
      <c r="N138" s="408"/>
      <c r="O138" s="408"/>
      <c r="P138" s="408"/>
      <c r="Q138" s="408"/>
      <c r="R138" s="408"/>
      <c r="S138" s="408"/>
      <c r="T138" s="408"/>
      <c r="U138" s="408"/>
      <c r="V138" s="408"/>
      <c r="W138" s="408"/>
      <c r="X138" s="408"/>
      <c r="Y138" s="408"/>
      <c r="Z138" s="408"/>
    </row>
    <row r="139" ht="14.25" customHeight="1">
      <c r="A139" s="408"/>
      <c r="B139" s="408"/>
      <c r="C139" s="552"/>
      <c r="D139" s="408"/>
      <c r="E139" s="408"/>
      <c r="F139" s="408"/>
      <c r="G139" s="408"/>
      <c r="H139" s="408"/>
      <c r="I139" s="408"/>
      <c r="J139" s="408"/>
      <c r="K139" s="408"/>
      <c r="L139" s="408"/>
      <c r="M139" s="408"/>
      <c r="N139" s="408"/>
      <c r="O139" s="408"/>
      <c r="P139" s="408"/>
      <c r="Q139" s="408"/>
      <c r="R139" s="408"/>
      <c r="S139" s="408"/>
      <c r="T139" s="408"/>
      <c r="U139" s="408"/>
      <c r="V139" s="408"/>
      <c r="W139" s="408"/>
      <c r="X139" s="408"/>
      <c r="Y139" s="408"/>
      <c r="Z139" s="408"/>
    </row>
    <row r="140" ht="14.25" customHeight="1">
      <c r="A140" s="408"/>
      <c r="B140" s="408"/>
      <c r="C140" s="552"/>
      <c r="D140" s="408"/>
      <c r="E140" s="408"/>
      <c r="F140" s="408"/>
      <c r="G140" s="408"/>
      <c r="H140" s="408"/>
      <c r="I140" s="408"/>
      <c r="J140" s="408"/>
      <c r="K140" s="408"/>
      <c r="L140" s="408"/>
      <c r="M140" s="408"/>
      <c r="N140" s="408"/>
      <c r="O140" s="408"/>
      <c r="P140" s="408"/>
      <c r="Q140" s="408"/>
      <c r="R140" s="408"/>
      <c r="S140" s="408"/>
      <c r="T140" s="408"/>
      <c r="U140" s="408"/>
      <c r="V140" s="408"/>
      <c r="W140" s="408"/>
      <c r="X140" s="408"/>
      <c r="Y140" s="408"/>
      <c r="Z140" s="408"/>
    </row>
    <row r="141" ht="14.25" customHeight="1">
      <c r="A141" s="408"/>
      <c r="B141" s="408"/>
      <c r="C141" s="552"/>
      <c r="D141" s="408"/>
      <c r="E141" s="408"/>
      <c r="F141" s="408"/>
      <c r="G141" s="408"/>
      <c r="H141" s="408"/>
      <c r="I141" s="408"/>
      <c r="J141" s="408"/>
      <c r="K141" s="408"/>
      <c r="L141" s="408"/>
      <c r="M141" s="408"/>
      <c r="N141" s="408"/>
      <c r="O141" s="408"/>
      <c r="P141" s="408"/>
      <c r="Q141" s="408"/>
      <c r="R141" s="408"/>
      <c r="S141" s="408"/>
      <c r="T141" s="408"/>
      <c r="U141" s="408"/>
      <c r="V141" s="408"/>
      <c r="W141" s="408"/>
      <c r="X141" s="408"/>
      <c r="Y141" s="408"/>
      <c r="Z141" s="408"/>
    </row>
    <row r="142" ht="14.25" customHeight="1">
      <c r="A142" s="408"/>
      <c r="B142" s="408"/>
      <c r="C142" s="552"/>
      <c r="D142" s="408"/>
      <c r="E142" s="408"/>
      <c r="F142" s="408"/>
      <c r="G142" s="408"/>
      <c r="H142" s="408"/>
      <c r="I142" s="408"/>
      <c r="J142" s="408"/>
      <c r="K142" s="408"/>
      <c r="L142" s="408"/>
      <c r="M142" s="408"/>
      <c r="N142" s="408"/>
      <c r="O142" s="408"/>
      <c r="P142" s="408"/>
      <c r="Q142" s="408"/>
      <c r="R142" s="408"/>
      <c r="S142" s="408"/>
      <c r="T142" s="408"/>
      <c r="U142" s="408"/>
      <c r="V142" s="408"/>
      <c r="W142" s="408"/>
      <c r="X142" s="408"/>
      <c r="Y142" s="408"/>
      <c r="Z142" s="408"/>
    </row>
    <row r="143" ht="14.25" customHeight="1">
      <c r="A143" s="408"/>
      <c r="B143" s="408"/>
      <c r="C143" s="552"/>
      <c r="D143" s="408"/>
      <c r="E143" s="408"/>
      <c r="F143" s="408"/>
      <c r="G143" s="408"/>
      <c r="H143" s="408"/>
      <c r="I143" s="408"/>
      <c r="J143" s="408"/>
      <c r="K143" s="408"/>
      <c r="L143" s="408"/>
      <c r="M143" s="408"/>
      <c r="N143" s="408"/>
      <c r="O143" s="408"/>
      <c r="P143" s="408"/>
      <c r="Q143" s="408"/>
      <c r="R143" s="408"/>
      <c r="S143" s="408"/>
      <c r="T143" s="408"/>
      <c r="U143" s="408"/>
      <c r="V143" s="408"/>
      <c r="W143" s="408"/>
      <c r="X143" s="408"/>
      <c r="Y143" s="408"/>
      <c r="Z143" s="408"/>
    </row>
    <row r="144" ht="14.25" customHeight="1">
      <c r="A144" s="408"/>
      <c r="B144" s="408"/>
      <c r="C144" s="552"/>
      <c r="D144" s="408"/>
      <c r="E144" s="408"/>
      <c r="F144" s="408"/>
      <c r="G144" s="408"/>
      <c r="H144" s="408"/>
      <c r="I144" s="408"/>
      <c r="J144" s="408"/>
      <c r="K144" s="408"/>
      <c r="L144" s="408"/>
      <c r="M144" s="408"/>
      <c r="N144" s="408"/>
      <c r="O144" s="408"/>
      <c r="P144" s="408"/>
      <c r="Q144" s="408"/>
      <c r="R144" s="408"/>
      <c r="S144" s="408"/>
      <c r="T144" s="408"/>
      <c r="U144" s="408"/>
      <c r="V144" s="408"/>
      <c r="W144" s="408"/>
      <c r="X144" s="408"/>
      <c r="Y144" s="408"/>
      <c r="Z144" s="408"/>
    </row>
    <row r="145" ht="14.25" customHeight="1">
      <c r="A145" s="408"/>
      <c r="B145" s="408"/>
      <c r="C145" s="552"/>
      <c r="D145" s="408"/>
      <c r="E145" s="408"/>
      <c r="F145" s="408"/>
      <c r="G145" s="408"/>
      <c r="H145" s="408"/>
      <c r="I145" s="408"/>
      <c r="J145" s="408"/>
      <c r="K145" s="408"/>
      <c r="L145" s="408"/>
      <c r="M145" s="408"/>
      <c r="N145" s="408"/>
      <c r="O145" s="408"/>
      <c r="P145" s="408"/>
      <c r="Q145" s="408"/>
      <c r="R145" s="408"/>
      <c r="S145" s="408"/>
      <c r="T145" s="408"/>
      <c r="U145" s="408"/>
      <c r="V145" s="408"/>
      <c r="W145" s="408"/>
      <c r="X145" s="408"/>
      <c r="Y145" s="408"/>
      <c r="Z145" s="408"/>
    </row>
    <row r="146" ht="14.25" customHeight="1">
      <c r="A146" s="408"/>
      <c r="B146" s="408"/>
      <c r="C146" s="552"/>
      <c r="D146" s="408"/>
      <c r="E146" s="408"/>
      <c r="F146" s="408"/>
      <c r="G146" s="408"/>
      <c r="H146" s="408"/>
      <c r="I146" s="408"/>
      <c r="J146" s="408"/>
      <c r="K146" s="408"/>
      <c r="L146" s="408"/>
      <c r="M146" s="408"/>
      <c r="N146" s="408"/>
      <c r="O146" s="408"/>
      <c r="P146" s="408"/>
      <c r="Q146" s="408"/>
      <c r="R146" s="408"/>
      <c r="S146" s="408"/>
      <c r="T146" s="408"/>
      <c r="U146" s="408"/>
      <c r="V146" s="408"/>
      <c r="W146" s="408"/>
      <c r="X146" s="408"/>
      <c r="Y146" s="408"/>
      <c r="Z146" s="408"/>
    </row>
    <row r="147" ht="14.25" customHeight="1">
      <c r="A147" s="408"/>
      <c r="B147" s="408"/>
      <c r="C147" s="552"/>
      <c r="D147" s="408"/>
      <c r="E147" s="408"/>
      <c r="F147" s="408"/>
      <c r="G147" s="408"/>
      <c r="H147" s="408"/>
      <c r="I147" s="408"/>
      <c r="J147" s="408"/>
      <c r="K147" s="408"/>
      <c r="L147" s="408"/>
      <c r="M147" s="408"/>
      <c r="N147" s="408"/>
      <c r="O147" s="408"/>
      <c r="P147" s="408"/>
      <c r="Q147" s="408"/>
      <c r="R147" s="408"/>
      <c r="S147" s="408"/>
      <c r="T147" s="408"/>
      <c r="U147" s="408"/>
      <c r="V147" s="408"/>
      <c r="W147" s="408"/>
      <c r="X147" s="408"/>
      <c r="Y147" s="408"/>
      <c r="Z147" s="408"/>
    </row>
    <row r="148" ht="14.25" customHeight="1">
      <c r="A148" s="408"/>
      <c r="B148" s="408"/>
      <c r="C148" s="552"/>
      <c r="D148" s="408"/>
      <c r="E148" s="408"/>
      <c r="F148" s="408"/>
      <c r="G148" s="408"/>
      <c r="H148" s="408"/>
      <c r="I148" s="408"/>
      <c r="J148" s="408"/>
      <c r="K148" s="408"/>
      <c r="L148" s="408"/>
      <c r="M148" s="408"/>
      <c r="N148" s="408"/>
      <c r="O148" s="408"/>
      <c r="P148" s="408"/>
      <c r="Q148" s="408"/>
      <c r="R148" s="408"/>
      <c r="S148" s="408"/>
      <c r="T148" s="408"/>
      <c r="U148" s="408"/>
      <c r="V148" s="408"/>
      <c r="W148" s="408"/>
      <c r="X148" s="408"/>
      <c r="Y148" s="408"/>
      <c r="Z148" s="408"/>
    </row>
    <row r="149" ht="14.25" customHeight="1">
      <c r="A149" s="408"/>
      <c r="B149" s="408"/>
      <c r="C149" s="552"/>
      <c r="D149" s="408"/>
      <c r="E149" s="408"/>
      <c r="F149" s="408"/>
      <c r="G149" s="408"/>
      <c r="H149" s="408"/>
      <c r="I149" s="408"/>
      <c r="J149" s="408"/>
      <c r="K149" s="408"/>
      <c r="L149" s="408"/>
      <c r="M149" s="408"/>
      <c r="N149" s="408"/>
      <c r="O149" s="408"/>
      <c r="P149" s="408"/>
      <c r="Q149" s="408"/>
      <c r="R149" s="408"/>
      <c r="S149" s="408"/>
      <c r="T149" s="408"/>
      <c r="U149" s="408"/>
      <c r="V149" s="408"/>
      <c r="W149" s="408"/>
      <c r="X149" s="408"/>
      <c r="Y149" s="408"/>
      <c r="Z149" s="408"/>
    </row>
    <row r="150" ht="14.25" customHeight="1">
      <c r="A150" s="408"/>
      <c r="B150" s="408"/>
      <c r="C150" s="552"/>
      <c r="D150" s="408"/>
      <c r="E150" s="408"/>
      <c r="F150" s="408"/>
      <c r="G150" s="408"/>
      <c r="H150" s="408"/>
      <c r="I150" s="408"/>
      <c r="J150" s="408"/>
      <c r="K150" s="408"/>
      <c r="L150" s="408"/>
      <c r="M150" s="408"/>
      <c r="N150" s="408"/>
      <c r="O150" s="408"/>
      <c r="P150" s="408"/>
      <c r="Q150" s="408"/>
      <c r="R150" s="408"/>
      <c r="S150" s="408"/>
      <c r="T150" s="408"/>
      <c r="U150" s="408"/>
      <c r="V150" s="408"/>
      <c r="W150" s="408"/>
      <c r="X150" s="408"/>
      <c r="Y150" s="408"/>
      <c r="Z150" s="408"/>
    </row>
    <row r="151" ht="14.25" customHeight="1">
      <c r="A151" s="408"/>
      <c r="B151" s="408"/>
      <c r="C151" s="552"/>
      <c r="D151" s="408"/>
      <c r="E151" s="408"/>
      <c r="F151" s="408"/>
      <c r="G151" s="408"/>
      <c r="H151" s="408"/>
      <c r="I151" s="408"/>
      <c r="J151" s="408"/>
      <c r="K151" s="408"/>
      <c r="L151" s="408"/>
      <c r="M151" s="408"/>
      <c r="N151" s="408"/>
      <c r="O151" s="408"/>
      <c r="P151" s="408"/>
      <c r="Q151" s="408"/>
      <c r="R151" s="408"/>
      <c r="S151" s="408"/>
      <c r="T151" s="408"/>
      <c r="U151" s="408"/>
      <c r="V151" s="408"/>
      <c r="W151" s="408"/>
      <c r="X151" s="408"/>
      <c r="Y151" s="408"/>
      <c r="Z151" s="408"/>
    </row>
    <row r="152" ht="14.25" customHeight="1">
      <c r="A152" s="408"/>
      <c r="B152" s="408"/>
      <c r="C152" s="552"/>
      <c r="D152" s="408"/>
      <c r="E152" s="408"/>
      <c r="F152" s="408"/>
      <c r="G152" s="408"/>
      <c r="H152" s="408"/>
      <c r="I152" s="408"/>
      <c r="J152" s="408"/>
      <c r="K152" s="408"/>
      <c r="L152" s="408"/>
      <c r="M152" s="408"/>
      <c r="N152" s="408"/>
      <c r="O152" s="408"/>
      <c r="P152" s="408"/>
      <c r="Q152" s="408"/>
      <c r="R152" s="408"/>
      <c r="S152" s="408"/>
      <c r="T152" s="408"/>
      <c r="U152" s="408"/>
      <c r="V152" s="408"/>
      <c r="W152" s="408"/>
      <c r="X152" s="408"/>
      <c r="Y152" s="408"/>
      <c r="Z152" s="408"/>
    </row>
    <row r="153" ht="14.25" customHeight="1">
      <c r="A153" s="408"/>
      <c r="B153" s="408"/>
      <c r="C153" s="552"/>
      <c r="D153" s="408"/>
      <c r="E153" s="408"/>
      <c r="F153" s="408"/>
      <c r="G153" s="408"/>
      <c r="H153" s="408"/>
      <c r="I153" s="408"/>
      <c r="J153" s="408"/>
      <c r="K153" s="408"/>
      <c r="L153" s="408"/>
      <c r="M153" s="408"/>
      <c r="N153" s="408"/>
      <c r="O153" s="408"/>
      <c r="P153" s="408"/>
      <c r="Q153" s="408"/>
      <c r="R153" s="408"/>
      <c r="S153" s="408"/>
      <c r="T153" s="408"/>
      <c r="U153" s="408"/>
      <c r="V153" s="408"/>
      <c r="W153" s="408"/>
      <c r="X153" s="408"/>
      <c r="Y153" s="408"/>
      <c r="Z153" s="408"/>
    </row>
    <row r="154" ht="14.25" customHeight="1">
      <c r="A154" s="408"/>
      <c r="B154" s="408"/>
      <c r="C154" s="552"/>
      <c r="D154" s="408"/>
      <c r="E154" s="408"/>
      <c r="F154" s="408"/>
      <c r="G154" s="408"/>
      <c r="H154" s="408"/>
      <c r="I154" s="408"/>
      <c r="J154" s="408"/>
      <c r="K154" s="408"/>
      <c r="L154" s="408"/>
      <c r="M154" s="408"/>
      <c r="N154" s="408"/>
      <c r="O154" s="408"/>
      <c r="P154" s="408"/>
      <c r="Q154" s="408"/>
      <c r="R154" s="408"/>
      <c r="S154" s="408"/>
      <c r="T154" s="408"/>
      <c r="U154" s="408"/>
      <c r="V154" s="408"/>
      <c r="W154" s="408"/>
      <c r="X154" s="408"/>
      <c r="Y154" s="408"/>
      <c r="Z154" s="408"/>
    </row>
    <row r="155" ht="14.25" customHeight="1">
      <c r="A155" s="408"/>
      <c r="B155" s="408"/>
      <c r="C155" s="552"/>
      <c r="D155" s="408"/>
      <c r="E155" s="408"/>
      <c r="F155" s="408"/>
      <c r="G155" s="408"/>
      <c r="H155" s="408"/>
      <c r="I155" s="408"/>
      <c r="J155" s="408"/>
      <c r="K155" s="408"/>
      <c r="L155" s="408"/>
      <c r="M155" s="408"/>
      <c r="N155" s="408"/>
      <c r="O155" s="408"/>
      <c r="P155" s="408"/>
      <c r="Q155" s="408"/>
      <c r="R155" s="408"/>
      <c r="S155" s="408"/>
      <c r="T155" s="408"/>
      <c r="U155" s="408"/>
      <c r="V155" s="408"/>
      <c r="W155" s="408"/>
      <c r="X155" s="408"/>
      <c r="Y155" s="408"/>
      <c r="Z155" s="408"/>
    </row>
    <row r="156" ht="14.25" customHeight="1">
      <c r="A156" s="408"/>
      <c r="B156" s="408"/>
      <c r="C156" s="552"/>
      <c r="D156" s="408"/>
      <c r="E156" s="408"/>
      <c r="F156" s="408"/>
      <c r="G156" s="408"/>
      <c r="H156" s="408"/>
      <c r="I156" s="408"/>
      <c r="J156" s="408"/>
      <c r="K156" s="408"/>
      <c r="L156" s="408"/>
      <c r="M156" s="408"/>
      <c r="N156" s="408"/>
      <c r="O156" s="408"/>
      <c r="P156" s="408"/>
      <c r="Q156" s="408"/>
      <c r="R156" s="408"/>
      <c r="S156" s="408"/>
      <c r="T156" s="408"/>
      <c r="U156" s="408"/>
      <c r="V156" s="408"/>
      <c r="W156" s="408"/>
      <c r="X156" s="408"/>
      <c r="Y156" s="408"/>
      <c r="Z156" s="408"/>
    </row>
    <row r="157" ht="14.25" customHeight="1">
      <c r="A157" s="408"/>
      <c r="B157" s="408"/>
      <c r="C157" s="552"/>
      <c r="D157" s="408"/>
      <c r="E157" s="408"/>
      <c r="F157" s="408"/>
      <c r="G157" s="408"/>
      <c r="H157" s="408"/>
      <c r="I157" s="408"/>
      <c r="J157" s="408"/>
      <c r="K157" s="408"/>
      <c r="L157" s="408"/>
      <c r="M157" s="408"/>
      <c r="N157" s="408"/>
      <c r="O157" s="408"/>
      <c r="P157" s="408"/>
      <c r="Q157" s="408"/>
      <c r="R157" s="408"/>
      <c r="S157" s="408"/>
      <c r="T157" s="408"/>
      <c r="U157" s="408"/>
      <c r="V157" s="408"/>
      <c r="W157" s="408"/>
      <c r="X157" s="408"/>
      <c r="Y157" s="408"/>
      <c r="Z157" s="408"/>
    </row>
    <row r="158" ht="14.25" customHeight="1">
      <c r="A158" s="408"/>
      <c r="B158" s="408"/>
      <c r="C158" s="552"/>
      <c r="D158" s="408"/>
      <c r="E158" s="408"/>
      <c r="F158" s="408"/>
      <c r="G158" s="408"/>
      <c r="H158" s="408"/>
      <c r="I158" s="408"/>
      <c r="J158" s="408"/>
      <c r="K158" s="408"/>
      <c r="L158" s="408"/>
      <c r="M158" s="408"/>
      <c r="N158" s="408"/>
      <c r="O158" s="408"/>
      <c r="P158" s="408"/>
      <c r="Q158" s="408"/>
      <c r="R158" s="408"/>
      <c r="S158" s="408"/>
      <c r="T158" s="408"/>
      <c r="U158" s="408"/>
      <c r="V158" s="408"/>
      <c r="W158" s="408"/>
      <c r="X158" s="408"/>
      <c r="Y158" s="408"/>
      <c r="Z158" s="408"/>
    </row>
    <row r="159" ht="14.25" customHeight="1">
      <c r="A159" s="408"/>
      <c r="B159" s="408"/>
      <c r="C159" s="552"/>
      <c r="D159" s="408"/>
      <c r="E159" s="408"/>
      <c r="F159" s="408"/>
      <c r="G159" s="408"/>
      <c r="H159" s="408"/>
      <c r="I159" s="408"/>
      <c r="J159" s="408"/>
      <c r="K159" s="408"/>
      <c r="L159" s="408"/>
      <c r="M159" s="408"/>
      <c r="N159" s="408"/>
      <c r="O159" s="408"/>
      <c r="P159" s="408"/>
      <c r="Q159" s="408"/>
      <c r="R159" s="408"/>
      <c r="S159" s="408"/>
      <c r="T159" s="408"/>
      <c r="U159" s="408"/>
      <c r="V159" s="408"/>
      <c r="W159" s="408"/>
      <c r="X159" s="408"/>
      <c r="Y159" s="408"/>
      <c r="Z159" s="408"/>
    </row>
    <row r="160" ht="14.25" customHeight="1">
      <c r="A160" s="408"/>
      <c r="B160" s="408"/>
      <c r="C160" s="552"/>
      <c r="D160" s="408"/>
      <c r="E160" s="408"/>
      <c r="F160" s="408"/>
      <c r="G160" s="408"/>
      <c r="H160" s="408"/>
      <c r="I160" s="408"/>
      <c r="J160" s="408"/>
      <c r="K160" s="408"/>
      <c r="L160" s="408"/>
      <c r="M160" s="408"/>
      <c r="N160" s="408"/>
      <c r="O160" s="408"/>
      <c r="P160" s="408"/>
      <c r="Q160" s="408"/>
      <c r="R160" s="408"/>
      <c r="S160" s="408"/>
      <c r="T160" s="408"/>
      <c r="U160" s="408"/>
      <c r="V160" s="408"/>
      <c r="W160" s="408"/>
      <c r="X160" s="408"/>
      <c r="Y160" s="408"/>
      <c r="Z160" s="408"/>
    </row>
    <row r="161" ht="14.25" customHeight="1">
      <c r="A161" s="408"/>
      <c r="B161" s="408"/>
      <c r="C161" s="552"/>
      <c r="D161" s="408"/>
      <c r="E161" s="408"/>
      <c r="F161" s="408"/>
      <c r="G161" s="408"/>
      <c r="H161" s="408"/>
      <c r="I161" s="408"/>
      <c r="J161" s="408"/>
      <c r="K161" s="408"/>
      <c r="L161" s="408"/>
      <c r="M161" s="408"/>
      <c r="N161" s="408"/>
      <c r="O161" s="408"/>
      <c r="P161" s="408"/>
      <c r="Q161" s="408"/>
      <c r="R161" s="408"/>
      <c r="S161" s="408"/>
      <c r="T161" s="408"/>
      <c r="U161" s="408"/>
      <c r="V161" s="408"/>
      <c r="W161" s="408"/>
      <c r="X161" s="408"/>
      <c r="Y161" s="408"/>
      <c r="Z161" s="408"/>
    </row>
    <row r="162" ht="14.25" customHeight="1">
      <c r="A162" s="408"/>
      <c r="B162" s="408"/>
      <c r="C162" s="552"/>
      <c r="D162" s="408"/>
      <c r="E162" s="408"/>
      <c r="F162" s="408"/>
      <c r="G162" s="408"/>
      <c r="H162" s="408"/>
      <c r="I162" s="408"/>
      <c r="J162" s="408"/>
      <c r="K162" s="408"/>
      <c r="L162" s="408"/>
      <c r="M162" s="408"/>
      <c r="N162" s="408"/>
      <c r="O162" s="408"/>
      <c r="P162" s="408"/>
      <c r="Q162" s="408"/>
      <c r="R162" s="408"/>
      <c r="S162" s="408"/>
      <c r="T162" s="408"/>
      <c r="U162" s="408"/>
      <c r="V162" s="408"/>
      <c r="W162" s="408"/>
      <c r="X162" s="408"/>
      <c r="Y162" s="408"/>
      <c r="Z162" s="408"/>
    </row>
    <row r="163" ht="14.25" customHeight="1">
      <c r="A163" s="408"/>
      <c r="B163" s="408"/>
      <c r="C163" s="552"/>
      <c r="D163" s="408"/>
      <c r="E163" s="408"/>
      <c r="F163" s="408"/>
      <c r="G163" s="408"/>
      <c r="H163" s="408"/>
      <c r="I163" s="408"/>
      <c r="J163" s="408"/>
      <c r="K163" s="408"/>
      <c r="L163" s="408"/>
      <c r="M163" s="408"/>
      <c r="N163" s="408"/>
      <c r="O163" s="408"/>
      <c r="P163" s="408"/>
      <c r="Q163" s="408"/>
      <c r="R163" s="408"/>
      <c r="S163" s="408"/>
      <c r="T163" s="408"/>
      <c r="U163" s="408"/>
      <c r="V163" s="408"/>
      <c r="W163" s="408"/>
      <c r="X163" s="408"/>
      <c r="Y163" s="408"/>
      <c r="Z163" s="408"/>
    </row>
    <row r="164" ht="14.25" customHeight="1">
      <c r="A164" s="408"/>
      <c r="B164" s="408"/>
      <c r="C164" s="552"/>
      <c r="D164" s="408"/>
      <c r="E164" s="408"/>
      <c r="F164" s="408"/>
      <c r="G164" s="408"/>
      <c r="H164" s="408"/>
      <c r="I164" s="408"/>
      <c r="J164" s="408"/>
      <c r="K164" s="408"/>
      <c r="L164" s="408"/>
      <c r="M164" s="408"/>
      <c r="N164" s="408"/>
      <c r="O164" s="408"/>
      <c r="P164" s="408"/>
      <c r="Q164" s="408"/>
      <c r="R164" s="408"/>
      <c r="S164" s="408"/>
      <c r="T164" s="408"/>
      <c r="U164" s="408"/>
      <c r="V164" s="408"/>
      <c r="W164" s="408"/>
      <c r="X164" s="408"/>
      <c r="Y164" s="408"/>
      <c r="Z164" s="408"/>
    </row>
    <row r="165" ht="14.25" customHeight="1">
      <c r="A165" s="408"/>
      <c r="B165" s="408"/>
      <c r="C165" s="552"/>
      <c r="D165" s="408"/>
      <c r="E165" s="408"/>
      <c r="F165" s="408"/>
      <c r="G165" s="408"/>
      <c r="H165" s="408"/>
      <c r="I165" s="408"/>
      <c r="J165" s="408"/>
      <c r="K165" s="408"/>
      <c r="L165" s="408"/>
      <c r="M165" s="408"/>
      <c r="N165" s="408"/>
      <c r="O165" s="408"/>
      <c r="P165" s="408"/>
      <c r="Q165" s="408"/>
      <c r="R165" s="408"/>
      <c r="S165" s="408"/>
      <c r="T165" s="408"/>
      <c r="U165" s="408"/>
      <c r="V165" s="408"/>
      <c r="W165" s="408"/>
      <c r="X165" s="408"/>
      <c r="Y165" s="408"/>
      <c r="Z165" s="408"/>
    </row>
    <row r="166" ht="14.25" customHeight="1">
      <c r="A166" s="408"/>
      <c r="B166" s="408"/>
      <c r="C166" s="552"/>
      <c r="D166" s="408"/>
      <c r="E166" s="408"/>
      <c r="F166" s="408"/>
      <c r="G166" s="408"/>
      <c r="H166" s="408"/>
      <c r="I166" s="408"/>
      <c r="J166" s="408"/>
      <c r="K166" s="408"/>
      <c r="L166" s="408"/>
      <c r="M166" s="408"/>
      <c r="N166" s="408"/>
      <c r="O166" s="408"/>
      <c r="P166" s="408"/>
      <c r="Q166" s="408"/>
      <c r="R166" s="408"/>
      <c r="S166" s="408"/>
      <c r="T166" s="408"/>
      <c r="U166" s="408"/>
      <c r="V166" s="408"/>
      <c r="W166" s="408"/>
      <c r="X166" s="408"/>
      <c r="Y166" s="408"/>
      <c r="Z166" s="408"/>
    </row>
    <row r="167" ht="14.25" customHeight="1">
      <c r="A167" s="408"/>
      <c r="B167" s="408"/>
      <c r="C167" s="552"/>
      <c r="D167" s="408"/>
      <c r="E167" s="408"/>
      <c r="F167" s="408"/>
      <c r="G167" s="408"/>
      <c r="H167" s="408"/>
      <c r="I167" s="408"/>
      <c r="J167" s="408"/>
      <c r="K167" s="408"/>
      <c r="L167" s="408"/>
      <c r="M167" s="408"/>
      <c r="N167" s="408"/>
      <c r="O167" s="408"/>
      <c r="P167" s="408"/>
      <c r="Q167" s="408"/>
      <c r="R167" s="408"/>
      <c r="S167" s="408"/>
      <c r="T167" s="408"/>
      <c r="U167" s="408"/>
      <c r="V167" s="408"/>
      <c r="W167" s="408"/>
      <c r="X167" s="408"/>
      <c r="Y167" s="408"/>
      <c r="Z167" s="408"/>
    </row>
    <row r="168" ht="14.25" customHeight="1">
      <c r="A168" s="408"/>
      <c r="B168" s="408"/>
      <c r="C168" s="552"/>
      <c r="D168" s="408"/>
      <c r="E168" s="408"/>
      <c r="F168" s="408"/>
      <c r="G168" s="408"/>
      <c r="H168" s="408"/>
      <c r="I168" s="408"/>
      <c r="J168" s="408"/>
      <c r="K168" s="408"/>
      <c r="L168" s="408"/>
      <c r="M168" s="408"/>
      <c r="N168" s="408"/>
      <c r="O168" s="408"/>
      <c r="P168" s="408"/>
      <c r="Q168" s="408"/>
      <c r="R168" s="408"/>
      <c r="S168" s="408"/>
      <c r="T168" s="408"/>
      <c r="U168" s="408"/>
      <c r="V168" s="408"/>
      <c r="W168" s="408"/>
      <c r="X168" s="408"/>
      <c r="Y168" s="408"/>
      <c r="Z168" s="408"/>
    </row>
    <row r="169" ht="14.25" customHeight="1">
      <c r="A169" s="408"/>
      <c r="B169" s="408"/>
      <c r="C169" s="552"/>
      <c r="D169" s="408"/>
      <c r="E169" s="408"/>
      <c r="F169" s="408"/>
      <c r="G169" s="408"/>
      <c r="H169" s="408"/>
      <c r="I169" s="408"/>
      <c r="J169" s="408"/>
      <c r="K169" s="408"/>
      <c r="L169" s="408"/>
      <c r="M169" s="408"/>
      <c r="N169" s="408"/>
      <c r="O169" s="408"/>
      <c r="P169" s="408"/>
      <c r="Q169" s="408"/>
      <c r="R169" s="408"/>
      <c r="S169" s="408"/>
      <c r="T169" s="408"/>
      <c r="U169" s="408"/>
      <c r="V169" s="408"/>
      <c r="W169" s="408"/>
      <c r="X169" s="408"/>
      <c r="Y169" s="408"/>
      <c r="Z169" s="408"/>
    </row>
    <row r="170" ht="14.25" customHeight="1">
      <c r="A170" s="408"/>
      <c r="B170" s="408"/>
      <c r="C170" s="552"/>
      <c r="D170" s="408"/>
      <c r="E170" s="408"/>
      <c r="F170" s="408"/>
      <c r="G170" s="408"/>
      <c r="H170" s="408"/>
      <c r="I170" s="408"/>
      <c r="J170" s="408"/>
      <c r="K170" s="408"/>
      <c r="L170" s="408"/>
      <c r="M170" s="408"/>
      <c r="N170" s="408"/>
      <c r="O170" s="408"/>
      <c r="P170" s="408"/>
      <c r="Q170" s="408"/>
      <c r="R170" s="408"/>
      <c r="S170" s="408"/>
      <c r="T170" s="408"/>
      <c r="U170" s="408"/>
      <c r="V170" s="408"/>
      <c r="W170" s="408"/>
      <c r="X170" s="408"/>
      <c r="Y170" s="408"/>
      <c r="Z170" s="408"/>
    </row>
    <row r="171" ht="14.25" customHeight="1">
      <c r="A171" s="408"/>
      <c r="B171" s="408"/>
      <c r="C171" s="552"/>
      <c r="D171" s="408"/>
      <c r="E171" s="408"/>
      <c r="F171" s="408"/>
      <c r="G171" s="408"/>
      <c r="H171" s="408"/>
      <c r="I171" s="408"/>
      <c r="J171" s="408"/>
      <c r="K171" s="408"/>
      <c r="L171" s="408"/>
      <c r="M171" s="408"/>
      <c r="N171" s="408"/>
      <c r="O171" s="408"/>
      <c r="P171" s="408"/>
      <c r="Q171" s="408"/>
      <c r="R171" s="408"/>
      <c r="S171" s="408"/>
      <c r="T171" s="408"/>
      <c r="U171" s="408"/>
      <c r="V171" s="408"/>
      <c r="W171" s="408"/>
      <c r="X171" s="408"/>
      <c r="Y171" s="408"/>
      <c r="Z171" s="408"/>
    </row>
    <row r="172" ht="14.25" customHeight="1">
      <c r="A172" s="408"/>
      <c r="B172" s="408"/>
      <c r="C172" s="552"/>
      <c r="D172" s="408"/>
      <c r="E172" s="408"/>
      <c r="F172" s="408"/>
      <c r="G172" s="408"/>
      <c r="H172" s="408"/>
      <c r="I172" s="408"/>
      <c r="J172" s="408"/>
      <c r="K172" s="408"/>
      <c r="L172" s="408"/>
      <c r="M172" s="408"/>
      <c r="N172" s="408"/>
      <c r="O172" s="408"/>
      <c r="P172" s="408"/>
      <c r="Q172" s="408"/>
      <c r="R172" s="408"/>
      <c r="S172" s="408"/>
      <c r="T172" s="408"/>
      <c r="U172" s="408"/>
      <c r="V172" s="408"/>
      <c r="W172" s="408"/>
      <c r="X172" s="408"/>
      <c r="Y172" s="408"/>
      <c r="Z172" s="408"/>
    </row>
    <row r="173" ht="14.25" customHeight="1">
      <c r="A173" s="408"/>
      <c r="B173" s="408"/>
      <c r="C173" s="552"/>
      <c r="D173" s="408"/>
      <c r="E173" s="408"/>
      <c r="F173" s="408"/>
      <c r="G173" s="408"/>
      <c r="H173" s="408"/>
      <c r="I173" s="408"/>
      <c r="J173" s="408"/>
      <c r="K173" s="408"/>
      <c r="L173" s="408"/>
      <c r="M173" s="408"/>
      <c r="N173" s="408"/>
      <c r="O173" s="408"/>
      <c r="P173" s="408"/>
      <c r="Q173" s="408"/>
      <c r="R173" s="408"/>
      <c r="S173" s="408"/>
      <c r="T173" s="408"/>
      <c r="U173" s="408"/>
      <c r="V173" s="408"/>
      <c r="W173" s="408"/>
      <c r="X173" s="408"/>
      <c r="Y173" s="408"/>
      <c r="Z173" s="408"/>
    </row>
    <row r="174" ht="14.25" customHeight="1">
      <c r="A174" s="408"/>
      <c r="B174" s="408"/>
      <c r="C174" s="552"/>
      <c r="D174" s="408"/>
      <c r="E174" s="408"/>
      <c r="F174" s="408"/>
      <c r="G174" s="408"/>
      <c r="H174" s="408"/>
      <c r="I174" s="408"/>
      <c r="J174" s="408"/>
      <c r="K174" s="408"/>
      <c r="L174" s="408"/>
      <c r="M174" s="408"/>
      <c r="N174" s="408"/>
      <c r="O174" s="408"/>
      <c r="P174" s="408"/>
      <c r="Q174" s="408"/>
      <c r="R174" s="408"/>
      <c r="S174" s="408"/>
      <c r="T174" s="408"/>
      <c r="U174" s="408"/>
      <c r="V174" s="408"/>
      <c r="W174" s="408"/>
      <c r="X174" s="408"/>
      <c r="Y174" s="408"/>
      <c r="Z174" s="408"/>
    </row>
    <row r="175" ht="14.25" customHeight="1">
      <c r="A175" s="408"/>
      <c r="B175" s="408"/>
      <c r="C175" s="552"/>
      <c r="D175" s="408"/>
      <c r="E175" s="408"/>
      <c r="F175" s="408"/>
      <c r="G175" s="408"/>
      <c r="H175" s="408"/>
      <c r="I175" s="408"/>
      <c r="J175" s="408"/>
      <c r="K175" s="408"/>
      <c r="L175" s="408"/>
      <c r="M175" s="408"/>
      <c r="N175" s="408"/>
      <c r="O175" s="408"/>
      <c r="P175" s="408"/>
      <c r="Q175" s="408"/>
      <c r="R175" s="408"/>
      <c r="S175" s="408"/>
      <c r="T175" s="408"/>
      <c r="U175" s="408"/>
      <c r="V175" s="408"/>
      <c r="W175" s="408"/>
      <c r="X175" s="408"/>
      <c r="Y175" s="408"/>
      <c r="Z175" s="408"/>
    </row>
    <row r="176" ht="14.25" customHeight="1">
      <c r="A176" s="408"/>
      <c r="B176" s="408"/>
      <c r="C176" s="552"/>
      <c r="D176" s="408"/>
      <c r="E176" s="408"/>
      <c r="F176" s="408"/>
      <c r="G176" s="408"/>
      <c r="H176" s="408"/>
      <c r="I176" s="408"/>
      <c r="J176" s="408"/>
      <c r="K176" s="408"/>
      <c r="L176" s="408"/>
      <c r="M176" s="408"/>
      <c r="N176" s="408"/>
      <c r="O176" s="408"/>
      <c r="P176" s="408"/>
      <c r="Q176" s="408"/>
      <c r="R176" s="408"/>
      <c r="S176" s="408"/>
      <c r="T176" s="408"/>
      <c r="U176" s="408"/>
      <c r="V176" s="408"/>
      <c r="W176" s="408"/>
      <c r="X176" s="408"/>
      <c r="Y176" s="408"/>
      <c r="Z176" s="408"/>
    </row>
    <row r="177" ht="14.25" customHeight="1">
      <c r="A177" s="408"/>
      <c r="B177" s="408"/>
      <c r="C177" s="552"/>
      <c r="D177" s="408"/>
      <c r="E177" s="408"/>
      <c r="F177" s="408"/>
      <c r="G177" s="408"/>
      <c r="H177" s="408"/>
      <c r="I177" s="408"/>
      <c r="J177" s="408"/>
      <c r="K177" s="408"/>
      <c r="L177" s="408"/>
      <c r="M177" s="408"/>
      <c r="N177" s="408"/>
      <c r="O177" s="408"/>
      <c r="P177" s="408"/>
      <c r="Q177" s="408"/>
      <c r="R177" s="408"/>
      <c r="S177" s="408"/>
      <c r="T177" s="408"/>
      <c r="U177" s="408"/>
      <c r="V177" s="408"/>
      <c r="W177" s="408"/>
      <c r="X177" s="408"/>
      <c r="Y177" s="408"/>
      <c r="Z177" s="408"/>
    </row>
    <row r="178" ht="14.25" customHeight="1">
      <c r="A178" s="408"/>
      <c r="B178" s="408"/>
      <c r="C178" s="552"/>
      <c r="D178" s="408"/>
      <c r="E178" s="408"/>
      <c r="F178" s="408"/>
      <c r="G178" s="408"/>
      <c r="H178" s="408"/>
      <c r="I178" s="408"/>
      <c r="J178" s="408"/>
      <c r="K178" s="408"/>
      <c r="L178" s="408"/>
      <c r="M178" s="408"/>
      <c r="N178" s="408"/>
      <c r="O178" s="408"/>
      <c r="P178" s="408"/>
      <c r="Q178" s="408"/>
      <c r="R178" s="408"/>
      <c r="S178" s="408"/>
      <c r="T178" s="408"/>
      <c r="U178" s="408"/>
      <c r="V178" s="408"/>
      <c r="W178" s="408"/>
      <c r="X178" s="408"/>
      <c r="Y178" s="408"/>
      <c r="Z178" s="408"/>
    </row>
    <row r="179" ht="14.25" customHeight="1">
      <c r="A179" s="408"/>
      <c r="B179" s="408"/>
      <c r="C179" s="552"/>
      <c r="D179" s="408"/>
      <c r="E179" s="408"/>
      <c r="F179" s="408"/>
      <c r="G179" s="408"/>
      <c r="H179" s="408"/>
      <c r="I179" s="408"/>
      <c r="J179" s="408"/>
      <c r="K179" s="408"/>
      <c r="L179" s="408"/>
      <c r="M179" s="408"/>
      <c r="N179" s="408"/>
      <c r="O179" s="408"/>
      <c r="P179" s="408"/>
      <c r="Q179" s="408"/>
      <c r="R179" s="408"/>
      <c r="S179" s="408"/>
      <c r="T179" s="408"/>
      <c r="U179" s="408"/>
      <c r="V179" s="408"/>
      <c r="W179" s="408"/>
      <c r="X179" s="408"/>
      <c r="Y179" s="408"/>
      <c r="Z179" s="408"/>
    </row>
    <row r="180" ht="14.25" customHeight="1">
      <c r="A180" s="408"/>
      <c r="B180" s="408"/>
      <c r="C180" s="552"/>
      <c r="D180" s="408"/>
      <c r="E180" s="408"/>
      <c r="F180" s="408"/>
      <c r="G180" s="408"/>
      <c r="H180" s="408"/>
      <c r="I180" s="408"/>
      <c r="J180" s="408"/>
      <c r="K180" s="408"/>
      <c r="L180" s="408"/>
      <c r="M180" s="408"/>
      <c r="N180" s="408"/>
      <c r="O180" s="408"/>
      <c r="P180" s="408"/>
      <c r="Q180" s="408"/>
      <c r="R180" s="408"/>
      <c r="S180" s="408"/>
      <c r="T180" s="408"/>
      <c r="U180" s="408"/>
      <c r="V180" s="408"/>
      <c r="W180" s="408"/>
      <c r="X180" s="408"/>
      <c r="Y180" s="408"/>
      <c r="Z180" s="408"/>
    </row>
    <row r="181" ht="14.25" customHeight="1">
      <c r="A181" s="408"/>
      <c r="B181" s="408"/>
      <c r="C181" s="552"/>
      <c r="D181" s="408"/>
      <c r="E181" s="408"/>
      <c r="F181" s="408"/>
      <c r="G181" s="408"/>
      <c r="H181" s="408"/>
      <c r="I181" s="408"/>
      <c r="J181" s="408"/>
      <c r="K181" s="408"/>
      <c r="L181" s="408"/>
      <c r="M181" s="408"/>
      <c r="N181" s="408"/>
      <c r="O181" s="408"/>
      <c r="P181" s="408"/>
      <c r="Q181" s="408"/>
      <c r="R181" s="408"/>
      <c r="S181" s="408"/>
      <c r="T181" s="408"/>
      <c r="U181" s="408"/>
      <c r="V181" s="408"/>
      <c r="W181" s="408"/>
      <c r="X181" s="408"/>
      <c r="Y181" s="408"/>
      <c r="Z181" s="408"/>
    </row>
    <row r="182" ht="14.25" customHeight="1">
      <c r="A182" s="408"/>
      <c r="B182" s="408"/>
      <c r="C182" s="552"/>
      <c r="D182" s="408"/>
      <c r="E182" s="408"/>
      <c r="F182" s="408"/>
      <c r="G182" s="408"/>
      <c r="H182" s="408"/>
      <c r="I182" s="408"/>
      <c r="J182" s="408"/>
      <c r="K182" s="408"/>
      <c r="L182" s="408"/>
      <c r="M182" s="408"/>
      <c r="N182" s="408"/>
      <c r="O182" s="408"/>
      <c r="P182" s="408"/>
      <c r="Q182" s="408"/>
      <c r="R182" s="408"/>
      <c r="S182" s="408"/>
      <c r="T182" s="408"/>
      <c r="U182" s="408"/>
      <c r="V182" s="408"/>
      <c r="W182" s="408"/>
      <c r="X182" s="408"/>
      <c r="Y182" s="408"/>
      <c r="Z182" s="408"/>
    </row>
    <row r="183" ht="14.25" customHeight="1">
      <c r="A183" s="408"/>
      <c r="B183" s="408"/>
      <c r="C183" s="552"/>
      <c r="D183" s="408"/>
      <c r="E183" s="408"/>
      <c r="F183" s="408"/>
      <c r="G183" s="408"/>
      <c r="H183" s="408"/>
      <c r="I183" s="408"/>
      <c r="J183" s="408"/>
      <c r="K183" s="408"/>
      <c r="L183" s="408"/>
      <c r="M183" s="408"/>
      <c r="N183" s="408"/>
      <c r="O183" s="408"/>
      <c r="P183" s="408"/>
      <c r="Q183" s="408"/>
      <c r="R183" s="408"/>
      <c r="S183" s="408"/>
      <c r="T183" s="408"/>
      <c r="U183" s="408"/>
      <c r="V183" s="408"/>
      <c r="W183" s="408"/>
      <c r="X183" s="408"/>
      <c r="Y183" s="408"/>
      <c r="Z183" s="408"/>
    </row>
    <row r="184" ht="14.25" customHeight="1">
      <c r="A184" s="408"/>
      <c r="B184" s="408"/>
      <c r="C184" s="552"/>
      <c r="D184" s="408"/>
      <c r="E184" s="408"/>
      <c r="F184" s="408"/>
      <c r="G184" s="408"/>
      <c r="H184" s="408"/>
      <c r="I184" s="408"/>
      <c r="J184" s="408"/>
      <c r="K184" s="408"/>
      <c r="L184" s="408"/>
      <c r="M184" s="408"/>
      <c r="N184" s="408"/>
      <c r="O184" s="408"/>
      <c r="P184" s="408"/>
      <c r="Q184" s="408"/>
      <c r="R184" s="408"/>
      <c r="S184" s="408"/>
      <c r="T184" s="408"/>
      <c r="U184" s="408"/>
      <c r="V184" s="408"/>
      <c r="W184" s="408"/>
      <c r="X184" s="408"/>
      <c r="Y184" s="408"/>
      <c r="Z184" s="408"/>
    </row>
    <row r="185" ht="14.25" customHeight="1">
      <c r="A185" s="408"/>
      <c r="B185" s="408"/>
      <c r="C185" s="552"/>
      <c r="D185" s="408"/>
      <c r="E185" s="408"/>
      <c r="F185" s="408"/>
      <c r="G185" s="408"/>
      <c r="H185" s="408"/>
      <c r="I185" s="408"/>
      <c r="J185" s="408"/>
      <c r="K185" s="408"/>
      <c r="L185" s="408"/>
      <c r="M185" s="408"/>
      <c r="N185" s="408"/>
      <c r="O185" s="408"/>
      <c r="P185" s="408"/>
      <c r="Q185" s="408"/>
      <c r="R185" s="408"/>
      <c r="S185" s="408"/>
      <c r="T185" s="408"/>
      <c r="U185" s="408"/>
      <c r="V185" s="408"/>
      <c r="W185" s="408"/>
      <c r="X185" s="408"/>
      <c r="Y185" s="408"/>
      <c r="Z185" s="408"/>
    </row>
    <row r="186" ht="14.25" customHeight="1">
      <c r="A186" s="408"/>
      <c r="B186" s="408"/>
      <c r="C186" s="552"/>
      <c r="D186" s="408"/>
      <c r="E186" s="408"/>
      <c r="F186" s="408"/>
      <c r="G186" s="408"/>
      <c r="H186" s="408"/>
      <c r="I186" s="408"/>
      <c r="J186" s="408"/>
      <c r="K186" s="408"/>
      <c r="L186" s="408"/>
      <c r="M186" s="408"/>
      <c r="N186" s="408"/>
      <c r="O186" s="408"/>
      <c r="P186" s="408"/>
      <c r="Q186" s="408"/>
      <c r="R186" s="408"/>
      <c r="S186" s="408"/>
      <c r="T186" s="408"/>
      <c r="U186" s="408"/>
      <c r="V186" s="408"/>
      <c r="W186" s="408"/>
      <c r="X186" s="408"/>
      <c r="Y186" s="408"/>
      <c r="Z186" s="408"/>
    </row>
    <row r="187" ht="14.25" customHeight="1">
      <c r="A187" s="408"/>
      <c r="B187" s="408"/>
      <c r="C187" s="552"/>
      <c r="D187" s="408"/>
      <c r="E187" s="408"/>
      <c r="F187" s="408"/>
      <c r="G187" s="408"/>
      <c r="H187" s="408"/>
      <c r="I187" s="408"/>
      <c r="J187" s="408"/>
      <c r="K187" s="408"/>
      <c r="L187" s="408"/>
      <c r="M187" s="408"/>
      <c r="N187" s="408"/>
      <c r="O187" s="408"/>
      <c r="P187" s="408"/>
      <c r="Q187" s="408"/>
      <c r="R187" s="408"/>
      <c r="S187" s="408"/>
      <c r="T187" s="408"/>
      <c r="U187" s="408"/>
      <c r="V187" s="408"/>
      <c r="W187" s="408"/>
      <c r="X187" s="408"/>
      <c r="Y187" s="408"/>
      <c r="Z187" s="408"/>
    </row>
    <row r="188" ht="14.25" customHeight="1">
      <c r="A188" s="408"/>
      <c r="B188" s="408"/>
      <c r="C188" s="552"/>
      <c r="D188" s="408"/>
      <c r="E188" s="408"/>
      <c r="F188" s="408"/>
      <c r="G188" s="408"/>
      <c r="H188" s="408"/>
      <c r="I188" s="408"/>
      <c r="J188" s="408"/>
      <c r="K188" s="408"/>
      <c r="L188" s="408"/>
      <c r="M188" s="408"/>
      <c r="N188" s="408"/>
      <c r="O188" s="408"/>
      <c r="P188" s="408"/>
      <c r="Q188" s="408"/>
      <c r="R188" s="408"/>
      <c r="S188" s="408"/>
      <c r="T188" s="408"/>
      <c r="U188" s="408"/>
      <c r="V188" s="408"/>
      <c r="W188" s="408"/>
      <c r="X188" s="408"/>
      <c r="Y188" s="408"/>
      <c r="Z188" s="408"/>
    </row>
    <row r="189" ht="14.25" customHeight="1">
      <c r="A189" s="408"/>
      <c r="B189" s="408"/>
      <c r="C189" s="552"/>
      <c r="D189" s="408"/>
      <c r="E189" s="408"/>
      <c r="F189" s="408"/>
      <c r="G189" s="408"/>
      <c r="H189" s="408"/>
      <c r="I189" s="408"/>
      <c r="J189" s="408"/>
      <c r="K189" s="408"/>
      <c r="L189" s="408"/>
      <c r="M189" s="408"/>
      <c r="N189" s="408"/>
      <c r="O189" s="408"/>
      <c r="P189" s="408"/>
      <c r="Q189" s="408"/>
      <c r="R189" s="408"/>
      <c r="S189" s="408"/>
      <c r="T189" s="408"/>
      <c r="U189" s="408"/>
      <c r="V189" s="408"/>
      <c r="W189" s="408"/>
      <c r="X189" s="408"/>
      <c r="Y189" s="408"/>
      <c r="Z189" s="408"/>
    </row>
    <row r="190" ht="14.25" customHeight="1">
      <c r="A190" s="408"/>
      <c r="B190" s="408"/>
      <c r="C190" s="552"/>
      <c r="D190" s="408"/>
      <c r="E190" s="408"/>
      <c r="F190" s="408"/>
      <c r="G190" s="408"/>
      <c r="H190" s="408"/>
      <c r="I190" s="408"/>
      <c r="J190" s="408"/>
      <c r="K190" s="408"/>
      <c r="L190" s="408"/>
      <c r="M190" s="408"/>
      <c r="N190" s="408"/>
      <c r="O190" s="408"/>
      <c r="P190" s="408"/>
      <c r="Q190" s="408"/>
      <c r="R190" s="408"/>
      <c r="S190" s="408"/>
      <c r="T190" s="408"/>
      <c r="U190" s="408"/>
      <c r="V190" s="408"/>
      <c r="W190" s="408"/>
      <c r="X190" s="408"/>
      <c r="Y190" s="408"/>
      <c r="Z190" s="408"/>
    </row>
    <row r="191" ht="14.25" customHeight="1">
      <c r="A191" s="408"/>
      <c r="B191" s="408"/>
      <c r="C191" s="552"/>
      <c r="D191" s="408"/>
      <c r="E191" s="408"/>
      <c r="F191" s="408"/>
      <c r="G191" s="408"/>
      <c r="H191" s="408"/>
      <c r="I191" s="408"/>
      <c r="J191" s="408"/>
      <c r="K191" s="408"/>
      <c r="L191" s="408"/>
      <c r="M191" s="408"/>
      <c r="N191" s="408"/>
      <c r="O191" s="408"/>
      <c r="P191" s="408"/>
      <c r="Q191" s="408"/>
      <c r="R191" s="408"/>
      <c r="S191" s="408"/>
      <c r="T191" s="408"/>
      <c r="U191" s="408"/>
      <c r="V191" s="408"/>
      <c r="W191" s="408"/>
      <c r="X191" s="408"/>
      <c r="Y191" s="408"/>
      <c r="Z191" s="408"/>
    </row>
    <row r="192" ht="14.25" customHeight="1">
      <c r="A192" s="408"/>
      <c r="B192" s="408"/>
      <c r="C192" s="552"/>
      <c r="D192" s="408"/>
      <c r="E192" s="408"/>
      <c r="F192" s="408"/>
      <c r="G192" s="408"/>
      <c r="H192" s="408"/>
      <c r="I192" s="408"/>
      <c r="J192" s="408"/>
      <c r="K192" s="408"/>
      <c r="L192" s="408"/>
      <c r="M192" s="408"/>
      <c r="N192" s="408"/>
      <c r="O192" s="408"/>
      <c r="P192" s="408"/>
      <c r="Q192" s="408"/>
      <c r="R192" s="408"/>
      <c r="S192" s="408"/>
      <c r="T192" s="408"/>
      <c r="U192" s="408"/>
      <c r="V192" s="408"/>
      <c r="W192" s="408"/>
      <c r="X192" s="408"/>
      <c r="Y192" s="408"/>
      <c r="Z192" s="408"/>
    </row>
    <row r="193" ht="14.25" customHeight="1">
      <c r="A193" s="408"/>
      <c r="B193" s="408"/>
      <c r="C193" s="552"/>
      <c r="D193" s="408"/>
      <c r="E193" s="408"/>
      <c r="F193" s="408"/>
      <c r="G193" s="408"/>
      <c r="H193" s="408"/>
      <c r="I193" s="408"/>
      <c r="J193" s="408"/>
      <c r="K193" s="408"/>
      <c r="L193" s="408"/>
      <c r="M193" s="408"/>
      <c r="N193" s="408"/>
      <c r="O193" s="408"/>
      <c r="P193" s="408"/>
      <c r="Q193" s="408"/>
      <c r="R193" s="408"/>
      <c r="S193" s="408"/>
      <c r="T193" s="408"/>
      <c r="U193" s="408"/>
      <c r="V193" s="408"/>
      <c r="W193" s="408"/>
      <c r="X193" s="408"/>
      <c r="Y193" s="408"/>
      <c r="Z193" s="408"/>
    </row>
    <row r="194" ht="14.25" customHeight="1">
      <c r="A194" s="408"/>
      <c r="B194" s="408"/>
      <c r="C194" s="552"/>
      <c r="D194" s="408"/>
      <c r="E194" s="408"/>
      <c r="F194" s="408"/>
      <c r="G194" s="408"/>
      <c r="H194" s="408"/>
      <c r="I194" s="408"/>
      <c r="J194" s="408"/>
      <c r="K194" s="408"/>
      <c r="L194" s="408"/>
      <c r="M194" s="408"/>
      <c r="N194" s="408"/>
      <c r="O194" s="408"/>
      <c r="P194" s="408"/>
      <c r="Q194" s="408"/>
      <c r="R194" s="408"/>
      <c r="S194" s="408"/>
      <c r="T194" s="408"/>
      <c r="U194" s="408"/>
      <c r="V194" s="408"/>
      <c r="W194" s="408"/>
      <c r="X194" s="408"/>
      <c r="Y194" s="408"/>
      <c r="Z194" s="408"/>
    </row>
    <row r="195" ht="14.25" customHeight="1">
      <c r="A195" s="408"/>
      <c r="B195" s="408"/>
      <c r="C195" s="552"/>
      <c r="D195" s="408"/>
      <c r="E195" s="408"/>
      <c r="F195" s="408"/>
      <c r="G195" s="408"/>
      <c r="H195" s="408"/>
      <c r="I195" s="408"/>
      <c r="J195" s="408"/>
      <c r="K195" s="408"/>
      <c r="L195" s="408"/>
      <c r="M195" s="408"/>
      <c r="N195" s="408"/>
      <c r="O195" s="408"/>
      <c r="P195" s="408"/>
      <c r="Q195" s="408"/>
      <c r="R195" s="408"/>
      <c r="S195" s="408"/>
      <c r="T195" s="408"/>
      <c r="U195" s="408"/>
      <c r="V195" s="408"/>
      <c r="W195" s="408"/>
      <c r="X195" s="408"/>
      <c r="Y195" s="408"/>
      <c r="Z195" s="408"/>
    </row>
    <row r="196" ht="14.25" customHeight="1">
      <c r="A196" s="408"/>
      <c r="B196" s="408"/>
      <c r="C196" s="552"/>
      <c r="D196" s="408"/>
      <c r="E196" s="408"/>
      <c r="F196" s="408"/>
      <c r="G196" s="408"/>
      <c r="H196" s="408"/>
      <c r="I196" s="408"/>
      <c r="J196" s="408"/>
      <c r="K196" s="408"/>
      <c r="L196" s="408"/>
      <c r="M196" s="408"/>
      <c r="N196" s="408"/>
      <c r="O196" s="408"/>
      <c r="P196" s="408"/>
      <c r="Q196" s="408"/>
      <c r="R196" s="408"/>
      <c r="S196" s="408"/>
      <c r="T196" s="408"/>
      <c r="U196" s="408"/>
      <c r="V196" s="408"/>
      <c r="W196" s="408"/>
      <c r="X196" s="408"/>
      <c r="Y196" s="408"/>
      <c r="Z196" s="408"/>
    </row>
    <row r="197" ht="14.25" customHeight="1">
      <c r="A197" s="408"/>
      <c r="B197" s="408"/>
      <c r="C197" s="552"/>
      <c r="D197" s="408"/>
      <c r="E197" s="408"/>
      <c r="F197" s="408"/>
      <c r="G197" s="408"/>
      <c r="H197" s="408"/>
      <c r="I197" s="408"/>
      <c r="J197" s="408"/>
      <c r="K197" s="408"/>
      <c r="L197" s="408"/>
      <c r="M197" s="408"/>
      <c r="N197" s="408"/>
      <c r="O197" s="408"/>
      <c r="P197" s="408"/>
      <c r="Q197" s="408"/>
      <c r="R197" s="408"/>
      <c r="S197" s="408"/>
      <c r="T197" s="408"/>
      <c r="U197" s="408"/>
      <c r="V197" s="408"/>
      <c r="W197" s="408"/>
      <c r="X197" s="408"/>
      <c r="Y197" s="408"/>
      <c r="Z197" s="408"/>
    </row>
    <row r="198" ht="14.25" customHeight="1">
      <c r="A198" s="408"/>
      <c r="B198" s="408"/>
      <c r="C198" s="552"/>
      <c r="D198" s="408"/>
      <c r="E198" s="408"/>
      <c r="F198" s="408"/>
      <c r="G198" s="408"/>
      <c r="H198" s="408"/>
      <c r="I198" s="408"/>
      <c r="J198" s="408"/>
      <c r="K198" s="408"/>
      <c r="L198" s="408"/>
      <c r="M198" s="408"/>
      <c r="N198" s="408"/>
      <c r="O198" s="408"/>
      <c r="P198" s="408"/>
      <c r="Q198" s="408"/>
      <c r="R198" s="408"/>
      <c r="S198" s="408"/>
      <c r="T198" s="408"/>
      <c r="U198" s="408"/>
      <c r="V198" s="408"/>
      <c r="W198" s="408"/>
      <c r="X198" s="408"/>
      <c r="Y198" s="408"/>
      <c r="Z198" s="408"/>
    </row>
    <row r="199" ht="14.25" customHeight="1">
      <c r="A199" s="408"/>
      <c r="B199" s="408"/>
      <c r="C199" s="552"/>
      <c r="D199" s="408"/>
      <c r="E199" s="408"/>
      <c r="F199" s="408"/>
      <c r="G199" s="408"/>
      <c r="H199" s="408"/>
      <c r="I199" s="408"/>
      <c r="J199" s="408"/>
      <c r="K199" s="408"/>
      <c r="L199" s="408"/>
      <c r="M199" s="408"/>
      <c r="N199" s="408"/>
      <c r="O199" s="408"/>
      <c r="P199" s="408"/>
      <c r="Q199" s="408"/>
      <c r="R199" s="408"/>
      <c r="S199" s="408"/>
      <c r="T199" s="408"/>
      <c r="U199" s="408"/>
      <c r="V199" s="408"/>
      <c r="W199" s="408"/>
      <c r="X199" s="408"/>
      <c r="Y199" s="408"/>
      <c r="Z199" s="408"/>
    </row>
    <row r="200" ht="14.25" customHeight="1">
      <c r="A200" s="408"/>
      <c r="B200" s="408"/>
      <c r="C200" s="552"/>
      <c r="D200" s="408"/>
      <c r="E200" s="408"/>
      <c r="F200" s="408"/>
      <c r="G200" s="408"/>
      <c r="H200" s="408"/>
      <c r="I200" s="408"/>
      <c r="J200" s="408"/>
      <c r="K200" s="408"/>
      <c r="L200" s="408"/>
      <c r="M200" s="408"/>
      <c r="N200" s="408"/>
      <c r="O200" s="408"/>
      <c r="P200" s="408"/>
      <c r="Q200" s="408"/>
      <c r="R200" s="408"/>
      <c r="S200" s="408"/>
      <c r="T200" s="408"/>
      <c r="U200" s="408"/>
      <c r="V200" s="408"/>
      <c r="W200" s="408"/>
      <c r="X200" s="408"/>
      <c r="Y200" s="408"/>
      <c r="Z200" s="408"/>
    </row>
    <row r="201" ht="14.25" customHeight="1">
      <c r="A201" s="408"/>
      <c r="B201" s="408"/>
      <c r="C201" s="552"/>
      <c r="D201" s="408"/>
      <c r="E201" s="408"/>
      <c r="F201" s="408"/>
      <c r="G201" s="408"/>
      <c r="H201" s="408"/>
      <c r="I201" s="408"/>
      <c r="J201" s="408"/>
      <c r="K201" s="408"/>
      <c r="L201" s="408"/>
      <c r="M201" s="408"/>
      <c r="N201" s="408"/>
      <c r="O201" s="408"/>
      <c r="P201" s="408"/>
      <c r="Q201" s="408"/>
      <c r="R201" s="408"/>
      <c r="S201" s="408"/>
      <c r="T201" s="408"/>
      <c r="U201" s="408"/>
      <c r="V201" s="408"/>
      <c r="W201" s="408"/>
      <c r="X201" s="408"/>
      <c r="Y201" s="408"/>
      <c r="Z201" s="408"/>
    </row>
    <row r="202" ht="14.25" customHeight="1">
      <c r="A202" s="408"/>
      <c r="B202" s="408"/>
      <c r="C202" s="552"/>
      <c r="D202" s="408"/>
      <c r="E202" s="408"/>
      <c r="F202" s="408"/>
      <c r="G202" s="408"/>
      <c r="H202" s="408"/>
      <c r="I202" s="408"/>
      <c r="J202" s="408"/>
      <c r="K202" s="408"/>
      <c r="L202" s="408"/>
      <c r="M202" s="408"/>
      <c r="N202" s="408"/>
      <c r="O202" s="408"/>
      <c r="P202" s="408"/>
      <c r="Q202" s="408"/>
      <c r="R202" s="408"/>
      <c r="S202" s="408"/>
      <c r="T202" s="408"/>
      <c r="U202" s="408"/>
      <c r="V202" s="408"/>
      <c r="W202" s="408"/>
      <c r="X202" s="408"/>
      <c r="Y202" s="408"/>
      <c r="Z202" s="408"/>
    </row>
    <row r="203" ht="14.25" customHeight="1">
      <c r="A203" s="408"/>
      <c r="B203" s="408"/>
      <c r="C203" s="552"/>
      <c r="D203" s="408"/>
      <c r="E203" s="408"/>
      <c r="F203" s="408"/>
      <c r="G203" s="408"/>
      <c r="H203" s="408"/>
      <c r="I203" s="408"/>
      <c r="J203" s="408"/>
      <c r="K203" s="408"/>
      <c r="L203" s="408"/>
      <c r="M203" s="408"/>
      <c r="N203" s="408"/>
      <c r="O203" s="408"/>
      <c r="P203" s="408"/>
      <c r="Q203" s="408"/>
      <c r="R203" s="408"/>
      <c r="S203" s="408"/>
      <c r="T203" s="408"/>
      <c r="U203" s="408"/>
      <c r="V203" s="408"/>
      <c r="W203" s="408"/>
      <c r="X203" s="408"/>
      <c r="Y203" s="408"/>
      <c r="Z203" s="408"/>
    </row>
    <row r="204" ht="14.25" customHeight="1">
      <c r="A204" s="408"/>
      <c r="B204" s="408"/>
      <c r="C204" s="552"/>
      <c r="D204" s="408"/>
      <c r="E204" s="408"/>
      <c r="F204" s="408"/>
      <c r="G204" s="408"/>
      <c r="H204" s="408"/>
      <c r="I204" s="408"/>
      <c r="J204" s="408"/>
      <c r="K204" s="408"/>
      <c r="L204" s="408"/>
      <c r="M204" s="408"/>
      <c r="N204" s="408"/>
      <c r="O204" s="408"/>
      <c r="P204" s="408"/>
      <c r="Q204" s="408"/>
      <c r="R204" s="408"/>
      <c r="S204" s="408"/>
      <c r="T204" s="408"/>
      <c r="U204" s="408"/>
      <c r="V204" s="408"/>
      <c r="W204" s="408"/>
      <c r="X204" s="408"/>
      <c r="Y204" s="408"/>
      <c r="Z204" s="408"/>
    </row>
    <row r="205" ht="14.25" customHeight="1">
      <c r="A205" s="408"/>
      <c r="B205" s="408"/>
      <c r="C205" s="552"/>
      <c r="D205" s="408"/>
      <c r="E205" s="408"/>
      <c r="F205" s="408"/>
      <c r="G205" s="408"/>
      <c r="H205" s="408"/>
      <c r="I205" s="408"/>
      <c r="J205" s="408"/>
      <c r="K205" s="408"/>
      <c r="L205" s="408"/>
      <c r="M205" s="408"/>
      <c r="N205" s="408"/>
      <c r="O205" s="408"/>
      <c r="P205" s="408"/>
      <c r="Q205" s="408"/>
      <c r="R205" s="408"/>
      <c r="S205" s="408"/>
      <c r="T205" s="408"/>
      <c r="U205" s="408"/>
      <c r="V205" s="408"/>
      <c r="W205" s="408"/>
      <c r="X205" s="408"/>
      <c r="Y205" s="408"/>
      <c r="Z205" s="408"/>
    </row>
    <row r="206" ht="14.25" customHeight="1">
      <c r="A206" s="408"/>
      <c r="B206" s="408"/>
      <c r="C206" s="552"/>
      <c r="D206" s="408"/>
      <c r="E206" s="408"/>
      <c r="F206" s="408"/>
      <c r="G206" s="408"/>
      <c r="H206" s="408"/>
      <c r="I206" s="408"/>
      <c r="J206" s="408"/>
      <c r="K206" s="408"/>
      <c r="L206" s="408"/>
      <c r="M206" s="408"/>
      <c r="N206" s="408"/>
      <c r="O206" s="408"/>
      <c r="P206" s="408"/>
      <c r="Q206" s="408"/>
      <c r="R206" s="408"/>
      <c r="S206" s="408"/>
      <c r="T206" s="408"/>
      <c r="U206" s="408"/>
      <c r="V206" s="408"/>
      <c r="W206" s="408"/>
      <c r="X206" s="408"/>
      <c r="Y206" s="408"/>
      <c r="Z206" s="408"/>
    </row>
    <row r="207" ht="14.25" customHeight="1">
      <c r="A207" s="408"/>
      <c r="B207" s="408"/>
      <c r="C207" s="552"/>
      <c r="D207" s="408"/>
      <c r="E207" s="408"/>
      <c r="F207" s="408"/>
      <c r="G207" s="408"/>
      <c r="H207" s="408"/>
      <c r="I207" s="408"/>
      <c r="J207" s="408"/>
      <c r="K207" s="408"/>
      <c r="L207" s="408"/>
      <c r="M207" s="408"/>
      <c r="N207" s="408"/>
      <c r="O207" s="408"/>
      <c r="P207" s="408"/>
      <c r="Q207" s="408"/>
      <c r="R207" s="408"/>
      <c r="S207" s="408"/>
      <c r="T207" s="408"/>
      <c r="U207" s="408"/>
      <c r="V207" s="408"/>
      <c r="W207" s="408"/>
      <c r="X207" s="408"/>
      <c r="Y207" s="408"/>
      <c r="Z207" s="408"/>
    </row>
    <row r="208" ht="14.25" customHeight="1">
      <c r="A208" s="408"/>
      <c r="B208" s="408"/>
      <c r="C208" s="552"/>
      <c r="D208" s="408"/>
      <c r="E208" s="408"/>
      <c r="F208" s="408"/>
      <c r="G208" s="408"/>
      <c r="H208" s="408"/>
      <c r="I208" s="408"/>
      <c r="J208" s="408"/>
      <c r="K208" s="408"/>
      <c r="L208" s="408"/>
      <c r="M208" s="408"/>
      <c r="N208" s="408"/>
      <c r="O208" s="408"/>
      <c r="P208" s="408"/>
      <c r="Q208" s="408"/>
      <c r="R208" s="408"/>
      <c r="S208" s="408"/>
      <c r="T208" s="408"/>
      <c r="U208" s="408"/>
      <c r="V208" s="408"/>
      <c r="W208" s="408"/>
      <c r="X208" s="408"/>
      <c r="Y208" s="408"/>
      <c r="Z208" s="408"/>
    </row>
    <row r="209" ht="14.25" customHeight="1">
      <c r="A209" s="408"/>
      <c r="B209" s="408"/>
      <c r="C209" s="552"/>
      <c r="D209" s="408"/>
      <c r="E209" s="408"/>
      <c r="F209" s="408"/>
      <c r="G209" s="408"/>
      <c r="H209" s="408"/>
      <c r="I209" s="408"/>
      <c r="J209" s="408"/>
      <c r="K209" s="408"/>
      <c r="L209" s="408"/>
      <c r="M209" s="408"/>
      <c r="N209" s="408"/>
      <c r="O209" s="408"/>
      <c r="P209" s="408"/>
      <c r="Q209" s="408"/>
      <c r="R209" s="408"/>
      <c r="S209" s="408"/>
      <c r="T209" s="408"/>
      <c r="U209" s="408"/>
      <c r="V209" s="408"/>
      <c r="W209" s="408"/>
      <c r="X209" s="408"/>
      <c r="Y209" s="408"/>
      <c r="Z209" s="408"/>
    </row>
    <row r="210" ht="14.25" customHeight="1">
      <c r="A210" s="408"/>
      <c r="B210" s="408"/>
      <c r="C210" s="552"/>
      <c r="D210" s="408"/>
      <c r="E210" s="408"/>
      <c r="F210" s="408"/>
      <c r="G210" s="408"/>
      <c r="H210" s="408"/>
      <c r="I210" s="408"/>
      <c r="J210" s="408"/>
      <c r="K210" s="408"/>
      <c r="L210" s="408"/>
      <c r="M210" s="408"/>
      <c r="N210" s="408"/>
      <c r="O210" s="408"/>
      <c r="P210" s="408"/>
      <c r="Q210" s="408"/>
      <c r="R210" s="408"/>
      <c r="S210" s="408"/>
      <c r="T210" s="408"/>
      <c r="U210" s="408"/>
      <c r="V210" s="408"/>
      <c r="W210" s="408"/>
      <c r="X210" s="408"/>
      <c r="Y210" s="408"/>
      <c r="Z210" s="408"/>
    </row>
    <row r="211" ht="14.25" customHeight="1">
      <c r="A211" s="408"/>
      <c r="B211" s="408"/>
      <c r="C211" s="552"/>
      <c r="D211" s="408"/>
      <c r="E211" s="408"/>
      <c r="F211" s="408"/>
      <c r="G211" s="408"/>
      <c r="H211" s="408"/>
      <c r="I211" s="408"/>
      <c r="J211" s="408"/>
      <c r="K211" s="408"/>
      <c r="L211" s="408"/>
      <c r="M211" s="408"/>
      <c r="N211" s="408"/>
      <c r="O211" s="408"/>
      <c r="P211" s="408"/>
      <c r="Q211" s="408"/>
      <c r="R211" s="408"/>
      <c r="S211" s="408"/>
      <c r="T211" s="408"/>
      <c r="U211" s="408"/>
      <c r="V211" s="408"/>
      <c r="W211" s="408"/>
      <c r="X211" s="408"/>
      <c r="Y211" s="408"/>
      <c r="Z211" s="408"/>
    </row>
    <row r="212" ht="14.25" customHeight="1">
      <c r="A212" s="408"/>
      <c r="B212" s="408"/>
      <c r="C212" s="552"/>
      <c r="D212" s="408"/>
      <c r="E212" s="408"/>
      <c r="F212" s="408"/>
      <c r="G212" s="408"/>
      <c r="H212" s="408"/>
      <c r="I212" s="408"/>
      <c r="J212" s="408"/>
      <c r="K212" s="408"/>
      <c r="L212" s="408"/>
      <c r="M212" s="408"/>
      <c r="N212" s="408"/>
      <c r="O212" s="408"/>
      <c r="P212" s="408"/>
      <c r="Q212" s="408"/>
      <c r="R212" s="408"/>
      <c r="S212" s="408"/>
      <c r="T212" s="408"/>
      <c r="U212" s="408"/>
      <c r="V212" s="408"/>
      <c r="W212" s="408"/>
      <c r="X212" s="408"/>
      <c r="Y212" s="408"/>
      <c r="Z212" s="408"/>
    </row>
    <row r="213" ht="14.25" customHeight="1">
      <c r="A213" s="408"/>
      <c r="B213" s="408"/>
      <c r="C213" s="552"/>
      <c r="D213" s="408"/>
      <c r="E213" s="408"/>
      <c r="F213" s="408"/>
      <c r="G213" s="408"/>
      <c r="H213" s="408"/>
      <c r="I213" s="408"/>
      <c r="J213" s="408"/>
      <c r="K213" s="408"/>
      <c r="L213" s="408"/>
      <c r="M213" s="408"/>
      <c r="N213" s="408"/>
      <c r="O213" s="408"/>
      <c r="P213" s="408"/>
      <c r="Q213" s="408"/>
      <c r="R213" s="408"/>
      <c r="S213" s="408"/>
      <c r="T213" s="408"/>
      <c r="U213" s="408"/>
      <c r="V213" s="408"/>
      <c r="W213" s="408"/>
      <c r="X213" s="408"/>
      <c r="Y213" s="408"/>
      <c r="Z213" s="408"/>
    </row>
    <row r="214" ht="14.25" customHeight="1">
      <c r="A214" s="408"/>
      <c r="B214" s="408"/>
      <c r="C214" s="552"/>
      <c r="D214" s="408"/>
      <c r="E214" s="408"/>
      <c r="F214" s="408"/>
      <c r="G214" s="408"/>
      <c r="H214" s="408"/>
      <c r="I214" s="408"/>
      <c r="J214" s="408"/>
      <c r="K214" s="408"/>
      <c r="L214" s="408"/>
      <c r="M214" s="408"/>
      <c r="N214" s="408"/>
      <c r="O214" s="408"/>
      <c r="P214" s="408"/>
      <c r="Q214" s="408"/>
      <c r="R214" s="408"/>
      <c r="S214" s="408"/>
      <c r="T214" s="408"/>
      <c r="U214" s="408"/>
      <c r="V214" s="408"/>
      <c r="W214" s="408"/>
      <c r="X214" s="408"/>
      <c r="Y214" s="408"/>
      <c r="Z214" s="408"/>
    </row>
    <row r="215" ht="14.25" customHeight="1">
      <c r="A215" s="408"/>
      <c r="B215" s="408"/>
      <c r="C215" s="552"/>
      <c r="D215" s="408"/>
      <c r="E215" s="408"/>
      <c r="F215" s="408"/>
      <c r="G215" s="408"/>
      <c r="H215" s="408"/>
      <c r="I215" s="408"/>
      <c r="J215" s="408"/>
      <c r="K215" s="408"/>
      <c r="L215" s="408"/>
      <c r="M215" s="408"/>
      <c r="N215" s="408"/>
      <c r="O215" s="408"/>
      <c r="P215" s="408"/>
      <c r="Q215" s="408"/>
      <c r="R215" s="408"/>
      <c r="S215" s="408"/>
      <c r="T215" s="408"/>
      <c r="U215" s="408"/>
      <c r="V215" s="408"/>
      <c r="W215" s="408"/>
      <c r="X215" s="408"/>
      <c r="Y215" s="408"/>
      <c r="Z215" s="408"/>
    </row>
    <row r="216" ht="14.25" customHeight="1">
      <c r="A216" s="408"/>
      <c r="B216" s="408"/>
      <c r="C216" s="552"/>
      <c r="D216" s="408"/>
      <c r="E216" s="408"/>
      <c r="F216" s="408"/>
      <c r="G216" s="408"/>
      <c r="H216" s="408"/>
      <c r="I216" s="408"/>
      <c r="J216" s="408"/>
      <c r="K216" s="408"/>
      <c r="L216" s="408"/>
      <c r="M216" s="408"/>
      <c r="N216" s="408"/>
      <c r="O216" s="408"/>
      <c r="P216" s="408"/>
      <c r="Q216" s="408"/>
      <c r="R216" s="408"/>
      <c r="S216" s="408"/>
      <c r="T216" s="408"/>
      <c r="U216" s="408"/>
      <c r="V216" s="408"/>
      <c r="W216" s="408"/>
      <c r="X216" s="408"/>
      <c r="Y216" s="408"/>
      <c r="Z216" s="408"/>
    </row>
    <row r="217" ht="14.25" customHeight="1">
      <c r="A217" s="408"/>
      <c r="B217" s="408"/>
      <c r="C217" s="552"/>
      <c r="D217" s="408"/>
      <c r="E217" s="408"/>
      <c r="F217" s="408"/>
      <c r="G217" s="408"/>
      <c r="H217" s="408"/>
      <c r="I217" s="408"/>
      <c r="J217" s="408"/>
      <c r="K217" s="408"/>
      <c r="L217" s="408"/>
      <c r="M217" s="408"/>
      <c r="N217" s="408"/>
      <c r="O217" s="408"/>
      <c r="P217" s="408"/>
      <c r="Q217" s="408"/>
      <c r="R217" s="408"/>
      <c r="S217" s="408"/>
      <c r="T217" s="408"/>
      <c r="U217" s="408"/>
      <c r="V217" s="408"/>
      <c r="W217" s="408"/>
      <c r="X217" s="408"/>
      <c r="Y217" s="408"/>
      <c r="Z217" s="408"/>
    </row>
    <row r="218" ht="14.25" customHeight="1">
      <c r="A218" s="408"/>
      <c r="B218" s="408"/>
      <c r="C218" s="552"/>
      <c r="D218" s="408"/>
      <c r="E218" s="408"/>
      <c r="F218" s="408"/>
      <c r="G218" s="408"/>
      <c r="H218" s="408"/>
      <c r="I218" s="408"/>
      <c r="J218" s="408"/>
      <c r="K218" s="408"/>
      <c r="L218" s="408"/>
      <c r="M218" s="408"/>
      <c r="N218" s="408"/>
      <c r="O218" s="408"/>
      <c r="P218" s="408"/>
      <c r="Q218" s="408"/>
      <c r="R218" s="408"/>
      <c r="S218" s="408"/>
      <c r="T218" s="408"/>
      <c r="U218" s="408"/>
      <c r="V218" s="408"/>
      <c r="W218" s="408"/>
      <c r="X218" s="408"/>
      <c r="Y218" s="408"/>
      <c r="Z218" s="408"/>
    </row>
    <row r="219" ht="14.25" customHeight="1">
      <c r="A219" s="408"/>
      <c r="B219" s="408"/>
      <c r="C219" s="552"/>
      <c r="D219" s="408"/>
      <c r="E219" s="408"/>
      <c r="F219" s="408"/>
      <c r="G219" s="408"/>
      <c r="H219" s="408"/>
      <c r="I219" s="408"/>
      <c r="J219" s="408"/>
      <c r="K219" s="408"/>
      <c r="L219" s="408"/>
      <c r="M219" s="408"/>
      <c r="N219" s="408"/>
      <c r="O219" s="408"/>
      <c r="P219" s="408"/>
      <c r="Q219" s="408"/>
      <c r="R219" s="408"/>
      <c r="S219" s="408"/>
      <c r="T219" s="408"/>
      <c r="U219" s="408"/>
      <c r="V219" s="408"/>
      <c r="W219" s="408"/>
      <c r="X219" s="408"/>
      <c r="Y219" s="408"/>
      <c r="Z219" s="408"/>
    </row>
    <row r="220" ht="14.25" customHeight="1">
      <c r="A220" s="408"/>
      <c r="B220" s="408"/>
      <c r="C220" s="552"/>
      <c r="D220" s="408"/>
      <c r="E220" s="408"/>
      <c r="F220" s="408"/>
      <c r="G220" s="408"/>
      <c r="H220" s="408"/>
      <c r="I220" s="408"/>
      <c r="J220" s="408"/>
      <c r="K220" s="408"/>
      <c r="L220" s="408"/>
      <c r="M220" s="408"/>
      <c r="N220" s="408"/>
      <c r="O220" s="408"/>
      <c r="P220" s="408"/>
      <c r="Q220" s="408"/>
      <c r="R220" s="408"/>
      <c r="S220" s="408"/>
      <c r="T220" s="408"/>
      <c r="U220" s="408"/>
      <c r="V220" s="408"/>
      <c r="W220" s="408"/>
      <c r="X220" s="408"/>
      <c r="Y220" s="408"/>
      <c r="Z220" s="408"/>
    </row>
    <row r="221" ht="14.25" customHeight="1">
      <c r="A221" s="408"/>
      <c r="B221" s="408"/>
      <c r="C221" s="552"/>
      <c r="D221" s="408"/>
      <c r="E221" s="408"/>
      <c r="F221" s="408"/>
      <c r="G221" s="408"/>
      <c r="H221" s="408"/>
      <c r="I221" s="408"/>
      <c r="J221" s="408"/>
      <c r="K221" s="408"/>
      <c r="L221" s="408"/>
      <c r="M221" s="408"/>
      <c r="N221" s="408"/>
      <c r="O221" s="408"/>
      <c r="P221" s="408"/>
      <c r="Q221" s="408"/>
      <c r="R221" s="408"/>
      <c r="S221" s="408"/>
      <c r="T221" s="408"/>
      <c r="U221" s="408"/>
      <c r="V221" s="408"/>
      <c r="W221" s="408"/>
      <c r="X221" s="408"/>
      <c r="Y221" s="408"/>
      <c r="Z221" s="408"/>
    </row>
    <row r="222" ht="14.25" customHeight="1">
      <c r="A222" s="408"/>
      <c r="B222" s="408"/>
      <c r="C222" s="552"/>
      <c r="D222" s="408"/>
      <c r="E222" s="408"/>
      <c r="F222" s="408"/>
      <c r="G222" s="408"/>
      <c r="H222" s="408"/>
      <c r="I222" s="408"/>
      <c r="J222" s="408"/>
      <c r="K222" s="408"/>
      <c r="L222" s="408"/>
      <c r="M222" s="408"/>
      <c r="N222" s="408"/>
      <c r="O222" s="408"/>
      <c r="P222" s="408"/>
      <c r="Q222" s="408"/>
      <c r="R222" s="408"/>
      <c r="S222" s="408"/>
      <c r="T222" s="408"/>
      <c r="U222" s="408"/>
      <c r="V222" s="408"/>
      <c r="W222" s="408"/>
      <c r="X222" s="408"/>
      <c r="Y222" s="408"/>
      <c r="Z222" s="408"/>
    </row>
    <row r="223" ht="14.25" customHeight="1">
      <c r="A223" s="408"/>
      <c r="B223" s="408"/>
      <c r="C223" s="552"/>
      <c r="D223" s="408"/>
      <c r="E223" s="408"/>
      <c r="F223" s="408"/>
      <c r="G223" s="408"/>
      <c r="H223" s="408"/>
      <c r="I223" s="408"/>
      <c r="J223" s="408"/>
      <c r="K223" s="408"/>
      <c r="L223" s="408"/>
      <c r="M223" s="408"/>
      <c r="N223" s="408"/>
      <c r="O223" s="408"/>
      <c r="P223" s="408"/>
      <c r="Q223" s="408"/>
      <c r="R223" s="408"/>
      <c r="S223" s="408"/>
      <c r="T223" s="408"/>
      <c r="U223" s="408"/>
      <c r="V223" s="408"/>
      <c r="W223" s="408"/>
      <c r="X223" s="408"/>
      <c r="Y223" s="408"/>
      <c r="Z223" s="408"/>
    </row>
    <row r="224" ht="14.25" customHeight="1">
      <c r="A224" s="408"/>
      <c r="B224" s="408"/>
      <c r="C224" s="552"/>
      <c r="D224" s="408"/>
      <c r="E224" s="408"/>
      <c r="F224" s="408"/>
      <c r="G224" s="408"/>
      <c r="H224" s="408"/>
      <c r="I224" s="408"/>
      <c r="J224" s="408"/>
      <c r="K224" s="408"/>
      <c r="L224" s="408"/>
      <c r="M224" s="408"/>
      <c r="N224" s="408"/>
      <c r="O224" s="408"/>
      <c r="P224" s="408"/>
      <c r="Q224" s="408"/>
      <c r="R224" s="408"/>
      <c r="S224" s="408"/>
      <c r="T224" s="408"/>
      <c r="U224" s="408"/>
      <c r="V224" s="408"/>
      <c r="W224" s="408"/>
      <c r="X224" s="408"/>
      <c r="Y224" s="408"/>
      <c r="Z224" s="408"/>
    </row>
    <row r="225" ht="14.25" customHeight="1">
      <c r="A225" s="408"/>
      <c r="B225" s="408"/>
      <c r="C225" s="552"/>
      <c r="D225" s="408"/>
      <c r="E225" s="408"/>
      <c r="F225" s="408"/>
      <c r="G225" s="408"/>
      <c r="H225" s="408"/>
      <c r="I225" s="408"/>
      <c r="J225" s="408"/>
      <c r="K225" s="408"/>
      <c r="L225" s="408"/>
      <c r="M225" s="408"/>
      <c r="N225" s="408"/>
      <c r="O225" s="408"/>
      <c r="P225" s="408"/>
      <c r="Q225" s="408"/>
      <c r="R225" s="408"/>
      <c r="S225" s="408"/>
      <c r="T225" s="408"/>
      <c r="U225" s="408"/>
      <c r="V225" s="408"/>
      <c r="W225" s="408"/>
      <c r="X225" s="408"/>
      <c r="Y225" s="408"/>
      <c r="Z225" s="408"/>
    </row>
    <row r="226" ht="14.25" customHeight="1">
      <c r="A226" s="408"/>
      <c r="B226" s="408"/>
      <c r="C226" s="552"/>
      <c r="D226" s="408"/>
      <c r="E226" s="408"/>
      <c r="F226" s="408"/>
      <c r="G226" s="408"/>
      <c r="H226" s="408"/>
      <c r="I226" s="408"/>
      <c r="J226" s="408"/>
      <c r="K226" s="408"/>
      <c r="L226" s="408"/>
      <c r="M226" s="408"/>
      <c r="N226" s="408"/>
      <c r="O226" s="408"/>
      <c r="P226" s="408"/>
      <c r="Q226" s="408"/>
      <c r="R226" s="408"/>
      <c r="S226" s="408"/>
      <c r="T226" s="408"/>
      <c r="U226" s="408"/>
      <c r="V226" s="408"/>
      <c r="W226" s="408"/>
      <c r="X226" s="408"/>
      <c r="Y226" s="408"/>
      <c r="Z226" s="408"/>
    </row>
    <row r="227" ht="14.25" customHeight="1">
      <c r="A227" s="408"/>
      <c r="B227" s="408"/>
      <c r="C227" s="552"/>
      <c r="D227" s="408"/>
      <c r="E227" s="408"/>
      <c r="F227" s="408"/>
      <c r="G227" s="408"/>
      <c r="H227" s="408"/>
      <c r="I227" s="408"/>
      <c r="J227" s="408"/>
      <c r="K227" s="408"/>
      <c r="L227" s="408"/>
      <c r="M227" s="408"/>
      <c r="N227" s="408"/>
      <c r="O227" s="408"/>
      <c r="P227" s="408"/>
      <c r="Q227" s="408"/>
      <c r="R227" s="408"/>
      <c r="S227" s="408"/>
      <c r="T227" s="408"/>
      <c r="U227" s="408"/>
      <c r="V227" s="408"/>
      <c r="W227" s="408"/>
      <c r="X227" s="408"/>
      <c r="Y227" s="408"/>
      <c r="Z227" s="408"/>
    </row>
    <row r="228" ht="14.25" customHeight="1">
      <c r="A228" s="408"/>
      <c r="B228" s="408"/>
      <c r="C228" s="552"/>
      <c r="D228" s="408"/>
      <c r="E228" s="408"/>
      <c r="F228" s="408"/>
      <c r="G228" s="408"/>
      <c r="H228" s="408"/>
      <c r="I228" s="408"/>
      <c r="J228" s="408"/>
      <c r="K228" s="408"/>
      <c r="L228" s="408"/>
      <c r="M228" s="408"/>
      <c r="N228" s="408"/>
      <c r="O228" s="408"/>
      <c r="P228" s="408"/>
      <c r="Q228" s="408"/>
      <c r="R228" s="408"/>
      <c r="S228" s="408"/>
      <c r="T228" s="408"/>
      <c r="U228" s="408"/>
      <c r="V228" s="408"/>
      <c r="W228" s="408"/>
      <c r="X228" s="408"/>
      <c r="Y228" s="408"/>
      <c r="Z228" s="408"/>
    </row>
    <row r="229" ht="14.25" customHeight="1">
      <c r="A229" s="408"/>
      <c r="B229" s="408"/>
      <c r="C229" s="552"/>
      <c r="D229" s="408"/>
      <c r="E229" s="408"/>
      <c r="F229" s="408"/>
      <c r="G229" s="408"/>
      <c r="H229" s="408"/>
      <c r="I229" s="408"/>
      <c r="J229" s="408"/>
      <c r="K229" s="408"/>
      <c r="L229" s="408"/>
      <c r="M229" s="408"/>
      <c r="N229" s="408"/>
      <c r="O229" s="408"/>
      <c r="P229" s="408"/>
      <c r="Q229" s="408"/>
      <c r="R229" s="408"/>
      <c r="S229" s="408"/>
      <c r="T229" s="408"/>
      <c r="U229" s="408"/>
      <c r="V229" s="408"/>
      <c r="W229" s="408"/>
      <c r="X229" s="408"/>
      <c r="Y229" s="408"/>
      <c r="Z229" s="408"/>
    </row>
    <row r="230" ht="14.25" customHeight="1">
      <c r="A230" s="408"/>
      <c r="B230" s="408"/>
      <c r="C230" s="552"/>
      <c r="D230" s="408"/>
      <c r="E230" s="408"/>
      <c r="F230" s="408"/>
      <c r="G230" s="408"/>
      <c r="H230" s="408"/>
      <c r="I230" s="408"/>
      <c r="J230" s="408"/>
      <c r="K230" s="408"/>
      <c r="L230" s="408"/>
      <c r="M230" s="408"/>
      <c r="N230" s="408"/>
      <c r="O230" s="408"/>
      <c r="P230" s="408"/>
      <c r="Q230" s="408"/>
      <c r="R230" s="408"/>
      <c r="S230" s="408"/>
      <c r="T230" s="408"/>
      <c r="U230" s="408"/>
      <c r="V230" s="408"/>
      <c r="W230" s="408"/>
      <c r="X230" s="408"/>
      <c r="Y230" s="408"/>
      <c r="Z230" s="408"/>
    </row>
    <row r="231" ht="14.25" customHeight="1">
      <c r="A231" s="408"/>
      <c r="B231" s="408"/>
      <c r="C231" s="552"/>
      <c r="D231" s="408"/>
      <c r="E231" s="408"/>
      <c r="F231" s="408"/>
      <c r="G231" s="408"/>
      <c r="H231" s="408"/>
      <c r="I231" s="408"/>
      <c r="J231" s="408"/>
      <c r="K231" s="408"/>
      <c r="L231" s="408"/>
      <c r="M231" s="408"/>
      <c r="N231" s="408"/>
      <c r="O231" s="408"/>
      <c r="P231" s="408"/>
      <c r="Q231" s="408"/>
      <c r="R231" s="408"/>
      <c r="S231" s="408"/>
      <c r="T231" s="408"/>
      <c r="U231" s="408"/>
      <c r="V231" s="408"/>
      <c r="W231" s="408"/>
      <c r="X231" s="408"/>
      <c r="Y231" s="408"/>
      <c r="Z231" s="408"/>
    </row>
    <row r="232" ht="14.25" customHeight="1">
      <c r="A232" s="408"/>
      <c r="B232" s="408"/>
      <c r="C232" s="552"/>
      <c r="D232" s="408"/>
      <c r="E232" s="408"/>
      <c r="F232" s="408"/>
      <c r="G232" s="408"/>
      <c r="H232" s="408"/>
      <c r="I232" s="408"/>
      <c r="J232" s="408"/>
      <c r="K232" s="408"/>
      <c r="L232" s="408"/>
      <c r="M232" s="408"/>
      <c r="N232" s="408"/>
      <c r="O232" s="408"/>
      <c r="P232" s="408"/>
      <c r="Q232" s="408"/>
      <c r="R232" s="408"/>
      <c r="S232" s="408"/>
      <c r="T232" s="408"/>
      <c r="U232" s="408"/>
      <c r="V232" s="408"/>
      <c r="W232" s="408"/>
      <c r="X232" s="408"/>
      <c r="Y232" s="408"/>
      <c r="Z232" s="408"/>
    </row>
    <row r="233" ht="14.25" customHeight="1">
      <c r="A233" s="408"/>
      <c r="B233" s="408"/>
      <c r="C233" s="552"/>
      <c r="D233" s="408"/>
      <c r="E233" s="408"/>
      <c r="F233" s="408"/>
      <c r="G233" s="408"/>
      <c r="H233" s="408"/>
      <c r="I233" s="408"/>
      <c r="J233" s="408"/>
      <c r="K233" s="408"/>
      <c r="L233" s="408"/>
      <c r="M233" s="408"/>
      <c r="N233" s="408"/>
      <c r="O233" s="408"/>
      <c r="P233" s="408"/>
      <c r="Q233" s="408"/>
      <c r="R233" s="408"/>
      <c r="S233" s="408"/>
      <c r="T233" s="408"/>
      <c r="U233" s="408"/>
      <c r="V233" s="408"/>
      <c r="W233" s="408"/>
      <c r="X233" s="408"/>
      <c r="Y233" s="408"/>
      <c r="Z233" s="408"/>
    </row>
    <row r="234" ht="14.25" customHeight="1">
      <c r="A234" s="408"/>
      <c r="B234" s="408"/>
      <c r="C234" s="552"/>
      <c r="D234" s="408"/>
      <c r="E234" s="408"/>
      <c r="F234" s="408"/>
      <c r="G234" s="408"/>
      <c r="H234" s="408"/>
      <c r="I234" s="408"/>
      <c r="J234" s="408"/>
      <c r="K234" s="408"/>
      <c r="L234" s="408"/>
      <c r="M234" s="408"/>
      <c r="N234" s="408"/>
      <c r="O234" s="408"/>
      <c r="P234" s="408"/>
      <c r="Q234" s="408"/>
      <c r="R234" s="408"/>
      <c r="S234" s="408"/>
      <c r="T234" s="408"/>
      <c r="U234" s="408"/>
      <c r="V234" s="408"/>
      <c r="W234" s="408"/>
      <c r="X234" s="408"/>
      <c r="Y234" s="408"/>
      <c r="Z234" s="408"/>
    </row>
    <row r="235" ht="14.25" customHeight="1">
      <c r="A235" s="408"/>
      <c r="B235" s="408"/>
      <c r="C235" s="552"/>
      <c r="D235" s="408"/>
      <c r="E235" s="408"/>
      <c r="F235" s="408"/>
      <c r="G235" s="408"/>
      <c r="H235" s="408"/>
      <c r="I235" s="408"/>
      <c r="J235" s="408"/>
      <c r="K235" s="408"/>
      <c r="L235" s="408"/>
      <c r="M235" s="408"/>
      <c r="N235" s="408"/>
      <c r="O235" s="408"/>
      <c r="P235" s="408"/>
      <c r="Q235" s="408"/>
      <c r="R235" s="408"/>
      <c r="S235" s="408"/>
      <c r="T235" s="408"/>
      <c r="U235" s="408"/>
      <c r="V235" s="408"/>
      <c r="W235" s="408"/>
      <c r="X235" s="408"/>
      <c r="Y235" s="408"/>
      <c r="Z235" s="408"/>
    </row>
    <row r="236" ht="14.25" customHeight="1">
      <c r="A236" s="408"/>
      <c r="B236" s="408"/>
      <c r="C236" s="552"/>
      <c r="D236" s="408"/>
      <c r="E236" s="408"/>
      <c r="F236" s="408"/>
      <c r="G236" s="408"/>
      <c r="H236" s="408"/>
      <c r="I236" s="408"/>
      <c r="J236" s="408"/>
      <c r="K236" s="408"/>
      <c r="L236" s="408"/>
      <c r="M236" s="408"/>
      <c r="N236" s="408"/>
      <c r="O236" s="408"/>
      <c r="P236" s="408"/>
      <c r="Q236" s="408"/>
      <c r="R236" s="408"/>
      <c r="S236" s="408"/>
      <c r="T236" s="408"/>
      <c r="U236" s="408"/>
      <c r="V236" s="408"/>
      <c r="W236" s="408"/>
      <c r="X236" s="408"/>
      <c r="Y236" s="408"/>
      <c r="Z236" s="408"/>
    </row>
    <row r="237" ht="14.25" customHeight="1">
      <c r="A237" s="408"/>
      <c r="B237" s="408"/>
      <c r="C237" s="552"/>
      <c r="D237" s="408"/>
      <c r="E237" s="408"/>
      <c r="F237" s="408"/>
      <c r="G237" s="408"/>
      <c r="H237" s="408"/>
      <c r="I237" s="408"/>
      <c r="J237" s="408"/>
      <c r="K237" s="408"/>
      <c r="L237" s="408"/>
      <c r="M237" s="408"/>
      <c r="N237" s="408"/>
      <c r="O237" s="408"/>
      <c r="P237" s="408"/>
      <c r="Q237" s="408"/>
      <c r="R237" s="408"/>
      <c r="S237" s="408"/>
      <c r="T237" s="408"/>
      <c r="U237" s="408"/>
      <c r="V237" s="408"/>
      <c r="W237" s="408"/>
      <c r="X237" s="408"/>
      <c r="Y237" s="408"/>
      <c r="Z237" s="408"/>
    </row>
    <row r="238" ht="14.25" customHeight="1">
      <c r="A238" s="408"/>
      <c r="B238" s="408"/>
      <c r="C238" s="552"/>
      <c r="D238" s="408"/>
      <c r="E238" s="408"/>
      <c r="F238" s="408"/>
      <c r="G238" s="408"/>
      <c r="H238" s="408"/>
      <c r="I238" s="408"/>
      <c r="J238" s="408"/>
      <c r="K238" s="408"/>
      <c r="L238" s="408"/>
      <c r="M238" s="408"/>
      <c r="N238" s="408"/>
      <c r="O238" s="408"/>
      <c r="P238" s="408"/>
      <c r="Q238" s="408"/>
      <c r="R238" s="408"/>
      <c r="S238" s="408"/>
      <c r="T238" s="408"/>
      <c r="U238" s="408"/>
      <c r="V238" s="408"/>
      <c r="W238" s="408"/>
      <c r="X238" s="408"/>
      <c r="Y238" s="408"/>
      <c r="Z238" s="408"/>
    </row>
    <row r="239" ht="14.25" customHeight="1">
      <c r="A239" s="408"/>
      <c r="B239" s="408"/>
      <c r="C239" s="552"/>
      <c r="D239" s="408"/>
      <c r="E239" s="408"/>
      <c r="F239" s="408"/>
      <c r="G239" s="408"/>
      <c r="H239" s="408"/>
      <c r="I239" s="408"/>
      <c r="J239" s="408"/>
      <c r="K239" s="408"/>
      <c r="L239" s="408"/>
      <c r="M239" s="408"/>
      <c r="N239" s="408"/>
      <c r="O239" s="408"/>
      <c r="P239" s="408"/>
      <c r="Q239" s="408"/>
      <c r="R239" s="408"/>
      <c r="S239" s="408"/>
      <c r="T239" s="408"/>
      <c r="U239" s="408"/>
      <c r="V239" s="408"/>
      <c r="W239" s="408"/>
      <c r="X239" s="408"/>
      <c r="Y239" s="408"/>
      <c r="Z239" s="408"/>
    </row>
    <row r="240" ht="14.25" customHeight="1">
      <c r="A240" s="408"/>
      <c r="B240" s="408"/>
      <c r="C240" s="552"/>
      <c r="D240" s="408"/>
      <c r="E240" s="408"/>
      <c r="F240" s="408"/>
      <c r="G240" s="408"/>
      <c r="H240" s="408"/>
      <c r="I240" s="408"/>
      <c r="J240" s="408"/>
      <c r="K240" s="408"/>
      <c r="L240" s="408"/>
      <c r="M240" s="408"/>
      <c r="N240" s="408"/>
      <c r="O240" s="408"/>
      <c r="P240" s="408"/>
      <c r="Q240" s="408"/>
      <c r="R240" s="408"/>
      <c r="S240" s="408"/>
      <c r="T240" s="408"/>
      <c r="U240" s="408"/>
      <c r="V240" s="408"/>
      <c r="W240" s="408"/>
      <c r="X240" s="408"/>
      <c r="Y240" s="408"/>
      <c r="Z240" s="408"/>
    </row>
    <row r="241" ht="14.25" customHeight="1">
      <c r="A241" s="408"/>
      <c r="B241" s="408"/>
      <c r="C241" s="552"/>
      <c r="D241" s="408"/>
      <c r="E241" s="408"/>
      <c r="F241" s="408"/>
      <c r="G241" s="408"/>
      <c r="H241" s="408"/>
      <c r="I241" s="408"/>
      <c r="J241" s="408"/>
      <c r="K241" s="408"/>
      <c r="L241" s="408"/>
      <c r="M241" s="408"/>
      <c r="N241" s="408"/>
      <c r="O241" s="408"/>
      <c r="P241" s="408"/>
      <c r="Q241" s="408"/>
      <c r="R241" s="408"/>
      <c r="S241" s="408"/>
      <c r="T241" s="408"/>
      <c r="U241" s="408"/>
      <c r="V241" s="408"/>
      <c r="W241" s="408"/>
      <c r="X241" s="408"/>
      <c r="Y241" s="408"/>
      <c r="Z241" s="408"/>
    </row>
    <row r="242" ht="14.25" customHeight="1">
      <c r="A242" s="408"/>
      <c r="B242" s="408"/>
      <c r="C242" s="552"/>
      <c r="D242" s="408"/>
      <c r="E242" s="408"/>
      <c r="F242" s="408"/>
      <c r="G242" s="408"/>
      <c r="H242" s="408"/>
      <c r="I242" s="408"/>
      <c r="J242" s="408"/>
      <c r="K242" s="408"/>
      <c r="L242" s="408"/>
      <c r="M242" s="408"/>
      <c r="N242" s="408"/>
      <c r="O242" s="408"/>
      <c r="P242" s="408"/>
      <c r="Q242" s="408"/>
      <c r="R242" s="408"/>
      <c r="S242" s="408"/>
      <c r="T242" s="408"/>
      <c r="U242" s="408"/>
      <c r="V242" s="408"/>
      <c r="W242" s="408"/>
      <c r="X242" s="408"/>
      <c r="Y242" s="408"/>
      <c r="Z242" s="408"/>
    </row>
    <row r="243" ht="14.25" customHeight="1">
      <c r="A243" s="408"/>
      <c r="B243" s="408"/>
      <c r="C243" s="552"/>
      <c r="D243" s="408"/>
      <c r="E243" s="408"/>
      <c r="F243" s="408"/>
      <c r="G243" s="408"/>
      <c r="H243" s="408"/>
      <c r="I243" s="408"/>
      <c r="J243" s="408"/>
      <c r="K243" s="408"/>
      <c r="L243" s="408"/>
      <c r="M243" s="408"/>
      <c r="N243" s="408"/>
      <c r="O243" s="408"/>
      <c r="P243" s="408"/>
      <c r="Q243" s="408"/>
      <c r="R243" s="408"/>
      <c r="S243" s="408"/>
      <c r="T243" s="408"/>
      <c r="U243" s="408"/>
      <c r="V243" s="408"/>
      <c r="W243" s="408"/>
      <c r="X243" s="408"/>
      <c r="Y243" s="408"/>
      <c r="Z243" s="408"/>
    </row>
    <row r="244" ht="14.25" customHeight="1">
      <c r="A244" s="408"/>
      <c r="B244" s="408"/>
      <c r="C244" s="552"/>
      <c r="D244" s="408"/>
      <c r="E244" s="408"/>
      <c r="F244" s="408"/>
      <c r="G244" s="408"/>
      <c r="H244" s="408"/>
      <c r="I244" s="408"/>
      <c r="J244" s="408"/>
      <c r="K244" s="408"/>
      <c r="L244" s="408"/>
      <c r="M244" s="408"/>
      <c r="N244" s="408"/>
      <c r="O244" s="408"/>
      <c r="P244" s="408"/>
      <c r="Q244" s="408"/>
      <c r="R244" s="408"/>
      <c r="S244" s="408"/>
      <c r="T244" s="408"/>
      <c r="U244" s="408"/>
      <c r="V244" s="408"/>
      <c r="W244" s="408"/>
      <c r="X244" s="408"/>
      <c r="Y244" s="408"/>
      <c r="Z244" s="408"/>
    </row>
    <row r="245" ht="14.25" customHeight="1">
      <c r="A245" s="408"/>
      <c r="B245" s="408"/>
      <c r="C245" s="552"/>
      <c r="D245" s="408"/>
      <c r="E245" s="408"/>
      <c r="F245" s="408"/>
      <c r="G245" s="408"/>
      <c r="H245" s="408"/>
      <c r="I245" s="408"/>
      <c r="J245" s="408"/>
      <c r="K245" s="408"/>
      <c r="L245" s="408"/>
      <c r="M245" s="408"/>
      <c r="N245" s="408"/>
      <c r="O245" s="408"/>
      <c r="P245" s="408"/>
      <c r="Q245" s="408"/>
      <c r="R245" s="408"/>
      <c r="S245" s="408"/>
      <c r="T245" s="408"/>
      <c r="U245" s="408"/>
      <c r="V245" s="408"/>
      <c r="W245" s="408"/>
      <c r="X245" s="408"/>
      <c r="Y245" s="408"/>
      <c r="Z245" s="408"/>
    </row>
    <row r="246" ht="14.25" customHeight="1">
      <c r="A246" s="408"/>
      <c r="B246" s="408"/>
      <c r="C246" s="552"/>
      <c r="D246" s="408"/>
      <c r="E246" s="408"/>
      <c r="F246" s="408"/>
      <c r="G246" s="408"/>
      <c r="H246" s="408"/>
      <c r="I246" s="408"/>
      <c r="J246" s="408"/>
      <c r="K246" s="408"/>
      <c r="L246" s="408"/>
      <c r="M246" s="408"/>
      <c r="N246" s="408"/>
      <c r="O246" s="408"/>
      <c r="P246" s="408"/>
      <c r="Q246" s="408"/>
      <c r="R246" s="408"/>
      <c r="S246" s="408"/>
      <c r="T246" s="408"/>
      <c r="U246" s="408"/>
      <c r="V246" s="408"/>
      <c r="W246" s="408"/>
      <c r="X246" s="408"/>
      <c r="Y246" s="408"/>
      <c r="Z246" s="408"/>
    </row>
    <row r="247" ht="14.25" customHeight="1">
      <c r="A247" s="408"/>
      <c r="B247" s="408"/>
      <c r="C247" s="552"/>
      <c r="D247" s="408"/>
      <c r="E247" s="408"/>
      <c r="F247" s="408"/>
      <c r="G247" s="408"/>
      <c r="H247" s="408"/>
      <c r="I247" s="408"/>
      <c r="J247" s="408"/>
      <c r="K247" s="408"/>
      <c r="L247" s="408"/>
      <c r="M247" s="408"/>
      <c r="N247" s="408"/>
      <c r="O247" s="408"/>
      <c r="P247" s="408"/>
      <c r="Q247" s="408"/>
      <c r="R247" s="408"/>
      <c r="S247" s="408"/>
      <c r="T247" s="408"/>
      <c r="U247" s="408"/>
      <c r="V247" s="408"/>
      <c r="W247" s="408"/>
      <c r="X247" s="408"/>
      <c r="Y247" s="408"/>
      <c r="Z247" s="408"/>
    </row>
    <row r="248" ht="14.25" customHeight="1">
      <c r="A248" s="408"/>
      <c r="B248" s="408"/>
      <c r="C248" s="552"/>
      <c r="D248" s="408"/>
      <c r="E248" s="408"/>
      <c r="F248" s="408"/>
      <c r="G248" s="408"/>
      <c r="H248" s="408"/>
      <c r="I248" s="408"/>
      <c r="J248" s="408"/>
      <c r="K248" s="408"/>
      <c r="L248" s="408"/>
      <c r="M248" s="408"/>
      <c r="N248" s="408"/>
      <c r="O248" s="408"/>
      <c r="P248" s="408"/>
      <c r="Q248" s="408"/>
      <c r="R248" s="408"/>
      <c r="S248" s="408"/>
      <c r="T248" s="408"/>
      <c r="U248" s="408"/>
      <c r="V248" s="408"/>
      <c r="W248" s="408"/>
      <c r="X248" s="408"/>
      <c r="Y248" s="408"/>
      <c r="Z248" s="408"/>
    </row>
    <row r="249" ht="14.25" customHeight="1">
      <c r="A249" s="408"/>
      <c r="B249" s="408"/>
      <c r="C249" s="552"/>
      <c r="D249" s="408"/>
      <c r="E249" s="408"/>
      <c r="F249" s="408"/>
      <c r="G249" s="408"/>
      <c r="H249" s="408"/>
      <c r="I249" s="408"/>
      <c r="J249" s="408"/>
      <c r="K249" s="408"/>
      <c r="L249" s="408"/>
      <c r="M249" s="408"/>
      <c r="N249" s="408"/>
      <c r="O249" s="408"/>
      <c r="P249" s="408"/>
      <c r="Q249" s="408"/>
      <c r="R249" s="408"/>
      <c r="S249" s="408"/>
      <c r="T249" s="408"/>
      <c r="U249" s="408"/>
      <c r="V249" s="408"/>
      <c r="W249" s="408"/>
      <c r="X249" s="408"/>
      <c r="Y249" s="408"/>
      <c r="Z249" s="408"/>
    </row>
    <row r="250" ht="14.25" customHeight="1">
      <c r="A250" s="408"/>
      <c r="B250" s="408"/>
      <c r="C250" s="552"/>
      <c r="D250" s="408"/>
      <c r="E250" s="408"/>
      <c r="F250" s="408"/>
      <c r="G250" s="408"/>
      <c r="H250" s="408"/>
      <c r="I250" s="408"/>
      <c r="J250" s="408"/>
      <c r="K250" s="408"/>
      <c r="L250" s="408"/>
      <c r="M250" s="408"/>
      <c r="N250" s="408"/>
      <c r="O250" s="408"/>
      <c r="P250" s="408"/>
      <c r="Q250" s="408"/>
      <c r="R250" s="408"/>
      <c r="S250" s="408"/>
      <c r="T250" s="408"/>
      <c r="U250" s="408"/>
      <c r="V250" s="408"/>
      <c r="W250" s="408"/>
      <c r="X250" s="408"/>
      <c r="Y250" s="408"/>
      <c r="Z250" s="408"/>
    </row>
    <row r="251" ht="14.25" customHeight="1">
      <c r="A251" s="408"/>
      <c r="B251" s="408"/>
      <c r="C251" s="552"/>
      <c r="D251" s="408"/>
      <c r="E251" s="408"/>
      <c r="F251" s="408"/>
      <c r="G251" s="408"/>
      <c r="H251" s="408"/>
      <c r="I251" s="408"/>
      <c r="J251" s="408"/>
      <c r="K251" s="408"/>
      <c r="L251" s="408"/>
      <c r="M251" s="408"/>
      <c r="N251" s="408"/>
      <c r="O251" s="408"/>
      <c r="P251" s="408"/>
      <c r="Q251" s="408"/>
      <c r="R251" s="408"/>
      <c r="S251" s="408"/>
      <c r="T251" s="408"/>
      <c r="U251" s="408"/>
      <c r="V251" s="408"/>
      <c r="W251" s="408"/>
      <c r="X251" s="408"/>
      <c r="Y251" s="408"/>
      <c r="Z251" s="408"/>
    </row>
    <row r="252" ht="14.25" customHeight="1">
      <c r="A252" s="408"/>
      <c r="B252" s="408"/>
      <c r="C252" s="552"/>
      <c r="D252" s="408"/>
      <c r="E252" s="408"/>
      <c r="F252" s="408"/>
      <c r="G252" s="408"/>
      <c r="H252" s="408"/>
      <c r="I252" s="408"/>
      <c r="J252" s="408"/>
      <c r="K252" s="408"/>
      <c r="L252" s="408"/>
      <c r="M252" s="408"/>
      <c r="N252" s="408"/>
      <c r="O252" s="408"/>
      <c r="P252" s="408"/>
      <c r="Q252" s="408"/>
      <c r="R252" s="408"/>
      <c r="S252" s="408"/>
      <c r="T252" s="408"/>
      <c r="U252" s="408"/>
      <c r="V252" s="408"/>
      <c r="W252" s="408"/>
      <c r="X252" s="408"/>
      <c r="Y252" s="408"/>
      <c r="Z252" s="408"/>
    </row>
    <row r="253" ht="14.25" customHeight="1">
      <c r="A253" s="408"/>
      <c r="B253" s="408"/>
      <c r="C253" s="552"/>
      <c r="D253" s="408"/>
      <c r="E253" s="408"/>
      <c r="F253" s="408"/>
      <c r="G253" s="408"/>
      <c r="H253" s="408"/>
      <c r="I253" s="408"/>
      <c r="J253" s="408"/>
      <c r="K253" s="408"/>
      <c r="L253" s="408"/>
      <c r="M253" s="408"/>
      <c r="N253" s="408"/>
      <c r="O253" s="408"/>
      <c r="P253" s="408"/>
      <c r="Q253" s="408"/>
      <c r="R253" s="408"/>
      <c r="S253" s="408"/>
      <c r="T253" s="408"/>
      <c r="U253" s="408"/>
      <c r="V253" s="408"/>
      <c r="W253" s="408"/>
      <c r="X253" s="408"/>
      <c r="Y253" s="408"/>
      <c r="Z253" s="408"/>
    </row>
    <row r="254" ht="14.25" customHeight="1">
      <c r="A254" s="408"/>
      <c r="B254" s="408"/>
      <c r="C254" s="552"/>
      <c r="D254" s="408"/>
      <c r="E254" s="408"/>
      <c r="F254" s="408"/>
      <c r="G254" s="408"/>
      <c r="H254" s="408"/>
      <c r="I254" s="408"/>
      <c r="J254" s="408"/>
      <c r="K254" s="408"/>
      <c r="L254" s="408"/>
      <c r="M254" s="408"/>
      <c r="N254" s="408"/>
      <c r="O254" s="408"/>
      <c r="P254" s="408"/>
      <c r="Q254" s="408"/>
      <c r="R254" s="408"/>
      <c r="S254" s="408"/>
      <c r="T254" s="408"/>
      <c r="U254" s="408"/>
      <c r="V254" s="408"/>
      <c r="W254" s="408"/>
      <c r="X254" s="408"/>
      <c r="Y254" s="408"/>
      <c r="Z254" s="408"/>
    </row>
    <row r="255" ht="14.25" customHeight="1">
      <c r="A255" s="408"/>
      <c r="B255" s="408"/>
      <c r="C255" s="552"/>
      <c r="D255" s="408"/>
      <c r="E255" s="408"/>
      <c r="F255" s="408"/>
      <c r="G255" s="408"/>
      <c r="H255" s="408"/>
      <c r="I255" s="408"/>
      <c r="J255" s="408"/>
      <c r="K255" s="408"/>
      <c r="L255" s="408"/>
      <c r="M255" s="408"/>
      <c r="N255" s="408"/>
      <c r="O255" s="408"/>
      <c r="P255" s="408"/>
      <c r="Q255" s="408"/>
      <c r="R255" s="408"/>
      <c r="S255" s="408"/>
      <c r="T255" s="408"/>
      <c r="U255" s="408"/>
      <c r="V255" s="408"/>
      <c r="W255" s="408"/>
      <c r="X255" s="408"/>
      <c r="Y255" s="408"/>
      <c r="Z255" s="408"/>
    </row>
    <row r="256" ht="14.25" customHeight="1">
      <c r="A256" s="408"/>
      <c r="B256" s="408"/>
      <c r="C256" s="552"/>
      <c r="D256" s="408"/>
      <c r="E256" s="408"/>
      <c r="F256" s="408"/>
      <c r="G256" s="408"/>
      <c r="H256" s="408"/>
      <c r="I256" s="408"/>
      <c r="J256" s="408"/>
      <c r="K256" s="408"/>
      <c r="L256" s="408"/>
      <c r="M256" s="408"/>
      <c r="N256" s="408"/>
      <c r="O256" s="408"/>
      <c r="P256" s="408"/>
      <c r="Q256" s="408"/>
      <c r="R256" s="408"/>
      <c r="S256" s="408"/>
      <c r="T256" s="408"/>
      <c r="U256" s="408"/>
      <c r="V256" s="408"/>
      <c r="W256" s="408"/>
      <c r="X256" s="408"/>
      <c r="Y256" s="408"/>
      <c r="Z256" s="408"/>
    </row>
    <row r="257" ht="14.25" customHeight="1">
      <c r="A257" s="408"/>
      <c r="B257" s="408"/>
      <c r="C257" s="552"/>
      <c r="D257" s="408"/>
      <c r="E257" s="408"/>
      <c r="F257" s="408"/>
      <c r="G257" s="408"/>
      <c r="H257" s="408"/>
      <c r="I257" s="408"/>
      <c r="J257" s="408"/>
      <c r="K257" s="408"/>
      <c r="L257" s="408"/>
      <c r="M257" s="408"/>
      <c r="N257" s="408"/>
      <c r="O257" s="408"/>
      <c r="P257" s="408"/>
      <c r="Q257" s="408"/>
      <c r="R257" s="408"/>
      <c r="S257" s="408"/>
      <c r="T257" s="408"/>
      <c r="U257" s="408"/>
      <c r="V257" s="408"/>
      <c r="W257" s="408"/>
      <c r="X257" s="408"/>
      <c r="Y257" s="408"/>
      <c r="Z257" s="408"/>
    </row>
    <row r="258" ht="14.25" customHeight="1">
      <c r="A258" s="408"/>
      <c r="B258" s="408"/>
      <c r="C258" s="552"/>
      <c r="D258" s="408"/>
      <c r="E258" s="408"/>
      <c r="F258" s="408"/>
      <c r="G258" s="408"/>
      <c r="H258" s="408"/>
      <c r="I258" s="408"/>
      <c r="J258" s="408"/>
      <c r="K258" s="408"/>
      <c r="L258" s="408"/>
      <c r="M258" s="408"/>
      <c r="N258" s="408"/>
      <c r="O258" s="408"/>
      <c r="P258" s="408"/>
      <c r="Q258" s="408"/>
      <c r="R258" s="408"/>
      <c r="S258" s="408"/>
      <c r="T258" s="408"/>
      <c r="U258" s="408"/>
      <c r="V258" s="408"/>
      <c r="W258" s="408"/>
      <c r="X258" s="408"/>
      <c r="Y258" s="408"/>
      <c r="Z258" s="408"/>
    </row>
    <row r="259" ht="14.25" customHeight="1">
      <c r="A259" s="408"/>
      <c r="B259" s="408"/>
      <c r="C259" s="552"/>
      <c r="D259" s="408"/>
      <c r="E259" s="408"/>
      <c r="F259" s="408"/>
      <c r="G259" s="408"/>
      <c r="H259" s="408"/>
      <c r="I259" s="408"/>
      <c r="J259" s="408"/>
      <c r="K259" s="408"/>
      <c r="L259" s="408"/>
      <c r="M259" s="408"/>
      <c r="N259" s="408"/>
      <c r="O259" s="408"/>
      <c r="P259" s="408"/>
      <c r="Q259" s="408"/>
      <c r="R259" s="408"/>
      <c r="S259" s="408"/>
      <c r="T259" s="408"/>
      <c r="U259" s="408"/>
      <c r="V259" s="408"/>
      <c r="W259" s="408"/>
      <c r="X259" s="408"/>
      <c r="Y259" s="408"/>
      <c r="Z259" s="408"/>
    </row>
    <row r="260" ht="14.25" customHeight="1">
      <c r="A260" s="408"/>
      <c r="B260" s="408"/>
      <c r="C260" s="552"/>
      <c r="D260" s="408"/>
      <c r="E260" s="408"/>
      <c r="F260" s="408"/>
      <c r="G260" s="408"/>
      <c r="H260" s="408"/>
      <c r="I260" s="408"/>
      <c r="J260" s="408"/>
      <c r="K260" s="408"/>
      <c r="L260" s="408"/>
      <c r="M260" s="408"/>
      <c r="N260" s="408"/>
      <c r="O260" s="408"/>
      <c r="P260" s="408"/>
      <c r="Q260" s="408"/>
      <c r="R260" s="408"/>
      <c r="S260" s="408"/>
      <c r="T260" s="408"/>
      <c r="U260" s="408"/>
      <c r="V260" s="408"/>
      <c r="W260" s="408"/>
      <c r="X260" s="408"/>
      <c r="Y260" s="408"/>
      <c r="Z260" s="408"/>
    </row>
    <row r="261" ht="14.25" customHeight="1">
      <c r="A261" s="408"/>
      <c r="B261" s="408"/>
      <c r="C261" s="552"/>
      <c r="D261" s="408"/>
      <c r="E261" s="408"/>
      <c r="F261" s="408"/>
      <c r="G261" s="408"/>
      <c r="H261" s="408"/>
      <c r="I261" s="408"/>
      <c r="J261" s="408"/>
      <c r="K261" s="408"/>
      <c r="L261" s="408"/>
      <c r="M261" s="408"/>
      <c r="N261" s="408"/>
      <c r="O261" s="408"/>
      <c r="P261" s="408"/>
      <c r="Q261" s="408"/>
      <c r="R261" s="408"/>
      <c r="S261" s="408"/>
      <c r="T261" s="408"/>
      <c r="U261" s="408"/>
      <c r="V261" s="408"/>
      <c r="W261" s="408"/>
      <c r="X261" s="408"/>
      <c r="Y261" s="408"/>
      <c r="Z261" s="408"/>
    </row>
    <row r="262" ht="14.25" customHeight="1">
      <c r="A262" s="408"/>
      <c r="B262" s="408"/>
      <c r="C262" s="552"/>
      <c r="D262" s="408"/>
      <c r="E262" s="408"/>
      <c r="F262" s="408"/>
      <c r="G262" s="408"/>
      <c r="H262" s="408"/>
      <c r="I262" s="408"/>
      <c r="J262" s="408"/>
      <c r="K262" s="408"/>
      <c r="L262" s="408"/>
      <c r="M262" s="408"/>
      <c r="N262" s="408"/>
      <c r="O262" s="408"/>
      <c r="P262" s="408"/>
      <c r="Q262" s="408"/>
      <c r="R262" s="408"/>
      <c r="S262" s="408"/>
      <c r="T262" s="408"/>
      <c r="U262" s="408"/>
      <c r="V262" s="408"/>
      <c r="W262" s="408"/>
      <c r="X262" s="408"/>
      <c r="Y262" s="408"/>
      <c r="Z262" s="408"/>
    </row>
    <row r="263" ht="14.25" customHeight="1">
      <c r="A263" s="408"/>
      <c r="B263" s="408"/>
      <c r="C263" s="552"/>
      <c r="D263" s="408"/>
      <c r="E263" s="408"/>
      <c r="F263" s="408"/>
      <c r="G263" s="408"/>
      <c r="H263" s="408"/>
      <c r="I263" s="408"/>
      <c r="J263" s="408"/>
      <c r="K263" s="408"/>
      <c r="L263" s="408"/>
      <c r="M263" s="408"/>
      <c r="N263" s="408"/>
      <c r="O263" s="408"/>
      <c r="P263" s="408"/>
      <c r="Q263" s="408"/>
      <c r="R263" s="408"/>
      <c r="S263" s="408"/>
      <c r="T263" s="408"/>
      <c r="U263" s="408"/>
      <c r="V263" s="408"/>
      <c r="W263" s="408"/>
      <c r="X263" s="408"/>
      <c r="Y263" s="408"/>
      <c r="Z263" s="408"/>
    </row>
    <row r="264" ht="14.25" customHeight="1">
      <c r="A264" s="408"/>
      <c r="B264" s="408"/>
      <c r="C264" s="552"/>
      <c r="D264" s="408"/>
      <c r="E264" s="408"/>
      <c r="F264" s="408"/>
      <c r="G264" s="408"/>
      <c r="H264" s="408"/>
      <c r="I264" s="408"/>
      <c r="J264" s="408"/>
      <c r="K264" s="408"/>
      <c r="L264" s="408"/>
      <c r="M264" s="408"/>
      <c r="N264" s="408"/>
      <c r="O264" s="408"/>
      <c r="P264" s="408"/>
      <c r="Q264" s="408"/>
      <c r="R264" s="408"/>
      <c r="S264" s="408"/>
      <c r="T264" s="408"/>
      <c r="U264" s="408"/>
      <c r="V264" s="408"/>
      <c r="W264" s="408"/>
      <c r="X264" s="408"/>
      <c r="Y264" s="408"/>
      <c r="Z264" s="408"/>
    </row>
    <row r="265" ht="14.25" customHeight="1">
      <c r="A265" s="408"/>
      <c r="B265" s="408"/>
      <c r="C265" s="552"/>
      <c r="D265" s="408"/>
      <c r="E265" s="408"/>
      <c r="F265" s="408"/>
      <c r="G265" s="408"/>
      <c r="H265" s="408"/>
      <c r="I265" s="408"/>
      <c r="J265" s="408"/>
      <c r="K265" s="408"/>
      <c r="L265" s="408"/>
      <c r="M265" s="408"/>
      <c r="N265" s="408"/>
      <c r="O265" s="408"/>
      <c r="P265" s="408"/>
      <c r="Q265" s="408"/>
      <c r="R265" s="408"/>
      <c r="S265" s="408"/>
      <c r="T265" s="408"/>
      <c r="U265" s="408"/>
      <c r="V265" s="408"/>
      <c r="W265" s="408"/>
      <c r="X265" s="408"/>
      <c r="Y265" s="408"/>
      <c r="Z265" s="408"/>
    </row>
    <row r="266" ht="14.25" customHeight="1">
      <c r="A266" s="408"/>
      <c r="B266" s="408"/>
      <c r="C266" s="552"/>
      <c r="D266" s="408"/>
      <c r="E266" s="408"/>
      <c r="F266" s="408"/>
      <c r="G266" s="408"/>
      <c r="H266" s="408"/>
      <c r="I266" s="408"/>
      <c r="J266" s="408"/>
      <c r="K266" s="408"/>
      <c r="L266" s="408"/>
      <c r="M266" s="408"/>
      <c r="N266" s="408"/>
      <c r="O266" s="408"/>
      <c r="P266" s="408"/>
      <c r="Q266" s="408"/>
      <c r="R266" s="408"/>
      <c r="S266" s="408"/>
      <c r="T266" s="408"/>
      <c r="U266" s="408"/>
      <c r="V266" s="408"/>
      <c r="W266" s="408"/>
      <c r="X266" s="408"/>
      <c r="Y266" s="408"/>
      <c r="Z266" s="408"/>
    </row>
    <row r="267" ht="14.25" customHeight="1">
      <c r="A267" s="408"/>
      <c r="B267" s="408"/>
      <c r="C267" s="552"/>
      <c r="D267" s="408"/>
      <c r="E267" s="408"/>
      <c r="F267" s="408"/>
      <c r="G267" s="408"/>
      <c r="H267" s="408"/>
      <c r="I267" s="408"/>
      <c r="J267" s="408"/>
      <c r="K267" s="408"/>
      <c r="L267" s="408"/>
      <c r="M267" s="408"/>
      <c r="N267" s="408"/>
      <c r="O267" s="408"/>
      <c r="P267" s="408"/>
      <c r="Q267" s="408"/>
      <c r="R267" s="408"/>
      <c r="S267" s="408"/>
      <c r="T267" s="408"/>
      <c r="U267" s="408"/>
      <c r="V267" s="408"/>
      <c r="W267" s="408"/>
      <c r="X267" s="408"/>
      <c r="Y267" s="408"/>
      <c r="Z267" s="408"/>
    </row>
    <row r="268" ht="14.25" customHeight="1">
      <c r="A268" s="408"/>
      <c r="B268" s="408"/>
      <c r="C268" s="552"/>
      <c r="D268" s="408"/>
      <c r="E268" s="408"/>
      <c r="F268" s="408"/>
      <c r="G268" s="408"/>
      <c r="H268" s="408"/>
      <c r="I268" s="408"/>
      <c r="J268" s="408"/>
      <c r="K268" s="408"/>
      <c r="L268" s="408"/>
      <c r="M268" s="408"/>
      <c r="N268" s="408"/>
      <c r="O268" s="408"/>
      <c r="P268" s="408"/>
      <c r="Q268" s="408"/>
      <c r="R268" s="408"/>
      <c r="S268" s="408"/>
      <c r="T268" s="408"/>
      <c r="U268" s="408"/>
      <c r="V268" s="408"/>
      <c r="W268" s="408"/>
      <c r="X268" s="408"/>
      <c r="Y268" s="408"/>
      <c r="Z268" s="408"/>
    </row>
    <row r="269" ht="14.25" customHeight="1">
      <c r="A269" s="408"/>
      <c r="B269" s="408"/>
      <c r="C269" s="552"/>
      <c r="D269" s="408"/>
      <c r="E269" s="408"/>
      <c r="F269" s="408"/>
      <c r="G269" s="408"/>
      <c r="H269" s="408"/>
      <c r="I269" s="408"/>
      <c r="J269" s="408"/>
      <c r="K269" s="408"/>
      <c r="L269" s="408"/>
      <c r="M269" s="408"/>
      <c r="N269" s="408"/>
      <c r="O269" s="408"/>
      <c r="P269" s="408"/>
      <c r="Q269" s="408"/>
      <c r="R269" s="408"/>
      <c r="S269" s="408"/>
      <c r="T269" s="408"/>
      <c r="U269" s="408"/>
      <c r="V269" s="408"/>
      <c r="W269" s="408"/>
      <c r="X269" s="408"/>
      <c r="Y269" s="408"/>
      <c r="Z269" s="408"/>
    </row>
    <row r="270" ht="14.25" customHeight="1">
      <c r="A270" s="408"/>
      <c r="B270" s="408"/>
      <c r="C270" s="552"/>
      <c r="D270" s="408"/>
      <c r="E270" s="408"/>
      <c r="F270" s="408"/>
      <c r="G270" s="408"/>
      <c r="H270" s="408"/>
      <c r="I270" s="408"/>
      <c r="J270" s="408"/>
      <c r="K270" s="408"/>
      <c r="L270" s="408"/>
      <c r="M270" s="408"/>
      <c r="N270" s="408"/>
      <c r="O270" s="408"/>
      <c r="P270" s="408"/>
      <c r="Q270" s="408"/>
      <c r="R270" s="408"/>
      <c r="S270" s="408"/>
      <c r="T270" s="408"/>
      <c r="U270" s="408"/>
      <c r="V270" s="408"/>
      <c r="W270" s="408"/>
      <c r="X270" s="408"/>
      <c r="Y270" s="408"/>
      <c r="Z270" s="408"/>
    </row>
    <row r="271" ht="14.25" customHeight="1">
      <c r="A271" s="408"/>
      <c r="B271" s="408"/>
      <c r="C271" s="552"/>
      <c r="D271" s="408"/>
      <c r="E271" s="408"/>
      <c r="F271" s="408"/>
      <c r="G271" s="408"/>
      <c r="H271" s="408"/>
      <c r="I271" s="408"/>
      <c r="J271" s="408"/>
      <c r="K271" s="408"/>
      <c r="L271" s="408"/>
      <c r="M271" s="408"/>
      <c r="N271" s="408"/>
      <c r="O271" s="408"/>
      <c r="P271" s="408"/>
      <c r="Q271" s="408"/>
      <c r="R271" s="408"/>
      <c r="S271" s="408"/>
      <c r="T271" s="408"/>
      <c r="U271" s="408"/>
      <c r="V271" s="408"/>
      <c r="W271" s="408"/>
      <c r="X271" s="408"/>
      <c r="Y271" s="408"/>
      <c r="Z271" s="408"/>
    </row>
    <row r="272" ht="14.25" customHeight="1">
      <c r="A272" s="408"/>
      <c r="B272" s="408"/>
      <c r="C272" s="552"/>
      <c r="D272" s="408"/>
      <c r="E272" s="408"/>
      <c r="F272" s="408"/>
      <c r="G272" s="408"/>
      <c r="H272" s="408"/>
      <c r="I272" s="408"/>
      <c r="J272" s="408"/>
      <c r="K272" s="408"/>
      <c r="L272" s="408"/>
      <c r="M272" s="408"/>
      <c r="N272" s="408"/>
      <c r="O272" s="408"/>
      <c r="P272" s="408"/>
      <c r="Q272" s="408"/>
      <c r="R272" s="408"/>
      <c r="S272" s="408"/>
      <c r="T272" s="408"/>
      <c r="U272" s="408"/>
      <c r="V272" s="408"/>
      <c r="W272" s="408"/>
      <c r="X272" s="408"/>
      <c r="Y272" s="408"/>
      <c r="Z272" s="408"/>
    </row>
    <row r="273" ht="14.25" customHeight="1">
      <c r="A273" s="408"/>
      <c r="B273" s="408"/>
      <c r="C273" s="552"/>
      <c r="D273" s="408"/>
      <c r="E273" s="408"/>
      <c r="F273" s="408"/>
      <c r="G273" s="408"/>
      <c r="H273" s="408"/>
      <c r="I273" s="408"/>
      <c r="J273" s="408"/>
      <c r="K273" s="408"/>
      <c r="L273" s="408"/>
      <c r="M273" s="408"/>
      <c r="N273" s="408"/>
      <c r="O273" s="408"/>
      <c r="P273" s="408"/>
      <c r="Q273" s="408"/>
      <c r="R273" s="408"/>
      <c r="S273" s="408"/>
      <c r="T273" s="408"/>
      <c r="U273" s="408"/>
      <c r="V273" s="408"/>
      <c r="W273" s="408"/>
      <c r="X273" s="408"/>
      <c r="Y273" s="408"/>
      <c r="Z273" s="408"/>
    </row>
    <row r="274" ht="14.25" customHeight="1">
      <c r="A274" s="408"/>
      <c r="B274" s="408"/>
      <c r="C274" s="552"/>
      <c r="D274" s="408"/>
      <c r="E274" s="408"/>
      <c r="F274" s="408"/>
      <c r="G274" s="408"/>
      <c r="H274" s="408"/>
      <c r="I274" s="408"/>
      <c r="J274" s="408"/>
      <c r="K274" s="408"/>
      <c r="L274" s="408"/>
      <c r="M274" s="408"/>
      <c r="N274" s="408"/>
      <c r="O274" s="408"/>
      <c r="P274" s="408"/>
      <c r="Q274" s="408"/>
      <c r="R274" s="408"/>
      <c r="S274" s="408"/>
      <c r="T274" s="408"/>
      <c r="U274" s="408"/>
      <c r="V274" s="408"/>
      <c r="W274" s="408"/>
      <c r="X274" s="408"/>
      <c r="Y274" s="408"/>
      <c r="Z274" s="408"/>
    </row>
    <row r="275" ht="14.25" customHeight="1">
      <c r="A275" s="408"/>
      <c r="B275" s="408"/>
      <c r="C275" s="552"/>
      <c r="D275" s="408"/>
      <c r="E275" s="408"/>
      <c r="F275" s="408"/>
      <c r="G275" s="408"/>
      <c r="H275" s="408"/>
      <c r="I275" s="408"/>
      <c r="J275" s="408"/>
      <c r="K275" s="408"/>
      <c r="L275" s="408"/>
      <c r="M275" s="408"/>
      <c r="N275" s="408"/>
      <c r="O275" s="408"/>
      <c r="P275" s="408"/>
      <c r="Q275" s="408"/>
      <c r="R275" s="408"/>
      <c r="S275" s="408"/>
      <c r="T275" s="408"/>
      <c r="U275" s="408"/>
      <c r="V275" s="408"/>
      <c r="W275" s="408"/>
      <c r="X275" s="408"/>
      <c r="Y275" s="408"/>
      <c r="Z275" s="408"/>
    </row>
    <row r="276" ht="14.25" customHeight="1">
      <c r="A276" s="408"/>
      <c r="B276" s="408"/>
      <c r="C276" s="552"/>
      <c r="D276" s="408"/>
      <c r="E276" s="408"/>
      <c r="F276" s="408"/>
      <c r="G276" s="408"/>
      <c r="H276" s="408"/>
      <c r="I276" s="408"/>
      <c r="J276" s="408"/>
      <c r="K276" s="408"/>
      <c r="L276" s="408"/>
      <c r="M276" s="408"/>
      <c r="N276" s="408"/>
      <c r="O276" s="408"/>
      <c r="P276" s="408"/>
      <c r="Q276" s="408"/>
      <c r="R276" s="408"/>
      <c r="S276" s="408"/>
      <c r="T276" s="408"/>
      <c r="U276" s="408"/>
      <c r="V276" s="408"/>
      <c r="W276" s="408"/>
      <c r="X276" s="408"/>
      <c r="Y276" s="408"/>
      <c r="Z276" s="408"/>
    </row>
    <row r="277" ht="14.25" customHeight="1">
      <c r="A277" s="408"/>
      <c r="B277" s="408"/>
      <c r="C277" s="552"/>
      <c r="D277" s="408"/>
      <c r="E277" s="408"/>
      <c r="F277" s="408"/>
      <c r="G277" s="408"/>
      <c r="H277" s="408"/>
      <c r="I277" s="408"/>
      <c r="J277" s="408"/>
      <c r="K277" s="408"/>
      <c r="L277" s="408"/>
      <c r="M277" s="408"/>
      <c r="N277" s="408"/>
      <c r="O277" s="408"/>
      <c r="P277" s="408"/>
      <c r="Q277" s="408"/>
      <c r="R277" s="408"/>
      <c r="S277" s="408"/>
      <c r="T277" s="408"/>
      <c r="U277" s="408"/>
      <c r="V277" s="408"/>
      <c r="W277" s="408"/>
      <c r="X277" s="408"/>
      <c r="Y277" s="408"/>
      <c r="Z277" s="408"/>
    </row>
    <row r="278" ht="14.25" customHeight="1">
      <c r="A278" s="408"/>
      <c r="B278" s="408"/>
      <c r="C278" s="552"/>
      <c r="D278" s="408"/>
      <c r="E278" s="408"/>
      <c r="F278" s="408"/>
      <c r="G278" s="408"/>
      <c r="H278" s="408"/>
      <c r="I278" s="408"/>
      <c r="J278" s="408"/>
      <c r="K278" s="408"/>
      <c r="L278" s="408"/>
      <c r="M278" s="408"/>
      <c r="N278" s="408"/>
      <c r="O278" s="408"/>
      <c r="P278" s="408"/>
      <c r="Q278" s="408"/>
      <c r="R278" s="408"/>
      <c r="S278" s="408"/>
      <c r="T278" s="408"/>
      <c r="U278" s="408"/>
      <c r="V278" s="408"/>
      <c r="W278" s="408"/>
      <c r="X278" s="408"/>
      <c r="Y278" s="408"/>
      <c r="Z278" s="408"/>
    </row>
    <row r="279" ht="14.25" customHeight="1">
      <c r="A279" s="408"/>
      <c r="B279" s="408"/>
      <c r="C279" s="552"/>
      <c r="D279" s="408"/>
      <c r="E279" s="408"/>
      <c r="F279" s="408"/>
      <c r="G279" s="408"/>
      <c r="H279" s="408"/>
      <c r="I279" s="408"/>
      <c r="J279" s="408"/>
      <c r="K279" s="408"/>
      <c r="L279" s="408"/>
      <c r="M279" s="408"/>
      <c r="N279" s="408"/>
      <c r="O279" s="408"/>
      <c r="P279" s="408"/>
      <c r="Q279" s="408"/>
      <c r="R279" s="408"/>
      <c r="S279" s="408"/>
      <c r="T279" s="408"/>
      <c r="U279" s="408"/>
      <c r="V279" s="408"/>
      <c r="W279" s="408"/>
      <c r="X279" s="408"/>
      <c r="Y279" s="408"/>
      <c r="Z279" s="408"/>
    </row>
    <row r="280" ht="14.25" customHeight="1">
      <c r="A280" s="408"/>
      <c r="B280" s="408"/>
      <c r="C280" s="552"/>
      <c r="D280" s="408"/>
      <c r="E280" s="408"/>
      <c r="F280" s="408"/>
      <c r="G280" s="408"/>
      <c r="H280" s="408"/>
      <c r="I280" s="408"/>
      <c r="J280" s="408"/>
      <c r="K280" s="408"/>
      <c r="L280" s="408"/>
      <c r="M280" s="408"/>
      <c r="N280" s="408"/>
      <c r="O280" s="408"/>
      <c r="P280" s="408"/>
      <c r="Q280" s="408"/>
      <c r="R280" s="408"/>
      <c r="S280" s="408"/>
      <c r="T280" s="408"/>
      <c r="U280" s="408"/>
      <c r="V280" s="408"/>
      <c r="W280" s="408"/>
      <c r="X280" s="408"/>
      <c r="Y280" s="408"/>
      <c r="Z280" s="408"/>
    </row>
    <row r="281" ht="14.25" customHeight="1">
      <c r="A281" s="408"/>
      <c r="B281" s="408"/>
      <c r="C281" s="552"/>
      <c r="D281" s="408"/>
      <c r="E281" s="408"/>
      <c r="F281" s="408"/>
      <c r="G281" s="408"/>
      <c r="H281" s="408"/>
      <c r="I281" s="408"/>
      <c r="J281" s="408"/>
      <c r="K281" s="408"/>
      <c r="L281" s="408"/>
      <c r="M281" s="408"/>
      <c r="N281" s="408"/>
      <c r="O281" s="408"/>
      <c r="P281" s="408"/>
      <c r="Q281" s="408"/>
      <c r="R281" s="408"/>
      <c r="S281" s="408"/>
      <c r="T281" s="408"/>
      <c r="U281" s="408"/>
      <c r="V281" s="408"/>
      <c r="W281" s="408"/>
      <c r="X281" s="408"/>
      <c r="Y281" s="408"/>
      <c r="Z281" s="408"/>
    </row>
    <row r="282" ht="14.25" customHeight="1">
      <c r="A282" s="408"/>
      <c r="B282" s="408"/>
      <c r="C282" s="552"/>
      <c r="D282" s="408"/>
      <c r="E282" s="408"/>
      <c r="F282" s="408"/>
      <c r="G282" s="408"/>
      <c r="H282" s="408"/>
      <c r="I282" s="408"/>
      <c r="J282" s="408"/>
      <c r="K282" s="408"/>
      <c r="L282" s="408"/>
      <c r="M282" s="408"/>
      <c r="N282" s="408"/>
      <c r="O282" s="408"/>
      <c r="P282" s="408"/>
      <c r="Q282" s="408"/>
      <c r="R282" s="408"/>
      <c r="S282" s="408"/>
      <c r="T282" s="408"/>
      <c r="U282" s="408"/>
      <c r="V282" s="408"/>
      <c r="W282" s="408"/>
      <c r="X282" s="408"/>
      <c r="Y282" s="408"/>
      <c r="Z282" s="408"/>
    </row>
    <row r="283" ht="14.25" customHeight="1">
      <c r="A283" s="408"/>
      <c r="B283" s="408"/>
      <c r="C283" s="552"/>
      <c r="D283" s="408"/>
      <c r="E283" s="408"/>
      <c r="F283" s="408"/>
      <c r="G283" s="408"/>
      <c r="H283" s="408"/>
      <c r="I283" s="408"/>
      <c r="J283" s="408"/>
      <c r="K283" s="408"/>
      <c r="L283" s="408"/>
      <c r="M283" s="408"/>
      <c r="N283" s="408"/>
      <c r="O283" s="408"/>
      <c r="P283" s="408"/>
      <c r="Q283" s="408"/>
      <c r="R283" s="408"/>
      <c r="S283" s="408"/>
      <c r="T283" s="408"/>
      <c r="U283" s="408"/>
      <c r="V283" s="408"/>
      <c r="W283" s="408"/>
      <c r="X283" s="408"/>
      <c r="Y283" s="408"/>
      <c r="Z283" s="408"/>
    </row>
    <row r="284" ht="14.25" customHeight="1">
      <c r="A284" s="408"/>
      <c r="B284" s="408"/>
      <c r="C284" s="552"/>
      <c r="D284" s="408"/>
      <c r="E284" s="408"/>
      <c r="F284" s="408"/>
      <c r="G284" s="408"/>
      <c r="H284" s="408"/>
      <c r="I284" s="408"/>
      <c r="J284" s="408"/>
      <c r="K284" s="408"/>
      <c r="L284" s="408"/>
      <c r="M284" s="408"/>
      <c r="N284" s="408"/>
      <c r="O284" s="408"/>
      <c r="P284" s="408"/>
      <c r="Q284" s="408"/>
      <c r="R284" s="408"/>
      <c r="S284" s="408"/>
      <c r="T284" s="408"/>
      <c r="U284" s="408"/>
      <c r="V284" s="408"/>
      <c r="W284" s="408"/>
      <c r="X284" s="408"/>
      <c r="Y284" s="408"/>
      <c r="Z284" s="408"/>
    </row>
    <row r="285" ht="14.25" customHeight="1">
      <c r="A285" s="408"/>
      <c r="B285" s="408"/>
      <c r="C285" s="552"/>
      <c r="D285" s="408"/>
      <c r="E285" s="408"/>
      <c r="F285" s="408"/>
      <c r="G285" s="408"/>
      <c r="H285" s="408"/>
      <c r="I285" s="408"/>
      <c r="J285" s="408"/>
      <c r="K285" s="408"/>
      <c r="L285" s="408"/>
      <c r="M285" s="408"/>
      <c r="N285" s="408"/>
      <c r="O285" s="408"/>
      <c r="P285" s="408"/>
      <c r="Q285" s="408"/>
      <c r="R285" s="408"/>
      <c r="S285" s="408"/>
      <c r="T285" s="408"/>
      <c r="U285" s="408"/>
      <c r="V285" s="408"/>
      <c r="W285" s="408"/>
      <c r="X285" s="408"/>
      <c r="Y285" s="408"/>
      <c r="Z285" s="408"/>
    </row>
    <row r="286" ht="14.25" customHeight="1">
      <c r="A286" s="408"/>
      <c r="B286" s="408"/>
      <c r="C286" s="552"/>
      <c r="D286" s="408"/>
      <c r="E286" s="408"/>
      <c r="F286" s="408"/>
      <c r="G286" s="408"/>
      <c r="H286" s="408"/>
      <c r="I286" s="408"/>
      <c r="J286" s="408"/>
      <c r="K286" s="408"/>
      <c r="L286" s="408"/>
      <c r="M286" s="408"/>
      <c r="N286" s="408"/>
      <c r="O286" s="408"/>
      <c r="P286" s="408"/>
      <c r="Q286" s="408"/>
      <c r="R286" s="408"/>
      <c r="S286" s="408"/>
      <c r="T286" s="408"/>
      <c r="U286" s="408"/>
      <c r="V286" s="408"/>
      <c r="W286" s="408"/>
      <c r="X286" s="408"/>
      <c r="Y286" s="408"/>
      <c r="Z286" s="408"/>
    </row>
    <row r="287" ht="14.25" customHeight="1">
      <c r="A287" s="408"/>
      <c r="B287" s="408"/>
      <c r="C287" s="552"/>
      <c r="D287" s="408"/>
      <c r="E287" s="408"/>
      <c r="F287" s="408"/>
      <c r="G287" s="408"/>
      <c r="H287" s="408"/>
      <c r="I287" s="408"/>
      <c r="J287" s="408"/>
      <c r="K287" s="408"/>
      <c r="L287" s="408"/>
      <c r="M287" s="408"/>
      <c r="N287" s="408"/>
      <c r="O287" s="408"/>
      <c r="P287" s="408"/>
      <c r="Q287" s="408"/>
      <c r="R287" s="408"/>
      <c r="S287" s="408"/>
      <c r="T287" s="408"/>
      <c r="U287" s="408"/>
      <c r="V287" s="408"/>
      <c r="W287" s="408"/>
      <c r="X287" s="408"/>
      <c r="Y287" s="408"/>
      <c r="Z287" s="408"/>
    </row>
    <row r="288" ht="14.25" customHeight="1">
      <c r="A288" s="408"/>
      <c r="B288" s="408"/>
      <c r="C288" s="552"/>
      <c r="D288" s="408"/>
      <c r="E288" s="408"/>
      <c r="F288" s="408"/>
      <c r="G288" s="408"/>
      <c r="H288" s="408"/>
      <c r="I288" s="408"/>
      <c r="J288" s="408"/>
      <c r="K288" s="408"/>
      <c r="L288" s="408"/>
      <c r="M288" s="408"/>
      <c r="N288" s="408"/>
      <c r="O288" s="408"/>
      <c r="P288" s="408"/>
      <c r="Q288" s="408"/>
      <c r="R288" s="408"/>
      <c r="S288" s="408"/>
      <c r="T288" s="408"/>
      <c r="U288" s="408"/>
      <c r="V288" s="408"/>
      <c r="W288" s="408"/>
      <c r="X288" s="408"/>
      <c r="Y288" s="408"/>
      <c r="Z288" s="408"/>
    </row>
    <row r="289" ht="14.25" customHeight="1">
      <c r="A289" s="408"/>
      <c r="B289" s="408"/>
      <c r="C289" s="552"/>
      <c r="D289" s="408"/>
      <c r="E289" s="408"/>
      <c r="F289" s="408"/>
      <c r="G289" s="408"/>
      <c r="H289" s="408"/>
      <c r="I289" s="408"/>
      <c r="J289" s="408"/>
      <c r="K289" s="408"/>
      <c r="L289" s="408"/>
      <c r="M289" s="408"/>
      <c r="N289" s="408"/>
      <c r="O289" s="408"/>
      <c r="P289" s="408"/>
      <c r="Q289" s="408"/>
      <c r="R289" s="408"/>
      <c r="S289" s="408"/>
      <c r="T289" s="408"/>
      <c r="U289" s="408"/>
      <c r="V289" s="408"/>
      <c r="W289" s="408"/>
      <c r="X289" s="408"/>
      <c r="Y289" s="408"/>
      <c r="Z289" s="408"/>
    </row>
    <row r="290" ht="14.25" customHeight="1">
      <c r="A290" s="408"/>
      <c r="B290" s="408"/>
      <c r="C290" s="552"/>
      <c r="D290" s="408"/>
      <c r="E290" s="408"/>
      <c r="F290" s="408"/>
      <c r="G290" s="408"/>
      <c r="H290" s="408"/>
      <c r="I290" s="408"/>
      <c r="J290" s="408"/>
      <c r="K290" s="408"/>
      <c r="L290" s="408"/>
      <c r="M290" s="408"/>
      <c r="N290" s="408"/>
      <c r="O290" s="408"/>
      <c r="P290" s="408"/>
      <c r="Q290" s="408"/>
      <c r="R290" s="408"/>
      <c r="S290" s="408"/>
      <c r="T290" s="408"/>
      <c r="U290" s="408"/>
      <c r="V290" s="408"/>
      <c r="W290" s="408"/>
      <c r="X290" s="408"/>
      <c r="Y290" s="408"/>
      <c r="Z290" s="408"/>
    </row>
    <row r="291" ht="14.25" customHeight="1">
      <c r="A291" s="408"/>
      <c r="B291" s="408"/>
      <c r="C291" s="552"/>
      <c r="D291" s="408"/>
      <c r="E291" s="408"/>
      <c r="F291" s="408"/>
      <c r="G291" s="408"/>
      <c r="H291" s="408"/>
      <c r="I291" s="408"/>
      <c r="J291" s="408"/>
      <c r="K291" s="408"/>
      <c r="L291" s="408"/>
      <c r="M291" s="408"/>
      <c r="N291" s="408"/>
      <c r="O291" s="408"/>
      <c r="P291" s="408"/>
      <c r="Q291" s="408"/>
      <c r="R291" s="408"/>
      <c r="S291" s="408"/>
      <c r="T291" s="408"/>
      <c r="U291" s="408"/>
      <c r="V291" s="408"/>
      <c r="W291" s="408"/>
      <c r="X291" s="408"/>
      <c r="Y291" s="408"/>
      <c r="Z291" s="408"/>
    </row>
    <row r="292" ht="14.25" customHeight="1">
      <c r="A292" s="408"/>
      <c r="B292" s="408"/>
      <c r="C292" s="552"/>
      <c r="D292" s="408"/>
      <c r="E292" s="408"/>
      <c r="F292" s="408"/>
      <c r="G292" s="408"/>
      <c r="H292" s="408"/>
      <c r="I292" s="408"/>
      <c r="J292" s="408"/>
      <c r="K292" s="408"/>
      <c r="L292" s="408"/>
      <c r="M292" s="408"/>
      <c r="N292" s="408"/>
      <c r="O292" s="408"/>
      <c r="P292" s="408"/>
      <c r="Q292" s="408"/>
      <c r="R292" s="408"/>
      <c r="S292" s="408"/>
      <c r="T292" s="408"/>
      <c r="U292" s="408"/>
      <c r="V292" s="408"/>
      <c r="W292" s="408"/>
      <c r="X292" s="408"/>
      <c r="Y292" s="408"/>
      <c r="Z292" s="408"/>
    </row>
    <row r="293" ht="14.25" customHeight="1">
      <c r="A293" s="408"/>
      <c r="B293" s="408"/>
      <c r="C293" s="552"/>
      <c r="D293" s="408"/>
      <c r="E293" s="408"/>
      <c r="F293" s="408"/>
      <c r="G293" s="408"/>
      <c r="H293" s="408"/>
      <c r="I293" s="408"/>
      <c r="J293" s="408"/>
      <c r="K293" s="408"/>
      <c r="L293" s="408"/>
      <c r="M293" s="408"/>
      <c r="N293" s="408"/>
      <c r="O293" s="408"/>
      <c r="P293" s="408"/>
      <c r="Q293" s="408"/>
      <c r="R293" s="408"/>
      <c r="S293" s="408"/>
      <c r="T293" s="408"/>
      <c r="U293" s="408"/>
      <c r="V293" s="408"/>
      <c r="W293" s="408"/>
      <c r="X293" s="408"/>
      <c r="Y293" s="408"/>
      <c r="Z293" s="408"/>
    </row>
    <row r="294" ht="14.25" customHeight="1">
      <c r="A294" s="408"/>
      <c r="B294" s="408"/>
      <c r="C294" s="552"/>
      <c r="D294" s="408"/>
      <c r="E294" s="408"/>
      <c r="F294" s="408"/>
      <c r="G294" s="408"/>
      <c r="H294" s="408"/>
      <c r="I294" s="408"/>
      <c r="J294" s="408"/>
      <c r="K294" s="408"/>
      <c r="L294" s="408"/>
      <c r="M294" s="408"/>
      <c r="N294" s="408"/>
      <c r="O294" s="408"/>
      <c r="P294" s="408"/>
      <c r="Q294" s="408"/>
      <c r="R294" s="408"/>
      <c r="S294" s="408"/>
      <c r="T294" s="408"/>
      <c r="U294" s="408"/>
      <c r="V294" s="408"/>
      <c r="W294" s="408"/>
      <c r="X294" s="408"/>
      <c r="Y294" s="408"/>
      <c r="Z294" s="408"/>
    </row>
    <row r="295" ht="14.25" customHeight="1">
      <c r="A295" s="408"/>
      <c r="B295" s="408"/>
      <c r="C295" s="552"/>
      <c r="D295" s="408"/>
      <c r="E295" s="408"/>
      <c r="F295" s="408"/>
      <c r="G295" s="408"/>
      <c r="H295" s="408"/>
      <c r="I295" s="408"/>
      <c r="J295" s="408"/>
      <c r="K295" s="408"/>
      <c r="L295" s="408"/>
      <c r="M295" s="408"/>
      <c r="N295" s="408"/>
      <c r="O295" s="408"/>
      <c r="P295" s="408"/>
      <c r="Q295" s="408"/>
      <c r="R295" s="408"/>
      <c r="S295" s="408"/>
      <c r="T295" s="408"/>
      <c r="U295" s="408"/>
      <c r="V295" s="408"/>
      <c r="W295" s="408"/>
      <c r="X295" s="408"/>
      <c r="Y295" s="408"/>
      <c r="Z295" s="408"/>
    </row>
    <row r="296" ht="14.25" customHeight="1">
      <c r="A296" s="408"/>
      <c r="B296" s="408"/>
      <c r="C296" s="552"/>
      <c r="D296" s="408"/>
      <c r="E296" s="408"/>
      <c r="F296" s="408"/>
      <c r="G296" s="408"/>
      <c r="H296" s="408"/>
      <c r="I296" s="408"/>
      <c r="J296" s="408"/>
      <c r="K296" s="408"/>
      <c r="L296" s="408"/>
      <c r="M296" s="408"/>
      <c r="N296" s="408"/>
      <c r="O296" s="408"/>
      <c r="P296" s="408"/>
      <c r="Q296" s="408"/>
      <c r="R296" s="408"/>
      <c r="S296" s="408"/>
      <c r="T296" s="408"/>
      <c r="U296" s="408"/>
      <c r="V296" s="408"/>
      <c r="W296" s="408"/>
      <c r="X296" s="408"/>
      <c r="Y296" s="408"/>
      <c r="Z296" s="408"/>
    </row>
    <row r="297" ht="14.25" customHeight="1">
      <c r="A297" s="408"/>
      <c r="B297" s="408"/>
      <c r="C297" s="552"/>
      <c r="D297" s="408"/>
      <c r="E297" s="408"/>
      <c r="F297" s="408"/>
      <c r="G297" s="408"/>
      <c r="H297" s="408"/>
      <c r="I297" s="408"/>
      <c r="J297" s="408"/>
      <c r="K297" s="408"/>
      <c r="L297" s="408"/>
      <c r="M297" s="408"/>
      <c r="N297" s="408"/>
      <c r="O297" s="408"/>
      <c r="P297" s="408"/>
      <c r="Q297" s="408"/>
      <c r="R297" s="408"/>
      <c r="S297" s="408"/>
      <c r="T297" s="408"/>
      <c r="U297" s="408"/>
      <c r="V297" s="408"/>
      <c r="W297" s="408"/>
      <c r="X297" s="408"/>
      <c r="Y297" s="408"/>
      <c r="Z297" s="408"/>
    </row>
    <row r="298" ht="14.25" customHeight="1">
      <c r="A298" s="408"/>
      <c r="B298" s="408"/>
      <c r="C298" s="552"/>
      <c r="D298" s="408"/>
      <c r="E298" s="408"/>
      <c r="F298" s="408"/>
      <c r="G298" s="408"/>
      <c r="H298" s="408"/>
      <c r="I298" s="408"/>
      <c r="J298" s="408"/>
      <c r="K298" s="408"/>
      <c r="L298" s="408"/>
      <c r="M298" s="408"/>
      <c r="N298" s="408"/>
      <c r="O298" s="408"/>
      <c r="P298" s="408"/>
      <c r="Q298" s="408"/>
      <c r="R298" s="408"/>
      <c r="S298" s="408"/>
      <c r="T298" s="408"/>
      <c r="U298" s="408"/>
      <c r="V298" s="408"/>
      <c r="W298" s="408"/>
      <c r="X298" s="408"/>
      <c r="Y298" s="408"/>
      <c r="Z298" s="408"/>
    </row>
    <row r="299" ht="14.25" customHeight="1">
      <c r="A299" s="408"/>
      <c r="B299" s="408"/>
      <c r="C299" s="552"/>
      <c r="D299" s="408"/>
      <c r="E299" s="408"/>
      <c r="F299" s="408"/>
      <c r="G299" s="408"/>
      <c r="H299" s="408"/>
      <c r="I299" s="408"/>
      <c r="J299" s="408"/>
      <c r="K299" s="408"/>
      <c r="L299" s="408"/>
      <c r="M299" s="408"/>
      <c r="N299" s="408"/>
      <c r="O299" s="408"/>
      <c r="P299" s="408"/>
      <c r="Q299" s="408"/>
      <c r="R299" s="408"/>
      <c r="S299" s="408"/>
      <c r="T299" s="408"/>
      <c r="U299" s="408"/>
      <c r="V299" s="408"/>
      <c r="W299" s="408"/>
      <c r="X299" s="408"/>
      <c r="Y299" s="408"/>
      <c r="Z299" s="408"/>
    </row>
    <row r="300" ht="14.25" customHeight="1">
      <c r="A300" s="408"/>
      <c r="B300" s="408"/>
      <c r="C300" s="552"/>
      <c r="D300" s="408"/>
      <c r="E300" s="408"/>
      <c r="F300" s="408"/>
      <c r="G300" s="408"/>
      <c r="H300" s="408"/>
      <c r="I300" s="408"/>
      <c r="J300" s="408"/>
      <c r="K300" s="408"/>
      <c r="L300" s="408"/>
      <c r="M300" s="408"/>
      <c r="N300" s="408"/>
      <c r="O300" s="408"/>
      <c r="P300" s="408"/>
      <c r="Q300" s="408"/>
      <c r="R300" s="408"/>
      <c r="S300" s="408"/>
      <c r="T300" s="408"/>
      <c r="U300" s="408"/>
      <c r="V300" s="408"/>
      <c r="W300" s="408"/>
      <c r="X300" s="408"/>
      <c r="Y300" s="408"/>
      <c r="Z300" s="408"/>
    </row>
    <row r="301" ht="14.25" customHeight="1">
      <c r="A301" s="408"/>
      <c r="B301" s="408"/>
      <c r="C301" s="552"/>
      <c r="D301" s="408"/>
      <c r="E301" s="408"/>
      <c r="F301" s="408"/>
      <c r="G301" s="408"/>
      <c r="H301" s="408"/>
      <c r="I301" s="408"/>
      <c r="J301" s="408"/>
      <c r="K301" s="408"/>
      <c r="L301" s="408"/>
      <c r="M301" s="408"/>
      <c r="N301" s="408"/>
      <c r="O301" s="408"/>
      <c r="P301" s="408"/>
      <c r="Q301" s="408"/>
      <c r="R301" s="408"/>
      <c r="S301" s="408"/>
      <c r="T301" s="408"/>
      <c r="U301" s="408"/>
      <c r="V301" s="408"/>
      <c r="W301" s="408"/>
      <c r="X301" s="408"/>
      <c r="Y301" s="408"/>
      <c r="Z301" s="408"/>
    </row>
    <row r="302" ht="14.25" customHeight="1">
      <c r="A302" s="408"/>
      <c r="B302" s="408"/>
      <c r="C302" s="552"/>
      <c r="D302" s="408"/>
      <c r="E302" s="408"/>
      <c r="F302" s="408"/>
      <c r="G302" s="408"/>
      <c r="H302" s="408"/>
      <c r="I302" s="408"/>
      <c r="J302" s="408"/>
      <c r="K302" s="408"/>
      <c r="L302" s="408"/>
      <c r="M302" s="408"/>
      <c r="N302" s="408"/>
      <c r="O302" s="408"/>
      <c r="P302" s="408"/>
      <c r="Q302" s="408"/>
      <c r="R302" s="408"/>
      <c r="S302" s="408"/>
      <c r="T302" s="408"/>
      <c r="U302" s="408"/>
      <c r="V302" s="408"/>
      <c r="W302" s="408"/>
      <c r="X302" s="408"/>
      <c r="Y302" s="408"/>
      <c r="Z302" s="408"/>
    </row>
    <row r="303" ht="14.25" customHeight="1">
      <c r="A303" s="408"/>
      <c r="B303" s="408"/>
      <c r="C303" s="552"/>
      <c r="D303" s="408"/>
      <c r="E303" s="408"/>
      <c r="F303" s="408"/>
      <c r="G303" s="408"/>
      <c r="H303" s="408"/>
      <c r="I303" s="408"/>
      <c r="J303" s="408"/>
      <c r="K303" s="408"/>
      <c r="L303" s="408"/>
      <c r="M303" s="408"/>
      <c r="N303" s="408"/>
      <c r="O303" s="408"/>
      <c r="P303" s="408"/>
      <c r="Q303" s="408"/>
      <c r="R303" s="408"/>
      <c r="S303" s="408"/>
      <c r="T303" s="408"/>
      <c r="U303" s="408"/>
      <c r="V303" s="408"/>
      <c r="W303" s="408"/>
      <c r="X303" s="408"/>
      <c r="Y303" s="408"/>
      <c r="Z303" s="408"/>
    </row>
    <row r="304" ht="14.25" customHeight="1">
      <c r="A304" s="408"/>
      <c r="B304" s="408"/>
      <c r="C304" s="552"/>
      <c r="D304" s="408"/>
      <c r="E304" s="408"/>
      <c r="F304" s="408"/>
      <c r="G304" s="408"/>
      <c r="H304" s="408"/>
      <c r="I304" s="408"/>
      <c r="J304" s="408"/>
      <c r="K304" s="408"/>
      <c r="L304" s="408"/>
      <c r="M304" s="408"/>
      <c r="N304" s="408"/>
      <c r="O304" s="408"/>
      <c r="P304" s="408"/>
      <c r="Q304" s="408"/>
      <c r="R304" s="408"/>
      <c r="S304" s="408"/>
      <c r="T304" s="408"/>
      <c r="U304" s="408"/>
      <c r="V304" s="408"/>
      <c r="W304" s="408"/>
      <c r="X304" s="408"/>
      <c r="Y304" s="408"/>
      <c r="Z304" s="408"/>
    </row>
    <row r="305" ht="14.25" customHeight="1">
      <c r="A305" s="408"/>
      <c r="B305" s="408"/>
      <c r="C305" s="552"/>
      <c r="D305" s="408"/>
      <c r="E305" s="408"/>
      <c r="F305" s="408"/>
      <c r="G305" s="408"/>
      <c r="H305" s="408"/>
      <c r="I305" s="408"/>
      <c r="J305" s="408"/>
      <c r="K305" s="408"/>
      <c r="L305" s="408"/>
      <c r="M305" s="408"/>
      <c r="N305" s="408"/>
      <c r="O305" s="408"/>
      <c r="P305" s="408"/>
      <c r="Q305" s="408"/>
      <c r="R305" s="408"/>
      <c r="S305" s="408"/>
      <c r="T305" s="408"/>
      <c r="U305" s="408"/>
      <c r="V305" s="408"/>
      <c r="W305" s="408"/>
      <c r="X305" s="408"/>
      <c r="Y305" s="408"/>
      <c r="Z305" s="408"/>
    </row>
    <row r="306" ht="14.25" customHeight="1">
      <c r="A306" s="408"/>
      <c r="B306" s="408"/>
      <c r="C306" s="552"/>
      <c r="D306" s="408"/>
      <c r="E306" s="408"/>
      <c r="F306" s="408"/>
      <c r="G306" s="408"/>
      <c r="H306" s="408"/>
      <c r="I306" s="408"/>
      <c r="J306" s="408"/>
      <c r="K306" s="408"/>
      <c r="L306" s="408"/>
      <c r="M306" s="408"/>
      <c r="N306" s="408"/>
      <c r="O306" s="408"/>
      <c r="P306" s="408"/>
      <c r="Q306" s="408"/>
      <c r="R306" s="408"/>
      <c r="S306" s="408"/>
      <c r="T306" s="408"/>
      <c r="U306" s="408"/>
      <c r="V306" s="408"/>
      <c r="W306" s="408"/>
      <c r="X306" s="408"/>
      <c r="Y306" s="408"/>
      <c r="Z306" s="408"/>
    </row>
    <row r="307" ht="14.25" customHeight="1">
      <c r="A307" s="408"/>
      <c r="B307" s="408"/>
      <c r="C307" s="552"/>
      <c r="D307" s="408"/>
      <c r="E307" s="408"/>
      <c r="F307" s="408"/>
      <c r="G307" s="408"/>
      <c r="H307" s="408"/>
      <c r="I307" s="408"/>
      <c r="J307" s="408"/>
      <c r="K307" s="408"/>
      <c r="L307" s="408"/>
      <c r="M307" s="408"/>
      <c r="N307" s="408"/>
      <c r="O307" s="408"/>
      <c r="P307" s="408"/>
      <c r="Q307" s="408"/>
      <c r="R307" s="408"/>
      <c r="S307" s="408"/>
      <c r="T307" s="408"/>
      <c r="U307" s="408"/>
      <c r="V307" s="408"/>
      <c r="W307" s="408"/>
      <c r="X307" s="408"/>
      <c r="Y307" s="408"/>
      <c r="Z307" s="408"/>
    </row>
    <row r="308" ht="14.25" customHeight="1">
      <c r="A308" s="408"/>
      <c r="B308" s="408"/>
      <c r="C308" s="552"/>
      <c r="D308" s="408"/>
      <c r="E308" s="408"/>
      <c r="F308" s="408"/>
      <c r="G308" s="408"/>
      <c r="H308" s="408"/>
      <c r="I308" s="408"/>
      <c r="J308" s="408"/>
      <c r="K308" s="408"/>
      <c r="L308" s="408"/>
      <c r="M308" s="408"/>
      <c r="N308" s="408"/>
      <c r="O308" s="408"/>
      <c r="P308" s="408"/>
      <c r="Q308" s="408"/>
      <c r="R308" s="408"/>
      <c r="S308" s="408"/>
      <c r="T308" s="408"/>
      <c r="U308" s="408"/>
      <c r="V308" s="408"/>
      <c r="W308" s="408"/>
      <c r="X308" s="408"/>
      <c r="Y308" s="408"/>
      <c r="Z308" s="408"/>
    </row>
    <row r="309" ht="14.25" customHeight="1">
      <c r="A309" s="408"/>
      <c r="B309" s="408"/>
      <c r="C309" s="552"/>
      <c r="D309" s="408"/>
      <c r="E309" s="408"/>
      <c r="F309" s="408"/>
      <c r="G309" s="408"/>
      <c r="H309" s="408"/>
      <c r="I309" s="408"/>
      <c r="J309" s="408"/>
      <c r="K309" s="408"/>
      <c r="L309" s="408"/>
      <c r="M309" s="408"/>
      <c r="N309" s="408"/>
      <c r="O309" s="408"/>
      <c r="P309" s="408"/>
      <c r="Q309" s="408"/>
      <c r="R309" s="408"/>
      <c r="S309" s="408"/>
      <c r="T309" s="408"/>
      <c r="U309" s="408"/>
      <c r="V309" s="408"/>
      <c r="W309" s="408"/>
      <c r="X309" s="408"/>
      <c r="Y309" s="408"/>
      <c r="Z309" s="408"/>
    </row>
    <row r="310" ht="14.25" customHeight="1">
      <c r="A310" s="408"/>
      <c r="B310" s="408"/>
      <c r="C310" s="552"/>
      <c r="D310" s="408"/>
      <c r="E310" s="408"/>
      <c r="F310" s="408"/>
      <c r="G310" s="408"/>
      <c r="H310" s="408"/>
      <c r="I310" s="408"/>
      <c r="J310" s="408"/>
      <c r="K310" s="408"/>
      <c r="L310" s="408"/>
      <c r="M310" s="408"/>
      <c r="N310" s="408"/>
      <c r="O310" s="408"/>
      <c r="P310" s="408"/>
      <c r="Q310" s="408"/>
      <c r="R310" s="408"/>
      <c r="S310" s="408"/>
      <c r="T310" s="408"/>
      <c r="U310" s="408"/>
      <c r="V310" s="408"/>
      <c r="W310" s="408"/>
      <c r="X310" s="408"/>
      <c r="Y310" s="408"/>
      <c r="Z310" s="408"/>
    </row>
    <row r="311" ht="14.25" customHeight="1">
      <c r="A311" s="408"/>
      <c r="B311" s="408"/>
      <c r="C311" s="552"/>
      <c r="D311" s="408"/>
      <c r="E311" s="408"/>
      <c r="F311" s="408"/>
      <c r="G311" s="408"/>
      <c r="H311" s="408"/>
      <c r="I311" s="408"/>
      <c r="J311" s="408"/>
      <c r="K311" s="408"/>
      <c r="L311" s="408"/>
      <c r="M311" s="408"/>
      <c r="N311" s="408"/>
      <c r="O311" s="408"/>
      <c r="P311" s="408"/>
      <c r="Q311" s="408"/>
      <c r="R311" s="408"/>
      <c r="S311" s="408"/>
      <c r="T311" s="408"/>
      <c r="U311" s="408"/>
      <c r="V311" s="408"/>
      <c r="W311" s="408"/>
      <c r="X311" s="408"/>
      <c r="Y311" s="408"/>
      <c r="Z311" s="408"/>
    </row>
    <row r="312" ht="14.25" customHeight="1">
      <c r="A312" s="408"/>
      <c r="B312" s="408"/>
      <c r="C312" s="552"/>
      <c r="D312" s="408"/>
      <c r="E312" s="408"/>
      <c r="F312" s="408"/>
      <c r="G312" s="408"/>
      <c r="H312" s="408"/>
      <c r="I312" s="408"/>
      <c r="J312" s="408"/>
      <c r="K312" s="408"/>
      <c r="L312" s="408"/>
      <c r="M312" s="408"/>
      <c r="N312" s="408"/>
      <c r="O312" s="408"/>
      <c r="P312" s="408"/>
      <c r="Q312" s="408"/>
      <c r="R312" s="408"/>
      <c r="S312" s="408"/>
      <c r="T312" s="408"/>
      <c r="U312" s="408"/>
      <c r="V312" s="408"/>
      <c r="W312" s="408"/>
      <c r="X312" s="408"/>
      <c r="Y312" s="408"/>
      <c r="Z312" s="408"/>
    </row>
    <row r="313" ht="14.25" customHeight="1">
      <c r="A313" s="408"/>
      <c r="B313" s="408"/>
      <c r="C313" s="552"/>
      <c r="D313" s="408"/>
      <c r="E313" s="408"/>
      <c r="F313" s="408"/>
      <c r="G313" s="408"/>
      <c r="H313" s="408"/>
      <c r="I313" s="408"/>
      <c r="J313" s="408"/>
      <c r="K313" s="408"/>
      <c r="L313" s="408"/>
      <c r="M313" s="408"/>
      <c r="N313" s="408"/>
      <c r="O313" s="408"/>
      <c r="P313" s="408"/>
      <c r="Q313" s="408"/>
      <c r="R313" s="408"/>
      <c r="S313" s="408"/>
      <c r="T313" s="408"/>
      <c r="U313" s="408"/>
      <c r="V313" s="408"/>
      <c r="W313" s="408"/>
      <c r="X313" s="408"/>
      <c r="Y313" s="408"/>
      <c r="Z313" s="408"/>
    </row>
    <row r="314" ht="14.25" customHeight="1">
      <c r="A314" s="408"/>
      <c r="B314" s="408"/>
      <c r="C314" s="552"/>
      <c r="D314" s="408"/>
      <c r="E314" s="408"/>
      <c r="F314" s="408"/>
      <c r="G314" s="408"/>
      <c r="H314" s="408"/>
      <c r="I314" s="408"/>
      <c r="J314" s="408"/>
      <c r="K314" s="408"/>
      <c r="L314" s="408"/>
      <c r="M314" s="408"/>
      <c r="N314" s="408"/>
      <c r="O314" s="408"/>
      <c r="P314" s="408"/>
      <c r="Q314" s="408"/>
      <c r="R314" s="408"/>
      <c r="S314" s="408"/>
      <c r="T314" s="408"/>
      <c r="U314" s="408"/>
      <c r="V314" s="408"/>
      <c r="W314" s="408"/>
      <c r="X314" s="408"/>
      <c r="Y314" s="408"/>
      <c r="Z314" s="408"/>
    </row>
    <row r="315" ht="14.25" customHeight="1">
      <c r="A315" s="408"/>
      <c r="B315" s="408"/>
      <c r="C315" s="552"/>
      <c r="D315" s="408"/>
      <c r="E315" s="408"/>
      <c r="F315" s="408"/>
      <c r="G315" s="408"/>
      <c r="H315" s="408"/>
      <c r="I315" s="408"/>
      <c r="J315" s="408"/>
      <c r="K315" s="408"/>
      <c r="L315" s="408"/>
      <c r="M315" s="408"/>
      <c r="N315" s="408"/>
      <c r="O315" s="408"/>
      <c r="P315" s="408"/>
      <c r="Q315" s="408"/>
      <c r="R315" s="408"/>
      <c r="S315" s="408"/>
      <c r="T315" s="408"/>
      <c r="U315" s="408"/>
      <c r="V315" s="408"/>
      <c r="W315" s="408"/>
      <c r="X315" s="408"/>
      <c r="Y315" s="408"/>
      <c r="Z315" s="408"/>
    </row>
    <row r="316" ht="14.25" customHeight="1">
      <c r="A316" s="408"/>
      <c r="B316" s="408"/>
      <c r="C316" s="552"/>
      <c r="D316" s="408"/>
      <c r="E316" s="408"/>
      <c r="F316" s="408"/>
      <c r="G316" s="408"/>
      <c r="H316" s="408"/>
      <c r="I316" s="408"/>
      <c r="J316" s="408"/>
      <c r="K316" s="408"/>
      <c r="L316" s="408"/>
      <c r="M316" s="408"/>
      <c r="N316" s="408"/>
      <c r="O316" s="408"/>
      <c r="P316" s="408"/>
      <c r="Q316" s="408"/>
      <c r="R316" s="408"/>
      <c r="S316" s="408"/>
      <c r="T316" s="408"/>
      <c r="U316" s="408"/>
      <c r="V316" s="408"/>
      <c r="W316" s="408"/>
      <c r="X316" s="408"/>
      <c r="Y316" s="408"/>
      <c r="Z316" s="408"/>
    </row>
    <row r="317" ht="14.25" customHeight="1">
      <c r="A317" s="408"/>
      <c r="B317" s="408"/>
      <c r="C317" s="552"/>
      <c r="D317" s="408"/>
      <c r="E317" s="408"/>
      <c r="F317" s="408"/>
      <c r="G317" s="408"/>
      <c r="H317" s="408"/>
      <c r="I317" s="408"/>
      <c r="J317" s="408"/>
      <c r="K317" s="408"/>
      <c r="L317" s="408"/>
      <c r="M317" s="408"/>
      <c r="N317" s="408"/>
      <c r="O317" s="408"/>
      <c r="P317" s="408"/>
      <c r="Q317" s="408"/>
      <c r="R317" s="408"/>
      <c r="S317" s="408"/>
      <c r="T317" s="408"/>
      <c r="U317" s="408"/>
      <c r="V317" s="408"/>
      <c r="W317" s="408"/>
      <c r="X317" s="408"/>
      <c r="Y317" s="408"/>
      <c r="Z317" s="408"/>
    </row>
    <row r="318" ht="14.25" customHeight="1">
      <c r="A318" s="408"/>
      <c r="B318" s="408"/>
      <c r="C318" s="552"/>
      <c r="D318" s="408"/>
      <c r="E318" s="408"/>
      <c r="F318" s="408"/>
      <c r="G318" s="408"/>
      <c r="H318" s="408"/>
      <c r="I318" s="408"/>
      <c r="J318" s="408"/>
      <c r="K318" s="408"/>
      <c r="L318" s="408"/>
      <c r="M318" s="408"/>
      <c r="N318" s="408"/>
      <c r="O318" s="408"/>
      <c r="P318" s="408"/>
      <c r="Q318" s="408"/>
      <c r="R318" s="408"/>
      <c r="S318" s="408"/>
      <c r="T318" s="408"/>
      <c r="U318" s="408"/>
      <c r="V318" s="408"/>
      <c r="W318" s="408"/>
      <c r="X318" s="408"/>
      <c r="Y318" s="408"/>
      <c r="Z318" s="408"/>
    </row>
    <row r="319" ht="14.25" customHeight="1">
      <c r="A319" s="408"/>
      <c r="B319" s="408"/>
      <c r="C319" s="552"/>
      <c r="D319" s="408"/>
      <c r="E319" s="408"/>
      <c r="F319" s="408"/>
      <c r="G319" s="408"/>
      <c r="H319" s="408"/>
      <c r="I319" s="408"/>
      <c r="J319" s="408"/>
      <c r="K319" s="408"/>
      <c r="L319" s="408"/>
      <c r="M319" s="408"/>
      <c r="N319" s="408"/>
      <c r="O319" s="408"/>
      <c r="P319" s="408"/>
      <c r="Q319" s="408"/>
      <c r="R319" s="408"/>
      <c r="S319" s="408"/>
      <c r="T319" s="408"/>
      <c r="U319" s="408"/>
      <c r="V319" s="408"/>
      <c r="W319" s="408"/>
      <c r="X319" s="408"/>
      <c r="Y319" s="408"/>
      <c r="Z319" s="408"/>
    </row>
    <row r="320" ht="14.25" customHeight="1">
      <c r="A320" s="408"/>
      <c r="B320" s="408"/>
      <c r="C320" s="552"/>
      <c r="D320" s="408"/>
      <c r="E320" s="408"/>
      <c r="F320" s="408"/>
      <c r="G320" s="408"/>
      <c r="H320" s="408"/>
      <c r="I320" s="408"/>
      <c r="J320" s="408"/>
      <c r="K320" s="408"/>
      <c r="L320" s="408"/>
      <c r="M320" s="408"/>
      <c r="N320" s="408"/>
      <c r="O320" s="408"/>
      <c r="P320" s="408"/>
      <c r="Q320" s="408"/>
      <c r="R320" s="408"/>
      <c r="S320" s="408"/>
      <c r="T320" s="408"/>
      <c r="U320" s="408"/>
      <c r="V320" s="408"/>
      <c r="W320" s="408"/>
      <c r="X320" s="408"/>
      <c r="Y320" s="408"/>
      <c r="Z320" s="408"/>
    </row>
    <row r="321" ht="14.25" customHeight="1">
      <c r="A321" s="408"/>
      <c r="B321" s="408"/>
      <c r="C321" s="552"/>
      <c r="D321" s="408"/>
      <c r="E321" s="408"/>
      <c r="F321" s="408"/>
      <c r="G321" s="408"/>
      <c r="H321" s="408"/>
      <c r="I321" s="408"/>
      <c r="J321" s="408"/>
      <c r="K321" s="408"/>
      <c r="L321" s="408"/>
      <c r="M321" s="408"/>
      <c r="N321" s="408"/>
      <c r="O321" s="408"/>
      <c r="P321" s="408"/>
      <c r="Q321" s="408"/>
      <c r="R321" s="408"/>
      <c r="S321" s="408"/>
      <c r="T321" s="408"/>
      <c r="U321" s="408"/>
      <c r="V321" s="408"/>
      <c r="W321" s="408"/>
      <c r="X321" s="408"/>
      <c r="Y321" s="408"/>
      <c r="Z321" s="408"/>
    </row>
    <row r="322" ht="14.25" customHeight="1">
      <c r="A322" s="408"/>
      <c r="B322" s="408"/>
      <c r="C322" s="552"/>
      <c r="D322" s="408"/>
      <c r="E322" s="408"/>
      <c r="F322" s="408"/>
      <c r="G322" s="408"/>
      <c r="H322" s="408"/>
      <c r="I322" s="408"/>
      <c r="J322" s="408"/>
      <c r="K322" s="408"/>
      <c r="L322" s="408"/>
      <c r="M322" s="408"/>
      <c r="N322" s="408"/>
      <c r="O322" s="408"/>
      <c r="P322" s="408"/>
      <c r="Q322" s="408"/>
      <c r="R322" s="408"/>
      <c r="S322" s="408"/>
      <c r="T322" s="408"/>
      <c r="U322" s="408"/>
      <c r="V322" s="408"/>
      <c r="W322" s="408"/>
      <c r="X322" s="408"/>
      <c r="Y322" s="408"/>
      <c r="Z322" s="408"/>
    </row>
    <row r="323" ht="14.25" customHeight="1">
      <c r="A323" s="408"/>
      <c r="B323" s="408"/>
      <c r="C323" s="552"/>
      <c r="D323" s="408"/>
      <c r="E323" s="408"/>
      <c r="F323" s="408"/>
      <c r="G323" s="408"/>
      <c r="H323" s="408"/>
      <c r="I323" s="408"/>
      <c r="J323" s="408"/>
      <c r="K323" s="408"/>
      <c r="L323" s="408"/>
      <c r="M323" s="408"/>
      <c r="N323" s="408"/>
      <c r="O323" s="408"/>
      <c r="P323" s="408"/>
      <c r="Q323" s="408"/>
      <c r="R323" s="408"/>
      <c r="S323" s="408"/>
      <c r="T323" s="408"/>
      <c r="U323" s="408"/>
      <c r="V323" s="408"/>
      <c r="W323" s="408"/>
      <c r="X323" s="408"/>
      <c r="Y323" s="408"/>
      <c r="Z323" s="408"/>
    </row>
    <row r="324" ht="14.25" customHeight="1">
      <c r="A324" s="408"/>
      <c r="B324" s="408"/>
      <c r="C324" s="552"/>
      <c r="D324" s="408"/>
      <c r="E324" s="408"/>
      <c r="F324" s="408"/>
      <c r="G324" s="408"/>
      <c r="H324" s="408"/>
      <c r="I324" s="408"/>
      <c r="J324" s="408"/>
      <c r="K324" s="408"/>
      <c r="L324" s="408"/>
      <c r="M324" s="408"/>
      <c r="N324" s="408"/>
      <c r="O324" s="408"/>
      <c r="P324" s="408"/>
      <c r="Q324" s="408"/>
      <c r="R324" s="408"/>
      <c r="S324" s="408"/>
      <c r="T324" s="408"/>
      <c r="U324" s="408"/>
      <c r="V324" s="408"/>
      <c r="W324" s="408"/>
      <c r="X324" s="408"/>
      <c r="Y324" s="408"/>
      <c r="Z324" s="408"/>
    </row>
    <row r="325" ht="14.25" customHeight="1">
      <c r="A325" s="408"/>
      <c r="B325" s="408"/>
      <c r="C325" s="552"/>
      <c r="D325" s="408"/>
      <c r="E325" s="408"/>
      <c r="F325" s="408"/>
      <c r="G325" s="408"/>
      <c r="H325" s="408"/>
      <c r="I325" s="408"/>
      <c r="J325" s="408"/>
      <c r="K325" s="408"/>
      <c r="L325" s="408"/>
      <c r="M325" s="408"/>
      <c r="N325" s="408"/>
      <c r="O325" s="408"/>
      <c r="P325" s="408"/>
      <c r="Q325" s="408"/>
      <c r="R325" s="408"/>
      <c r="S325" s="408"/>
      <c r="T325" s="408"/>
      <c r="U325" s="408"/>
      <c r="V325" s="408"/>
      <c r="W325" s="408"/>
      <c r="X325" s="408"/>
      <c r="Y325" s="408"/>
      <c r="Z325" s="408"/>
    </row>
    <row r="326" ht="14.25" customHeight="1">
      <c r="A326" s="408"/>
      <c r="B326" s="408"/>
      <c r="C326" s="552"/>
      <c r="D326" s="408"/>
      <c r="E326" s="408"/>
      <c r="F326" s="408"/>
      <c r="G326" s="408"/>
      <c r="H326" s="408"/>
      <c r="I326" s="408"/>
      <c r="J326" s="408"/>
      <c r="K326" s="408"/>
      <c r="L326" s="408"/>
      <c r="M326" s="408"/>
      <c r="N326" s="408"/>
      <c r="O326" s="408"/>
      <c r="P326" s="408"/>
      <c r="Q326" s="408"/>
      <c r="R326" s="408"/>
      <c r="S326" s="408"/>
      <c r="T326" s="408"/>
      <c r="U326" s="408"/>
      <c r="V326" s="408"/>
      <c r="W326" s="408"/>
      <c r="X326" s="408"/>
      <c r="Y326" s="408"/>
      <c r="Z326" s="408"/>
    </row>
    <row r="327" ht="14.25" customHeight="1">
      <c r="A327" s="408"/>
      <c r="B327" s="408"/>
      <c r="C327" s="552"/>
      <c r="D327" s="408"/>
      <c r="E327" s="408"/>
      <c r="F327" s="408"/>
      <c r="G327" s="408"/>
      <c r="H327" s="408"/>
      <c r="I327" s="408"/>
      <c r="J327" s="408"/>
      <c r="K327" s="408"/>
      <c r="L327" s="408"/>
      <c r="M327" s="408"/>
      <c r="N327" s="408"/>
      <c r="O327" s="408"/>
      <c r="P327" s="408"/>
      <c r="Q327" s="408"/>
      <c r="R327" s="408"/>
      <c r="S327" s="408"/>
      <c r="T327" s="408"/>
      <c r="U327" s="408"/>
      <c r="V327" s="408"/>
      <c r="W327" s="408"/>
      <c r="X327" s="408"/>
      <c r="Y327" s="408"/>
      <c r="Z327" s="408"/>
    </row>
    <row r="328" ht="14.25" customHeight="1">
      <c r="A328" s="408"/>
      <c r="B328" s="408"/>
      <c r="C328" s="552"/>
      <c r="D328" s="408"/>
      <c r="E328" s="408"/>
      <c r="F328" s="408"/>
      <c r="G328" s="408"/>
      <c r="H328" s="408"/>
      <c r="I328" s="408"/>
      <c r="J328" s="408"/>
      <c r="K328" s="408"/>
      <c r="L328" s="408"/>
      <c r="M328" s="408"/>
      <c r="N328" s="408"/>
      <c r="O328" s="408"/>
      <c r="P328" s="408"/>
      <c r="Q328" s="408"/>
      <c r="R328" s="408"/>
      <c r="S328" s="408"/>
      <c r="T328" s="408"/>
      <c r="U328" s="408"/>
      <c r="V328" s="408"/>
      <c r="W328" s="408"/>
      <c r="X328" s="408"/>
      <c r="Y328" s="408"/>
      <c r="Z328" s="408"/>
    </row>
    <row r="329" ht="14.25" customHeight="1">
      <c r="A329" s="408"/>
      <c r="B329" s="408"/>
      <c r="C329" s="552"/>
      <c r="D329" s="408"/>
      <c r="E329" s="408"/>
      <c r="F329" s="408"/>
      <c r="G329" s="408"/>
      <c r="H329" s="408"/>
      <c r="I329" s="408"/>
      <c r="J329" s="408"/>
      <c r="K329" s="408"/>
      <c r="L329" s="408"/>
      <c r="M329" s="408"/>
      <c r="N329" s="408"/>
      <c r="O329" s="408"/>
      <c r="P329" s="408"/>
      <c r="Q329" s="408"/>
      <c r="R329" s="408"/>
      <c r="S329" s="408"/>
      <c r="T329" s="408"/>
      <c r="U329" s="408"/>
      <c r="V329" s="408"/>
      <c r="W329" s="408"/>
      <c r="X329" s="408"/>
      <c r="Y329" s="408"/>
      <c r="Z329" s="408"/>
    </row>
    <row r="330" ht="14.25" customHeight="1">
      <c r="A330" s="408"/>
      <c r="B330" s="408"/>
      <c r="C330" s="552"/>
      <c r="D330" s="408"/>
      <c r="E330" s="408"/>
      <c r="F330" s="408"/>
      <c r="G330" s="408"/>
      <c r="H330" s="408"/>
      <c r="I330" s="408"/>
      <c r="J330" s="408"/>
      <c r="K330" s="408"/>
      <c r="L330" s="408"/>
      <c r="M330" s="408"/>
      <c r="N330" s="408"/>
      <c r="O330" s="408"/>
      <c r="P330" s="408"/>
      <c r="Q330" s="408"/>
      <c r="R330" s="408"/>
      <c r="S330" s="408"/>
      <c r="T330" s="408"/>
      <c r="U330" s="408"/>
      <c r="V330" s="408"/>
      <c r="W330" s="408"/>
      <c r="X330" s="408"/>
      <c r="Y330" s="408"/>
      <c r="Z330" s="408"/>
    </row>
    <row r="331" ht="14.25" customHeight="1">
      <c r="A331" s="408"/>
      <c r="B331" s="408"/>
      <c r="C331" s="552"/>
      <c r="D331" s="408"/>
      <c r="E331" s="408"/>
      <c r="F331" s="408"/>
      <c r="G331" s="408"/>
      <c r="H331" s="408"/>
      <c r="I331" s="408"/>
      <c r="J331" s="408"/>
      <c r="K331" s="408"/>
      <c r="L331" s="408"/>
      <c r="M331" s="408"/>
      <c r="N331" s="408"/>
      <c r="O331" s="408"/>
      <c r="P331" s="408"/>
      <c r="Q331" s="408"/>
      <c r="R331" s="408"/>
      <c r="S331" s="408"/>
      <c r="T331" s="408"/>
      <c r="U331" s="408"/>
      <c r="V331" s="408"/>
      <c r="W331" s="408"/>
      <c r="X331" s="408"/>
      <c r="Y331" s="408"/>
      <c r="Z331" s="408"/>
    </row>
    <row r="332" ht="14.25" customHeight="1">
      <c r="A332" s="408"/>
      <c r="B332" s="408"/>
      <c r="C332" s="552"/>
      <c r="D332" s="408"/>
      <c r="E332" s="408"/>
      <c r="F332" s="408"/>
      <c r="G332" s="408"/>
      <c r="H332" s="408"/>
      <c r="I332" s="408"/>
      <c r="J332" s="408"/>
      <c r="K332" s="408"/>
      <c r="L332" s="408"/>
      <c r="M332" s="408"/>
      <c r="N332" s="408"/>
      <c r="O332" s="408"/>
      <c r="P332" s="408"/>
      <c r="Q332" s="408"/>
      <c r="R332" s="408"/>
      <c r="S332" s="408"/>
      <c r="T332" s="408"/>
      <c r="U332" s="408"/>
      <c r="V332" s="408"/>
      <c r="W332" s="408"/>
      <c r="X332" s="408"/>
      <c r="Y332" s="408"/>
      <c r="Z332" s="408"/>
    </row>
    <row r="333" ht="14.25" customHeight="1">
      <c r="A333" s="408"/>
      <c r="B333" s="408"/>
      <c r="C333" s="552"/>
      <c r="D333" s="408"/>
      <c r="E333" s="408"/>
      <c r="F333" s="408"/>
      <c r="G333" s="408"/>
      <c r="H333" s="408"/>
      <c r="I333" s="408"/>
      <c r="J333" s="408"/>
      <c r="K333" s="408"/>
      <c r="L333" s="408"/>
      <c r="M333" s="408"/>
      <c r="N333" s="408"/>
      <c r="O333" s="408"/>
      <c r="P333" s="408"/>
      <c r="Q333" s="408"/>
      <c r="R333" s="408"/>
      <c r="S333" s="408"/>
      <c r="T333" s="408"/>
      <c r="U333" s="408"/>
      <c r="V333" s="408"/>
      <c r="W333" s="408"/>
      <c r="X333" s="408"/>
      <c r="Y333" s="408"/>
      <c r="Z333" s="408"/>
    </row>
    <row r="334" ht="14.25" customHeight="1">
      <c r="A334" s="408"/>
      <c r="B334" s="408"/>
      <c r="C334" s="552"/>
      <c r="D334" s="408"/>
      <c r="E334" s="408"/>
      <c r="F334" s="408"/>
      <c r="G334" s="408"/>
      <c r="H334" s="408"/>
      <c r="I334" s="408"/>
      <c r="J334" s="408"/>
      <c r="K334" s="408"/>
      <c r="L334" s="408"/>
      <c r="M334" s="408"/>
      <c r="N334" s="408"/>
      <c r="O334" s="408"/>
      <c r="P334" s="408"/>
      <c r="Q334" s="408"/>
      <c r="R334" s="408"/>
      <c r="S334" s="408"/>
      <c r="T334" s="408"/>
      <c r="U334" s="408"/>
      <c r="V334" s="408"/>
      <c r="W334" s="408"/>
      <c r="X334" s="408"/>
      <c r="Y334" s="408"/>
      <c r="Z334" s="408"/>
    </row>
    <row r="335" ht="14.25" customHeight="1">
      <c r="A335" s="408"/>
      <c r="B335" s="408"/>
      <c r="C335" s="552"/>
      <c r="D335" s="408"/>
      <c r="E335" s="408"/>
      <c r="F335" s="408"/>
      <c r="G335" s="408"/>
      <c r="H335" s="408"/>
      <c r="I335" s="408"/>
      <c r="J335" s="408"/>
      <c r="K335" s="408"/>
      <c r="L335" s="408"/>
      <c r="M335" s="408"/>
      <c r="N335" s="408"/>
      <c r="O335" s="408"/>
      <c r="P335" s="408"/>
      <c r="Q335" s="408"/>
      <c r="R335" s="408"/>
      <c r="S335" s="408"/>
      <c r="T335" s="408"/>
      <c r="U335" s="408"/>
      <c r="V335" s="408"/>
      <c r="W335" s="408"/>
      <c r="X335" s="408"/>
      <c r="Y335" s="408"/>
      <c r="Z335" s="408"/>
    </row>
    <row r="336" ht="14.25" customHeight="1">
      <c r="A336" s="408"/>
      <c r="B336" s="408"/>
      <c r="C336" s="552"/>
      <c r="D336" s="408"/>
      <c r="E336" s="408"/>
      <c r="F336" s="408"/>
      <c r="G336" s="408"/>
      <c r="H336" s="408"/>
      <c r="I336" s="408"/>
      <c r="J336" s="408"/>
      <c r="K336" s="408"/>
      <c r="L336" s="408"/>
      <c r="M336" s="408"/>
      <c r="N336" s="408"/>
      <c r="O336" s="408"/>
      <c r="P336" s="408"/>
      <c r="Q336" s="408"/>
      <c r="R336" s="408"/>
      <c r="S336" s="408"/>
      <c r="T336" s="408"/>
      <c r="U336" s="408"/>
      <c r="V336" s="408"/>
      <c r="W336" s="408"/>
      <c r="X336" s="408"/>
      <c r="Y336" s="408"/>
      <c r="Z336" s="408"/>
    </row>
    <row r="337" ht="14.25" customHeight="1">
      <c r="A337" s="408"/>
      <c r="B337" s="408"/>
      <c r="C337" s="552"/>
      <c r="D337" s="408"/>
      <c r="E337" s="408"/>
      <c r="F337" s="408"/>
      <c r="G337" s="408"/>
      <c r="H337" s="408"/>
      <c r="I337" s="408"/>
      <c r="J337" s="408"/>
      <c r="K337" s="408"/>
      <c r="L337" s="408"/>
      <c r="M337" s="408"/>
      <c r="N337" s="408"/>
      <c r="O337" s="408"/>
      <c r="P337" s="408"/>
      <c r="Q337" s="408"/>
      <c r="R337" s="408"/>
      <c r="S337" s="408"/>
      <c r="T337" s="408"/>
      <c r="U337" s="408"/>
      <c r="V337" s="408"/>
      <c r="W337" s="408"/>
      <c r="X337" s="408"/>
      <c r="Y337" s="408"/>
      <c r="Z337" s="408"/>
    </row>
    <row r="338" ht="14.25" customHeight="1">
      <c r="A338" s="408"/>
      <c r="B338" s="408"/>
      <c r="C338" s="552"/>
      <c r="D338" s="408"/>
      <c r="E338" s="408"/>
      <c r="F338" s="408"/>
      <c r="G338" s="408"/>
      <c r="H338" s="408"/>
      <c r="I338" s="408"/>
      <c r="J338" s="408"/>
      <c r="K338" s="408"/>
      <c r="L338" s="408"/>
      <c r="M338" s="408"/>
      <c r="N338" s="408"/>
      <c r="O338" s="408"/>
      <c r="P338" s="408"/>
      <c r="Q338" s="408"/>
      <c r="R338" s="408"/>
      <c r="S338" s="408"/>
      <c r="T338" s="408"/>
      <c r="U338" s="408"/>
      <c r="V338" s="408"/>
      <c r="W338" s="408"/>
      <c r="X338" s="408"/>
      <c r="Y338" s="408"/>
      <c r="Z338" s="408"/>
    </row>
    <row r="339" ht="14.25" customHeight="1">
      <c r="A339" s="408"/>
      <c r="B339" s="408"/>
      <c r="C339" s="552"/>
      <c r="D339" s="408"/>
      <c r="E339" s="408"/>
      <c r="F339" s="408"/>
      <c r="G339" s="408"/>
      <c r="H339" s="408"/>
      <c r="I339" s="408"/>
      <c r="J339" s="408"/>
      <c r="K339" s="408"/>
      <c r="L339" s="408"/>
      <c r="M339" s="408"/>
      <c r="N339" s="408"/>
      <c r="O339" s="408"/>
      <c r="P339" s="408"/>
      <c r="Q339" s="408"/>
      <c r="R339" s="408"/>
      <c r="S339" s="408"/>
      <c r="T339" s="408"/>
      <c r="U339" s="408"/>
      <c r="V339" s="408"/>
      <c r="W339" s="408"/>
      <c r="X339" s="408"/>
      <c r="Y339" s="408"/>
      <c r="Z339" s="408"/>
    </row>
    <row r="340" ht="14.25" customHeight="1">
      <c r="A340" s="408"/>
      <c r="B340" s="408"/>
      <c r="C340" s="552"/>
      <c r="D340" s="408"/>
      <c r="E340" s="408"/>
      <c r="F340" s="408"/>
      <c r="G340" s="408"/>
      <c r="H340" s="408"/>
      <c r="I340" s="408"/>
      <c r="J340" s="408"/>
      <c r="K340" s="408"/>
      <c r="L340" s="408"/>
      <c r="M340" s="408"/>
      <c r="N340" s="408"/>
      <c r="O340" s="408"/>
      <c r="P340" s="408"/>
      <c r="Q340" s="408"/>
      <c r="R340" s="408"/>
      <c r="S340" s="408"/>
      <c r="T340" s="408"/>
      <c r="U340" s="408"/>
      <c r="V340" s="408"/>
      <c r="W340" s="408"/>
      <c r="X340" s="408"/>
      <c r="Y340" s="408"/>
      <c r="Z340" s="408"/>
    </row>
    <row r="341" ht="14.25" customHeight="1">
      <c r="A341" s="408"/>
      <c r="B341" s="408"/>
      <c r="C341" s="552"/>
      <c r="D341" s="408"/>
      <c r="E341" s="408"/>
      <c r="F341" s="408"/>
      <c r="G341" s="408"/>
      <c r="H341" s="408"/>
      <c r="I341" s="408"/>
      <c r="J341" s="408"/>
      <c r="K341" s="408"/>
      <c r="L341" s="408"/>
      <c r="M341" s="408"/>
      <c r="N341" s="408"/>
      <c r="O341" s="408"/>
      <c r="P341" s="408"/>
      <c r="Q341" s="408"/>
      <c r="R341" s="408"/>
      <c r="S341" s="408"/>
      <c r="T341" s="408"/>
      <c r="U341" s="408"/>
      <c r="V341" s="408"/>
      <c r="W341" s="408"/>
      <c r="X341" s="408"/>
      <c r="Y341" s="408"/>
      <c r="Z341" s="408"/>
    </row>
    <row r="342" ht="14.25" customHeight="1">
      <c r="A342" s="408"/>
      <c r="B342" s="408"/>
      <c r="C342" s="552"/>
      <c r="D342" s="408"/>
      <c r="E342" s="408"/>
      <c r="F342" s="408"/>
      <c r="G342" s="408"/>
      <c r="H342" s="408"/>
      <c r="I342" s="408"/>
      <c r="J342" s="408"/>
      <c r="K342" s="408"/>
      <c r="L342" s="408"/>
      <c r="M342" s="408"/>
      <c r="N342" s="408"/>
      <c r="O342" s="408"/>
      <c r="P342" s="408"/>
      <c r="Q342" s="408"/>
      <c r="R342" s="408"/>
      <c r="S342" s="408"/>
      <c r="T342" s="408"/>
      <c r="U342" s="408"/>
      <c r="V342" s="408"/>
      <c r="W342" s="408"/>
      <c r="X342" s="408"/>
      <c r="Y342" s="408"/>
      <c r="Z342" s="408"/>
    </row>
    <row r="343" ht="14.25" customHeight="1">
      <c r="A343" s="408"/>
      <c r="B343" s="408"/>
      <c r="C343" s="552"/>
      <c r="D343" s="408"/>
      <c r="E343" s="408"/>
      <c r="F343" s="408"/>
      <c r="G343" s="408"/>
      <c r="H343" s="408"/>
      <c r="I343" s="408"/>
      <c r="J343" s="408"/>
      <c r="K343" s="408"/>
      <c r="L343" s="408"/>
      <c r="M343" s="408"/>
      <c r="N343" s="408"/>
      <c r="O343" s="408"/>
      <c r="P343" s="408"/>
      <c r="Q343" s="408"/>
      <c r="R343" s="408"/>
      <c r="S343" s="408"/>
      <c r="T343" s="408"/>
      <c r="U343" s="408"/>
      <c r="V343" s="408"/>
      <c r="W343" s="408"/>
      <c r="X343" s="408"/>
      <c r="Y343" s="408"/>
      <c r="Z343" s="408"/>
    </row>
    <row r="344" ht="14.25" customHeight="1">
      <c r="A344" s="408"/>
      <c r="B344" s="408"/>
      <c r="C344" s="552"/>
      <c r="D344" s="408"/>
      <c r="E344" s="408"/>
      <c r="F344" s="408"/>
      <c r="G344" s="408"/>
      <c r="H344" s="408"/>
      <c r="I344" s="408"/>
      <c r="J344" s="408"/>
      <c r="K344" s="408"/>
      <c r="L344" s="408"/>
      <c r="M344" s="408"/>
      <c r="N344" s="408"/>
      <c r="O344" s="408"/>
      <c r="P344" s="408"/>
      <c r="Q344" s="408"/>
      <c r="R344" s="408"/>
      <c r="S344" s="408"/>
      <c r="T344" s="408"/>
      <c r="U344" s="408"/>
      <c r="V344" s="408"/>
      <c r="W344" s="408"/>
      <c r="X344" s="408"/>
      <c r="Y344" s="408"/>
      <c r="Z344" s="408"/>
    </row>
    <row r="345" ht="14.25" customHeight="1">
      <c r="A345" s="408"/>
      <c r="B345" s="408"/>
      <c r="C345" s="552"/>
      <c r="D345" s="408"/>
      <c r="E345" s="408"/>
      <c r="F345" s="408"/>
      <c r="G345" s="408"/>
      <c r="H345" s="408"/>
      <c r="I345" s="408"/>
      <c r="J345" s="408"/>
      <c r="K345" s="408"/>
      <c r="L345" s="408"/>
      <c r="M345" s="408"/>
      <c r="N345" s="408"/>
      <c r="O345" s="408"/>
      <c r="P345" s="408"/>
      <c r="Q345" s="408"/>
      <c r="R345" s="408"/>
      <c r="S345" s="408"/>
      <c r="T345" s="408"/>
      <c r="U345" s="408"/>
      <c r="V345" s="408"/>
      <c r="W345" s="408"/>
      <c r="X345" s="408"/>
      <c r="Y345" s="408"/>
      <c r="Z345" s="408"/>
    </row>
    <row r="346" ht="14.25" customHeight="1">
      <c r="A346" s="408"/>
      <c r="B346" s="408"/>
      <c r="C346" s="552"/>
      <c r="D346" s="408"/>
      <c r="E346" s="408"/>
      <c r="F346" s="408"/>
      <c r="G346" s="408"/>
      <c r="H346" s="408"/>
      <c r="I346" s="408"/>
      <c r="J346" s="408"/>
      <c r="K346" s="408"/>
      <c r="L346" s="408"/>
      <c r="M346" s="408"/>
      <c r="N346" s="408"/>
      <c r="O346" s="408"/>
      <c r="P346" s="408"/>
      <c r="Q346" s="408"/>
      <c r="R346" s="408"/>
      <c r="S346" s="408"/>
      <c r="T346" s="408"/>
      <c r="U346" s="408"/>
      <c r="V346" s="408"/>
      <c r="W346" s="408"/>
      <c r="X346" s="408"/>
      <c r="Y346" s="408"/>
      <c r="Z346" s="408"/>
    </row>
    <row r="347" ht="14.25" customHeight="1">
      <c r="A347" s="408"/>
      <c r="B347" s="408"/>
      <c r="C347" s="552"/>
      <c r="D347" s="408"/>
      <c r="E347" s="408"/>
      <c r="F347" s="408"/>
      <c r="G347" s="408"/>
      <c r="H347" s="408"/>
      <c r="I347" s="408"/>
      <c r="J347" s="408"/>
      <c r="K347" s="408"/>
      <c r="L347" s="408"/>
      <c r="M347" s="408"/>
      <c r="N347" s="408"/>
      <c r="O347" s="408"/>
      <c r="P347" s="408"/>
      <c r="Q347" s="408"/>
      <c r="R347" s="408"/>
      <c r="S347" s="408"/>
      <c r="T347" s="408"/>
      <c r="U347" s="408"/>
      <c r="V347" s="408"/>
      <c r="W347" s="408"/>
      <c r="X347" s="408"/>
      <c r="Y347" s="408"/>
      <c r="Z347" s="408"/>
    </row>
    <row r="348" ht="14.25" customHeight="1">
      <c r="A348" s="408"/>
      <c r="B348" s="408"/>
      <c r="C348" s="552"/>
      <c r="D348" s="408"/>
      <c r="E348" s="408"/>
      <c r="F348" s="408"/>
      <c r="G348" s="408"/>
      <c r="H348" s="408"/>
      <c r="I348" s="408"/>
      <c r="J348" s="408"/>
      <c r="K348" s="408"/>
      <c r="L348" s="408"/>
      <c r="M348" s="408"/>
      <c r="N348" s="408"/>
      <c r="O348" s="408"/>
      <c r="P348" s="408"/>
      <c r="Q348" s="408"/>
      <c r="R348" s="408"/>
      <c r="S348" s="408"/>
      <c r="T348" s="408"/>
      <c r="U348" s="408"/>
      <c r="V348" s="408"/>
      <c r="W348" s="408"/>
      <c r="X348" s="408"/>
      <c r="Y348" s="408"/>
      <c r="Z348" s="408"/>
    </row>
    <row r="349" ht="14.25" customHeight="1">
      <c r="A349" s="408"/>
      <c r="B349" s="408"/>
      <c r="C349" s="552"/>
      <c r="D349" s="408"/>
      <c r="E349" s="408"/>
      <c r="F349" s="408"/>
      <c r="G349" s="408"/>
      <c r="H349" s="408"/>
      <c r="I349" s="408"/>
      <c r="J349" s="408"/>
      <c r="K349" s="408"/>
      <c r="L349" s="408"/>
      <c r="M349" s="408"/>
      <c r="N349" s="408"/>
      <c r="O349" s="408"/>
      <c r="P349" s="408"/>
      <c r="Q349" s="408"/>
      <c r="R349" s="408"/>
      <c r="S349" s="408"/>
      <c r="T349" s="408"/>
      <c r="U349" s="408"/>
      <c r="V349" s="408"/>
      <c r="W349" s="408"/>
      <c r="X349" s="408"/>
      <c r="Y349" s="408"/>
      <c r="Z349" s="408"/>
    </row>
    <row r="350" ht="14.25" customHeight="1">
      <c r="A350" s="408"/>
      <c r="B350" s="408"/>
      <c r="C350" s="552"/>
      <c r="D350" s="408"/>
      <c r="E350" s="408"/>
      <c r="F350" s="408"/>
      <c r="G350" s="408"/>
      <c r="H350" s="408"/>
      <c r="I350" s="408"/>
      <c r="J350" s="408"/>
      <c r="K350" s="408"/>
      <c r="L350" s="408"/>
      <c r="M350" s="408"/>
      <c r="N350" s="408"/>
      <c r="O350" s="408"/>
      <c r="P350" s="408"/>
      <c r="Q350" s="408"/>
      <c r="R350" s="408"/>
      <c r="S350" s="408"/>
      <c r="T350" s="408"/>
      <c r="U350" s="408"/>
      <c r="V350" s="408"/>
      <c r="W350" s="408"/>
      <c r="X350" s="408"/>
      <c r="Y350" s="408"/>
      <c r="Z350" s="408"/>
    </row>
    <row r="351" ht="14.25" customHeight="1">
      <c r="A351" s="408"/>
      <c r="B351" s="408"/>
      <c r="C351" s="552"/>
      <c r="D351" s="408"/>
      <c r="E351" s="408"/>
      <c r="F351" s="408"/>
      <c r="G351" s="408"/>
      <c r="H351" s="408"/>
      <c r="I351" s="408"/>
      <c r="J351" s="408"/>
      <c r="K351" s="408"/>
      <c r="L351" s="408"/>
      <c r="M351" s="408"/>
      <c r="N351" s="408"/>
      <c r="O351" s="408"/>
      <c r="P351" s="408"/>
      <c r="Q351" s="408"/>
      <c r="R351" s="408"/>
      <c r="S351" s="408"/>
      <c r="T351" s="408"/>
      <c r="U351" s="408"/>
      <c r="V351" s="408"/>
      <c r="W351" s="408"/>
      <c r="X351" s="408"/>
      <c r="Y351" s="408"/>
      <c r="Z351" s="408"/>
    </row>
    <row r="352" ht="14.25" customHeight="1">
      <c r="A352" s="408"/>
      <c r="B352" s="408"/>
      <c r="C352" s="552"/>
      <c r="D352" s="408"/>
      <c r="E352" s="408"/>
      <c r="F352" s="408"/>
      <c r="G352" s="408"/>
      <c r="H352" s="408"/>
      <c r="I352" s="408"/>
      <c r="J352" s="408"/>
      <c r="K352" s="408"/>
      <c r="L352" s="408"/>
      <c r="M352" s="408"/>
      <c r="N352" s="408"/>
      <c r="O352" s="408"/>
      <c r="P352" s="408"/>
      <c r="Q352" s="408"/>
      <c r="R352" s="408"/>
      <c r="S352" s="408"/>
      <c r="T352" s="408"/>
      <c r="U352" s="408"/>
      <c r="V352" s="408"/>
      <c r="W352" s="408"/>
      <c r="X352" s="408"/>
      <c r="Y352" s="408"/>
      <c r="Z352" s="408"/>
    </row>
    <row r="353" ht="14.25" customHeight="1">
      <c r="A353" s="408"/>
      <c r="B353" s="408"/>
      <c r="C353" s="552"/>
      <c r="D353" s="408"/>
      <c r="E353" s="408"/>
      <c r="F353" s="408"/>
      <c r="G353" s="408"/>
      <c r="H353" s="408"/>
      <c r="I353" s="408"/>
      <c r="J353" s="408"/>
      <c r="K353" s="408"/>
      <c r="L353" s="408"/>
      <c r="M353" s="408"/>
      <c r="N353" s="408"/>
      <c r="O353" s="408"/>
      <c r="P353" s="408"/>
      <c r="Q353" s="408"/>
      <c r="R353" s="408"/>
      <c r="S353" s="408"/>
      <c r="T353" s="408"/>
      <c r="U353" s="408"/>
      <c r="V353" s="408"/>
      <c r="W353" s="408"/>
      <c r="X353" s="408"/>
      <c r="Y353" s="408"/>
      <c r="Z353" s="408"/>
    </row>
    <row r="354" ht="14.25" customHeight="1">
      <c r="A354" s="408"/>
      <c r="B354" s="408"/>
      <c r="C354" s="552"/>
      <c r="D354" s="408"/>
      <c r="E354" s="408"/>
      <c r="F354" s="408"/>
      <c r="G354" s="408"/>
      <c r="H354" s="408"/>
      <c r="I354" s="408"/>
      <c r="J354" s="408"/>
      <c r="K354" s="408"/>
      <c r="L354" s="408"/>
      <c r="M354" s="408"/>
      <c r="N354" s="408"/>
      <c r="O354" s="408"/>
      <c r="P354" s="408"/>
      <c r="Q354" s="408"/>
      <c r="R354" s="408"/>
      <c r="S354" s="408"/>
      <c r="T354" s="408"/>
      <c r="U354" s="408"/>
      <c r="V354" s="408"/>
      <c r="W354" s="408"/>
      <c r="X354" s="408"/>
      <c r="Y354" s="408"/>
      <c r="Z354" s="408"/>
    </row>
    <row r="355" ht="14.25" customHeight="1">
      <c r="A355" s="408"/>
      <c r="B355" s="408"/>
      <c r="C355" s="552"/>
      <c r="D355" s="408"/>
      <c r="E355" s="408"/>
      <c r="F355" s="408"/>
      <c r="G355" s="408"/>
      <c r="H355" s="408"/>
      <c r="I355" s="408"/>
      <c r="J355" s="408"/>
      <c r="K355" s="408"/>
      <c r="L355" s="408"/>
      <c r="M355" s="408"/>
      <c r="N355" s="408"/>
      <c r="O355" s="408"/>
      <c r="P355" s="408"/>
      <c r="Q355" s="408"/>
      <c r="R355" s="408"/>
      <c r="S355" s="408"/>
      <c r="T355" s="408"/>
      <c r="U355" s="408"/>
      <c r="V355" s="408"/>
      <c r="W355" s="408"/>
      <c r="X355" s="408"/>
      <c r="Y355" s="408"/>
      <c r="Z355" s="408"/>
    </row>
    <row r="356" ht="14.25" customHeight="1">
      <c r="A356" s="408"/>
      <c r="B356" s="408"/>
      <c r="C356" s="552"/>
      <c r="D356" s="408"/>
      <c r="E356" s="408"/>
      <c r="F356" s="408"/>
      <c r="G356" s="408"/>
      <c r="H356" s="408"/>
      <c r="I356" s="408"/>
      <c r="J356" s="408"/>
      <c r="K356" s="408"/>
      <c r="L356" s="408"/>
      <c r="M356" s="408"/>
      <c r="N356" s="408"/>
      <c r="O356" s="408"/>
      <c r="P356" s="408"/>
      <c r="Q356" s="408"/>
      <c r="R356" s="408"/>
      <c r="S356" s="408"/>
      <c r="T356" s="408"/>
      <c r="U356" s="408"/>
      <c r="V356" s="408"/>
      <c r="W356" s="408"/>
      <c r="X356" s="408"/>
      <c r="Y356" s="408"/>
      <c r="Z356" s="408"/>
    </row>
    <row r="357" ht="14.25" customHeight="1">
      <c r="A357" s="408"/>
      <c r="B357" s="408"/>
      <c r="C357" s="552"/>
      <c r="D357" s="408"/>
      <c r="E357" s="408"/>
      <c r="F357" s="408"/>
      <c r="G357" s="408"/>
      <c r="H357" s="408"/>
      <c r="I357" s="408"/>
      <c r="J357" s="408"/>
      <c r="K357" s="408"/>
      <c r="L357" s="408"/>
      <c r="M357" s="408"/>
      <c r="N357" s="408"/>
      <c r="O357" s="408"/>
      <c r="P357" s="408"/>
      <c r="Q357" s="408"/>
      <c r="R357" s="408"/>
      <c r="S357" s="408"/>
      <c r="T357" s="408"/>
      <c r="U357" s="408"/>
      <c r="V357" s="408"/>
      <c r="W357" s="408"/>
      <c r="X357" s="408"/>
      <c r="Y357" s="408"/>
      <c r="Z357" s="408"/>
    </row>
    <row r="358" ht="14.25" customHeight="1">
      <c r="A358" s="408"/>
      <c r="B358" s="408"/>
      <c r="C358" s="552"/>
      <c r="D358" s="408"/>
      <c r="E358" s="408"/>
      <c r="F358" s="408"/>
      <c r="G358" s="408"/>
      <c r="H358" s="408"/>
      <c r="I358" s="408"/>
      <c r="J358" s="408"/>
      <c r="K358" s="408"/>
      <c r="L358" s="408"/>
      <c r="M358" s="408"/>
      <c r="N358" s="408"/>
      <c r="O358" s="408"/>
      <c r="P358" s="408"/>
      <c r="Q358" s="408"/>
      <c r="R358" s="408"/>
      <c r="S358" s="408"/>
      <c r="T358" s="408"/>
      <c r="U358" s="408"/>
      <c r="V358" s="408"/>
      <c r="W358" s="408"/>
      <c r="X358" s="408"/>
      <c r="Y358" s="408"/>
      <c r="Z358" s="408"/>
    </row>
    <row r="359" ht="14.25" customHeight="1">
      <c r="A359" s="408"/>
      <c r="B359" s="408"/>
      <c r="C359" s="552"/>
      <c r="D359" s="408"/>
      <c r="E359" s="408"/>
      <c r="F359" s="408"/>
      <c r="G359" s="408"/>
      <c r="H359" s="408"/>
      <c r="I359" s="408"/>
      <c r="J359" s="408"/>
      <c r="K359" s="408"/>
      <c r="L359" s="408"/>
      <c r="M359" s="408"/>
      <c r="N359" s="408"/>
      <c r="O359" s="408"/>
      <c r="P359" s="408"/>
      <c r="Q359" s="408"/>
      <c r="R359" s="408"/>
      <c r="S359" s="408"/>
      <c r="T359" s="408"/>
      <c r="U359" s="408"/>
      <c r="V359" s="408"/>
      <c r="W359" s="408"/>
      <c r="X359" s="408"/>
      <c r="Y359" s="408"/>
      <c r="Z359" s="408"/>
    </row>
    <row r="360" ht="14.25" customHeight="1">
      <c r="A360" s="408"/>
      <c r="B360" s="408"/>
      <c r="C360" s="552"/>
      <c r="D360" s="408"/>
      <c r="E360" s="408"/>
      <c r="F360" s="408"/>
      <c r="G360" s="408"/>
      <c r="H360" s="408"/>
      <c r="I360" s="408"/>
      <c r="J360" s="408"/>
      <c r="K360" s="408"/>
      <c r="L360" s="408"/>
      <c r="M360" s="408"/>
      <c r="N360" s="408"/>
      <c r="O360" s="408"/>
      <c r="P360" s="408"/>
      <c r="Q360" s="408"/>
      <c r="R360" s="408"/>
      <c r="S360" s="408"/>
      <c r="T360" s="408"/>
      <c r="U360" s="408"/>
      <c r="V360" s="408"/>
      <c r="W360" s="408"/>
      <c r="X360" s="408"/>
      <c r="Y360" s="408"/>
      <c r="Z360" s="408"/>
    </row>
    <row r="361" ht="14.25" customHeight="1">
      <c r="A361" s="408"/>
      <c r="B361" s="408"/>
      <c r="C361" s="552"/>
      <c r="D361" s="408"/>
      <c r="E361" s="408"/>
      <c r="F361" s="408"/>
      <c r="G361" s="408"/>
      <c r="H361" s="408"/>
      <c r="I361" s="408"/>
      <c r="J361" s="408"/>
      <c r="K361" s="408"/>
      <c r="L361" s="408"/>
      <c r="M361" s="408"/>
      <c r="N361" s="408"/>
      <c r="O361" s="408"/>
      <c r="P361" s="408"/>
      <c r="Q361" s="408"/>
      <c r="R361" s="408"/>
      <c r="S361" s="408"/>
      <c r="T361" s="408"/>
      <c r="U361" s="408"/>
      <c r="V361" s="408"/>
      <c r="W361" s="408"/>
      <c r="X361" s="408"/>
      <c r="Y361" s="408"/>
      <c r="Z361" s="408"/>
    </row>
    <row r="362" ht="14.25" customHeight="1">
      <c r="A362" s="408"/>
      <c r="B362" s="408"/>
      <c r="C362" s="552"/>
      <c r="D362" s="408"/>
      <c r="E362" s="408"/>
      <c r="F362" s="408"/>
      <c r="G362" s="408"/>
      <c r="H362" s="408"/>
      <c r="I362" s="408"/>
      <c r="J362" s="408"/>
      <c r="K362" s="408"/>
      <c r="L362" s="408"/>
      <c r="M362" s="408"/>
      <c r="N362" s="408"/>
      <c r="O362" s="408"/>
      <c r="P362" s="408"/>
      <c r="Q362" s="408"/>
      <c r="R362" s="408"/>
      <c r="S362" s="408"/>
      <c r="T362" s="408"/>
      <c r="U362" s="408"/>
      <c r="V362" s="408"/>
      <c r="W362" s="408"/>
      <c r="X362" s="408"/>
      <c r="Y362" s="408"/>
      <c r="Z362" s="408"/>
    </row>
    <row r="363" ht="14.25" customHeight="1">
      <c r="A363" s="408"/>
      <c r="B363" s="408"/>
      <c r="C363" s="552"/>
      <c r="D363" s="408"/>
      <c r="E363" s="408"/>
      <c r="F363" s="408"/>
      <c r="G363" s="408"/>
      <c r="H363" s="408"/>
      <c r="I363" s="408"/>
      <c r="J363" s="408"/>
      <c r="K363" s="408"/>
      <c r="L363" s="408"/>
      <c r="M363" s="408"/>
      <c r="N363" s="408"/>
      <c r="O363" s="408"/>
      <c r="P363" s="408"/>
      <c r="Q363" s="408"/>
      <c r="R363" s="408"/>
      <c r="S363" s="408"/>
      <c r="T363" s="408"/>
      <c r="U363" s="408"/>
      <c r="V363" s="408"/>
      <c r="W363" s="408"/>
      <c r="X363" s="408"/>
      <c r="Y363" s="408"/>
      <c r="Z363" s="408"/>
    </row>
    <row r="364" ht="14.25" customHeight="1">
      <c r="A364" s="408"/>
      <c r="B364" s="408"/>
      <c r="C364" s="552"/>
      <c r="D364" s="408"/>
      <c r="E364" s="408"/>
      <c r="F364" s="408"/>
      <c r="G364" s="408"/>
      <c r="H364" s="408"/>
      <c r="I364" s="408"/>
      <c r="J364" s="408"/>
      <c r="K364" s="408"/>
      <c r="L364" s="408"/>
      <c r="M364" s="408"/>
      <c r="N364" s="408"/>
      <c r="O364" s="408"/>
      <c r="P364" s="408"/>
      <c r="Q364" s="408"/>
      <c r="R364" s="408"/>
      <c r="S364" s="408"/>
      <c r="T364" s="408"/>
      <c r="U364" s="408"/>
      <c r="V364" s="408"/>
      <c r="W364" s="408"/>
      <c r="X364" s="408"/>
      <c r="Y364" s="408"/>
      <c r="Z364" s="408"/>
    </row>
    <row r="365" ht="14.25" customHeight="1">
      <c r="A365" s="408"/>
      <c r="B365" s="408"/>
      <c r="C365" s="552"/>
      <c r="D365" s="408"/>
      <c r="E365" s="408"/>
      <c r="F365" s="408"/>
      <c r="G365" s="408"/>
      <c r="H365" s="408"/>
      <c r="I365" s="408"/>
      <c r="J365" s="408"/>
      <c r="K365" s="408"/>
      <c r="L365" s="408"/>
      <c r="M365" s="408"/>
      <c r="N365" s="408"/>
      <c r="O365" s="408"/>
      <c r="P365" s="408"/>
      <c r="Q365" s="408"/>
      <c r="R365" s="408"/>
      <c r="S365" s="408"/>
      <c r="T365" s="408"/>
      <c r="U365" s="408"/>
      <c r="V365" s="408"/>
      <c r="W365" s="408"/>
      <c r="X365" s="408"/>
      <c r="Y365" s="408"/>
      <c r="Z365" s="408"/>
    </row>
    <row r="366" ht="14.25" customHeight="1">
      <c r="A366" s="408"/>
      <c r="B366" s="408"/>
      <c r="C366" s="552"/>
      <c r="D366" s="408"/>
      <c r="E366" s="408"/>
      <c r="F366" s="408"/>
      <c r="G366" s="408"/>
      <c r="H366" s="408"/>
      <c r="I366" s="408"/>
      <c r="J366" s="408"/>
      <c r="K366" s="408"/>
      <c r="L366" s="408"/>
      <c r="M366" s="408"/>
      <c r="N366" s="408"/>
      <c r="O366" s="408"/>
      <c r="P366" s="408"/>
      <c r="Q366" s="408"/>
      <c r="R366" s="408"/>
      <c r="S366" s="408"/>
      <c r="T366" s="408"/>
      <c r="U366" s="408"/>
      <c r="V366" s="408"/>
      <c r="W366" s="408"/>
      <c r="X366" s="408"/>
      <c r="Y366" s="408"/>
      <c r="Z366" s="408"/>
    </row>
    <row r="367" ht="14.25" customHeight="1">
      <c r="A367" s="408"/>
      <c r="B367" s="408"/>
      <c r="C367" s="552"/>
      <c r="D367" s="408"/>
      <c r="E367" s="408"/>
      <c r="F367" s="408"/>
      <c r="G367" s="408"/>
      <c r="H367" s="408"/>
      <c r="I367" s="408"/>
      <c r="J367" s="408"/>
      <c r="K367" s="408"/>
      <c r="L367" s="408"/>
      <c r="M367" s="408"/>
      <c r="N367" s="408"/>
      <c r="O367" s="408"/>
      <c r="P367" s="408"/>
      <c r="Q367" s="408"/>
      <c r="R367" s="408"/>
      <c r="S367" s="408"/>
      <c r="T367" s="408"/>
      <c r="U367" s="408"/>
      <c r="V367" s="408"/>
      <c r="W367" s="408"/>
      <c r="X367" s="408"/>
      <c r="Y367" s="408"/>
      <c r="Z367" s="408"/>
    </row>
    <row r="368" ht="14.25" customHeight="1">
      <c r="A368" s="408"/>
      <c r="B368" s="408"/>
      <c r="C368" s="552"/>
      <c r="D368" s="408"/>
      <c r="E368" s="408"/>
      <c r="F368" s="408"/>
      <c r="G368" s="408"/>
      <c r="H368" s="408"/>
      <c r="I368" s="408"/>
      <c r="J368" s="408"/>
      <c r="K368" s="408"/>
      <c r="L368" s="408"/>
      <c r="M368" s="408"/>
      <c r="N368" s="408"/>
      <c r="O368" s="408"/>
      <c r="P368" s="408"/>
      <c r="Q368" s="408"/>
      <c r="R368" s="408"/>
      <c r="S368" s="408"/>
      <c r="T368" s="408"/>
      <c r="U368" s="408"/>
      <c r="V368" s="408"/>
      <c r="W368" s="408"/>
      <c r="X368" s="408"/>
      <c r="Y368" s="408"/>
      <c r="Z368" s="408"/>
    </row>
    <row r="369" ht="14.25" customHeight="1">
      <c r="A369" s="408"/>
      <c r="B369" s="408"/>
      <c r="C369" s="552"/>
      <c r="D369" s="408"/>
      <c r="E369" s="408"/>
      <c r="F369" s="408"/>
      <c r="G369" s="408"/>
      <c r="H369" s="408"/>
      <c r="I369" s="408"/>
      <c r="J369" s="408"/>
      <c r="K369" s="408"/>
      <c r="L369" s="408"/>
      <c r="M369" s="408"/>
      <c r="N369" s="408"/>
      <c r="O369" s="408"/>
      <c r="P369" s="408"/>
      <c r="Q369" s="408"/>
      <c r="R369" s="408"/>
      <c r="S369" s="408"/>
      <c r="T369" s="408"/>
      <c r="U369" s="408"/>
      <c r="V369" s="408"/>
      <c r="W369" s="408"/>
      <c r="X369" s="408"/>
      <c r="Y369" s="408"/>
      <c r="Z369" s="408"/>
    </row>
    <row r="370" ht="14.25" customHeight="1">
      <c r="A370" s="408"/>
      <c r="B370" s="408"/>
      <c r="C370" s="552"/>
      <c r="D370" s="408"/>
      <c r="E370" s="408"/>
      <c r="F370" s="408"/>
      <c r="G370" s="408"/>
      <c r="H370" s="408"/>
      <c r="I370" s="408"/>
      <c r="J370" s="408"/>
      <c r="K370" s="408"/>
      <c r="L370" s="408"/>
      <c r="M370" s="408"/>
      <c r="N370" s="408"/>
      <c r="O370" s="408"/>
      <c r="P370" s="408"/>
      <c r="Q370" s="408"/>
      <c r="R370" s="408"/>
      <c r="S370" s="408"/>
      <c r="T370" s="408"/>
      <c r="U370" s="408"/>
      <c r="V370" s="408"/>
      <c r="W370" s="408"/>
      <c r="X370" s="408"/>
      <c r="Y370" s="408"/>
      <c r="Z370" s="408"/>
    </row>
    <row r="371" ht="14.25" customHeight="1">
      <c r="A371" s="408"/>
      <c r="B371" s="408"/>
      <c r="C371" s="552"/>
      <c r="D371" s="408"/>
      <c r="E371" s="408"/>
      <c r="F371" s="408"/>
      <c r="G371" s="408"/>
      <c r="H371" s="408"/>
      <c r="I371" s="408"/>
      <c r="J371" s="408"/>
      <c r="K371" s="408"/>
      <c r="L371" s="408"/>
      <c r="M371" s="408"/>
      <c r="N371" s="408"/>
      <c r="O371" s="408"/>
      <c r="P371" s="408"/>
      <c r="Q371" s="408"/>
      <c r="R371" s="408"/>
      <c r="S371" s="408"/>
      <c r="T371" s="408"/>
      <c r="U371" s="408"/>
      <c r="V371" s="408"/>
      <c r="W371" s="408"/>
      <c r="X371" s="408"/>
      <c r="Y371" s="408"/>
      <c r="Z371" s="408"/>
    </row>
    <row r="372" ht="14.25" customHeight="1">
      <c r="A372" s="408"/>
      <c r="B372" s="408"/>
      <c r="C372" s="552"/>
      <c r="D372" s="408"/>
      <c r="E372" s="408"/>
      <c r="F372" s="408"/>
      <c r="G372" s="408"/>
      <c r="H372" s="408"/>
      <c r="I372" s="408"/>
      <c r="J372" s="408"/>
      <c r="K372" s="408"/>
      <c r="L372" s="408"/>
      <c r="M372" s="408"/>
      <c r="N372" s="408"/>
      <c r="O372" s="408"/>
      <c r="P372" s="408"/>
      <c r="Q372" s="408"/>
      <c r="R372" s="408"/>
      <c r="S372" s="408"/>
      <c r="T372" s="408"/>
      <c r="U372" s="408"/>
      <c r="V372" s="408"/>
      <c r="W372" s="408"/>
      <c r="X372" s="408"/>
      <c r="Y372" s="408"/>
      <c r="Z372" s="408"/>
    </row>
    <row r="373" ht="14.25" customHeight="1">
      <c r="A373" s="408"/>
      <c r="B373" s="408"/>
      <c r="C373" s="552"/>
      <c r="D373" s="408"/>
      <c r="E373" s="408"/>
      <c r="F373" s="408"/>
      <c r="G373" s="408"/>
      <c r="H373" s="408"/>
      <c r="I373" s="408"/>
      <c r="J373" s="408"/>
      <c r="K373" s="408"/>
      <c r="L373" s="408"/>
      <c r="M373" s="408"/>
      <c r="N373" s="408"/>
      <c r="O373" s="408"/>
      <c r="P373" s="408"/>
      <c r="Q373" s="408"/>
      <c r="R373" s="408"/>
      <c r="S373" s="408"/>
      <c r="T373" s="408"/>
      <c r="U373" s="408"/>
      <c r="V373" s="408"/>
      <c r="W373" s="408"/>
      <c r="X373" s="408"/>
      <c r="Y373" s="408"/>
      <c r="Z373" s="408"/>
    </row>
    <row r="374" ht="14.25" customHeight="1">
      <c r="A374" s="408"/>
      <c r="B374" s="408"/>
      <c r="C374" s="552"/>
      <c r="D374" s="408"/>
      <c r="E374" s="408"/>
      <c r="F374" s="408"/>
      <c r="G374" s="408"/>
      <c r="H374" s="408"/>
      <c r="I374" s="408"/>
      <c r="J374" s="408"/>
      <c r="K374" s="408"/>
      <c r="L374" s="408"/>
      <c r="M374" s="408"/>
      <c r="N374" s="408"/>
      <c r="O374" s="408"/>
      <c r="P374" s="408"/>
      <c r="Q374" s="408"/>
      <c r="R374" s="408"/>
      <c r="S374" s="408"/>
      <c r="T374" s="408"/>
      <c r="U374" s="408"/>
      <c r="V374" s="408"/>
      <c r="W374" s="408"/>
      <c r="X374" s="408"/>
      <c r="Y374" s="408"/>
      <c r="Z374" s="408"/>
    </row>
    <row r="375" ht="14.25" customHeight="1">
      <c r="A375" s="408"/>
      <c r="B375" s="408"/>
      <c r="C375" s="552"/>
      <c r="D375" s="408"/>
      <c r="E375" s="408"/>
      <c r="F375" s="408"/>
      <c r="G375" s="408"/>
      <c r="H375" s="408"/>
      <c r="I375" s="408"/>
      <c r="J375" s="408"/>
      <c r="K375" s="408"/>
      <c r="L375" s="408"/>
      <c r="M375" s="408"/>
      <c r="N375" s="408"/>
      <c r="O375" s="408"/>
      <c r="P375" s="408"/>
      <c r="Q375" s="408"/>
      <c r="R375" s="408"/>
      <c r="S375" s="408"/>
      <c r="T375" s="408"/>
      <c r="U375" s="408"/>
      <c r="V375" s="408"/>
      <c r="W375" s="408"/>
      <c r="X375" s="408"/>
      <c r="Y375" s="408"/>
      <c r="Z375" s="408"/>
    </row>
    <row r="376" ht="14.25" customHeight="1">
      <c r="A376" s="408"/>
      <c r="B376" s="408"/>
      <c r="C376" s="552"/>
      <c r="D376" s="408"/>
      <c r="E376" s="408"/>
      <c r="F376" s="408"/>
      <c r="G376" s="408"/>
      <c r="H376" s="408"/>
      <c r="I376" s="408"/>
      <c r="J376" s="408"/>
      <c r="K376" s="408"/>
      <c r="L376" s="408"/>
      <c r="M376" s="408"/>
      <c r="N376" s="408"/>
      <c r="O376" s="408"/>
      <c r="P376" s="408"/>
      <c r="Q376" s="408"/>
      <c r="R376" s="408"/>
      <c r="S376" s="408"/>
      <c r="T376" s="408"/>
      <c r="U376" s="408"/>
      <c r="V376" s="408"/>
      <c r="W376" s="408"/>
      <c r="X376" s="408"/>
      <c r="Y376" s="408"/>
      <c r="Z376" s="408"/>
    </row>
    <row r="377" ht="14.25" customHeight="1">
      <c r="A377" s="408"/>
      <c r="B377" s="408"/>
      <c r="C377" s="552"/>
      <c r="D377" s="408"/>
      <c r="E377" s="408"/>
      <c r="F377" s="408"/>
      <c r="G377" s="408"/>
      <c r="H377" s="408"/>
      <c r="I377" s="408"/>
      <c r="J377" s="408"/>
      <c r="K377" s="408"/>
      <c r="L377" s="408"/>
      <c r="M377" s="408"/>
      <c r="N377" s="408"/>
      <c r="O377" s="408"/>
      <c r="P377" s="408"/>
      <c r="Q377" s="408"/>
      <c r="R377" s="408"/>
      <c r="S377" s="408"/>
      <c r="T377" s="408"/>
      <c r="U377" s="408"/>
      <c r="V377" s="408"/>
      <c r="W377" s="408"/>
      <c r="X377" s="408"/>
      <c r="Y377" s="408"/>
      <c r="Z377" s="408"/>
    </row>
    <row r="378" ht="14.25" customHeight="1">
      <c r="A378" s="408"/>
      <c r="B378" s="408"/>
      <c r="C378" s="552"/>
      <c r="D378" s="408"/>
      <c r="E378" s="408"/>
      <c r="F378" s="408"/>
      <c r="G378" s="408"/>
      <c r="H378" s="408"/>
      <c r="I378" s="408"/>
      <c r="J378" s="408"/>
      <c r="K378" s="408"/>
      <c r="L378" s="408"/>
      <c r="M378" s="408"/>
      <c r="N378" s="408"/>
      <c r="O378" s="408"/>
      <c r="P378" s="408"/>
      <c r="Q378" s="408"/>
      <c r="R378" s="408"/>
      <c r="S378" s="408"/>
      <c r="T378" s="408"/>
      <c r="U378" s="408"/>
      <c r="V378" s="408"/>
      <c r="W378" s="408"/>
      <c r="X378" s="408"/>
      <c r="Y378" s="408"/>
      <c r="Z378" s="408"/>
    </row>
    <row r="379" ht="14.25" customHeight="1">
      <c r="A379" s="408"/>
      <c r="B379" s="408"/>
      <c r="C379" s="552"/>
      <c r="D379" s="408"/>
      <c r="E379" s="408"/>
      <c r="F379" s="408"/>
      <c r="G379" s="408"/>
      <c r="H379" s="408"/>
      <c r="I379" s="408"/>
      <c r="J379" s="408"/>
      <c r="K379" s="408"/>
      <c r="L379" s="408"/>
      <c r="M379" s="408"/>
      <c r="N379" s="408"/>
      <c r="O379" s="408"/>
      <c r="P379" s="408"/>
      <c r="Q379" s="408"/>
      <c r="R379" s="408"/>
      <c r="S379" s="408"/>
      <c r="T379" s="408"/>
      <c r="U379" s="408"/>
      <c r="V379" s="408"/>
      <c r="W379" s="408"/>
      <c r="X379" s="408"/>
      <c r="Y379" s="408"/>
      <c r="Z379" s="408"/>
    </row>
    <row r="380" ht="14.25" customHeight="1">
      <c r="A380" s="408"/>
      <c r="B380" s="408"/>
      <c r="C380" s="552"/>
      <c r="D380" s="408"/>
      <c r="E380" s="408"/>
      <c r="F380" s="408"/>
      <c r="G380" s="408"/>
      <c r="H380" s="408"/>
      <c r="I380" s="408"/>
      <c r="J380" s="408"/>
      <c r="K380" s="408"/>
      <c r="L380" s="408"/>
      <c r="M380" s="408"/>
      <c r="N380" s="408"/>
      <c r="O380" s="408"/>
      <c r="P380" s="408"/>
      <c r="Q380" s="408"/>
      <c r="R380" s="408"/>
      <c r="S380" s="408"/>
      <c r="T380" s="408"/>
      <c r="U380" s="408"/>
      <c r="V380" s="408"/>
      <c r="W380" s="408"/>
      <c r="X380" s="408"/>
      <c r="Y380" s="408"/>
      <c r="Z380" s="408"/>
    </row>
    <row r="381" ht="14.25" customHeight="1">
      <c r="A381" s="408"/>
      <c r="B381" s="408"/>
      <c r="C381" s="552"/>
      <c r="D381" s="408"/>
      <c r="E381" s="408"/>
      <c r="F381" s="408"/>
      <c r="G381" s="408"/>
      <c r="H381" s="408"/>
      <c r="I381" s="408"/>
      <c r="J381" s="408"/>
      <c r="K381" s="408"/>
      <c r="L381" s="408"/>
      <c r="M381" s="408"/>
      <c r="N381" s="408"/>
      <c r="O381" s="408"/>
      <c r="P381" s="408"/>
      <c r="Q381" s="408"/>
      <c r="R381" s="408"/>
      <c r="S381" s="408"/>
      <c r="T381" s="408"/>
      <c r="U381" s="408"/>
      <c r="V381" s="408"/>
      <c r="W381" s="408"/>
      <c r="X381" s="408"/>
      <c r="Y381" s="408"/>
      <c r="Z381" s="408"/>
    </row>
    <row r="382" ht="14.25" customHeight="1">
      <c r="A382" s="408"/>
      <c r="B382" s="408"/>
      <c r="C382" s="552"/>
      <c r="D382" s="408"/>
      <c r="E382" s="408"/>
      <c r="F382" s="408"/>
      <c r="G382" s="408"/>
      <c r="H382" s="408"/>
      <c r="I382" s="408"/>
      <c r="J382" s="408"/>
      <c r="K382" s="408"/>
      <c r="L382" s="408"/>
      <c r="M382" s="408"/>
      <c r="N382" s="408"/>
      <c r="O382" s="408"/>
      <c r="P382" s="408"/>
      <c r="Q382" s="408"/>
      <c r="R382" s="408"/>
      <c r="S382" s="408"/>
      <c r="T382" s="408"/>
      <c r="U382" s="408"/>
      <c r="V382" s="408"/>
      <c r="W382" s="408"/>
      <c r="X382" s="408"/>
      <c r="Y382" s="408"/>
      <c r="Z382" s="408"/>
    </row>
    <row r="383" ht="14.25" customHeight="1">
      <c r="A383" s="408"/>
      <c r="B383" s="408"/>
      <c r="C383" s="552"/>
      <c r="D383" s="408"/>
      <c r="E383" s="408"/>
      <c r="F383" s="408"/>
      <c r="G383" s="408"/>
      <c r="H383" s="408"/>
      <c r="I383" s="408"/>
      <c r="J383" s="408"/>
      <c r="K383" s="408"/>
      <c r="L383" s="408"/>
      <c r="M383" s="408"/>
      <c r="N383" s="408"/>
      <c r="O383" s="408"/>
      <c r="P383" s="408"/>
      <c r="Q383" s="408"/>
      <c r="R383" s="408"/>
      <c r="S383" s="408"/>
      <c r="T383" s="408"/>
      <c r="U383" s="408"/>
      <c r="V383" s="408"/>
      <c r="W383" s="408"/>
      <c r="X383" s="408"/>
      <c r="Y383" s="408"/>
      <c r="Z383" s="408"/>
    </row>
    <row r="384" ht="14.25" customHeight="1">
      <c r="A384" s="408"/>
      <c r="B384" s="408"/>
      <c r="C384" s="552"/>
      <c r="D384" s="408"/>
      <c r="E384" s="408"/>
      <c r="F384" s="408"/>
      <c r="G384" s="408"/>
      <c r="H384" s="408"/>
      <c r="I384" s="408"/>
      <c r="J384" s="408"/>
      <c r="K384" s="408"/>
      <c r="L384" s="408"/>
      <c r="M384" s="408"/>
      <c r="N384" s="408"/>
      <c r="O384" s="408"/>
      <c r="P384" s="408"/>
      <c r="Q384" s="408"/>
      <c r="R384" s="408"/>
      <c r="S384" s="408"/>
      <c r="T384" s="408"/>
      <c r="U384" s="408"/>
      <c r="V384" s="408"/>
      <c r="W384" s="408"/>
      <c r="X384" s="408"/>
      <c r="Y384" s="408"/>
      <c r="Z384" s="408"/>
    </row>
    <row r="385" ht="14.25" customHeight="1">
      <c r="A385" s="408"/>
      <c r="B385" s="408"/>
      <c r="C385" s="552"/>
      <c r="D385" s="408"/>
      <c r="E385" s="408"/>
      <c r="F385" s="408"/>
      <c r="G385" s="408"/>
      <c r="H385" s="408"/>
      <c r="I385" s="408"/>
      <c r="J385" s="408"/>
      <c r="K385" s="408"/>
      <c r="L385" s="408"/>
      <c r="M385" s="408"/>
      <c r="N385" s="408"/>
      <c r="O385" s="408"/>
      <c r="P385" s="408"/>
      <c r="Q385" s="408"/>
      <c r="R385" s="408"/>
      <c r="S385" s="408"/>
      <c r="T385" s="408"/>
      <c r="U385" s="408"/>
      <c r="V385" s="408"/>
      <c r="W385" s="408"/>
      <c r="X385" s="408"/>
      <c r="Y385" s="408"/>
      <c r="Z385" s="408"/>
    </row>
    <row r="386" ht="14.25" customHeight="1">
      <c r="A386" s="408"/>
      <c r="B386" s="408"/>
      <c r="C386" s="552"/>
      <c r="D386" s="408"/>
      <c r="E386" s="408"/>
      <c r="F386" s="408"/>
      <c r="G386" s="408"/>
      <c r="H386" s="408"/>
      <c r="I386" s="408"/>
      <c r="J386" s="408"/>
      <c r="K386" s="408"/>
      <c r="L386" s="408"/>
      <c r="M386" s="408"/>
      <c r="N386" s="408"/>
      <c r="O386" s="408"/>
      <c r="P386" s="408"/>
      <c r="Q386" s="408"/>
      <c r="R386" s="408"/>
      <c r="S386" s="408"/>
      <c r="T386" s="408"/>
      <c r="U386" s="408"/>
      <c r="V386" s="408"/>
      <c r="W386" s="408"/>
      <c r="X386" s="408"/>
      <c r="Y386" s="408"/>
      <c r="Z386" s="408"/>
    </row>
    <row r="387" ht="14.25" customHeight="1">
      <c r="A387" s="408"/>
      <c r="B387" s="408"/>
      <c r="C387" s="552"/>
      <c r="D387" s="408"/>
      <c r="E387" s="408"/>
      <c r="F387" s="408"/>
      <c r="G387" s="408"/>
      <c r="H387" s="408"/>
      <c r="I387" s="408"/>
      <c r="J387" s="408"/>
      <c r="K387" s="408"/>
      <c r="L387" s="408"/>
      <c r="M387" s="408"/>
      <c r="N387" s="408"/>
      <c r="O387" s="408"/>
      <c r="P387" s="408"/>
      <c r="Q387" s="408"/>
      <c r="R387" s="408"/>
      <c r="S387" s="408"/>
      <c r="T387" s="408"/>
      <c r="U387" s="408"/>
      <c r="V387" s="408"/>
      <c r="W387" s="408"/>
      <c r="X387" s="408"/>
      <c r="Y387" s="408"/>
      <c r="Z387" s="408"/>
    </row>
    <row r="388" ht="14.25" customHeight="1">
      <c r="A388" s="408"/>
      <c r="B388" s="408"/>
      <c r="C388" s="552"/>
      <c r="D388" s="408"/>
      <c r="E388" s="408"/>
      <c r="F388" s="408"/>
      <c r="G388" s="408"/>
      <c r="H388" s="408"/>
      <c r="I388" s="408"/>
      <c r="J388" s="408"/>
      <c r="K388" s="408"/>
      <c r="L388" s="408"/>
      <c r="M388" s="408"/>
      <c r="N388" s="408"/>
      <c r="O388" s="408"/>
      <c r="P388" s="408"/>
      <c r="Q388" s="408"/>
      <c r="R388" s="408"/>
      <c r="S388" s="408"/>
      <c r="T388" s="408"/>
      <c r="U388" s="408"/>
      <c r="V388" s="408"/>
      <c r="W388" s="408"/>
      <c r="X388" s="408"/>
      <c r="Y388" s="408"/>
      <c r="Z388" s="408"/>
    </row>
    <row r="389" ht="14.25" customHeight="1">
      <c r="A389" s="408"/>
      <c r="B389" s="408"/>
      <c r="C389" s="552"/>
      <c r="D389" s="408"/>
      <c r="E389" s="408"/>
      <c r="F389" s="408"/>
      <c r="G389" s="408"/>
      <c r="H389" s="408"/>
      <c r="I389" s="408"/>
      <c r="J389" s="408"/>
      <c r="K389" s="408"/>
      <c r="L389" s="408"/>
      <c r="M389" s="408"/>
      <c r="N389" s="408"/>
      <c r="O389" s="408"/>
      <c r="P389" s="408"/>
      <c r="Q389" s="408"/>
      <c r="R389" s="408"/>
      <c r="S389" s="408"/>
      <c r="T389" s="408"/>
      <c r="U389" s="408"/>
      <c r="V389" s="408"/>
      <c r="W389" s="408"/>
      <c r="X389" s="408"/>
      <c r="Y389" s="408"/>
      <c r="Z389" s="408"/>
    </row>
    <row r="390" ht="14.25" customHeight="1">
      <c r="A390" s="408"/>
      <c r="B390" s="408"/>
      <c r="C390" s="552"/>
      <c r="D390" s="408"/>
      <c r="E390" s="408"/>
      <c r="F390" s="408"/>
      <c r="G390" s="408"/>
      <c r="H390" s="408"/>
      <c r="I390" s="408"/>
      <c r="J390" s="408"/>
      <c r="K390" s="408"/>
      <c r="L390" s="408"/>
      <c r="M390" s="408"/>
      <c r="N390" s="408"/>
      <c r="O390" s="408"/>
      <c r="P390" s="408"/>
      <c r="Q390" s="408"/>
      <c r="R390" s="408"/>
      <c r="S390" s="408"/>
      <c r="T390" s="408"/>
      <c r="U390" s="408"/>
      <c r="V390" s="408"/>
      <c r="W390" s="408"/>
      <c r="X390" s="408"/>
      <c r="Y390" s="408"/>
      <c r="Z390" s="408"/>
    </row>
    <row r="391" ht="14.25" customHeight="1">
      <c r="A391" s="408"/>
      <c r="B391" s="408"/>
      <c r="C391" s="552"/>
      <c r="D391" s="408"/>
      <c r="E391" s="408"/>
      <c r="F391" s="408"/>
      <c r="G391" s="408"/>
      <c r="H391" s="408"/>
      <c r="I391" s="408"/>
      <c r="J391" s="408"/>
      <c r="K391" s="408"/>
      <c r="L391" s="408"/>
      <c r="M391" s="408"/>
      <c r="N391" s="408"/>
      <c r="O391" s="408"/>
      <c r="P391" s="408"/>
      <c r="Q391" s="408"/>
      <c r="R391" s="408"/>
      <c r="S391" s="408"/>
      <c r="T391" s="408"/>
      <c r="U391" s="408"/>
      <c r="V391" s="408"/>
      <c r="W391" s="408"/>
      <c r="X391" s="408"/>
      <c r="Y391" s="408"/>
      <c r="Z391" s="408"/>
    </row>
    <row r="392" ht="14.25" customHeight="1">
      <c r="A392" s="408"/>
      <c r="B392" s="408"/>
      <c r="C392" s="552"/>
      <c r="D392" s="408"/>
      <c r="E392" s="408"/>
      <c r="F392" s="408"/>
      <c r="G392" s="408"/>
      <c r="H392" s="408"/>
      <c r="I392" s="408"/>
      <c r="J392" s="408"/>
      <c r="K392" s="408"/>
      <c r="L392" s="408"/>
      <c r="M392" s="408"/>
      <c r="N392" s="408"/>
      <c r="O392" s="408"/>
      <c r="P392" s="408"/>
      <c r="Q392" s="408"/>
      <c r="R392" s="408"/>
      <c r="S392" s="408"/>
      <c r="T392" s="408"/>
      <c r="U392" s="408"/>
      <c r="V392" s="408"/>
      <c r="W392" s="408"/>
      <c r="X392" s="408"/>
      <c r="Y392" s="408"/>
      <c r="Z392" s="408"/>
    </row>
    <row r="393" ht="14.25" customHeight="1">
      <c r="A393" s="408"/>
      <c r="B393" s="408"/>
      <c r="C393" s="552"/>
      <c r="D393" s="408"/>
      <c r="E393" s="408"/>
      <c r="F393" s="408"/>
      <c r="G393" s="408"/>
      <c r="H393" s="408"/>
      <c r="I393" s="408"/>
      <c r="J393" s="408"/>
      <c r="K393" s="408"/>
      <c r="L393" s="408"/>
      <c r="M393" s="408"/>
      <c r="N393" s="408"/>
      <c r="O393" s="408"/>
      <c r="P393" s="408"/>
      <c r="Q393" s="408"/>
      <c r="R393" s="408"/>
      <c r="S393" s="408"/>
      <c r="T393" s="408"/>
      <c r="U393" s="408"/>
      <c r="V393" s="408"/>
      <c r="W393" s="408"/>
      <c r="X393" s="408"/>
      <c r="Y393" s="408"/>
      <c r="Z393" s="408"/>
    </row>
    <row r="394" ht="14.25" customHeight="1">
      <c r="A394" s="408"/>
      <c r="B394" s="408"/>
      <c r="C394" s="552"/>
      <c r="D394" s="408"/>
      <c r="E394" s="408"/>
      <c r="F394" s="408"/>
      <c r="G394" s="408"/>
      <c r="H394" s="408"/>
      <c r="I394" s="408"/>
      <c r="J394" s="408"/>
      <c r="K394" s="408"/>
      <c r="L394" s="408"/>
      <c r="M394" s="408"/>
      <c r="N394" s="408"/>
      <c r="O394" s="408"/>
      <c r="P394" s="408"/>
      <c r="Q394" s="408"/>
      <c r="R394" s="408"/>
      <c r="S394" s="408"/>
      <c r="T394" s="408"/>
      <c r="U394" s="408"/>
      <c r="V394" s="408"/>
      <c r="W394" s="408"/>
      <c r="X394" s="408"/>
      <c r="Y394" s="408"/>
      <c r="Z394" s="408"/>
    </row>
    <row r="395" ht="14.25" customHeight="1">
      <c r="A395" s="408"/>
      <c r="B395" s="408"/>
      <c r="C395" s="552"/>
      <c r="D395" s="408"/>
      <c r="E395" s="408"/>
      <c r="F395" s="408"/>
      <c r="G395" s="408"/>
      <c r="H395" s="408"/>
      <c r="I395" s="408"/>
      <c r="J395" s="408"/>
      <c r="K395" s="408"/>
      <c r="L395" s="408"/>
      <c r="M395" s="408"/>
      <c r="N395" s="408"/>
      <c r="O395" s="408"/>
      <c r="P395" s="408"/>
      <c r="Q395" s="408"/>
      <c r="R395" s="408"/>
      <c r="S395" s="408"/>
      <c r="T395" s="408"/>
      <c r="U395" s="408"/>
      <c r="V395" s="408"/>
      <c r="W395" s="408"/>
      <c r="X395" s="408"/>
      <c r="Y395" s="408"/>
      <c r="Z395" s="408"/>
    </row>
    <row r="396" ht="14.25" customHeight="1">
      <c r="A396" s="408"/>
      <c r="B396" s="408"/>
      <c r="C396" s="552"/>
      <c r="D396" s="408"/>
      <c r="E396" s="408"/>
      <c r="F396" s="408"/>
      <c r="G396" s="408"/>
      <c r="H396" s="408"/>
      <c r="I396" s="408"/>
      <c r="J396" s="408"/>
      <c r="K396" s="408"/>
      <c r="L396" s="408"/>
      <c r="M396" s="408"/>
      <c r="N396" s="408"/>
      <c r="O396" s="408"/>
      <c r="P396" s="408"/>
      <c r="Q396" s="408"/>
      <c r="R396" s="408"/>
      <c r="S396" s="408"/>
      <c r="T396" s="408"/>
      <c r="U396" s="408"/>
      <c r="V396" s="408"/>
      <c r="W396" s="408"/>
      <c r="X396" s="408"/>
      <c r="Y396" s="408"/>
      <c r="Z396" s="408"/>
    </row>
    <row r="397" ht="14.25" customHeight="1">
      <c r="A397" s="408"/>
      <c r="B397" s="408"/>
      <c r="C397" s="552"/>
      <c r="D397" s="408"/>
      <c r="E397" s="408"/>
      <c r="F397" s="408"/>
      <c r="G397" s="408"/>
      <c r="H397" s="408"/>
      <c r="I397" s="408"/>
      <c r="J397" s="408"/>
      <c r="K397" s="408"/>
      <c r="L397" s="408"/>
      <c r="M397" s="408"/>
      <c r="N397" s="408"/>
      <c r="O397" s="408"/>
      <c r="P397" s="408"/>
      <c r="Q397" s="408"/>
      <c r="R397" s="408"/>
      <c r="S397" s="408"/>
      <c r="T397" s="408"/>
      <c r="U397" s="408"/>
      <c r="V397" s="408"/>
      <c r="W397" s="408"/>
      <c r="X397" s="408"/>
      <c r="Y397" s="408"/>
      <c r="Z397" s="408"/>
    </row>
    <row r="398" ht="14.25" customHeight="1">
      <c r="A398" s="408"/>
      <c r="B398" s="408"/>
      <c r="C398" s="552"/>
      <c r="D398" s="408"/>
      <c r="E398" s="408"/>
      <c r="F398" s="408"/>
      <c r="G398" s="408"/>
      <c r="H398" s="408"/>
      <c r="I398" s="408"/>
      <c r="J398" s="408"/>
      <c r="K398" s="408"/>
      <c r="L398" s="408"/>
      <c r="M398" s="408"/>
      <c r="N398" s="408"/>
      <c r="O398" s="408"/>
      <c r="P398" s="408"/>
      <c r="Q398" s="408"/>
      <c r="R398" s="408"/>
      <c r="S398" s="408"/>
      <c r="T398" s="408"/>
      <c r="U398" s="408"/>
      <c r="V398" s="408"/>
      <c r="W398" s="408"/>
      <c r="X398" s="408"/>
      <c r="Y398" s="408"/>
      <c r="Z398" s="408"/>
    </row>
    <row r="399" ht="14.25" customHeight="1">
      <c r="A399" s="408"/>
      <c r="B399" s="408"/>
      <c r="C399" s="552"/>
      <c r="D399" s="408"/>
      <c r="E399" s="408"/>
      <c r="F399" s="408"/>
      <c r="G399" s="408"/>
      <c r="H399" s="408"/>
      <c r="I399" s="408"/>
      <c r="J399" s="408"/>
      <c r="K399" s="408"/>
      <c r="L399" s="408"/>
      <c r="M399" s="408"/>
      <c r="N399" s="408"/>
      <c r="O399" s="408"/>
      <c r="P399" s="408"/>
      <c r="Q399" s="408"/>
      <c r="R399" s="408"/>
      <c r="S399" s="408"/>
      <c r="T399" s="408"/>
      <c r="U399" s="408"/>
      <c r="V399" s="408"/>
      <c r="W399" s="408"/>
      <c r="X399" s="408"/>
      <c r="Y399" s="408"/>
      <c r="Z399" s="408"/>
    </row>
    <row r="400" ht="14.25" customHeight="1">
      <c r="A400" s="408"/>
      <c r="B400" s="408"/>
      <c r="C400" s="552"/>
      <c r="D400" s="408"/>
      <c r="E400" s="408"/>
      <c r="F400" s="408"/>
      <c r="G400" s="408"/>
      <c r="H400" s="408"/>
      <c r="I400" s="408"/>
      <c r="J400" s="408"/>
      <c r="K400" s="408"/>
      <c r="L400" s="408"/>
      <c r="M400" s="408"/>
      <c r="N400" s="408"/>
      <c r="O400" s="408"/>
      <c r="P400" s="408"/>
      <c r="Q400" s="408"/>
      <c r="R400" s="408"/>
      <c r="S400" s="408"/>
      <c r="T400" s="408"/>
      <c r="U400" s="408"/>
      <c r="V400" s="408"/>
      <c r="W400" s="408"/>
      <c r="X400" s="408"/>
      <c r="Y400" s="408"/>
      <c r="Z400" s="408"/>
    </row>
    <row r="401" ht="14.25" customHeight="1">
      <c r="A401" s="408"/>
      <c r="B401" s="408"/>
      <c r="C401" s="552"/>
      <c r="D401" s="408"/>
      <c r="E401" s="408"/>
      <c r="F401" s="408"/>
      <c r="G401" s="408"/>
      <c r="H401" s="408"/>
      <c r="I401" s="408"/>
      <c r="J401" s="408"/>
      <c r="K401" s="408"/>
      <c r="L401" s="408"/>
      <c r="M401" s="408"/>
      <c r="N401" s="408"/>
      <c r="O401" s="408"/>
      <c r="P401" s="408"/>
      <c r="Q401" s="408"/>
      <c r="R401" s="408"/>
      <c r="S401" s="408"/>
      <c r="T401" s="408"/>
      <c r="U401" s="408"/>
      <c r="V401" s="408"/>
      <c r="W401" s="408"/>
      <c r="X401" s="408"/>
      <c r="Y401" s="408"/>
      <c r="Z401" s="408"/>
    </row>
    <row r="402" ht="14.25" customHeight="1">
      <c r="A402" s="408"/>
      <c r="B402" s="408"/>
      <c r="C402" s="552"/>
      <c r="D402" s="408"/>
      <c r="E402" s="408"/>
      <c r="F402" s="408"/>
      <c r="G402" s="408"/>
      <c r="H402" s="408"/>
      <c r="I402" s="408"/>
      <c r="J402" s="408"/>
      <c r="K402" s="408"/>
      <c r="L402" s="408"/>
      <c r="M402" s="408"/>
      <c r="N402" s="408"/>
      <c r="O402" s="408"/>
      <c r="P402" s="408"/>
      <c r="Q402" s="408"/>
      <c r="R402" s="408"/>
      <c r="S402" s="408"/>
      <c r="T402" s="408"/>
      <c r="U402" s="408"/>
      <c r="V402" s="408"/>
      <c r="W402" s="408"/>
      <c r="X402" s="408"/>
      <c r="Y402" s="408"/>
      <c r="Z402" s="408"/>
    </row>
    <row r="403" ht="14.25" customHeight="1">
      <c r="A403" s="408"/>
      <c r="B403" s="408"/>
      <c r="C403" s="552"/>
      <c r="D403" s="408"/>
      <c r="E403" s="408"/>
      <c r="F403" s="408"/>
      <c r="G403" s="408"/>
      <c r="H403" s="408"/>
      <c r="I403" s="408"/>
      <c r="J403" s="408"/>
      <c r="K403" s="408"/>
      <c r="L403" s="408"/>
      <c r="M403" s="408"/>
      <c r="N403" s="408"/>
      <c r="O403" s="408"/>
      <c r="P403" s="408"/>
      <c r="Q403" s="408"/>
      <c r="R403" s="408"/>
      <c r="S403" s="408"/>
      <c r="T403" s="408"/>
      <c r="U403" s="408"/>
      <c r="V403" s="408"/>
      <c r="W403" s="408"/>
      <c r="X403" s="408"/>
      <c r="Y403" s="408"/>
      <c r="Z403" s="408"/>
    </row>
    <row r="404" ht="14.25" customHeight="1">
      <c r="A404" s="408"/>
      <c r="B404" s="408"/>
      <c r="C404" s="552"/>
      <c r="D404" s="408"/>
      <c r="E404" s="408"/>
      <c r="F404" s="408"/>
      <c r="G404" s="408"/>
      <c r="H404" s="408"/>
      <c r="I404" s="408"/>
      <c r="J404" s="408"/>
      <c r="K404" s="408"/>
      <c r="L404" s="408"/>
      <c r="M404" s="408"/>
      <c r="N404" s="408"/>
      <c r="O404" s="408"/>
      <c r="P404" s="408"/>
      <c r="Q404" s="408"/>
      <c r="R404" s="408"/>
      <c r="S404" s="408"/>
      <c r="T404" s="408"/>
      <c r="U404" s="408"/>
      <c r="V404" s="408"/>
      <c r="W404" s="408"/>
      <c r="X404" s="408"/>
      <c r="Y404" s="408"/>
      <c r="Z404" s="408"/>
    </row>
    <row r="405" ht="14.25" customHeight="1">
      <c r="A405" s="408"/>
      <c r="B405" s="408"/>
      <c r="C405" s="552"/>
      <c r="D405" s="408"/>
      <c r="E405" s="408"/>
      <c r="F405" s="408"/>
      <c r="G405" s="408"/>
      <c r="H405" s="408"/>
      <c r="I405" s="408"/>
      <c r="J405" s="408"/>
      <c r="K405" s="408"/>
      <c r="L405" s="408"/>
      <c r="M405" s="408"/>
      <c r="N405" s="408"/>
      <c r="O405" s="408"/>
      <c r="P405" s="408"/>
      <c r="Q405" s="408"/>
      <c r="R405" s="408"/>
      <c r="S405" s="408"/>
      <c r="T405" s="408"/>
      <c r="U405" s="408"/>
      <c r="V405" s="408"/>
      <c r="W405" s="408"/>
      <c r="X405" s="408"/>
      <c r="Y405" s="408"/>
      <c r="Z405" s="408"/>
    </row>
    <row r="406" ht="14.25" customHeight="1">
      <c r="A406" s="408"/>
      <c r="B406" s="408"/>
      <c r="C406" s="552"/>
      <c r="D406" s="408"/>
      <c r="E406" s="408"/>
      <c r="F406" s="408"/>
      <c r="G406" s="408"/>
      <c r="H406" s="408"/>
      <c r="I406" s="408"/>
      <c r="J406" s="408"/>
      <c r="K406" s="408"/>
      <c r="L406" s="408"/>
      <c r="M406" s="408"/>
      <c r="N406" s="408"/>
      <c r="O406" s="408"/>
      <c r="P406" s="408"/>
      <c r="Q406" s="408"/>
      <c r="R406" s="408"/>
      <c r="S406" s="408"/>
      <c r="T406" s="408"/>
      <c r="U406" s="408"/>
      <c r="V406" s="408"/>
      <c r="W406" s="408"/>
      <c r="X406" s="408"/>
      <c r="Y406" s="408"/>
      <c r="Z406" s="408"/>
    </row>
    <row r="407" ht="14.25" customHeight="1">
      <c r="A407" s="408"/>
      <c r="B407" s="408"/>
      <c r="C407" s="552"/>
      <c r="D407" s="408"/>
      <c r="E407" s="408"/>
      <c r="F407" s="408"/>
      <c r="G407" s="408"/>
      <c r="H407" s="408"/>
      <c r="I407" s="408"/>
      <c r="J407" s="408"/>
      <c r="K407" s="408"/>
      <c r="L407" s="408"/>
      <c r="M407" s="408"/>
      <c r="N407" s="408"/>
      <c r="O407" s="408"/>
      <c r="P407" s="408"/>
      <c r="Q407" s="408"/>
      <c r="R407" s="408"/>
      <c r="S407" s="408"/>
      <c r="T407" s="408"/>
      <c r="U407" s="408"/>
      <c r="V407" s="408"/>
      <c r="W407" s="408"/>
      <c r="X407" s="408"/>
      <c r="Y407" s="408"/>
      <c r="Z407" s="408"/>
    </row>
    <row r="408" ht="14.25" customHeight="1">
      <c r="A408" s="408"/>
      <c r="B408" s="408"/>
      <c r="C408" s="552"/>
      <c r="D408" s="408"/>
      <c r="E408" s="408"/>
      <c r="F408" s="408"/>
      <c r="G408" s="408"/>
      <c r="H408" s="408"/>
      <c r="I408" s="408"/>
      <c r="J408" s="408"/>
      <c r="K408" s="408"/>
      <c r="L408" s="408"/>
      <c r="M408" s="408"/>
      <c r="N408" s="408"/>
      <c r="O408" s="408"/>
      <c r="P408" s="408"/>
      <c r="Q408" s="408"/>
      <c r="R408" s="408"/>
      <c r="S408" s="408"/>
      <c r="T408" s="408"/>
      <c r="U408" s="408"/>
      <c r="V408" s="408"/>
      <c r="W408" s="408"/>
      <c r="X408" s="408"/>
      <c r="Y408" s="408"/>
      <c r="Z408" s="408"/>
    </row>
    <row r="409" ht="14.25" customHeight="1">
      <c r="A409" s="408"/>
      <c r="B409" s="408"/>
      <c r="C409" s="552"/>
      <c r="D409" s="408"/>
      <c r="E409" s="408"/>
      <c r="F409" s="408"/>
      <c r="G409" s="408"/>
      <c r="H409" s="408"/>
      <c r="I409" s="408"/>
      <c r="J409" s="408"/>
      <c r="K409" s="408"/>
      <c r="L409" s="408"/>
      <c r="M409" s="408"/>
      <c r="N409" s="408"/>
      <c r="O409" s="408"/>
      <c r="P409" s="408"/>
      <c r="Q409" s="408"/>
      <c r="R409" s="408"/>
      <c r="S409" s="408"/>
      <c r="T409" s="408"/>
      <c r="U409" s="408"/>
      <c r="V409" s="408"/>
      <c r="W409" s="408"/>
      <c r="X409" s="408"/>
      <c r="Y409" s="408"/>
      <c r="Z409" s="408"/>
    </row>
    <row r="410" ht="14.25" customHeight="1">
      <c r="A410" s="408"/>
      <c r="B410" s="408"/>
      <c r="C410" s="552"/>
      <c r="D410" s="408"/>
      <c r="E410" s="408"/>
      <c r="F410" s="408"/>
      <c r="G410" s="408"/>
      <c r="H410" s="408"/>
      <c r="I410" s="408"/>
      <c r="J410" s="408"/>
      <c r="K410" s="408"/>
      <c r="L410" s="408"/>
      <c r="M410" s="408"/>
      <c r="N410" s="408"/>
      <c r="O410" s="408"/>
      <c r="P410" s="408"/>
      <c r="Q410" s="408"/>
      <c r="R410" s="408"/>
      <c r="S410" s="408"/>
      <c r="T410" s="408"/>
      <c r="U410" s="408"/>
      <c r="V410" s="408"/>
      <c r="W410" s="408"/>
      <c r="X410" s="408"/>
      <c r="Y410" s="408"/>
      <c r="Z410" s="408"/>
    </row>
    <row r="411" ht="14.25" customHeight="1">
      <c r="A411" s="408"/>
      <c r="B411" s="408"/>
      <c r="C411" s="552"/>
      <c r="D411" s="408"/>
      <c r="E411" s="408"/>
      <c r="F411" s="408"/>
      <c r="G411" s="408"/>
      <c r="H411" s="408"/>
      <c r="I411" s="408"/>
      <c r="J411" s="408"/>
      <c r="K411" s="408"/>
      <c r="L411" s="408"/>
      <c r="M411" s="408"/>
      <c r="N411" s="408"/>
      <c r="O411" s="408"/>
      <c r="P411" s="408"/>
      <c r="Q411" s="408"/>
      <c r="R411" s="408"/>
      <c r="S411" s="408"/>
      <c r="T411" s="408"/>
      <c r="U411" s="408"/>
      <c r="V411" s="408"/>
      <c r="W411" s="408"/>
      <c r="X411" s="408"/>
      <c r="Y411" s="408"/>
      <c r="Z411" s="408"/>
    </row>
    <row r="412" ht="14.25" customHeight="1">
      <c r="A412" s="408"/>
      <c r="B412" s="408"/>
      <c r="C412" s="552"/>
      <c r="D412" s="408"/>
      <c r="E412" s="408"/>
      <c r="F412" s="408"/>
      <c r="G412" s="408"/>
      <c r="H412" s="408"/>
      <c r="I412" s="408"/>
      <c r="J412" s="408"/>
      <c r="K412" s="408"/>
      <c r="L412" s="408"/>
      <c r="M412" s="408"/>
      <c r="N412" s="408"/>
      <c r="O412" s="408"/>
      <c r="P412" s="408"/>
      <c r="Q412" s="408"/>
      <c r="R412" s="408"/>
      <c r="S412" s="408"/>
      <c r="T412" s="408"/>
      <c r="U412" s="408"/>
      <c r="V412" s="408"/>
      <c r="W412" s="408"/>
      <c r="X412" s="408"/>
      <c r="Y412" s="408"/>
      <c r="Z412" s="408"/>
    </row>
    <row r="413" ht="14.25" customHeight="1">
      <c r="A413" s="408"/>
      <c r="B413" s="408"/>
      <c r="C413" s="552"/>
      <c r="D413" s="408"/>
      <c r="E413" s="408"/>
      <c r="F413" s="408"/>
      <c r="G413" s="408"/>
      <c r="H413" s="408"/>
      <c r="I413" s="408"/>
      <c r="J413" s="408"/>
      <c r="K413" s="408"/>
      <c r="L413" s="408"/>
      <c r="M413" s="408"/>
      <c r="N413" s="408"/>
      <c r="O413" s="408"/>
      <c r="P413" s="408"/>
      <c r="Q413" s="408"/>
      <c r="R413" s="408"/>
      <c r="S413" s="408"/>
      <c r="T413" s="408"/>
      <c r="U413" s="408"/>
      <c r="V413" s="408"/>
      <c r="W413" s="408"/>
      <c r="X413" s="408"/>
      <c r="Y413" s="408"/>
      <c r="Z413" s="408"/>
    </row>
    <row r="414" ht="14.25" customHeight="1">
      <c r="A414" s="408"/>
      <c r="B414" s="408"/>
      <c r="C414" s="552"/>
      <c r="D414" s="408"/>
      <c r="E414" s="408"/>
      <c r="F414" s="408"/>
      <c r="G414" s="408"/>
      <c r="H414" s="408"/>
      <c r="I414" s="408"/>
      <c r="J414" s="408"/>
      <c r="K414" s="408"/>
      <c r="L414" s="408"/>
      <c r="M414" s="408"/>
      <c r="N414" s="408"/>
      <c r="O414" s="408"/>
      <c r="P414" s="408"/>
      <c r="Q414" s="408"/>
      <c r="R414" s="408"/>
      <c r="S414" s="408"/>
      <c r="T414" s="408"/>
      <c r="U414" s="408"/>
      <c r="V414" s="408"/>
      <c r="W414" s="408"/>
      <c r="X414" s="408"/>
      <c r="Y414" s="408"/>
      <c r="Z414" s="408"/>
    </row>
    <row r="415" ht="14.25" customHeight="1">
      <c r="A415" s="408"/>
      <c r="B415" s="408"/>
      <c r="C415" s="552"/>
      <c r="D415" s="408"/>
      <c r="E415" s="408"/>
      <c r="F415" s="408"/>
      <c r="G415" s="408"/>
      <c r="H415" s="408"/>
      <c r="I415" s="408"/>
      <c r="J415" s="408"/>
      <c r="K415" s="408"/>
      <c r="L415" s="408"/>
      <c r="M415" s="408"/>
      <c r="N415" s="408"/>
      <c r="O415" s="408"/>
      <c r="P415" s="408"/>
      <c r="Q415" s="408"/>
      <c r="R415" s="408"/>
      <c r="S415" s="408"/>
      <c r="T415" s="408"/>
      <c r="U415" s="408"/>
      <c r="V415" s="408"/>
      <c r="W415" s="408"/>
      <c r="X415" s="408"/>
      <c r="Y415" s="408"/>
      <c r="Z415" s="408"/>
    </row>
    <row r="416" ht="14.25" customHeight="1">
      <c r="A416" s="408"/>
      <c r="B416" s="408"/>
      <c r="C416" s="552"/>
      <c r="D416" s="408"/>
      <c r="E416" s="408"/>
      <c r="F416" s="408"/>
      <c r="G416" s="408"/>
      <c r="H416" s="408"/>
      <c r="I416" s="408"/>
      <c r="J416" s="408"/>
      <c r="K416" s="408"/>
      <c r="L416" s="408"/>
      <c r="M416" s="408"/>
      <c r="N416" s="408"/>
      <c r="O416" s="408"/>
      <c r="P416" s="408"/>
      <c r="Q416" s="408"/>
      <c r="R416" s="408"/>
      <c r="S416" s="408"/>
      <c r="T416" s="408"/>
      <c r="U416" s="408"/>
      <c r="V416" s="408"/>
      <c r="W416" s="408"/>
      <c r="X416" s="408"/>
      <c r="Y416" s="408"/>
      <c r="Z416" s="408"/>
    </row>
    <row r="417" ht="14.25" customHeight="1">
      <c r="A417" s="408"/>
      <c r="B417" s="408"/>
      <c r="C417" s="552"/>
      <c r="D417" s="408"/>
      <c r="E417" s="408"/>
      <c r="F417" s="408"/>
      <c r="G417" s="408"/>
      <c r="H417" s="408"/>
      <c r="I417" s="408"/>
      <c r="J417" s="408"/>
      <c r="K417" s="408"/>
      <c r="L417" s="408"/>
      <c r="M417" s="408"/>
      <c r="N417" s="408"/>
      <c r="O417" s="408"/>
      <c r="P417" s="408"/>
      <c r="Q417" s="408"/>
      <c r="R417" s="408"/>
      <c r="S417" s="408"/>
      <c r="T417" s="408"/>
      <c r="U417" s="408"/>
      <c r="V417" s="408"/>
      <c r="W417" s="408"/>
      <c r="X417" s="408"/>
      <c r="Y417" s="408"/>
      <c r="Z417" s="408"/>
    </row>
    <row r="418" ht="14.25" customHeight="1">
      <c r="A418" s="408"/>
      <c r="B418" s="408"/>
      <c r="C418" s="552"/>
      <c r="D418" s="408"/>
      <c r="E418" s="408"/>
      <c r="F418" s="408"/>
      <c r="G418" s="408"/>
      <c r="H418" s="408"/>
      <c r="I418" s="408"/>
      <c r="J418" s="408"/>
      <c r="K418" s="408"/>
      <c r="L418" s="408"/>
      <c r="M418" s="408"/>
      <c r="N418" s="408"/>
      <c r="O418" s="408"/>
      <c r="P418" s="408"/>
      <c r="Q418" s="408"/>
      <c r="R418" s="408"/>
      <c r="S418" s="408"/>
      <c r="T418" s="408"/>
      <c r="U418" s="408"/>
      <c r="V418" s="408"/>
      <c r="W418" s="408"/>
      <c r="X418" s="408"/>
      <c r="Y418" s="408"/>
      <c r="Z418" s="408"/>
    </row>
    <row r="419" ht="14.25" customHeight="1">
      <c r="A419" s="408"/>
      <c r="B419" s="408"/>
      <c r="C419" s="552"/>
      <c r="D419" s="408"/>
      <c r="E419" s="408"/>
      <c r="F419" s="408"/>
      <c r="G419" s="408"/>
      <c r="H419" s="408"/>
      <c r="I419" s="408"/>
      <c r="J419" s="408"/>
      <c r="K419" s="408"/>
      <c r="L419" s="408"/>
      <c r="M419" s="408"/>
      <c r="N419" s="408"/>
      <c r="O419" s="408"/>
      <c r="P419" s="408"/>
      <c r="Q419" s="408"/>
      <c r="R419" s="408"/>
      <c r="S419" s="408"/>
      <c r="T419" s="408"/>
      <c r="U419" s="408"/>
      <c r="V419" s="408"/>
      <c r="W419" s="408"/>
      <c r="X419" s="408"/>
      <c r="Y419" s="408"/>
      <c r="Z419" s="408"/>
    </row>
    <row r="420" ht="14.25" customHeight="1">
      <c r="A420" s="408"/>
      <c r="B420" s="408"/>
      <c r="C420" s="552"/>
      <c r="D420" s="408"/>
      <c r="E420" s="408"/>
      <c r="F420" s="408"/>
      <c r="G420" s="408"/>
      <c r="H420" s="408"/>
      <c r="I420" s="408"/>
      <c r="J420" s="408"/>
      <c r="K420" s="408"/>
      <c r="L420" s="408"/>
      <c r="M420" s="408"/>
      <c r="N420" s="408"/>
      <c r="O420" s="408"/>
      <c r="P420" s="408"/>
      <c r="Q420" s="408"/>
      <c r="R420" s="408"/>
      <c r="S420" s="408"/>
      <c r="T420" s="408"/>
      <c r="U420" s="408"/>
      <c r="V420" s="408"/>
      <c r="W420" s="408"/>
      <c r="X420" s="408"/>
      <c r="Y420" s="408"/>
      <c r="Z420" s="408"/>
    </row>
    <row r="421" ht="14.25" customHeight="1">
      <c r="A421" s="408"/>
      <c r="B421" s="408"/>
      <c r="C421" s="552"/>
      <c r="D421" s="408"/>
      <c r="E421" s="408"/>
      <c r="F421" s="408"/>
      <c r="G421" s="408"/>
      <c r="H421" s="408"/>
      <c r="I421" s="408"/>
      <c r="J421" s="408"/>
      <c r="K421" s="408"/>
      <c r="L421" s="408"/>
      <c r="M421" s="408"/>
      <c r="N421" s="408"/>
      <c r="O421" s="408"/>
      <c r="P421" s="408"/>
      <c r="Q421" s="408"/>
      <c r="R421" s="408"/>
      <c r="S421" s="408"/>
      <c r="T421" s="408"/>
      <c r="U421" s="408"/>
      <c r="V421" s="408"/>
      <c r="W421" s="408"/>
      <c r="X421" s="408"/>
      <c r="Y421" s="408"/>
      <c r="Z421" s="408"/>
    </row>
    <row r="422" ht="14.25" customHeight="1">
      <c r="A422" s="408"/>
      <c r="B422" s="408"/>
      <c r="C422" s="552"/>
      <c r="D422" s="408"/>
      <c r="E422" s="408"/>
      <c r="F422" s="408"/>
      <c r="G422" s="408"/>
      <c r="H422" s="408"/>
      <c r="I422" s="408"/>
      <c r="J422" s="408"/>
      <c r="K422" s="408"/>
      <c r="L422" s="408"/>
      <c r="M422" s="408"/>
      <c r="N422" s="408"/>
      <c r="O422" s="408"/>
      <c r="P422" s="408"/>
      <c r="Q422" s="408"/>
      <c r="R422" s="408"/>
      <c r="S422" s="408"/>
      <c r="T422" s="408"/>
      <c r="U422" s="408"/>
      <c r="V422" s="408"/>
      <c r="W422" s="408"/>
      <c r="X422" s="408"/>
      <c r="Y422" s="408"/>
      <c r="Z422" s="408"/>
    </row>
    <row r="423" ht="14.25" customHeight="1">
      <c r="A423" s="408"/>
      <c r="B423" s="408"/>
      <c r="C423" s="552"/>
      <c r="D423" s="408"/>
      <c r="E423" s="408"/>
      <c r="F423" s="408"/>
      <c r="G423" s="408"/>
      <c r="H423" s="408"/>
      <c r="I423" s="408"/>
      <c r="J423" s="408"/>
      <c r="K423" s="408"/>
      <c r="L423" s="408"/>
      <c r="M423" s="408"/>
      <c r="N423" s="408"/>
      <c r="O423" s="408"/>
      <c r="P423" s="408"/>
      <c r="Q423" s="408"/>
      <c r="R423" s="408"/>
      <c r="S423" s="408"/>
      <c r="T423" s="408"/>
      <c r="U423" s="408"/>
      <c r="V423" s="408"/>
      <c r="W423" s="408"/>
      <c r="X423" s="408"/>
      <c r="Y423" s="408"/>
      <c r="Z423" s="408"/>
    </row>
    <row r="424" ht="14.25" customHeight="1">
      <c r="A424" s="408"/>
      <c r="B424" s="408"/>
      <c r="C424" s="552"/>
      <c r="D424" s="408"/>
      <c r="E424" s="408"/>
      <c r="F424" s="408"/>
      <c r="G424" s="408"/>
      <c r="H424" s="408"/>
      <c r="I424" s="408"/>
      <c r="J424" s="408"/>
      <c r="K424" s="408"/>
      <c r="L424" s="408"/>
      <c r="M424" s="408"/>
      <c r="N424" s="408"/>
      <c r="O424" s="408"/>
      <c r="P424" s="408"/>
      <c r="Q424" s="408"/>
      <c r="R424" s="408"/>
      <c r="S424" s="408"/>
      <c r="T424" s="408"/>
      <c r="U424" s="408"/>
      <c r="V424" s="408"/>
      <c r="W424" s="408"/>
      <c r="X424" s="408"/>
      <c r="Y424" s="408"/>
      <c r="Z424" s="408"/>
    </row>
    <row r="425" ht="14.25" customHeight="1">
      <c r="A425" s="408"/>
      <c r="B425" s="408"/>
      <c r="C425" s="552"/>
      <c r="D425" s="408"/>
      <c r="E425" s="408"/>
      <c r="F425" s="408"/>
      <c r="G425" s="408"/>
      <c r="H425" s="408"/>
      <c r="I425" s="408"/>
      <c r="J425" s="408"/>
      <c r="K425" s="408"/>
      <c r="L425" s="408"/>
      <c r="M425" s="408"/>
      <c r="N425" s="408"/>
      <c r="O425" s="408"/>
      <c r="P425" s="408"/>
      <c r="Q425" s="408"/>
      <c r="R425" s="408"/>
      <c r="S425" s="408"/>
      <c r="T425" s="408"/>
      <c r="U425" s="408"/>
      <c r="V425" s="408"/>
      <c r="W425" s="408"/>
      <c r="X425" s="408"/>
      <c r="Y425" s="408"/>
      <c r="Z425" s="408"/>
    </row>
    <row r="426" ht="14.25" customHeight="1">
      <c r="A426" s="408"/>
      <c r="B426" s="408"/>
      <c r="C426" s="552"/>
      <c r="D426" s="408"/>
      <c r="E426" s="408"/>
      <c r="F426" s="408"/>
      <c r="G426" s="408"/>
      <c r="H426" s="408"/>
      <c r="I426" s="408"/>
      <c r="J426" s="408"/>
      <c r="K426" s="408"/>
      <c r="L426" s="408"/>
      <c r="M426" s="408"/>
      <c r="N426" s="408"/>
      <c r="O426" s="408"/>
      <c r="P426" s="408"/>
      <c r="Q426" s="408"/>
      <c r="R426" s="408"/>
      <c r="S426" s="408"/>
      <c r="T426" s="408"/>
      <c r="U426" s="408"/>
      <c r="V426" s="408"/>
      <c r="W426" s="408"/>
      <c r="X426" s="408"/>
      <c r="Y426" s="408"/>
      <c r="Z426" s="408"/>
    </row>
    <row r="427" ht="14.25" customHeight="1">
      <c r="A427" s="408"/>
      <c r="B427" s="408"/>
      <c r="C427" s="552"/>
      <c r="D427" s="408"/>
      <c r="E427" s="408"/>
      <c r="F427" s="408"/>
      <c r="G427" s="408"/>
      <c r="H427" s="408"/>
      <c r="I427" s="408"/>
      <c r="J427" s="408"/>
      <c r="K427" s="408"/>
      <c r="L427" s="408"/>
      <c r="M427" s="408"/>
      <c r="N427" s="408"/>
      <c r="O427" s="408"/>
      <c r="P427" s="408"/>
      <c r="Q427" s="408"/>
      <c r="R427" s="408"/>
      <c r="S427" s="408"/>
      <c r="T427" s="408"/>
      <c r="U427" s="408"/>
      <c r="V427" s="408"/>
      <c r="W427" s="408"/>
      <c r="X427" s="408"/>
      <c r="Y427" s="408"/>
      <c r="Z427" s="408"/>
    </row>
    <row r="428" ht="14.25" customHeight="1">
      <c r="A428" s="408"/>
      <c r="B428" s="408"/>
      <c r="C428" s="552"/>
      <c r="D428" s="408"/>
      <c r="E428" s="408"/>
      <c r="F428" s="408"/>
      <c r="G428" s="408"/>
      <c r="H428" s="408"/>
      <c r="I428" s="408"/>
      <c r="J428" s="408"/>
      <c r="K428" s="408"/>
      <c r="L428" s="408"/>
      <c r="M428" s="408"/>
      <c r="N428" s="408"/>
      <c r="O428" s="408"/>
      <c r="P428" s="408"/>
      <c r="Q428" s="408"/>
      <c r="R428" s="408"/>
      <c r="S428" s="408"/>
      <c r="T428" s="408"/>
      <c r="U428" s="408"/>
      <c r="V428" s="408"/>
      <c r="W428" s="408"/>
      <c r="X428" s="408"/>
      <c r="Y428" s="408"/>
      <c r="Z428" s="408"/>
    </row>
    <row r="429" ht="14.25" customHeight="1">
      <c r="A429" s="408"/>
      <c r="B429" s="408"/>
      <c r="C429" s="552"/>
      <c r="D429" s="408"/>
      <c r="E429" s="408"/>
      <c r="F429" s="408"/>
      <c r="G429" s="408"/>
      <c r="H429" s="408"/>
      <c r="I429" s="408"/>
      <c r="J429" s="408"/>
      <c r="K429" s="408"/>
      <c r="L429" s="408"/>
      <c r="M429" s="408"/>
      <c r="N429" s="408"/>
      <c r="O429" s="408"/>
      <c r="P429" s="408"/>
      <c r="Q429" s="408"/>
      <c r="R429" s="408"/>
      <c r="S429" s="408"/>
      <c r="T429" s="408"/>
      <c r="U429" s="408"/>
      <c r="V429" s="408"/>
      <c r="W429" s="408"/>
      <c r="X429" s="408"/>
      <c r="Y429" s="408"/>
      <c r="Z429" s="408"/>
    </row>
    <row r="430" ht="14.25" customHeight="1">
      <c r="A430" s="408"/>
      <c r="B430" s="408"/>
      <c r="C430" s="552"/>
      <c r="D430" s="408"/>
      <c r="E430" s="408"/>
      <c r="F430" s="408"/>
      <c r="G430" s="408"/>
      <c r="H430" s="408"/>
      <c r="I430" s="408"/>
      <c r="J430" s="408"/>
      <c r="K430" s="408"/>
      <c r="L430" s="408"/>
      <c r="M430" s="408"/>
      <c r="N430" s="408"/>
      <c r="O430" s="408"/>
      <c r="P430" s="408"/>
      <c r="Q430" s="408"/>
      <c r="R430" s="408"/>
      <c r="S430" s="408"/>
      <c r="T430" s="408"/>
      <c r="U430" s="408"/>
      <c r="V430" s="408"/>
      <c r="W430" s="408"/>
      <c r="X430" s="408"/>
      <c r="Y430" s="408"/>
      <c r="Z430" s="408"/>
    </row>
    <row r="431" ht="14.25" customHeight="1">
      <c r="A431" s="408"/>
      <c r="B431" s="408"/>
      <c r="C431" s="552"/>
      <c r="D431" s="408"/>
      <c r="E431" s="408"/>
      <c r="F431" s="408"/>
      <c r="G431" s="408"/>
      <c r="H431" s="408"/>
      <c r="I431" s="408"/>
      <c r="J431" s="408"/>
      <c r="K431" s="408"/>
      <c r="L431" s="408"/>
      <c r="M431" s="408"/>
      <c r="N431" s="408"/>
      <c r="O431" s="408"/>
      <c r="P431" s="408"/>
      <c r="Q431" s="408"/>
      <c r="R431" s="408"/>
      <c r="S431" s="408"/>
      <c r="T431" s="408"/>
      <c r="U431" s="408"/>
      <c r="V431" s="408"/>
      <c r="W431" s="408"/>
      <c r="X431" s="408"/>
      <c r="Y431" s="408"/>
      <c r="Z431" s="408"/>
    </row>
    <row r="432" ht="14.25" customHeight="1">
      <c r="A432" s="408"/>
      <c r="B432" s="408"/>
      <c r="C432" s="552"/>
      <c r="D432" s="408"/>
      <c r="E432" s="408"/>
      <c r="F432" s="408"/>
      <c r="G432" s="408"/>
      <c r="H432" s="408"/>
      <c r="I432" s="408"/>
      <c r="J432" s="408"/>
      <c r="K432" s="408"/>
      <c r="L432" s="408"/>
      <c r="M432" s="408"/>
      <c r="N432" s="408"/>
      <c r="O432" s="408"/>
      <c r="P432" s="408"/>
      <c r="Q432" s="408"/>
      <c r="R432" s="408"/>
      <c r="S432" s="408"/>
      <c r="T432" s="408"/>
      <c r="U432" s="408"/>
      <c r="V432" s="408"/>
      <c r="W432" s="408"/>
      <c r="X432" s="408"/>
      <c r="Y432" s="408"/>
      <c r="Z432" s="408"/>
    </row>
    <row r="433" ht="14.25" customHeight="1">
      <c r="A433" s="408"/>
      <c r="B433" s="408"/>
      <c r="C433" s="552"/>
      <c r="D433" s="408"/>
      <c r="E433" s="408"/>
      <c r="F433" s="408"/>
      <c r="G433" s="408"/>
      <c r="H433" s="408"/>
      <c r="I433" s="408"/>
      <c r="J433" s="408"/>
      <c r="K433" s="408"/>
      <c r="L433" s="408"/>
      <c r="M433" s="408"/>
      <c r="N433" s="408"/>
      <c r="O433" s="408"/>
      <c r="P433" s="408"/>
      <c r="Q433" s="408"/>
      <c r="R433" s="408"/>
      <c r="S433" s="408"/>
      <c r="T433" s="408"/>
      <c r="U433" s="408"/>
      <c r="V433" s="408"/>
      <c r="W433" s="408"/>
      <c r="X433" s="408"/>
      <c r="Y433" s="408"/>
      <c r="Z433" s="408"/>
    </row>
    <row r="434" ht="14.25" customHeight="1">
      <c r="A434" s="408"/>
      <c r="B434" s="408"/>
      <c r="C434" s="552"/>
      <c r="D434" s="408"/>
      <c r="E434" s="408"/>
      <c r="F434" s="408"/>
      <c r="G434" s="408"/>
      <c r="H434" s="408"/>
      <c r="I434" s="408"/>
      <c r="J434" s="408"/>
      <c r="K434" s="408"/>
      <c r="L434" s="408"/>
      <c r="M434" s="408"/>
      <c r="N434" s="408"/>
      <c r="O434" s="408"/>
      <c r="P434" s="408"/>
      <c r="Q434" s="408"/>
      <c r="R434" s="408"/>
      <c r="S434" s="408"/>
      <c r="T434" s="408"/>
      <c r="U434" s="408"/>
      <c r="V434" s="408"/>
      <c r="W434" s="408"/>
      <c r="X434" s="408"/>
      <c r="Y434" s="408"/>
      <c r="Z434" s="408"/>
    </row>
    <row r="435" ht="14.25" customHeight="1">
      <c r="A435" s="408"/>
      <c r="B435" s="408"/>
      <c r="C435" s="552"/>
      <c r="D435" s="408"/>
      <c r="E435" s="408"/>
      <c r="F435" s="408"/>
      <c r="G435" s="408"/>
      <c r="H435" s="408"/>
      <c r="I435" s="408"/>
      <c r="J435" s="408"/>
      <c r="K435" s="408"/>
      <c r="L435" s="408"/>
      <c r="M435" s="408"/>
      <c r="N435" s="408"/>
      <c r="O435" s="408"/>
      <c r="P435" s="408"/>
      <c r="Q435" s="408"/>
      <c r="R435" s="408"/>
      <c r="S435" s="408"/>
      <c r="T435" s="408"/>
      <c r="U435" s="408"/>
      <c r="V435" s="408"/>
      <c r="W435" s="408"/>
      <c r="X435" s="408"/>
      <c r="Y435" s="408"/>
      <c r="Z435" s="408"/>
    </row>
    <row r="436" ht="14.25" customHeight="1">
      <c r="A436" s="408"/>
      <c r="B436" s="408"/>
      <c r="C436" s="552"/>
      <c r="D436" s="408"/>
      <c r="E436" s="408"/>
      <c r="F436" s="408"/>
      <c r="G436" s="408"/>
      <c r="H436" s="408"/>
      <c r="I436" s="408"/>
      <c r="J436" s="408"/>
      <c r="K436" s="408"/>
      <c r="L436" s="408"/>
      <c r="M436" s="408"/>
      <c r="N436" s="408"/>
      <c r="O436" s="408"/>
      <c r="P436" s="408"/>
      <c r="Q436" s="408"/>
      <c r="R436" s="408"/>
      <c r="S436" s="408"/>
      <c r="T436" s="408"/>
      <c r="U436" s="408"/>
      <c r="V436" s="408"/>
      <c r="W436" s="408"/>
      <c r="X436" s="408"/>
      <c r="Y436" s="408"/>
      <c r="Z436" s="408"/>
    </row>
    <row r="437" ht="14.25" customHeight="1">
      <c r="A437" s="408"/>
      <c r="B437" s="408"/>
      <c r="C437" s="552"/>
      <c r="D437" s="408"/>
      <c r="E437" s="408"/>
      <c r="F437" s="408"/>
      <c r="G437" s="408"/>
      <c r="H437" s="408"/>
      <c r="I437" s="408"/>
      <c r="J437" s="408"/>
      <c r="K437" s="408"/>
      <c r="L437" s="408"/>
      <c r="M437" s="408"/>
      <c r="N437" s="408"/>
      <c r="O437" s="408"/>
      <c r="P437" s="408"/>
      <c r="Q437" s="408"/>
      <c r="R437" s="408"/>
      <c r="S437" s="408"/>
      <c r="T437" s="408"/>
      <c r="U437" s="408"/>
      <c r="V437" s="408"/>
      <c r="W437" s="408"/>
      <c r="X437" s="408"/>
      <c r="Y437" s="408"/>
      <c r="Z437" s="408"/>
    </row>
    <row r="438" ht="14.25" customHeight="1">
      <c r="A438" s="408"/>
      <c r="B438" s="408"/>
      <c r="C438" s="552"/>
      <c r="D438" s="408"/>
      <c r="E438" s="408"/>
      <c r="F438" s="408"/>
      <c r="G438" s="408"/>
      <c r="H438" s="408"/>
      <c r="I438" s="408"/>
      <c r="J438" s="408"/>
      <c r="K438" s="408"/>
      <c r="L438" s="408"/>
      <c r="M438" s="408"/>
      <c r="N438" s="408"/>
      <c r="O438" s="408"/>
      <c r="P438" s="408"/>
      <c r="Q438" s="408"/>
      <c r="R438" s="408"/>
      <c r="S438" s="408"/>
      <c r="T438" s="408"/>
      <c r="U438" s="408"/>
      <c r="V438" s="408"/>
      <c r="W438" s="408"/>
      <c r="X438" s="408"/>
      <c r="Y438" s="408"/>
      <c r="Z438" s="408"/>
    </row>
    <row r="439" ht="14.25" customHeight="1">
      <c r="A439" s="408"/>
      <c r="B439" s="408"/>
      <c r="C439" s="552"/>
      <c r="D439" s="408"/>
      <c r="E439" s="408"/>
      <c r="F439" s="408"/>
      <c r="G439" s="408"/>
      <c r="H439" s="408"/>
      <c r="I439" s="408"/>
      <c r="J439" s="408"/>
      <c r="K439" s="408"/>
      <c r="L439" s="408"/>
      <c r="M439" s="408"/>
      <c r="N439" s="408"/>
      <c r="O439" s="408"/>
      <c r="P439" s="408"/>
      <c r="Q439" s="408"/>
      <c r="R439" s="408"/>
      <c r="S439" s="408"/>
      <c r="T439" s="408"/>
      <c r="U439" s="408"/>
      <c r="V439" s="408"/>
      <c r="W439" s="408"/>
      <c r="X439" s="408"/>
      <c r="Y439" s="408"/>
      <c r="Z439" s="408"/>
    </row>
    <row r="440" ht="14.25" customHeight="1">
      <c r="A440" s="408"/>
      <c r="B440" s="408"/>
      <c r="C440" s="552"/>
      <c r="D440" s="408"/>
      <c r="E440" s="408"/>
      <c r="F440" s="408"/>
      <c r="G440" s="408"/>
      <c r="H440" s="408"/>
      <c r="I440" s="408"/>
      <c r="J440" s="408"/>
      <c r="K440" s="408"/>
      <c r="L440" s="408"/>
      <c r="M440" s="408"/>
      <c r="N440" s="408"/>
      <c r="O440" s="408"/>
      <c r="P440" s="408"/>
      <c r="Q440" s="408"/>
      <c r="R440" s="408"/>
      <c r="S440" s="408"/>
      <c r="T440" s="408"/>
      <c r="U440" s="408"/>
      <c r="V440" s="408"/>
      <c r="W440" s="408"/>
      <c r="X440" s="408"/>
      <c r="Y440" s="408"/>
      <c r="Z440" s="408"/>
    </row>
    <row r="441" ht="14.25" customHeight="1">
      <c r="A441" s="408"/>
      <c r="B441" s="408"/>
      <c r="C441" s="552"/>
      <c r="D441" s="408"/>
      <c r="E441" s="408"/>
      <c r="F441" s="408"/>
      <c r="G441" s="408"/>
      <c r="H441" s="408"/>
      <c r="I441" s="408"/>
      <c r="J441" s="408"/>
      <c r="K441" s="408"/>
      <c r="L441" s="408"/>
      <c r="M441" s="408"/>
      <c r="N441" s="408"/>
      <c r="O441" s="408"/>
      <c r="P441" s="408"/>
      <c r="Q441" s="408"/>
      <c r="R441" s="408"/>
      <c r="S441" s="408"/>
      <c r="T441" s="408"/>
      <c r="U441" s="408"/>
      <c r="V441" s="408"/>
      <c r="W441" s="408"/>
      <c r="X441" s="408"/>
      <c r="Y441" s="408"/>
      <c r="Z441" s="408"/>
    </row>
    <row r="442" ht="14.25" customHeight="1">
      <c r="A442" s="408"/>
      <c r="B442" s="408"/>
      <c r="C442" s="552"/>
      <c r="D442" s="408"/>
      <c r="E442" s="408"/>
      <c r="F442" s="408"/>
      <c r="G442" s="408"/>
      <c r="H442" s="408"/>
      <c r="I442" s="408"/>
      <c r="J442" s="408"/>
      <c r="K442" s="408"/>
      <c r="L442" s="408"/>
      <c r="M442" s="408"/>
      <c r="N442" s="408"/>
      <c r="O442" s="408"/>
      <c r="P442" s="408"/>
      <c r="Q442" s="408"/>
      <c r="R442" s="408"/>
      <c r="S442" s="408"/>
      <c r="T442" s="408"/>
      <c r="U442" s="408"/>
      <c r="V442" s="408"/>
      <c r="W442" s="408"/>
      <c r="X442" s="408"/>
      <c r="Y442" s="408"/>
      <c r="Z442" s="408"/>
    </row>
    <row r="443" ht="14.25" customHeight="1">
      <c r="A443" s="408"/>
      <c r="B443" s="408"/>
      <c r="C443" s="552"/>
      <c r="D443" s="408"/>
      <c r="E443" s="408"/>
      <c r="F443" s="408"/>
      <c r="G443" s="408"/>
      <c r="H443" s="408"/>
      <c r="I443" s="408"/>
      <c r="J443" s="408"/>
      <c r="K443" s="408"/>
      <c r="L443" s="408"/>
      <c r="M443" s="408"/>
      <c r="N443" s="408"/>
      <c r="O443" s="408"/>
      <c r="P443" s="408"/>
      <c r="Q443" s="408"/>
      <c r="R443" s="408"/>
      <c r="S443" s="408"/>
      <c r="T443" s="408"/>
      <c r="U443" s="408"/>
      <c r="V443" s="408"/>
      <c r="W443" s="408"/>
      <c r="X443" s="408"/>
      <c r="Y443" s="408"/>
      <c r="Z443" s="408"/>
    </row>
    <row r="444" ht="14.25" customHeight="1">
      <c r="A444" s="408"/>
      <c r="B444" s="408"/>
      <c r="C444" s="552"/>
      <c r="D444" s="408"/>
      <c r="E444" s="408"/>
      <c r="F444" s="408"/>
      <c r="G444" s="408"/>
      <c r="H444" s="408"/>
      <c r="I444" s="408"/>
      <c r="J444" s="408"/>
      <c r="K444" s="408"/>
      <c r="L444" s="408"/>
      <c r="M444" s="408"/>
      <c r="N444" s="408"/>
      <c r="O444" s="408"/>
      <c r="P444" s="408"/>
      <c r="Q444" s="408"/>
      <c r="R444" s="408"/>
      <c r="S444" s="408"/>
      <c r="T444" s="408"/>
      <c r="U444" s="408"/>
      <c r="V444" s="408"/>
      <c r="W444" s="408"/>
      <c r="X444" s="408"/>
      <c r="Y444" s="408"/>
      <c r="Z444" s="408"/>
    </row>
    <row r="445" ht="14.25" customHeight="1">
      <c r="A445" s="408"/>
      <c r="B445" s="408"/>
      <c r="C445" s="552"/>
      <c r="D445" s="408"/>
      <c r="E445" s="408"/>
      <c r="F445" s="408"/>
      <c r="G445" s="408"/>
      <c r="H445" s="408"/>
      <c r="I445" s="408"/>
      <c r="J445" s="408"/>
      <c r="K445" s="408"/>
      <c r="L445" s="408"/>
      <c r="M445" s="408"/>
      <c r="N445" s="408"/>
      <c r="O445" s="408"/>
      <c r="P445" s="408"/>
      <c r="Q445" s="408"/>
      <c r="R445" s="408"/>
      <c r="S445" s="408"/>
      <c r="T445" s="408"/>
      <c r="U445" s="408"/>
      <c r="V445" s="408"/>
      <c r="W445" s="408"/>
      <c r="X445" s="408"/>
      <c r="Y445" s="408"/>
      <c r="Z445" s="408"/>
    </row>
    <row r="446" ht="14.25" customHeight="1">
      <c r="A446" s="408"/>
      <c r="B446" s="408"/>
      <c r="C446" s="552"/>
      <c r="D446" s="408"/>
      <c r="E446" s="408"/>
      <c r="F446" s="408"/>
      <c r="G446" s="408"/>
      <c r="H446" s="408"/>
      <c r="I446" s="408"/>
      <c r="J446" s="408"/>
      <c r="K446" s="408"/>
      <c r="L446" s="408"/>
      <c r="M446" s="408"/>
      <c r="N446" s="408"/>
      <c r="O446" s="408"/>
      <c r="P446" s="408"/>
      <c r="Q446" s="408"/>
      <c r="R446" s="408"/>
      <c r="S446" s="408"/>
      <c r="T446" s="408"/>
      <c r="U446" s="408"/>
      <c r="V446" s="408"/>
      <c r="W446" s="408"/>
      <c r="X446" s="408"/>
      <c r="Y446" s="408"/>
      <c r="Z446" s="408"/>
    </row>
    <row r="447" ht="14.25" customHeight="1">
      <c r="A447" s="408"/>
      <c r="B447" s="408"/>
      <c r="C447" s="552"/>
      <c r="D447" s="408"/>
      <c r="E447" s="408"/>
      <c r="F447" s="408"/>
      <c r="G447" s="408"/>
      <c r="H447" s="408"/>
      <c r="I447" s="408"/>
      <c r="J447" s="408"/>
      <c r="K447" s="408"/>
      <c r="L447" s="408"/>
      <c r="M447" s="408"/>
      <c r="N447" s="408"/>
      <c r="O447" s="408"/>
      <c r="P447" s="408"/>
      <c r="Q447" s="408"/>
      <c r="R447" s="408"/>
      <c r="S447" s="408"/>
      <c r="T447" s="408"/>
      <c r="U447" s="408"/>
      <c r="V447" s="408"/>
      <c r="W447" s="408"/>
      <c r="X447" s="408"/>
      <c r="Y447" s="408"/>
      <c r="Z447" s="408"/>
    </row>
    <row r="448" ht="14.25" customHeight="1">
      <c r="A448" s="408"/>
      <c r="B448" s="408"/>
      <c r="C448" s="552"/>
      <c r="D448" s="408"/>
      <c r="E448" s="408"/>
      <c r="F448" s="408"/>
      <c r="G448" s="408"/>
      <c r="H448" s="408"/>
      <c r="I448" s="408"/>
      <c r="J448" s="408"/>
      <c r="K448" s="408"/>
      <c r="L448" s="408"/>
      <c r="M448" s="408"/>
      <c r="N448" s="408"/>
      <c r="O448" s="408"/>
      <c r="P448" s="408"/>
      <c r="Q448" s="408"/>
      <c r="R448" s="408"/>
      <c r="S448" s="408"/>
      <c r="T448" s="408"/>
      <c r="U448" s="408"/>
      <c r="V448" s="408"/>
      <c r="W448" s="408"/>
      <c r="X448" s="408"/>
      <c r="Y448" s="408"/>
      <c r="Z448" s="408"/>
    </row>
    <row r="449" ht="14.25" customHeight="1">
      <c r="A449" s="408"/>
      <c r="B449" s="408"/>
      <c r="C449" s="552"/>
      <c r="D449" s="408"/>
      <c r="E449" s="408"/>
      <c r="F449" s="408"/>
      <c r="G449" s="408"/>
      <c r="H449" s="408"/>
      <c r="I449" s="408"/>
      <c r="J449" s="408"/>
      <c r="K449" s="408"/>
      <c r="L449" s="408"/>
      <c r="M449" s="408"/>
      <c r="N449" s="408"/>
      <c r="O449" s="408"/>
      <c r="P449" s="408"/>
      <c r="Q449" s="408"/>
      <c r="R449" s="408"/>
      <c r="S449" s="408"/>
      <c r="T449" s="408"/>
      <c r="U449" s="408"/>
      <c r="V449" s="408"/>
      <c r="W449" s="408"/>
      <c r="X449" s="408"/>
      <c r="Y449" s="408"/>
      <c r="Z449" s="408"/>
    </row>
    <row r="450" ht="14.25" customHeight="1">
      <c r="A450" s="408"/>
      <c r="B450" s="408"/>
      <c r="C450" s="552"/>
      <c r="D450" s="408"/>
      <c r="E450" s="408"/>
      <c r="F450" s="408"/>
      <c r="G450" s="408"/>
      <c r="H450" s="408"/>
      <c r="I450" s="408"/>
      <c r="J450" s="408"/>
      <c r="K450" s="408"/>
      <c r="L450" s="408"/>
      <c r="M450" s="408"/>
      <c r="N450" s="408"/>
      <c r="O450" s="408"/>
      <c r="P450" s="408"/>
      <c r="Q450" s="408"/>
      <c r="R450" s="408"/>
      <c r="S450" s="408"/>
      <c r="T450" s="408"/>
      <c r="U450" s="408"/>
      <c r="V450" s="408"/>
      <c r="W450" s="408"/>
      <c r="X450" s="408"/>
      <c r="Y450" s="408"/>
      <c r="Z450" s="408"/>
    </row>
    <row r="451" ht="14.25" customHeight="1">
      <c r="A451" s="408"/>
      <c r="B451" s="408"/>
      <c r="C451" s="552"/>
      <c r="D451" s="408"/>
      <c r="E451" s="408"/>
      <c r="F451" s="408"/>
      <c r="G451" s="408"/>
      <c r="H451" s="408"/>
      <c r="I451" s="408"/>
      <c r="J451" s="408"/>
      <c r="K451" s="408"/>
      <c r="L451" s="408"/>
      <c r="M451" s="408"/>
      <c r="N451" s="408"/>
      <c r="O451" s="408"/>
      <c r="P451" s="408"/>
      <c r="Q451" s="408"/>
      <c r="R451" s="408"/>
      <c r="S451" s="408"/>
      <c r="T451" s="408"/>
      <c r="U451" s="408"/>
      <c r="V451" s="408"/>
      <c r="W451" s="408"/>
      <c r="X451" s="408"/>
      <c r="Y451" s="408"/>
      <c r="Z451" s="408"/>
    </row>
    <row r="452" ht="14.25" customHeight="1">
      <c r="A452" s="408"/>
      <c r="B452" s="408"/>
      <c r="C452" s="552"/>
      <c r="D452" s="408"/>
      <c r="E452" s="408"/>
      <c r="F452" s="408"/>
      <c r="G452" s="408"/>
      <c r="H452" s="408"/>
      <c r="I452" s="408"/>
      <c r="J452" s="408"/>
      <c r="K452" s="408"/>
      <c r="L452" s="408"/>
      <c r="M452" s="408"/>
      <c r="N452" s="408"/>
      <c r="O452" s="408"/>
      <c r="P452" s="408"/>
      <c r="Q452" s="408"/>
      <c r="R452" s="408"/>
      <c r="S452" s="408"/>
      <c r="T452" s="408"/>
      <c r="U452" s="408"/>
      <c r="V452" s="408"/>
      <c r="W452" s="408"/>
      <c r="X452" s="408"/>
      <c r="Y452" s="408"/>
      <c r="Z452" s="408"/>
    </row>
    <row r="453" ht="14.25" customHeight="1">
      <c r="A453" s="408"/>
      <c r="B453" s="408"/>
      <c r="C453" s="552"/>
      <c r="D453" s="408"/>
      <c r="E453" s="408"/>
      <c r="F453" s="408"/>
      <c r="G453" s="408"/>
      <c r="H453" s="408"/>
      <c r="I453" s="408"/>
      <c r="J453" s="408"/>
      <c r="K453" s="408"/>
      <c r="L453" s="408"/>
      <c r="M453" s="408"/>
      <c r="N453" s="408"/>
      <c r="O453" s="408"/>
      <c r="P453" s="408"/>
      <c r="Q453" s="408"/>
      <c r="R453" s="408"/>
      <c r="S453" s="408"/>
      <c r="T453" s="408"/>
      <c r="U453" s="408"/>
      <c r="V453" s="408"/>
      <c r="W453" s="408"/>
      <c r="X453" s="408"/>
      <c r="Y453" s="408"/>
      <c r="Z453" s="408"/>
    </row>
    <row r="454" ht="14.25" customHeight="1">
      <c r="A454" s="408"/>
      <c r="B454" s="408"/>
      <c r="C454" s="552"/>
      <c r="D454" s="408"/>
      <c r="E454" s="408"/>
      <c r="F454" s="408"/>
      <c r="G454" s="408"/>
      <c r="H454" s="408"/>
      <c r="I454" s="408"/>
      <c r="J454" s="408"/>
      <c r="K454" s="408"/>
      <c r="L454" s="408"/>
      <c r="M454" s="408"/>
      <c r="N454" s="408"/>
      <c r="O454" s="408"/>
      <c r="P454" s="408"/>
      <c r="Q454" s="408"/>
      <c r="R454" s="408"/>
      <c r="S454" s="408"/>
      <c r="T454" s="408"/>
      <c r="U454" s="408"/>
      <c r="V454" s="408"/>
      <c r="W454" s="408"/>
      <c r="X454" s="408"/>
      <c r="Y454" s="408"/>
      <c r="Z454" s="408"/>
    </row>
    <row r="455" ht="14.25" customHeight="1">
      <c r="A455" s="408"/>
      <c r="B455" s="408"/>
      <c r="C455" s="552"/>
      <c r="D455" s="408"/>
      <c r="E455" s="408"/>
      <c r="F455" s="408"/>
      <c r="G455" s="408"/>
      <c r="H455" s="408"/>
      <c r="I455" s="408"/>
      <c r="J455" s="408"/>
      <c r="K455" s="408"/>
      <c r="L455" s="408"/>
      <c r="M455" s="408"/>
      <c r="N455" s="408"/>
      <c r="O455" s="408"/>
      <c r="P455" s="408"/>
      <c r="Q455" s="408"/>
      <c r="R455" s="408"/>
      <c r="S455" s="408"/>
      <c r="T455" s="408"/>
      <c r="U455" s="408"/>
      <c r="V455" s="408"/>
      <c r="W455" s="408"/>
      <c r="X455" s="408"/>
      <c r="Y455" s="408"/>
      <c r="Z455" s="408"/>
    </row>
    <row r="456" ht="14.25" customHeight="1">
      <c r="A456" s="408"/>
      <c r="B456" s="408"/>
      <c r="C456" s="552"/>
      <c r="D456" s="408"/>
      <c r="E456" s="408"/>
      <c r="F456" s="408"/>
      <c r="G456" s="408"/>
      <c r="H456" s="408"/>
      <c r="I456" s="408"/>
      <c r="J456" s="408"/>
      <c r="K456" s="408"/>
      <c r="L456" s="408"/>
      <c r="M456" s="408"/>
      <c r="N456" s="408"/>
      <c r="O456" s="408"/>
      <c r="P456" s="408"/>
      <c r="Q456" s="408"/>
      <c r="R456" s="408"/>
      <c r="S456" s="408"/>
      <c r="T456" s="408"/>
      <c r="U456" s="408"/>
      <c r="V456" s="408"/>
      <c r="W456" s="408"/>
      <c r="X456" s="408"/>
      <c r="Y456" s="408"/>
      <c r="Z456" s="408"/>
    </row>
    <row r="457" ht="14.25" customHeight="1">
      <c r="A457" s="408"/>
      <c r="B457" s="408"/>
      <c r="C457" s="552"/>
      <c r="D457" s="408"/>
      <c r="E457" s="408"/>
      <c r="F457" s="408"/>
      <c r="G457" s="408"/>
      <c r="H457" s="408"/>
      <c r="I457" s="408"/>
      <c r="J457" s="408"/>
      <c r="K457" s="408"/>
      <c r="L457" s="408"/>
      <c r="M457" s="408"/>
      <c r="N457" s="408"/>
      <c r="O457" s="408"/>
      <c r="P457" s="408"/>
      <c r="Q457" s="408"/>
      <c r="R457" s="408"/>
      <c r="S457" s="408"/>
      <c r="T457" s="408"/>
      <c r="U457" s="408"/>
      <c r="V457" s="408"/>
      <c r="W457" s="408"/>
      <c r="X457" s="408"/>
      <c r="Y457" s="408"/>
      <c r="Z457" s="408"/>
    </row>
    <row r="458" ht="14.25" customHeight="1">
      <c r="A458" s="408"/>
      <c r="B458" s="408"/>
      <c r="C458" s="552"/>
      <c r="D458" s="408"/>
      <c r="E458" s="408"/>
      <c r="F458" s="408"/>
      <c r="G458" s="408"/>
      <c r="H458" s="408"/>
      <c r="I458" s="408"/>
      <c r="J458" s="408"/>
      <c r="K458" s="408"/>
      <c r="L458" s="408"/>
      <c r="M458" s="408"/>
      <c r="N458" s="408"/>
      <c r="O458" s="408"/>
      <c r="P458" s="408"/>
      <c r="Q458" s="408"/>
      <c r="R458" s="408"/>
      <c r="S458" s="408"/>
      <c r="T458" s="408"/>
      <c r="U458" s="408"/>
      <c r="V458" s="408"/>
      <c r="W458" s="408"/>
      <c r="X458" s="408"/>
      <c r="Y458" s="408"/>
      <c r="Z458" s="408"/>
    </row>
    <row r="459" ht="14.25" customHeight="1">
      <c r="A459" s="408"/>
      <c r="B459" s="408"/>
      <c r="C459" s="552"/>
      <c r="D459" s="408"/>
      <c r="E459" s="408"/>
      <c r="F459" s="408"/>
      <c r="G459" s="408"/>
      <c r="H459" s="408"/>
      <c r="I459" s="408"/>
      <c r="J459" s="408"/>
      <c r="K459" s="408"/>
      <c r="L459" s="408"/>
      <c r="M459" s="408"/>
      <c r="N459" s="408"/>
      <c r="O459" s="408"/>
      <c r="P459" s="408"/>
      <c r="Q459" s="408"/>
      <c r="R459" s="408"/>
      <c r="S459" s="408"/>
      <c r="T459" s="408"/>
      <c r="U459" s="408"/>
      <c r="V459" s="408"/>
      <c r="W459" s="408"/>
      <c r="X459" s="408"/>
      <c r="Y459" s="408"/>
      <c r="Z459" s="408"/>
    </row>
    <row r="460" ht="14.25" customHeight="1">
      <c r="A460" s="408"/>
      <c r="B460" s="408"/>
      <c r="C460" s="552"/>
      <c r="D460" s="408"/>
      <c r="E460" s="408"/>
      <c r="F460" s="408"/>
      <c r="G460" s="408"/>
      <c r="H460" s="408"/>
      <c r="I460" s="408"/>
      <c r="J460" s="408"/>
      <c r="K460" s="408"/>
      <c r="L460" s="408"/>
      <c r="M460" s="408"/>
      <c r="N460" s="408"/>
      <c r="O460" s="408"/>
      <c r="P460" s="408"/>
      <c r="Q460" s="408"/>
      <c r="R460" s="408"/>
      <c r="S460" s="408"/>
      <c r="T460" s="408"/>
      <c r="U460" s="408"/>
      <c r="V460" s="408"/>
      <c r="W460" s="408"/>
      <c r="X460" s="408"/>
      <c r="Y460" s="408"/>
      <c r="Z460" s="408"/>
    </row>
    <row r="461" ht="14.25" customHeight="1">
      <c r="A461" s="408"/>
      <c r="B461" s="408"/>
      <c r="C461" s="552"/>
      <c r="D461" s="408"/>
      <c r="E461" s="408"/>
      <c r="F461" s="408"/>
      <c r="G461" s="408"/>
      <c r="H461" s="408"/>
      <c r="I461" s="408"/>
      <c r="J461" s="408"/>
      <c r="K461" s="408"/>
      <c r="L461" s="408"/>
      <c r="M461" s="408"/>
      <c r="N461" s="408"/>
      <c r="O461" s="408"/>
      <c r="P461" s="408"/>
      <c r="Q461" s="408"/>
      <c r="R461" s="408"/>
      <c r="S461" s="408"/>
      <c r="T461" s="408"/>
      <c r="U461" s="408"/>
      <c r="V461" s="408"/>
      <c r="W461" s="408"/>
      <c r="X461" s="408"/>
      <c r="Y461" s="408"/>
      <c r="Z461" s="408"/>
    </row>
    <row r="462" ht="14.25" customHeight="1">
      <c r="A462" s="408"/>
      <c r="B462" s="408"/>
      <c r="C462" s="552"/>
      <c r="D462" s="408"/>
      <c r="E462" s="408"/>
      <c r="F462" s="408"/>
      <c r="G462" s="408"/>
      <c r="H462" s="408"/>
      <c r="I462" s="408"/>
      <c r="J462" s="408"/>
      <c r="K462" s="408"/>
      <c r="L462" s="408"/>
      <c r="M462" s="408"/>
      <c r="N462" s="408"/>
      <c r="O462" s="408"/>
      <c r="P462" s="408"/>
      <c r="Q462" s="408"/>
      <c r="R462" s="408"/>
      <c r="S462" s="408"/>
      <c r="T462" s="408"/>
      <c r="U462" s="408"/>
      <c r="V462" s="408"/>
      <c r="W462" s="408"/>
      <c r="X462" s="408"/>
      <c r="Y462" s="408"/>
      <c r="Z462" s="408"/>
    </row>
    <row r="463" ht="14.25" customHeight="1">
      <c r="A463" s="408"/>
      <c r="B463" s="408"/>
      <c r="C463" s="552"/>
      <c r="D463" s="408"/>
      <c r="E463" s="408"/>
      <c r="F463" s="408"/>
      <c r="G463" s="408"/>
      <c r="H463" s="408"/>
      <c r="I463" s="408"/>
      <c r="J463" s="408"/>
      <c r="K463" s="408"/>
      <c r="L463" s="408"/>
      <c r="M463" s="408"/>
      <c r="N463" s="408"/>
      <c r="O463" s="408"/>
      <c r="P463" s="408"/>
      <c r="Q463" s="408"/>
      <c r="R463" s="408"/>
      <c r="S463" s="408"/>
      <c r="T463" s="408"/>
      <c r="U463" s="408"/>
      <c r="V463" s="408"/>
      <c r="W463" s="408"/>
      <c r="X463" s="408"/>
      <c r="Y463" s="408"/>
      <c r="Z463" s="408"/>
    </row>
    <row r="464" ht="14.25" customHeight="1">
      <c r="A464" s="408"/>
      <c r="B464" s="408"/>
      <c r="C464" s="552"/>
      <c r="D464" s="408"/>
      <c r="E464" s="408"/>
      <c r="F464" s="408"/>
      <c r="G464" s="408"/>
      <c r="H464" s="408"/>
      <c r="I464" s="408"/>
      <c r="J464" s="408"/>
      <c r="K464" s="408"/>
      <c r="L464" s="408"/>
      <c r="M464" s="408"/>
      <c r="N464" s="408"/>
      <c r="O464" s="408"/>
      <c r="P464" s="408"/>
      <c r="Q464" s="408"/>
      <c r="R464" s="408"/>
      <c r="S464" s="408"/>
      <c r="T464" s="408"/>
      <c r="U464" s="408"/>
      <c r="V464" s="408"/>
      <c r="W464" s="408"/>
      <c r="X464" s="408"/>
      <c r="Y464" s="408"/>
      <c r="Z464" s="408"/>
    </row>
    <row r="465" ht="14.25" customHeight="1">
      <c r="A465" s="408"/>
      <c r="B465" s="408"/>
      <c r="C465" s="552"/>
      <c r="D465" s="408"/>
      <c r="E465" s="408"/>
      <c r="F465" s="408"/>
      <c r="G465" s="408"/>
      <c r="H465" s="408"/>
      <c r="I465" s="408"/>
      <c r="J465" s="408"/>
      <c r="K465" s="408"/>
      <c r="L465" s="408"/>
      <c r="M465" s="408"/>
      <c r="N465" s="408"/>
      <c r="O465" s="408"/>
      <c r="P465" s="408"/>
      <c r="Q465" s="408"/>
      <c r="R465" s="408"/>
      <c r="S465" s="408"/>
      <c r="T465" s="408"/>
      <c r="U465" s="408"/>
      <c r="V465" s="408"/>
      <c r="W465" s="408"/>
      <c r="X465" s="408"/>
      <c r="Y465" s="408"/>
      <c r="Z465" s="408"/>
    </row>
    <row r="466" ht="14.25" customHeight="1">
      <c r="A466" s="408"/>
      <c r="B466" s="408"/>
      <c r="C466" s="552"/>
      <c r="D466" s="408"/>
      <c r="E466" s="408"/>
      <c r="F466" s="408"/>
      <c r="G466" s="408"/>
      <c r="H466" s="408"/>
      <c r="I466" s="408"/>
      <c r="J466" s="408"/>
      <c r="K466" s="408"/>
      <c r="L466" s="408"/>
      <c r="M466" s="408"/>
      <c r="N466" s="408"/>
      <c r="O466" s="408"/>
      <c r="P466" s="408"/>
      <c r="Q466" s="408"/>
      <c r="R466" s="408"/>
      <c r="S466" s="408"/>
      <c r="T466" s="408"/>
      <c r="U466" s="408"/>
      <c r="V466" s="408"/>
      <c r="W466" s="408"/>
      <c r="X466" s="408"/>
      <c r="Y466" s="408"/>
      <c r="Z466" s="408"/>
    </row>
    <row r="467" ht="14.25" customHeight="1">
      <c r="A467" s="408"/>
      <c r="B467" s="408"/>
      <c r="C467" s="552"/>
      <c r="D467" s="408"/>
      <c r="E467" s="408"/>
      <c r="F467" s="408"/>
      <c r="G467" s="408"/>
      <c r="H467" s="408"/>
      <c r="I467" s="408"/>
      <c r="J467" s="408"/>
      <c r="K467" s="408"/>
      <c r="L467" s="408"/>
      <c r="M467" s="408"/>
      <c r="N467" s="408"/>
      <c r="O467" s="408"/>
      <c r="P467" s="408"/>
      <c r="Q467" s="408"/>
      <c r="R467" s="408"/>
      <c r="S467" s="408"/>
      <c r="T467" s="408"/>
      <c r="U467" s="408"/>
      <c r="V467" s="408"/>
      <c r="W467" s="408"/>
      <c r="X467" s="408"/>
      <c r="Y467" s="408"/>
      <c r="Z467" s="408"/>
    </row>
    <row r="468" ht="14.25" customHeight="1">
      <c r="A468" s="408"/>
      <c r="B468" s="408"/>
      <c r="C468" s="552"/>
      <c r="D468" s="408"/>
      <c r="E468" s="408"/>
      <c r="F468" s="408"/>
      <c r="G468" s="408"/>
      <c r="H468" s="408"/>
      <c r="I468" s="408"/>
      <c r="J468" s="408"/>
      <c r="K468" s="408"/>
      <c r="L468" s="408"/>
      <c r="M468" s="408"/>
      <c r="N468" s="408"/>
      <c r="O468" s="408"/>
      <c r="P468" s="408"/>
      <c r="Q468" s="408"/>
      <c r="R468" s="408"/>
      <c r="S468" s="408"/>
      <c r="T468" s="408"/>
      <c r="U468" s="408"/>
      <c r="V468" s="408"/>
      <c r="W468" s="408"/>
      <c r="X468" s="408"/>
      <c r="Y468" s="408"/>
      <c r="Z468" s="408"/>
    </row>
    <row r="469" ht="14.25" customHeight="1">
      <c r="A469" s="408"/>
      <c r="B469" s="408"/>
      <c r="C469" s="552"/>
      <c r="D469" s="408"/>
      <c r="E469" s="408"/>
      <c r="F469" s="408"/>
      <c r="G469" s="408"/>
      <c r="H469" s="408"/>
      <c r="I469" s="408"/>
      <c r="J469" s="408"/>
      <c r="K469" s="408"/>
      <c r="L469" s="408"/>
      <c r="M469" s="408"/>
      <c r="N469" s="408"/>
      <c r="O469" s="408"/>
      <c r="P469" s="408"/>
      <c r="Q469" s="408"/>
      <c r="R469" s="408"/>
      <c r="S469" s="408"/>
      <c r="T469" s="408"/>
      <c r="U469" s="408"/>
      <c r="V469" s="408"/>
      <c r="W469" s="408"/>
      <c r="X469" s="408"/>
      <c r="Y469" s="408"/>
      <c r="Z469" s="408"/>
    </row>
    <row r="470" ht="14.25" customHeight="1">
      <c r="A470" s="408"/>
      <c r="B470" s="408"/>
      <c r="C470" s="552"/>
      <c r="D470" s="408"/>
      <c r="E470" s="408"/>
      <c r="F470" s="408"/>
      <c r="G470" s="408"/>
      <c r="H470" s="408"/>
      <c r="I470" s="408"/>
      <c r="J470" s="408"/>
      <c r="K470" s="408"/>
      <c r="L470" s="408"/>
      <c r="M470" s="408"/>
      <c r="N470" s="408"/>
      <c r="O470" s="408"/>
      <c r="P470" s="408"/>
      <c r="Q470" s="408"/>
      <c r="R470" s="408"/>
      <c r="S470" s="408"/>
      <c r="T470" s="408"/>
      <c r="U470" s="408"/>
      <c r="V470" s="408"/>
      <c r="W470" s="408"/>
      <c r="X470" s="408"/>
      <c r="Y470" s="408"/>
      <c r="Z470" s="408"/>
    </row>
    <row r="471" ht="14.25" customHeight="1">
      <c r="A471" s="408"/>
      <c r="B471" s="408"/>
      <c r="C471" s="552"/>
      <c r="D471" s="408"/>
      <c r="E471" s="408"/>
      <c r="F471" s="408"/>
      <c r="G471" s="408"/>
      <c r="H471" s="408"/>
      <c r="I471" s="408"/>
      <c r="J471" s="408"/>
      <c r="K471" s="408"/>
      <c r="L471" s="408"/>
      <c r="M471" s="408"/>
      <c r="N471" s="408"/>
      <c r="O471" s="408"/>
      <c r="P471" s="408"/>
      <c r="Q471" s="408"/>
      <c r="R471" s="408"/>
      <c r="S471" s="408"/>
      <c r="T471" s="408"/>
      <c r="U471" s="408"/>
      <c r="V471" s="408"/>
      <c r="W471" s="408"/>
      <c r="X471" s="408"/>
      <c r="Y471" s="408"/>
      <c r="Z471" s="408"/>
    </row>
    <row r="472" ht="14.25" customHeight="1">
      <c r="A472" s="408"/>
      <c r="B472" s="408"/>
      <c r="C472" s="552"/>
      <c r="D472" s="408"/>
      <c r="E472" s="408"/>
      <c r="F472" s="408"/>
      <c r="G472" s="408"/>
      <c r="H472" s="408"/>
      <c r="I472" s="408"/>
      <c r="J472" s="408"/>
      <c r="K472" s="408"/>
      <c r="L472" s="408"/>
      <c r="M472" s="408"/>
      <c r="N472" s="408"/>
      <c r="O472" s="408"/>
      <c r="P472" s="408"/>
      <c r="Q472" s="408"/>
      <c r="R472" s="408"/>
      <c r="S472" s="408"/>
      <c r="T472" s="408"/>
      <c r="U472" s="408"/>
      <c r="V472" s="408"/>
      <c r="W472" s="408"/>
      <c r="X472" s="408"/>
      <c r="Y472" s="408"/>
      <c r="Z472" s="408"/>
    </row>
    <row r="473" ht="14.25" customHeight="1">
      <c r="A473" s="408"/>
      <c r="B473" s="408"/>
      <c r="C473" s="552"/>
      <c r="D473" s="408"/>
      <c r="E473" s="408"/>
      <c r="F473" s="408"/>
      <c r="G473" s="408"/>
      <c r="H473" s="408"/>
      <c r="I473" s="408"/>
      <c r="J473" s="408"/>
      <c r="K473" s="408"/>
      <c r="L473" s="408"/>
      <c r="M473" s="408"/>
      <c r="N473" s="408"/>
      <c r="O473" s="408"/>
      <c r="P473" s="408"/>
      <c r="Q473" s="408"/>
      <c r="R473" s="408"/>
      <c r="S473" s="408"/>
      <c r="T473" s="408"/>
      <c r="U473" s="408"/>
      <c r="V473" s="408"/>
      <c r="W473" s="408"/>
      <c r="X473" s="408"/>
      <c r="Y473" s="408"/>
      <c r="Z473" s="408"/>
    </row>
    <row r="474" ht="14.25" customHeight="1">
      <c r="A474" s="408"/>
      <c r="B474" s="408"/>
      <c r="C474" s="552"/>
      <c r="D474" s="408"/>
      <c r="E474" s="408"/>
      <c r="F474" s="408"/>
      <c r="G474" s="408"/>
      <c r="H474" s="408"/>
      <c r="I474" s="408"/>
      <c r="J474" s="408"/>
      <c r="K474" s="408"/>
      <c r="L474" s="408"/>
      <c r="M474" s="408"/>
      <c r="N474" s="408"/>
      <c r="O474" s="408"/>
      <c r="P474" s="408"/>
      <c r="Q474" s="408"/>
      <c r="R474" s="408"/>
      <c r="S474" s="408"/>
      <c r="T474" s="408"/>
      <c r="U474" s="408"/>
      <c r="V474" s="408"/>
      <c r="W474" s="408"/>
      <c r="X474" s="408"/>
      <c r="Y474" s="408"/>
      <c r="Z474" s="408"/>
    </row>
    <row r="475" ht="14.25" customHeight="1">
      <c r="A475" s="408"/>
      <c r="B475" s="408"/>
      <c r="C475" s="552"/>
      <c r="D475" s="408"/>
      <c r="E475" s="408"/>
      <c r="F475" s="408"/>
      <c r="G475" s="408"/>
      <c r="H475" s="408"/>
      <c r="I475" s="408"/>
      <c r="J475" s="408"/>
      <c r="K475" s="408"/>
      <c r="L475" s="408"/>
      <c r="M475" s="408"/>
      <c r="N475" s="408"/>
      <c r="O475" s="408"/>
      <c r="P475" s="408"/>
      <c r="Q475" s="408"/>
      <c r="R475" s="408"/>
      <c r="S475" s="408"/>
      <c r="T475" s="408"/>
      <c r="U475" s="408"/>
      <c r="V475" s="408"/>
      <c r="W475" s="408"/>
      <c r="X475" s="408"/>
      <c r="Y475" s="408"/>
      <c r="Z475" s="408"/>
    </row>
    <row r="476" ht="14.25" customHeight="1">
      <c r="A476" s="408"/>
      <c r="B476" s="408"/>
      <c r="C476" s="552"/>
      <c r="D476" s="408"/>
      <c r="E476" s="408"/>
      <c r="F476" s="408"/>
      <c r="G476" s="408"/>
      <c r="H476" s="408"/>
      <c r="I476" s="408"/>
      <c r="J476" s="408"/>
      <c r="K476" s="408"/>
      <c r="L476" s="408"/>
      <c r="M476" s="408"/>
      <c r="N476" s="408"/>
      <c r="O476" s="408"/>
      <c r="P476" s="408"/>
      <c r="Q476" s="408"/>
      <c r="R476" s="408"/>
      <c r="S476" s="408"/>
      <c r="T476" s="408"/>
      <c r="U476" s="408"/>
      <c r="V476" s="408"/>
      <c r="W476" s="408"/>
      <c r="X476" s="408"/>
      <c r="Y476" s="408"/>
      <c r="Z476" s="408"/>
    </row>
    <row r="477" ht="14.25" customHeight="1">
      <c r="A477" s="408"/>
      <c r="B477" s="408"/>
      <c r="C477" s="552"/>
      <c r="D477" s="408"/>
      <c r="E477" s="408"/>
      <c r="F477" s="408"/>
      <c r="G477" s="408"/>
      <c r="H477" s="408"/>
      <c r="I477" s="408"/>
      <c r="J477" s="408"/>
      <c r="K477" s="408"/>
      <c r="L477" s="408"/>
      <c r="M477" s="408"/>
      <c r="N477" s="408"/>
      <c r="O477" s="408"/>
      <c r="P477" s="408"/>
      <c r="Q477" s="408"/>
      <c r="R477" s="408"/>
      <c r="S477" s="408"/>
      <c r="T477" s="408"/>
      <c r="U477" s="408"/>
      <c r="V477" s="408"/>
      <c r="W477" s="408"/>
      <c r="X477" s="408"/>
      <c r="Y477" s="408"/>
      <c r="Z477" s="408"/>
    </row>
    <row r="478" ht="14.25" customHeight="1">
      <c r="A478" s="408"/>
      <c r="B478" s="408"/>
      <c r="C478" s="552"/>
      <c r="D478" s="408"/>
      <c r="E478" s="408"/>
      <c r="F478" s="408"/>
      <c r="G478" s="408"/>
      <c r="H478" s="408"/>
      <c r="I478" s="408"/>
      <c r="J478" s="408"/>
      <c r="K478" s="408"/>
      <c r="L478" s="408"/>
      <c r="M478" s="408"/>
      <c r="N478" s="408"/>
      <c r="O478" s="408"/>
      <c r="P478" s="408"/>
      <c r="Q478" s="408"/>
      <c r="R478" s="408"/>
      <c r="S478" s="408"/>
      <c r="T478" s="408"/>
      <c r="U478" s="408"/>
      <c r="V478" s="408"/>
      <c r="W478" s="408"/>
      <c r="X478" s="408"/>
      <c r="Y478" s="408"/>
      <c r="Z478" s="408"/>
    </row>
    <row r="479" ht="14.25" customHeight="1">
      <c r="A479" s="408"/>
      <c r="B479" s="408"/>
      <c r="C479" s="552"/>
      <c r="D479" s="408"/>
      <c r="E479" s="408"/>
      <c r="F479" s="408"/>
      <c r="G479" s="408"/>
      <c r="H479" s="408"/>
      <c r="I479" s="408"/>
      <c r="J479" s="408"/>
      <c r="K479" s="408"/>
      <c r="L479" s="408"/>
      <c r="M479" s="408"/>
      <c r="N479" s="408"/>
      <c r="O479" s="408"/>
      <c r="P479" s="408"/>
      <c r="Q479" s="408"/>
      <c r="R479" s="408"/>
      <c r="S479" s="408"/>
      <c r="T479" s="408"/>
      <c r="U479" s="408"/>
      <c r="V479" s="408"/>
      <c r="W479" s="408"/>
      <c r="X479" s="408"/>
      <c r="Y479" s="408"/>
      <c r="Z479" s="408"/>
    </row>
    <row r="480" ht="14.25" customHeight="1">
      <c r="A480" s="408"/>
      <c r="B480" s="408"/>
      <c r="C480" s="552"/>
      <c r="D480" s="408"/>
      <c r="E480" s="408"/>
      <c r="F480" s="408"/>
      <c r="G480" s="408"/>
      <c r="H480" s="408"/>
      <c r="I480" s="408"/>
      <c r="J480" s="408"/>
      <c r="K480" s="408"/>
      <c r="L480" s="408"/>
      <c r="M480" s="408"/>
      <c r="N480" s="408"/>
      <c r="O480" s="408"/>
      <c r="P480" s="408"/>
      <c r="Q480" s="408"/>
      <c r="R480" s="408"/>
      <c r="S480" s="408"/>
      <c r="T480" s="408"/>
      <c r="U480" s="408"/>
      <c r="V480" s="408"/>
      <c r="W480" s="408"/>
      <c r="X480" s="408"/>
      <c r="Y480" s="408"/>
      <c r="Z480" s="408"/>
    </row>
    <row r="481" ht="14.25" customHeight="1">
      <c r="A481" s="408"/>
      <c r="B481" s="408"/>
      <c r="C481" s="552"/>
      <c r="D481" s="408"/>
      <c r="E481" s="408"/>
      <c r="F481" s="408"/>
      <c r="G481" s="408"/>
      <c r="H481" s="408"/>
      <c r="I481" s="408"/>
      <c r="J481" s="408"/>
      <c r="K481" s="408"/>
      <c r="L481" s="408"/>
      <c r="M481" s="408"/>
      <c r="N481" s="408"/>
      <c r="O481" s="408"/>
      <c r="P481" s="408"/>
      <c r="Q481" s="408"/>
      <c r="R481" s="408"/>
      <c r="S481" s="408"/>
      <c r="T481" s="408"/>
      <c r="U481" s="408"/>
      <c r="V481" s="408"/>
      <c r="W481" s="408"/>
      <c r="X481" s="408"/>
      <c r="Y481" s="408"/>
      <c r="Z481" s="408"/>
    </row>
    <row r="482" ht="14.25" customHeight="1">
      <c r="A482" s="408"/>
      <c r="B482" s="408"/>
      <c r="C482" s="552"/>
      <c r="D482" s="408"/>
      <c r="E482" s="408"/>
      <c r="F482" s="408"/>
      <c r="G482" s="408"/>
      <c r="H482" s="408"/>
      <c r="I482" s="408"/>
      <c r="J482" s="408"/>
      <c r="K482" s="408"/>
      <c r="L482" s="408"/>
      <c r="M482" s="408"/>
      <c r="N482" s="408"/>
      <c r="O482" s="408"/>
      <c r="P482" s="408"/>
      <c r="Q482" s="408"/>
      <c r="R482" s="408"/>
      <c r="S482" s="408"/>
      <c r="T482" s="408"/>
      <c r="U482" s="408"/>
      <c r="V482" s="408"/>
      <c r="W482" s="408"/>
      <c r="X482" s="408"/>
      <c r="Y482" s="408"/>
      <c r="Z482" s="408"/>
    </row>
    <row r="483" ht="14.25" customHeight="1">
      <c r="A483" s="408"/>
      <c r="B483" s="408"/>
      <c r="C483" s="552"/>
      <c r="D483" s="408"/>
      <c r="E483" s="408"/>
      <c r="F483" s="408"/>
      <c r="G483" s="408"/>
      <c r="H483" s="408"/>
      <c r="I483" s="408"/>
      <c r="J483" s="408"/>
      <c r="K483" s="408"/>
      <c r="L483" s="408"/>
      <c r="M483" s="408"/>
      <c r="N483" s="408"/>
      <c r="O483" s="408"/>
      <c r="P483" s="408"/>
      <c r="Q483" s="408"/>
      <c r="R483" s="408"/>
      <c r="S483" s="408"/>
      <c r="T483" s="408"/>
      <c r="U483" s="408"/>
      <c r="V483" s="408"/>
      <c r="W483" s="408"/>
      <c r="X483" s="408"/>
      <c r="Y483" s="408"/>
      <c r="Z483" s="408"/>
    </row>
    <row r="484" ht="14.25" customHeight="1">
      <c r="A484" s="408"/>
      <c r="B484" s="408"/>
      <c r="C484" s="552"/>
      <c r="D484" s="408"/>
      <c r="E484" s="408"/>
      <c r="F484" s="408"/>
      <c r="G484" s="408"/>
      <c r="H484" s="408"/>
      <c r="I484" s="408"/>
      <c r="J484" s="408"/>
      <c r="K484" s="408"/>
      <c r="L484" s="408"/>
      <c r="M484" s="408"/>
      <c r="N484" s="408"/>
      <c r="O484" s="408"/>
      <c r="P484" s="408"/>
      <c r="Q484" s="408"/>
      <c r="R484" s="408"/>
      <c r="S484" s="408"/>
      <c r="T484" s="408"/>
      <c r="U484" s="408"/>
      <c r="V484" s="408"/>
      <c r="W484" s="408"/>
      <c r="X484" s="408"/>
      <c r="Y484" s="408"/>
      <c r="Z484" s="408"/>
    </row>
    <row r="485" ht="14.25" customHeight="1">
      <c r="A485" s="408"/>
      <c r="B485" s="408"/>
      <c r="C485" s="552"/>
      <c r="D485" s="408"/>
      <c r="E485" s="408"/>
      <c r="F485" s="408"/>
      <c r="G485" s="408"/>
      <c r="H485" s="408"/>
      <c r="I485" s="408"/>
      <c r="J485" s="408"/>
      <c r="K485" s="408"/>
      <c r="L485" s="408"/>
      <c r="M485" s="408"/>
      <c r="N485" s="408"/>
      <c r="O485" s="408"/>
      <c r="P485" s="408"/>
      <c r="Q485" s="408"/>
      <c r="R485" s="408"/>
      <c r="S485" s="408"/>
      <c r="T485" s="408"/>
      <c r="U485" s="408"/>
      <c r="V485" s="408"/>
      <c r="W485" s="408"/>
      <c r="X485" s="408"/>
      <c r="Y485" s="408"/>
      <c r="Z485" s="408"/>
    </row>
    <row r="486" ht="14.25" customHeight="1">
      <c r="A486" s="408"/>
      <c r="B486" s="408"/>
      <c r="C486" s="552"/>
      <c r="D486" s="408"/>
      <c r="E486" s="408"/>
      <c r="F486" s="408"/>
      <c r="G486" s="408"/>
      <c r="H486" s="408"/>
      <c r="I486" s="408"/>
      <c r="J486" s="408"/>
      <c r="K486" s="408"/>
      <c r="L486" s="408"/>
      <c r="M486" s="408"/>
      <c r="N486" s="408"/>
      <c r="O486" s="408"/>
      <c r="P486" s="408"/>
      <c r="Q486" s="408"/>
      <c r="R486" s="408"/>
      <c r="S486" s="408"/>
      <c r="T486" s="408"/>
      <c r="U486" s="408"/>
      <c r="V486" s="408"/>
      <c r="W486" s="408"/>
      <c r="X486" s="408"/>
      <c r="Y486" s="408"/>
      <c r="Z486" s="408"/>
    </row>
    <row r="487" ht="14.25" customHeight="1">
      <c r="A487" s="408"/>
      <c r="B487" s="408"/>
      <c r="C487" s="552"/>
      <c r="D487" s="408"/>
      <c r="E487" s="408"/>
      <c r="F487" s="408"/>
      <c r="G487" s="408"/>
      <c r="H487" s="408"/>
      <c r="I487" s="408"/>
      <c r="J487" s="408"/>
      <c r="K487" s="408"/>
      <c r="L487" s="408"/>
      <c r="M487" s="408"/>
      <c r="N487" s="408"/>
      <c r="O487" s="408"/>
      <c r="P487" s="408"/>
      <c r="Q487" s="408"/>
      <c r="R487" s="408"/>
      <c r="S487" s="408"/>
      <c r="T487" s="408"/>
      <c r="U487" s="408"/>
      <c r="V487" s="408"/>
      <c r="W487" s="408"/>
      <c r="X487" s="408"/>
      <c r="Y487" s="408"/>
      <c r="Z487" s="408"/>
    </row>
    <row r="488" ht="14.25" customHeight="1">
      <c r="A488" s="408"/>
      <c r="B488" s="408"/>
      <c r="C488" s="552"/>
      <c r="D488" s="408"/>
      <c r="E488" s="408"/>
      <c r="F488" s="408"/>
      <c r="G488" s="408"/>
      <c r="H488" s="408"/>
      <c r="I488" s="408"/>
      <c r="J488" s="408"/>
      <c r="K488" s="408"/>
      <c r="L488" s="408"/>
      <c r="M488" s="408"/>
      <c r="N488" s="408"/>
      <c r="O488" s="408"/>
      <c r="P488" s="408"/>
      <c r="Q488" s="408"/>
      <c r="R488" s="408"/>
      <c r="S488" s="408"/>
      <c r="T488" s="408"/>
      <c r="U488" s="408"/>
      <c r="V488" s="408"/>
      <c r="W488" s="408"/>
      <c r="X488" s="408"/>
      <c r="Y488" s="408"/>
      <c r="Z488" s="408"/>
    </row>
    <row r="489" ht="14.25" customHeight="1">
      <c r="A489" s="408"/>
      <c r="B489" s="408"/>
      <c r="C489" s="552"/>
      <c r="D489" s="408"/>
      <c r="E489" s="408"/>
      <c r="F489" s="408"/>
      <c r="G489" s="408"/>
      <c r="H489" s="408"/>
      <c r="I489" s="408"/>
      <c r="J489" s="408"/>
      <c r="K489" s="408"/>
      <c r="L489" s="408"/>
      <c r="M489" s="408"/>
      <c r="N489" s="408"/>
      <c r="O489" s="408"/>
      <c r="P489" s="408"/>
      <c r="Q489" s="408"/>
      <c r="R489" s="408"/>
      <c r="S489" s="408"/>
      <c r="T489" s="408"/>
      <c r="U489" s="408"/>
      <c r="V489" s="408"/>
      <c r="W489" s="408"/>
      <c r="X489" s="408"/>
      <c r="Y489" s="408"/>
      <c r="Z489" s="408"/>
    </row>
    <row r="490" ht="14.25" customHeight="1">
      <c r="A490" s="408"/>
      <c r="B490" s="408"/>
      <c r="C490" s="552"/>
      <c r="D490" s="408"/>
      <c r="E490" s="408"/>
      <c r="F490" s="408"/>
      <c r="G490" s="408"/>
      <c r="H490" s="408"/>
      <c r="I490" s="408"/>
      <c r="J490" s="408"/>
      <c r="K490" s="408"/>
      <c r="L490" s="408"/>
      <c r="M490" s="408"/>
      <c r="N490" s="408"/>
      <c r="O490" s="408"/>
      <c r="P490" s="408"/>
      <c r="Q490" s="408"/>
      <c r="R490" s="408"/>
      <c r="S490" s="408"/>
      <c r="T490" s="408"/>
      <c r="U490" s="408"/>
      <c r="V490" s="408"/>
      <c r="W490" s="408"/>
      <c r="X490" s="408"/>
      <c r="Y490" s="408"/>
      <c r="Z490" s="408"/>
    </row>
    <row r="491" ht="14.25" customHeight="1">
      <c r="A491" s="408"/>
      <c r="B491" s="408"/>
      <c r="C491" s="552"/>
      <c r="D491" s="408"/>
      <c r="E491" s="408"/>
      <c r="F491" s="408"/>
      <c r="G491" s="408"/>
      <c r="H491" s="408"/>
      <c r="I491" s="408"/>
      <c r="J491" s="408"/>
      <c r="K491" s="408"/>
      <c r="L491" s="408"/>
      <c r="M491" s="408"/>
      <c r="N491" s="408"/>
      <c r="O491" s="408"/>
      <c r="P491" s="408"/>
      <c r="Q491" s="408"/>
      <c r="R491" s="408"/>
      <c r="S491" s="408"/>
      <c r="T491" s="408"/>
      <c r="U491" s="408"/>
      <c r="V491" s="408"/>
      <c r="W491" s="408"/>
      <c r="X491" s="408"/>
      <c r="Y491" s="408"/>
      <c r="Z491" s="408"/>
    </row>
    <row r="492" ht="14.25" customHeight="1">
      <c r="A492" s="408"/>
      <c r="B492" s="408"/>
      <c r="C492" s="552"/>
      <c r="D492" s="408"/>
      <c r="E492" s="408"/>
      <c r="F492" s="408"/>
      <c r="G492" s="408"/>
      <c r="H492" s="408"/>
      <c r="I492" s="408"/>
      <c r="J492" s="408"/>
      <c r="K492" s="408"/>
      <c r="L492" s="408"/>
      <c r="M492" s="408"/>
      <c r="N492" s="408"/>
      <c r="O492" s="408"/>
      <c r="P492" s="408"/>
      <c r="Q492" s="408"/>
      <c r="R492" s="408"/>
      <c r="S492" s="408"/>
      <c r="T492" s="408"/>
      <c r="U492" s="408"/>
      <c r="V492" s="408"/>
      <c r="W492" s="408"/>
      <c r="X492" s="408"/>
      <c r="Y492" s="408"/>
      <c r="Z492" s="408"/>
    </row>
    <row r="493" ht="14.25" customHeight="1">
      <c r="A493" s="408"/>
      <c r="B493" s="408"/>
      <c r="C493" s="552"/>
      <c r="D493" s="408"/>
      <c r="E493" s="408"/>
      <c r="F493" s="408"/>
      <c r="G493" s="408"/>
      <c r="H493" s="408"/>
      <c r="I493" s="408"/>
      <c r="J493" s="408"/>
      <c r="K493" s="408"/>
      <c r="L493" s="408"/>
      <c r="M493" s="408"/>
      <c r="N493" s="408"/>
      <c r="O493" s="408"/>
      <c r="P493" s="408"/>
      <c r="Q493" s="408"/>
      <c r="R493" s="408"/>
      <c r="S493" s="408"/>
      <c r="T493" s="408"/>
      <c r="U493" s="408"/>
      <c r="V493" s="408"/>
      <c r="W493" s="408"/>
      <c r="X493" s="408"/>
      <c r="Y493" s="408"/>
      <c r="Z493" s="408"/>
    </row>
    <row r="494" ht="14.25" customHeight="1">
      <c r="A494" s="408"/>
      <c r="B494" s="408"/>
      <c r="C494" s="552"/>
      <c r="D494" s="408"/>
      <c r="E494" s="408"/>
      <c r="F494" s="408"/>
      <c r="G494" s="408"/>
      <c r="H494" s="408"/>
      <c r="I494" s="408"/>
      <c r="J494" s="408"/>
      <c r="K494" s="408"/>
      <c r="L494" s="408"/>
      <c r="M494" s="408"/>
      <c r="N494" s="408"/>
      <c r="O494" s="408"/>
      <c r="P494" s="408"/>
      <c r="Q494" s="408"/>
      <c r="R494" s="408"/>
      <c r="S494" s="408"/>
      <c r="T494" s="408"/>
      <c r="U494" s="408"/>
      <c r="V494" s="408"/>
      <c r="W494" s="408"/>
      <c r="X494" s="408"/>
      <c r="Y494" s="408"/>
      <c r="Z494" s="408"/>
    </row>
    <row r="495" ht="14.25" customHeight="1">
      <c r="A495" s="408"/>
      <c r="B495" s="408"/>
      <c r="C495" s="552"/>
      <c r="D495" s="408"/>
      <c r="E495" s="408"/>
      <c r="F495" s="408"/>
      <c r="G495" s="408"/>
      <c r="H495" s="408"/>
      <c r="I495" s="408"/>
      <c r="J495" s="408"/>
      <c r="K495" s="408"/>
      <c r="L495" s="408"/>
      <c r="M495" s="408"/>
      <c r="N495" s="408"/>
      <c r="O495" s="408"/>
      <c r="P495" s="408"/>
      <c r="Q495" s="408"/>
      <c r="R495" s="408"/>
      <c r="S495" s="408"/>
      <c r="T495" s="408"/>
      <c r="U495" s="408"/>
      <c r="V495" s="408"/>
      <c r="W495" s="408"/>
      <c r="X495" s="408"/>
      <c r="Y495" s="408"/>
      <c r="Z495" s="408"/>
    </row>
    <row r="496" ht="14.25" customHeight="1">
      <c r="A496" s="408"/>
      <c r="B496" s="408"/>
      <c r="C496" s="552"/>
      <c r="D496" s="408"/>
      <c r="E496" s="408"/>
      <c r="F496" s="408"/>
      <c r="G496" s="408"/>
      <c r="H496" s="408"/>
      <c r="I496" s="408"/>
      <c r="J496" s="408"/>
      <c r="K496" s="408"/>
      <c r="L496" s="408"/>
      <c r="M496" s="408"/>
      <c r="N496" s="408"/>
      <c r="O496" s="408"/>
      <c r="P496" s="408"/>
      <c r="Q496" s="408"/>
      <c r="R496" s="408"/>
      <c r="S496" s="408"/>
      <c r="T496" s="408"/>
      <c r="U496" s="408"/>
      <c r="V496" s="408"/>
      <c r="W496" s="408"/>
      <c r="X496" s="408"/>
      <c r="Y496" s="408"/>
      <c r="Z496" s="408"/>
    </row>
    <row r="497" ht="14.25" customHeight="1">
      <c r="A497" s="408"/>
      <c r="B497" s="408"/>
      <c r="C497" s="552"/>
      <c r="D497" s="408"/>
      <c r="E497" s="408"/>
      <c r="F497" s="408"/>
      <c r="G497" s="408"/>
      <c r="H497" s="408"/>
      <c r="I497" s="408"/>
      <c r="J497" s="408"/>
      <c r="K497" s="408"/>
      <c r="L497" s="408"/>
      <c r="M497" s="408"/>
      <c r="N497" s="408"/>
      <c r="O497" s="408"/>
      <c r="P497" s="408"/>
      <c r="Q497" s="408"/>
      <c r="R497" s="408"/>
      <c r="S497" s="408"/>
      <c r="T497" s="408"/>
      <c r="U497" s="408"/>
      <c r="V497" s="408"/>
      <c r="W497" s="408"/>
      <c r="X497" s="408"/>
      <c r="Y497" s="408"/>
      <c r="Z497" s="408"/>
    </row>
    <row r="498" ht="14.25" customHeight="1">
      <c r="A498" s="408"/>
      <c r="B498" s="408"/>
      <c r="C498" s="552"/>
      <c r="D498" s="408"/>
      <c r="E498" s="408"/>
      <c r="F498" s="408"/>
      <c r="G498" s="408"/>
      <c r="H498" s="408"/>
      <c r="I498" s="408"/>
      <c r="J498" s="408"/>
      <c r="K498" s="408"/>
      <c r="L498" s="408"/>
      <c r="M498" s="408"/>
      <c r="N498" s="408"/>
      <c r="O498" s="408"/>
      <c r="P498" s="408"/>
      <c r="Q498" s="408"/>
      <c r="R498" s="408"/>
      <c r="S498" s="408"/>
      <c r="T498" s="408"/>
      <c r="U498" s="408"/>
      <c r="V498" s="408"/>
      <c r="W498" s="408"/>
      <c r="X498" s="408"/>
      <c r="Y498" s="408"/>
      <c r="Z498" s="408"/>
    </row>
    <row r="499" ht="14.25" customHeight="1">
      <c r="A499" s="408"/>
      <c r="B499" s="408"/>
      <c r="C499" s="552"/>
      <c r="D499" s="408"/>
      <c r="E499" s="408"/>
      <c r="F499" s="408"/>
      <c r="G499" s="408"/>
      <c r="H499" s="408"/>
      <c r="I499" s="408"/>
      <c r="J499" s="408"/>
      <c r="K499" s="408"/>
      <c r="L499" s="408"/>
      <c r="M499" s="408"/>
      <c r="N499" s="408"/>
      <c r="O499" s="408"/>
      <c r="P499" s="408"/>
      <c r="Q499" s="408"/>
      <c r="R499" s="408"/>
      <c r="S499" s="408"/>
      <c r="T499" s="408"/>
      <c r="U499" s="408"/>
      <c r="V499" s="408"/>
      <c r="W499" s="408"/>
      <c r="X499" s="408"/>
      <c r="Y499" s="408"/>
      <c r="Z499" s="408"/>
    </row>
    <row r="500" ht="14.25" customHeight="1">
      <c r="A500" s="408"/>
      <c r="B500" s="408"/>
      <c r="C500" s="552"/>
      <c r="D500" s="408"/>
      <c r="E500" s="408"/>
      <c r="F500" s="408"/>
      <c r="G500" s="408"/>
      <c r="H500" s="408"/>
      <c r="I500" s="408"/>
      <c r="J500" s="408"/>
      <c r="K500" s="408"/>
      <c r="L500" s="408"/>
      <c r="M500" s="408"/>
      <c r="N500" s="408"/>
      <c r="O500" s="408"/>
      <c r="P500" s="408"/>
      <c r="Q500" s="408"/>
      <c r="R500" s="408"/>
      <c r="S500" s="408"/>
      <c r="T500" s="408"/>
      <c r="U500" s="408"/>
      <c r="V500" s="408"/>
      <c r="W500" s="408"/>
      <c r="X500" s="408"/>
      <c r="Y500" s="408"/>
      <c r="Z500" s="408"/>
    </row>
    <row r="501" ht="14.25" customHeight="1">
      <c r="A501" s="408"/>
      <c r="B501" s="408"/>
      <c r="C501" s="552"/>
      <c r="D501" s="408"/>
      <c r="E501" s="408"/>
      <c r="F501" s="408"/>
      <c r="G501" s="408"/>
      <c r="H501" s="408"/>
      <c r="I501" s="408"/>
      <c r="J501" s="408"/>
      <c r="K501" s="408"/>
      <c r="L501" s="408"/>
      <c r="M501" s="408"/>
      <c r="N501" s="408"/>
      <c r="O501" s="408"/>
      <c r="P501" s="408"/>
      <c r="Q501" s="408"/>
      <c r="R501" s="408"/>
      <c r="S501" s="408"/>
      <c r="T501" s="408"/>
      <c r="U501" s="408"/>
      <c r="V501" s="408"/>
      <c r="W501" s="408"/>
      <c r="X501" s="408"/>
      <c r="Y501" s="408"/>
      <c r="Z501" s="408"/>
    </row>
    <row r="502" ht="14.25" customHeight="1">
      <c r="A502" s="408"/>
      <c r="B502" s="408"/>
      <c r="C502" s="552"/>
      <c r="D502" s="408"/>
      <c r="E502" s="408"/>
      <c r="F502" s="408"/>
      <c r="G502" s="408"/>
      <c r="H502" s="408"/>
      <c r="I502" s="408"/>
      <c r="J502" s="408"/>
      <c r="K502" s="408"/>
      <c r="L502" s="408"/>
      <c r="M502" s="408"/>
      <c r="N502" s="408"/>
      <c r="O502" s="408"/>
      <c r="P502" s="408"/>
      <c r="Q502" s="408"/>
      <c r="R502" s="408"/>
      <c r="S502" s="408"/>
      <c r="T502" s="408"/>
      <c r="U502" s="408"/>
      <c r="V502" s="408"/>
      <c r="W502" s="408"/>
      <c r="X502" s="408"/>
      <c r="Y502" s="408"/>
      <c r="Z502" s="408"/>
    </row>
    <row r="503" ht="14.25" customHeight="1">
      <c r="A503" s="408"/>
      <c r="B503" s="408"/>
      <c r="C503" s="552"/>
      <c r="D503" s="408"/>
      <c r="E503" s="408"/>
      <c r="F503" s="408"/>
      <c r="G503" s="408"/>
      <c r="H503" s="408"/>
      <c r="I503" s="408"/>
      <c r="J503" s="408"/>
      <c r="K503" s="408"/>
      <c r="L503" s="408"/>
      <c r="M503" s="408"/>
      <c r="N503" s="408"/>
      <c r="O503" s="408"/>
      <c r="P503" s="408"/>
      <c r="Q503" s="408"/>
      <c r="R503" s="408"/>
      <c r="S503" s="408"/>
      <c r="T503" s="408"/>
      <c r="U503" s="408"/>
      <c r="V503" s="408"/>
      <c r="W503" s="408"/>
      <c r="X503" s="408"/>
      <c r="Y503" s="408"/>
      <c r="Z503" s="408"/>
    </row>
    <row r="504" ht="14.25" customHeight="1">
      <c r="A504" s="408"/>
      <c r="B504" s="408"/>
      <c r="C504" s="552"/>
      <c r="D504" s="408"/>
      <c r="E504" s="408"/>
      <c r="F504" s="408"/>
      <c r="G504" s="408"/>
      <c r="H504" s="408"/>
      <c r="I504" s="408"/>
      <c r="J504" s="408"/>
      <c r="K504" s="408"/>
      <c r="L504" s="408"/>
      <c r="M504" s="408"/>
      <c r="N504" s="408"/>
      <c r="O504" s="408"/>
      <c r="P504" s="408"/>
      <c r="Q504" s="408"/>
      <c r="R504" s="408"/>
      <c r="S504" s="408"/>
      <c r="T504" s="408"/>
      <c r="U504" s="408"/>
      <c r="V504" s="408"/>
      <c r="W504" s="408"/>
      <c r="X504" s="408"/>
      <c r="Y504" s="408"/>
      <c r="Z504" s="408"/>
    </row>
    <row r="505" ht="14.25" customHeight="1">
      <c r="A505" s="408"/>
      <c r="B505" s="408"/>
      <c r="C505" s="552"/>
      <c r="D505" s="408"/>
      <c r="E505" s="408"/>
      <c r="F505" s="408"/>
      <c r="G505" s="408"/>
      <c r="H505" s="408"/>
      <c r="I505" s="408"/>
      <c r="J505" s="408"/>
      <c r="K505" s="408"/>
      <c r="L505" s="408"/>
      <c r="M505" s="408"/>
      <c r="N505" s="408"/>
      <c r="O505" s="408"/>
      <c r="P505" s="408"/>
      <c r="Q505" s="408"/>
      <c r="R505" s="408"/>
      <c r="S505" s="408"/>
      <c r="T505" s="408"/>
      <c r="U505" s="408"/>
      <c r="V505" s="408"/>
      <c r="W505" s="408"/>
      <c r="X505" s="408"/>
      <c r="Y505" s="408"/>
      <c r="Z505" s="408"/>
    </row>
    <row r="506" ht="14.25" customHeight="1">
      <c r="A506" s="408"/>
      <c r="B506" s="408"/>
      <c r="C506" s="552"/>
      <c r="D506" s="408"/>
      <c r="E506" s="408"/>
      <c r="F506" s="408"/>
      <c r="G506" s="408"/>
      <c r="H506" s="408"/>
      <c r="I506" s="408"/>
      <c r="J506" s="408"/>
      <c r="K506" s="408"/>
      <c r="L506" s="408"/>
      <c r="M506" s="408"/>
      <c r="N506" s="408"/>
      <c r="O506" s="408"/>
      <c r="P506" s="408"/>
      <c r="Q506" s="408"/>
      <c r="R506" s="408"/>
      <c r="S506" s="408"/>
      <c r="T506" s="408"/>
      <c r="U506" s="408"/>
      <c r="V506" s="408"/>
      <c r="W506" s="408"/>
      <c r="X506" s="408"/>
      <c r="Y506" s="408"/>
      <c r="Z506" s="408"/>
    </row>
    <row r="507" ht="14.25" customHeight="1">
      <c r="A507" s="408"/>
      <c r="B507" s="408"/>
      <c r="C507" s="552"/>
      <c r="D507" s="408"/>
      <c r="E507" s="408"/>
      <c r="F507" s="408"/>
      <c r="G507" s="408"/>
      <c r="H507" s="408"/>
      <c r="I507" s="408"/>
      <c r="J507" s="408"/>
      <c r="K507" s="408"/>
      <c r="L507" s="408"/>
      <c r="M507" s="408"/>
      <c r="N507" s="408"/>
      <c r="O507" s="408"/>
      <c r="P507" s="408"/>
      <c r="Q507" s="408"/>
      <c r="R507" s="408"/>
      <c r="S507" s="408"/>
      <c r="T507" s="408"/>
      <c r="U507" s="408"/>
      <c r="V507" s="408"/>
      <c r="W507" s="408"/>
      <c r="X507" s="408"/>
      <c r="Y507" s="408"/>
      <c r="Z507" s="408"/>
    </row>
    <row r="508" ht="14.25" customHeight="1">
      <c r="A508" s="408"/>
      <c r="B508" s="408"/>
      <c r="C508" s="552"/>
      <c r="D508" s="408"/>
      <c r="E508" s="408"/>
      <c r="F508" s="408"/>
      <c r="G508" s="408"/>
      <c r="H508" s="408"/>
      <c r="I508" s="408"/>
      <c r="J508" s="408"/>
      <c r="K508" s="408"/>
      <c r="L508" s="408"/>
      <c r="M508" s="408"/>
      <c r="N508" s="408"/>
      <c r="O508" s="408"/>
      <c r="P508" s="408"/>
      <c r="Q508" s="408"/>
      <c r="R508" s="408"/>
      <c r="S508" s="408"/>
      <c r="T508" s="408"/>
      <c r="U508" s="408"/>
      <c r="V508" s="408"/>
      <c r="W508" s="408"/>
      <c r="X508" s="408"/>
      <c r="Y508" s="408"/>
      <c r="Z508" s="408"/>
    </row>
    <row r="509" ht="14.25" customHeight="1">
      <c r="A509" s="408"/>
      <c r="B509" s="408"/>
      <c r="C509" s="552"/>
      <c r="D509" s="408"/>
      <c r="E509" s="408"/>
      <c r="F509" s="408"/>
      <c r="G509" s="408"/>
      <c r="H509" s="408"/>
      <c r="I509" s="408"/>
      <c r="J509" s="408"/>
      <c r="K509" s="408"/>
      <c r="L509" s="408"/>
      <c r="M509" s="408"/>
      <c r="N509" s="408"/>
      <c r="O509" s="408"/>
      <c r="P509" s="408"/>
      <c r="Q509" s="408"/>
      <c r="R509" s="408"/>
      <c r="S509" s="408"/>
      <c r="T509" s="408"/>
      <c r="U509" s="408"/>
      <c r="V509" s="408"/>
      <c r="W509" s="408"/>
      <c r="X509" s="408"/>
      <c r="Y509" s="408"/>
      <c r="Z509" s="408"/>
    </row>
    <row r="510" ht="14.25" customHeight="1">
      <c r="A510" s="408"/>
      <c r="B510" s="408"/>
      <c r="C510" s="552"/>
      <c r="D510" s="408"/>
      <c r="E510" s="408"/>
      <c r="F510" s="408"/>
      <c r="G510" s="408"/>
      <c r="H510" s="408"/>
      <c r="I510" s="408"/>
      <c r="J510" s="408"/>
      <c r="K510" s="408"/>
      <c r="L510" s="408"/>
      <c r="M510" s="408"/>
      <c r="N510" s="408"/>
      <c r="O510" s="408"/>
      <c r="P510" s="408"/>
      <c r="Q510" s="408"/>
      <c r="R510" s="408"/>
      <c r="S510" s="408"/>
      <c r="T510" s="408"/>
      <c r="U510" s="408"/>
      <c r="V510" s="408"/>
      <c r="W510" s="408"/>
      <c r="X510" s="408"/>
      <c r="Y510" s="408"/>
      <c r="Z510" s="408"/>
    </row>
    <row r="511" ht="14.25" customHeight="1">
      <c r="A511" s="408"/>
      <c r="B511" s="408"/>
      <c r="C511" s="552"/>
      <c r="D511" s="408"/>
      <c r="E511" s="408"/>
      <c r="F511" s="408"/>
      <c r="G511" s="408"/>
      <c r="H511" s="408"/>
      <c r="I511" s="408"/>
      <c r="J511" s="408"/>
      <c r="K511" s="408"/>
      <c r="L511" s="408"/>
      <c r="M511" s="408"/>
      <c r="N511" s="408"/>
      <c r="O511" s="408"/>
      <c r="P511" s="408"/>
      <c r="Q511" s="408"/>
      <c r="R511" s="408"/>
      <c r="S511" s="408"/>
      <c r="T511" s="408"/>
      <c r="U511" s="408"/>
      <c r="V511" s="408"/>
      <c r="W511" s="408"/>
      <c r="X511" s="408"/>
      <c r="Y511" s="408"/>
      <c r="Z511" s="408"/>
    </row>
    <row r="512" ht="14.25" customHeight="1">
      <c r="A512" s="408"/>
      <c r="B512" s="408"/>
      <c r="C512" s="552"/>
      <c r="D512" s="408"/>
      <c r="E512" s="408"/>
      <c r="F512" s="408"/>
      <c r="G512" s="408"/>
      <c r="H512" s="408"/>
      <c r="I512" s="408"/>
      <c r="J512" s="408"/>
      <c r="K512" s="408"/>
      <c r="L512" s="408"/>
      <c r="M512" s="408"/>
      <c r="N512" s="408"/>
      <c r="O512" s="408"/>
      <c r="P512" s="408"/>
      <c r="Q512" s="408"/>
      <c r="R512" s="408"/>
      <c r="S512" s="408"/>
      <c r="T512" s="408"/>
      <c r="U512" s="408"/>
      <c r="V512" s="408"/>
      <c r="W512" s="408"/>
      <c r="X512" s="408"/>
      <c r="Y512" s="408"/>
      <c r="Z512" s="408"/>
    </row>
    <row r="513" ht="14.25" customHeight="1">
      <c r="A513" s="408"/>
      <c r="B513" s="408"/>
      <c r="C513" s="552"/>
      <c r="D513" s="408"/>
      <c r="E513" s="408"/>
      <c r="F513" s="408"/>
      <c r="G513" s="408"/>
      <c r="H513" s="408"/>
      <c r="I513" s="408"/>
      <c r="J513" s="408"/>
      <c r="K513" s="408"/>
      <c r="L513" s="408"/>
      <c r="M513" s="408"/>
      <c r="N513" s="408"/>
      <c r="O513" s="408"/>
      <c r="P513" s="408"/>
      <c r="Q513" s="408"/>
      <c r="R513" s="408"/>
      <c r="S513" s="408"/>
      <c r="T513" s="408"/>
      <c r="U513" s="408"/>
      <c r="V513" s="408"/>
      <c r="W513" s="408"/>
      <c r="X513" s="408"/>
      <c r="Y513" s="408"/>
      <c r="Z513" s="408"/>
    </row>
    <row r="514" ht="14.25" customHeight="1">
      <c r="A514" s="408"/>
      <c r="B514" s="408"/>
      <c r="C514" s="552"/>
      <c r="D514" s="408"/>
      <c r="E514" s="408"/>
      <c r="F514" s="408"/>
      <c r="G514" s="408"/>
      <c r="H514" s="408"/>
      <c r="I514" s="408"/>
      <c r="J514" s="408"/>
      <c r="K514" s="408"/>
      <c r="L514" s="408"/>
      <c r="M514" s="408"/>
      <c r="N514" s="408"/>
      <c r="O514" s="408"/>
      <c r="P514" s="408"/>
      <c r="Q514" s="408"/>
      <c r="R514" s="408"/>
      <c r="S514" s="408"/>
      <c r="T514" s="408"/>
      <c r="U514" s="408"/>
      <c r="V514" s="408"/>
      <c r="W514" s="408"/>
      <c r="X514" s="408"/>
      <c r="Y514" s="408"/>
      <c r="Z514" s="408"/>
    </row>
    <row r="515" ht="14.25" customHeight="1">
      <c r="A515" s="408"/>
      <c r="B515" s="408"/>
      <c r="C515" s="552"/>
      <c r="D515" s="408"/>
      <c r="E515" s="408"/>
      <c r="F515" s="408"/>
      <c r="G515" s="408"/>
      <c r="H515" s="408"/>
      <c r="I515" s="408"/>
      <c r="J515" s="408"/>
      <c r="K515" s="408"/>
      <c r="L515" s="408"/>
      <c r="M515" s="408"/>
      <c r="N515" s="408"/>
      <c r="O515" s="408"/>
      <c r="P515" s="408"/>
      <c r="Q515" s="408"/>
      <c r="R515" s="408"/>
      <c r="S515" s="408"/>
      <c r="T515" s="408"/>
      <c r="U515" s="408"/>
      <c r="V515" s="408"/>
      <c r="W515" s="408"/>
      <c r="X515" s="408"/>
      <c r="Y515" s="408"/>
      <c r="Z515" s="408"/>
    </row>
    <row r="516" ht="14.25" customHeight="1">
      <c r="A516" s="408"/>
      <c r="B516" s="408"/>
      <c r="C516" s="552"/>
      <c r="D516" s="408"/>
      <c r="E516" s="408"/>
      <c r="F516" s="408"/>
      <c r="G516" s="408"/>
      <c r="H516" s="408"/>
      <c r="I516" s="408"/>
      <c r="J516" s="408"/>
      <c r="K516" s="408"/>
      <c r="L516" s="408"/>
      <c r="M516" s="408"/>
      <c r="N516" s="408"/>
      <c r="O516" s="408"/>
      <c r="P516" s="408"/>
      <c r="Q516" s="408"/>
      <c r="R516" s="408"/>
      <c r="S516" s="408"/>
      <c r="T516" s="408"/>
      <c r="U516" s="408"/>
      <c r="V516" s="408"/>
      <c r="W516" s="408"/>
      <c r="X516" s="408"/>
      <c r="Y516" s="408"/>
      <c r="Z516" s="408"/>
    </row>
    <row r="517" ht="14.25" customHeight="1">
      <c r="A517" s="408"/>
      <c r="B517" s="408"/>
      <c r="C517" s="552"/>
      <c r="D517" s="408"/>
      <c r="E517" s="408"/>
      <c r="F517" s="408"/>
      <c r="G517" s="408"/>
      <c r="H517" s="408"/>
      <c r="I517" s="408"/>
      <c r="J517" s="408"/>
      <c r="K517" s="408"/>
      <c r="L517" s="408"/>
      <c r="M517" s="408"/>
      <c r="N517" s="408"/>
      <c r="O517" s="408"/>
      <c r="P517" s="408"/>
      <c r="Q517" s="408"/>
      <c r="R517" s="408"/>
      <c r="S517" s="408"/>
      <c r="T517" s="408"/>
      <c r="U517" s="408"/>
      <c r="V517" s="408"/>
      <c r="W517" s="408"/>
      <c r="X517" s="408"/>
      <c r="Y517" s="408"/>
      <c r="Z517" s="408"/>
    </row>
    <row r="518" ht="14.25" customHeight="1">
      <c r="A518" s="408"/>
      <c r="B518" s="408"/>
      <c r="C518" s="552"/>
      <c r="D518" s="408"/>
      <c r="E518" s="408"/>
      <c r="F518" s="408"/>
      <c r="G518" s="408"/>
      <c r="H518" s="408"/>
      <c r="I518" s="408"/>
      <c r="J518" s="408"/>
      <c r="K518" s="408"/>
      <c r="L518" s="408"/>
      <c r="M518" s="408"/>
      <c r="N518" s="408"/>
      <c r="O518" s="408"/>
      <c r="P518" s="408"/>
      <c r="Q518" s="408"/>
      <c r="R518" s="408"/>
      <c r="S518" s="408"/>
      <c r="T518" s="408"/>
      <c r="U518" s="408"/>
      <c r="V518" s="408"/>
      <c r="W518" s="408"/>
      <c r="X518" s="408"/>
      <c r="Y518" s="408"/>
      <c r="Z518" s="408"/>
    </row>
    <row r="519" ht="14.25" customHeight="1">
      <c r="A519" s="408"/>
      <c r="B519" s="408"/>
      <c r="C519" s="552"/>
      <c r="D519" s="408"/>
      <c r="E519" s="408"/>
      <c r="F519" s="408"/>
      <c r="G519" s="408"/>
      <c r="H519" s="408"/>
      <c r="I519" s="408"/>
      <c r="J519" s="408"/>
      <c r="K519" s="408"/>
      <c r="L519" s="408"/>
      <c r="M519" s="408"/>
      <c r="N519" s="408"/>
      <c r="O519" s="408"/>
      <c r="P519" s="408"/>
      <c r="Q519" s="408"/>
      <c r="R519" s="408"/>
      <c r="S519" s="408"/>
      <c r="T519" s="408"/>
      <c r="U519" s="408"/>
      <c r="V519" s="408"/>
      <c r="W519" s="408"/>
      <c r="X519" s="408"/>
      <c r="Y519" s="408"/>
      <c r="Z519" s="408"/>
    </row>
    <row r="520" ht="14.25" customHeight="1">
      <c r="A520" s="408"/>
      <c r="B520" s="408"/>
      <c r="C520" s="552"/>
      <c r="D520" s="408"/>
      <c r="E520" s="408"/>
      <c r="F520" s="408"/>
      <c r="G520" s="408"/>
      <c r="H520" s="408"/>
      <c r="I520" s="408"/>
      <c r="J520" s="408"/>
      <c r="K520" s="408"/>
      <c r="L520" s="408"/>
      <c r="M520" s="408"/>
      <c r="N520" s="408"/>
      <c r="O520" s="408"/>
      <c r="P520" s="408"/>
      <c r="Q520" s="408"/>
      <c r="R520" s="408"/>
      <c r="S520" s="408"/>
      <c r="T520" s="408"/>
      <c r="U520" s="408"/>
      <c r="V520" s="408"/>
      <c r="W520" s="408"/>
      <c r="X520" s="408"/>
      <c r="Y520" s="408"/>
      <c r="Z520" s="408"/>
    </row>
    <row r="521" ht="14.25" customHeight="1">
      <c r="A521" s="408"/>
      <c r="B521" s="408"/>
      <c r="C521" s="552"/>
      <c r="D521" s="408"/>
      <c r="E521" s="408"/>
      <c r="F521" s="408"/>
      <c r="G521" s="408"/>
      <c r="H521" s="408"/>
      <c r="I521" s="408"/>
      <c r="J521" s="408"/>
      <c r="K521" s="408"/>
      <c r="L521" s="408"/>
      <c r="M521" s="408"/>
      <c r="N521" s="408"/>
      <c r="O521" s="408"/>
      <c r="P521" s="408"/>
      <c r="Q521" s="408"/>
      <c r="R521" s="408"/>
      <c r="S521" s="408"/>
      <c r="T521" s="408"/>
      <c r="U521" s="408"/>
      <c r="V521" s="408"/>
      <c r="W521" s="408"/>
      <c r="X521" s="408"/>
      <c r="Y521" s="408"/>
      <c r="Z521" s="408"/>
    </row>
    <row r="522" ht="14.25" customHeight="1">
      <c r="A522" s="408"/>
      <c r="B522" s="408"/>
      <c r="C522" s="552"/>
      <c r="D522" s="408"/>
      <c r="E522" s="408"/>
      <c r="F522" s="408"/>
      <c r="G522" s="408"/>
      <c r="H522" s="408"/>
      <c r="I522" s="408"/>
      <c r="J522" s="408"/>
      <c r="K522" s="408"/>
      <c r="L522" s="408"/>
      <c r="M522" s="408"/>
      <c r="N522" s="408"/>
      <c r="O522" s="408"/>
      <c r="P522" s="408"/>
      <c r="Q522" s="408"/>
      <c r="R522" s="408"/>
      <c r="S522" s="408"/>
      <c r="T522" s="408"/>
      <c r="U522" s="408"/>
      <c r="V522" s="408"/>
      <c r="W522" s="408"/>
      <c r="X522" s="408"/>
      <c r="Y522" s="408"/>
      <c r="Z522" s="408"/>
    </row>
    <row r="523" ht="14.25" customHeight="1">
      <c r="A523" s="408"/>
      <c r="B523" s="408"/>
      <c r="C523" s="552"/>
      <c r="D523" s="408"/>
      <c r="E523" s="408"/>
      <c r="F523" s="408"/>
      <c r="G523" s="408"/>
      <c r="H523" s="408"/>
      <c r="I523" s="408"/>
      <c r="J523" s="408"/>
      <c r="K523" s="408"/>
      <c r="L523" s="408"/>
      <c r="M523" s="408"/>
      <c r="N523" s="408"/>
      <c r="O523" s="408"/>
      <c r="P523" s="408"/>
      <c r="Q523" s="408"/>
      <c r="R523" s="408"/>
      <c r="S523" s="408"/>
      <c r="T523" s="408"/>
      <c r="U523" s="408"/>
      <c r="V523" s="408"/>
      <c r="W523" s="408"/>
      <c r="X523" s="408"/>
      <c r="Y523" s="408"/>
      <c r="Z523" s="408"/>
    </row>
    <row r="524" ht="14.25" customHeight="1">
      <c r="A524" s="408"/>
      <c r="B524" s="408"/>
      <c r="C524" s="552"/>
      <c r="D524" s="408"/>
      <c r="E524" s="408"/>
      <c r="F524" s="408"/>
      <c r="G524" s="408"/>
      <c r="H524" s="408"/>
      <c r="I524" s="408"/>
      <c r="J524" s="408"/>
      <c r="K524" s="408"/>
      <c r="L524" s="408"/>
      <c r="M524" s="408"/>
      <c r="N524" s="408"/>
      <c r="O524" s="408"/>
      <c r="P524" s="408"/>
      <c r="Q524" s="408"/>
      <c r="R524" s="408"/>
      <c r="S524" s="408"/>
      <c r="T524" s="408"/>
      <c r="U524" s="408"/>
      <c r="V524" s="408"/>
      <c r="W524" s="408"/>
      <c r="X524" s="408"/>
      <c r="Y524" s="408"/>
      <c r="Z524" s="408"/>
    </row>
    <row r="525" ht="14.25" customHeight="1">
      <c r="A525" s="408"/>
      <c r="B525" s="408"/>
      <c r="C525" s="552"/>
      <c r="D525" s="408"/>
      <c r="E525" s="408"/>
      <c r="F525" s="408"/>
      <c r="G525" s="408"/>
      <c r="H525" s="408"/>
      <c r="I525" s="408"/>
      <c r="J525" s="408"/>
      <c r="K525" s="408"/>
      <c r="L525" s="408"/>
      <c r="M525" s="408"/>
      <c r="N525" s="408"/>
      <c r="O525" s="408"/>
      <c r="P525" s="408"/>
      <c r="Q525" s="408"/>
      <c r="R525" s="408"/>
      <c r="S525" s="408"/>
      <c r="T525" s="408"/>
      <c r="U525" s="408"/>
      <c r="V525" s="408"/>
      <c r="W525" s="408"/>
      <c r="X525" s="408"/>
      <c r="Y525" s="408"/>
      <c r="Z525" s="408"/>
    </row>
    <row r="526" ht="14.25" customHeight="1">
      <c r="A526" s="408"/>
      <c r="B526" s="408"/>
      <c r="C526" s="552"/>
      <c r="D526" s="408"/>
      <c r="E526" s="408"/>
      <c r="F526" s="408"/>
      <c r="G526" s="408"/>
      <c r="H526" s="408"/>
      <c r="I526" s="408"/>
      <c r="J526" s="408"/>
      <c r="K526" s="408"/>
      <c r="L526" s="408"/>
      <c r="M526" s="408"/>
      <c r="N526" s="408"/>
      <c r="O526" s="408"/>
      <c r="P526" s="408"/>
      <c r="Q526" s="408"/>
      <c r="R526" s="408"/>
      <c r="S526" s="408"/>
      <c r="T526" s="408"/>
      <c r="U526" s="408"/>
      <c r="V526" s="408"/>
      <c r="W526" s="408"/>
      <c r="X526" s="408"/>
      <c r="Y526" s="408"/>
      <c r="Z526" s="408"/>
    </row>
    <row r="527" ht="14.25" customHeight="1">
      <c r="A527" s="408"/>
      <c r="B527" s="408"/>
      <c r="C527" s="552"/>
      <c r="D527" s="408"/>
      <c r="E527" s="408"/>
      <c r="F527" s="408"/>
      <c r="G527" s="408"/>
      <c r="H527" s="408"/>
      <c r="I527" s="408"/>
      <c r="J527" s="408"/>
      <c r="K527" s="408"/>
      <c r="L527" s="408"/>
      <c r="M527" s="408"/>
      <c r="N527" s="408"/>
      <c r="O527" s="408"/>
      <c r="P527" s="408"/>
      <c r="Q527" s="408"/>
      <c r="R527" s="408"/>
      <c r="S527" s="408"/>
      <c r="T527" s="408"/>
      <c r="U527" s="408"/>
      <c r="V527" s="408"/>
      <c r="W527" s="408"/>
      <c r="X527" s="408"/>
      <c r="Y527" s="408"/>
      <c r="Z527" s="408"/>
    </row>
    <row r="528" ht="14.25" customHeight="1">
      <c r="A528" s="408"/>
      <c r="B528" s="408"/>
      <c r="C528" s="552"/>
      <c r="D528" s="408"/>
      <c r="E528" s="408"/>
      <c r="F528" s="408"/>
      <c r="G528" s="408"/>
      <c r="H528" s="408"/>
      <c r="I528" s="408"/>
      <c r="J528" s="408"/>
      <c r="K528" s="408"/>
      <c r="L528" s="408"/>
      <c r="M528" s="408"/>
      <c r="N528" s="408"/>
      <c r="O528" s="408"/>
      <c r="P528" s="408"/>
      <c r="Q528" s="408"/>
      <c r="R528" s="408"/>
      <c r="S528" s="408"/>
      <c r="T528" s="408"/>
      <c r="U528" s="408"/>
      <c r="V528" s="408"/>
      <c r="W528" s="408"/>
      <c r="X528" s="408"/>
      <c r="Y528" s="408"/>
      <c r="Z528" s="408"/>
    </row>
    <row r="529" ht="14.25" customHeight="1">
      <c r="A529" s="408"/>
      <c r="B529" s="408"/>
      <c r="C529" s="552"/>
      <c r="D529" s="408"/>
      <c r="E529" s="408"/>
      <c r="F529" s="408"/>
      <c r="G529" s="408"/>
      <c r="H529" s="408"/>
      <c r="I529" s="408"/>
      <c r="J529" s="408"/>
      <c r="K529" s="408"/>
      <c r="L529" s="408"/>
      <c r="M529" s="408"/>
      <c r="N529" s="408"/>
      <c r="O529" s="408"/>
      <c r="P529" s="408"/>
      <c r="Q529" s="408"/>
      <c r="R529" s="408"/>
      <c r="S529" s="408"/>
      <c r="T529" s="408"/>
      <c r="U529" s="408"/>
      <c r="V529" s="408"/>
      <c r="W529" s="408"/>
      <c r="X529" s="408"/>
      <c r="Y529" s="408"/>
      <c r="Z529" s="408"/>
    </row>
    <row r="530" ht="14.25" customHeight="1">
      <c r="A530" s="408"/>
      <c r="B530" s="408"/>
      <c r="C530" s="552"/>
      <c r="D530" s="408"/>
      <c r="E530" s="408"/>
      <c r="F530" s="408"/>
      <c r="G530" s="408"/>
      <c r="H530" s="408"/>
      <c r="I530" s="408"/>
      <c r="J530" s="408"/>
      <c r="K530" s="408"/>
      <c r="L530" s="408"/>
      <c r="M530" s="408"/>
      <c r="N530" s="408"/>
      <c r="O530" s="408"/>
      <c r="P530" s="408"/>
      <c r="Q530" s="408"/>
      <c r="R530" s="408"/>
      <c r="S530" s="408"/>
      <c r="T530" s="408"/>
      <c r="U530" s="408"/>
      <c r="V530" s="408"/>
      <c r="W530" s="408"/>
      <c r="X530" s="408"/>
      <c r="Y530" s="408"/>
      <c r="Z530" s="408"/>
    </row>
    <row r="531" ht="14.25" customHeight="1">
      <c r="A531" s="408"/>
      <c r="B531" s="408"/>
      <c r="C531" s="552"/>
      <c r="D531" s="408"/>
      <c r="E531" s="408"/>
      <c r="F531" s="408"/>
      <c r="G531" s="408"/>
      <c r="H531" s="408"/>
      <c r="I531" s="408"/>
      <c r="J531" s="408"/>
      <c r="K531" s="408"/>
      <c r="L531" s="408"/>
      <c r="M531" s="408"/>
      <c r="N531" s="408"/>
      <c r="O531" s="408"/>
      <c r="P531" s="408"/>
      <c r="Q531" s="408"/>
      <c r="R531" s="408"/>
      <c r="S531" s="408"/>
      <c r="T531" s="408"/>
      <c r="U531" s="408"/>
      <c r="V531" s="408"/>
      <c r="W531" s="408"/>
      <c r="X531" s="408"/>
      <c r="Y531" s="408"/>
      <c r="Z531" s="408"/>
    </row>
    <row r="532" ht="14.25" customHeight="1">
      <c r="A532" s="408"/>
      <c r="B532" s="408"/>
      <c r="C532" s="552"/>
      <c r="D532" s="408"/>
      <c r="E532" s="408"/>
      <c r="F532" s="408"/>
      <c r="G532" s="408"/>
      <c r="H532" s="408"/>
      <c r="I532" s="408"/>
      <c r="J532" s="408"/>
      <c r="K532" s="408"/>
      <c r="L532" s="408"/>
      <c r="M532" s="408"/>
      <c r="N532" s="408"/>
      <c r="O532" s="408"/>
      <c r="P532" s="408"/>
      <c r="Q532" s="408"/>
      <c r="R532" s="408"/>
      <c r="S532" s="408"/>
      <c r="T532" s="408"/>
      <c r="U532" s="408"/>
      <c r="V532" s="408"/>
      <c r="W532" s="408"/>
      <c r="X532" s="408"/>
      <c r="Y532" s="408"/>
      <c r="Z532" s="408"/>
    </row>
    <row r="533" ht="14.25" customHeight="1">
      <c r="A533" s="408"/>
      <c r="B533" s="408"/>
      <c r="C533" s="552"/>
      <c r="D533" s="408"/>
      <c r="E533" s="408"/>
      <c r="F533" s="408"/>
      <c r="G533" s="408"/>
      <c r="H533" s="408"/>
      <c r="I533" s="408"/>
      <c r="J533" s="408"/>
      <c r="K533" s="408"/>
      <c r="L533" s="408"/>
      <c r="M533" s="408"/>
      <c r="N533" s="408"/>
      <c r="O533" s="408"/>
      <c r="P533" s="408"/>
      <c r="Q533" s="408"/>
      <c r="R533" s="408"/>
      <c r="S533" s="408"/>
      <c r="T533" s="408"/>
      <c r="U533" s="408"/>
      <c r="V533" s="408"/>
      <c r="W533" s="408"/>
      <c r="X533" s="408"/>
      <c r="Y533" s="408"/>
      <c r="Z533" s="408"/>
    </row>
    <row r="534" ht="14.25" customHeight="1">
      <c r="A534" s="408"/>
      <c r="B534" s="408"/>
      <c r="C534" s="552"/>
      <c r="D534" s="408"/>
      <c r="E534" s="408"/>
      <c r="F534" s="408"/>
      <c r="G534" s="408"/>
      <c r="H534" s="408"/>
      <c r="I534" s="408"/>
      <c r="J534" s="408"/>
      <c r="K534" s="408"/>
      <c r="L534" s="408"/>
      <c r="M534" s="408"/>
      <c r="N534" s="408"/>
      <c r="O534" s="408"/>
      <c r="P534" s="408"/>
      <c r="Q534" s="408"/>
      <c r="R534" s="408"/>
      <c r="S534" s="408"/>
      <c r="T534" s="408"/>
      <c r="U534" s="408"/>
      <c r="V534" s="408"/>
      <c r="W534" s="408"/>
      <c r="X534" s="408"/>
      <c r="Y534" s="408"/>
      <c r="Z534" s="408"/>
    </row>
    <row r="535" ht="14.25" customHeight="1">
      <c r="A535" s="408"/>
      <c r="B535" s="408"/>
      <c r="C535" s="552"/>
      <c r="D535" s="408"/>
      <c r="E535" s="408"/>
      <c r="F535" s="408"/>
      <c r="G535" s="408"/>
      <c r="H535" s="408"/>
      <c r="I535" s="408"/>
      <c r="J535" s="408"/>
      <c r="K535" s="408"/>
      <c r="L535" s="408"/>
      <c r="M535" s="408"/>
      <c r="N535" s="408"/>
      <c r="O535" s="408"/>
      <c r="P535" s="408"/>
      <c r="Q535" s="408"/>
      <c r="R535" s="408"/>
      <c r="S535" s="408"/>
      <c r="T535" s="408"/>
      <c r="U535" s="408"/>
      <c r="V535" s="408"/>
      <c r="W535" s="408"/>
      <c r="X535" s="408"/>
      <c r="Y535" s="408"/>
      <c r="Z535" s="408"/>
    </row>
    <row r="536" ht="14.25" customHeight="1">
      <c r="A536" s="408"/>
      <c r="B536" s="408"/>
      <c r="C536" s="552"/>
      <c r="D536" s="408"/>
      <c r="E536" s="408"/>
      <c r="F536" s="408"/>
      <c r="G536" s="408"/>
      <c r="H536" s="408"/>
      <c r="I536" s="408"/>
      <c r="J536" s="408"/>
      <c r="K536" s="408"/>
      <c r="L536" s="408"/>
      <c r="M536" s="408"/>
      <c r="N536" s="408"/>
      <c r="O536" s="408"/>
      <c r="P536" s="408"/>
      <c r="Q536" s="408"/>
      <c r="R536" s="408"/>
      <c r="S536" s="408"/>
      <c r="T536" s="408"/>
      <c r="U536" s="408"/>
      <c r="V536" s="408"/>
      <c r="W536" s="408"/>
      <c r="X536" s="408"/>
      <c r="Y536" s="408"/>
      <c r="Z536" s="408"/>
    </row>
    <row r="537" ht="14.25" customHeight="1">
      <c r="A537" s="408"/>
      <c r="B537" s="408"/>
      <c r="C537" s="552"/>
      <c r="D537" s="408"/>
      <c r="E537" s="408"/>
      <c r="F537" s="408"/>
      <c r="G537" s="408"/>
      <c r="H537" s="408"/>
      <c r="I537" s="408"/>
      <c r="J537" s="408"/>
      <c r="K537" s="408"/>
      <c r="L537" s="408"/>
      <c r="M537" s="408"/>
      <c r="N537" s="408"/>
      <c r="O537" s="408"/>
      <c r="P537" s="408"/>
      <c r="Q537" s="408"/>
      <c r="R537" s="408"/>
      <c r="S537" s="408"/>
      <c r="T537" s="408"/>
      <c r="U537" s="408"/>
      <c r="V537" s="408"/>
      <c r="W537" s="408"/>
      <c r="X537" s="408"/>
      <c r="Y537" s="408"/>
      <c r="Z537" s="408"/>
    </row>
    <row r="538" ht="14.25" customHeight="1">
      <c r="A538" s="408"/>
      <c r="B538" s="408"/>
      <c r="C538" s="552"/>
      <c r="D538" s="408"/>
      <c r="E538" s="408"/>
      <c r="F538" s="408"/>
      <c r="G538" s="408"/>
      <c r="H538" s="408"/>
      <c r="I538" s="408"/>
      <c r="J538" s="408"/>
      <c r="K538" s="408"/>
      <c r="L538" s="408"/>
      <c r="M538" s="408"/>
      <c r="N538" s="408"/>
      <c r="O538" s="408"/>
      <c r="P538" s="408"/>
      <c r="Q538" s="408"/>
      <c r="R538" s="408"/>
      <c r="S538" s="408"/>
      <c r="T538" s="408"/>
      <c r="U538" s="408"/>
      <c r="V538" s="408"/>
      <c r="W538" s="408"/>
      <c r="X538" s="408"/>
      <c r="Y538" s="408"/>
      <c r="Z538" s="408"/>
    </row>
    <row r="539" ht="14.25" customHeight="1">
      <c r="A539" s="408"/>
      <c r="B539" s="408"/>
      <c r="C539" s="552"/>
      <c r="D539" s="408"/>
      <c r="E539" s="408"/>
      <c r="F539" s="408"/>
      <c r="G539" s="408"/>
      <c r="H539" s="408"/>
      <c r="I539" s="408"/>
      <c r="J539" s="408"/>
      <c r="K539" s="408"/>
      <c r="L539" s="408"/>
      <c r="M539" s="408"/>
      <c r="N539" s="408"/>
      <c r="O539" s="408"/>
      <c r="P539" s="408"/>
      <c r="Q539" s="408"/>
      <c r="R539" s="408"/>
      <c r="S539" s="408"/>
      <c r="T539" s="408"/>
      <c r="U539" s="408"/>
      <c r="V539" s="408"/>
      <c r="W539" s="408"/>
      <c r="X539" s="408"/>
      <c r="Y539" s="408"/>
      <c r="Z539" s="408"/>
    </row>
    <row r="540" ht="14.25" customHeight="1">
      <c r="A540" s="408"/>
      <c r="B540" s="408"/>
      <c r="C540" s="552"/>
      <c r="D540" s="408"/>
      <c r="E540" s="408"/>
      <c r="F540" s="408"/>
      <c r="G540" s="408"/>
      <c r="H540" s="408"/>
      <c r="I540" s="408"/>
      <c r="J540" s="408"/>
      <c r="K540" s="408"/>
      <c r="L540" s="408"/>
      <c r="M540" s="408"/>
      <c r="N540" s="408"/>
      <c r="O540" s="408"/>
      <c r="P540" s="408"/>
      <c r="Q540" s="408"/>
      <c r="R540" s="408"/>
      <c r="S540" s="408"/>
      <c r="T540" s="408"/>
      <c r="U540" s="408"/>
      <c r="V540" s="408"/>
      <c r="W540" s="408"/>
      <c r="X540" s="408"/>
      <c r="Y540" s="408"/>
      <c r="Z540" s="408"/>
    </row>
    <row r="541" ht="14.25" customHeight="1">
      <c r="A541" s="408"/>
      <c r="B541" s="408"/>
      <c r="C541" s="552"/>
      <c r="D541" s="408"/>
      <c r="E541" s="408"/>
      <c r="F541" s="408"/>
      <c r="G541" s="408"/>
      <c r="H541" s="408"/>
      <c r="I541" s="408"/>
      <c r="J541" s="408"/>
      <c r="K541" s="408"/>
      <c r="L541" s="408"/>
      <c r="M541" s="408"/>
      <c r="N541" s="408"/>
      <c r="O541" s="408"/>
      <c r="P541" s="408"/>
      <c r="Q541" s="408"/>
      <c r="R541" s="408"/>
      <c r="S541" s="408"/>
      <c r="T541" s="408"/>
      <c r="U541" s="408"/>
      <c r="V541" s="408"/>
      <c r="W541" s="408"/>
      <c r="X541" s="408"/>
      <c r="Y541" s="408"/>
      <c r="Z541" s="408"/>
    </row>
    <row r="542" ht="14.25" customHeight="1">
      <c r="A542" s="408"/>
      <c r="B542" s="408"/>
      <c r="C542" s="552"/>
      <c r="D542" s="408"/>
      <c r="E542" s="408"/>
      <c r="F542" s="408"/>
      <c r="G542" s="408"/>
      <c r="H542" s="408"/>
      <c r="I542" s="408"/>
      <c r="J542" s="408"/>
      <c r="K542" s="408"/>
      <c r="L542" s="408"/>
      <c r="M542" s="408"/>
      <c r="N542" s="408"/>
      <c r="O542" s="408"/>
      <c r="P542" s="408"/>
      <c r="Q542" s="408"/>
      <c r="R542" s="408"/>
      <c r="S542" s="408"/>
      <c r="T542" s="408"/>
      <c r="U542" s="408"/>
      <c r="V542" s="408"/>
      <c r="W542" s="408"/>
      <c r="X542" s="408"/>
      <c r="Y542" s="408"/>
      <c r="Z542" s="408"/>
    </row>
    <row r="543" ht="14.25" customHeight="1">
      <c r="A543" s="408"/>
      <c r="B543" s="408"/>
      <c r="C543" s="552"/>
      <c r="D543" s="408"/>
      <c r="E543" s="408"/>
      <c r="F543" s="408"/>
      <c r="G543" s="408"/>
      <c r="H543" s="408"/>
      <c r="I543" s="408"/>
      <c r="J543" s="408"/>
      <c r="K543" s="408"/>
      <c r="L543" s="408"/>
      <c r="M543" s="408"/>
      <c r="N543" s="408"/>
      <c r="O543" s="408"/>
      <c r="P543" s="408"/>
      <c r="Q543" s="408"/>
      <c r="R543" s="408"/>
      <c r="S543" s="408"/>
      <c r="T543" s="408"/>
      <c r="U543" s="408"/>
      <c r="V543" s="408"/>
      <c r="W543" s="408"/>
      <c r="X543" s="408"/>
      <c r="Y543" s="408"/>
      <c r="Z543" s="408"/>
    </row>
    <row r="544" ht="14.25" customHeight="1">
      <c r="A544" s="408"/>
      <c r="B544" s="408"/>
      <c r="C544" s="552"/>
      <c r="D544" s="408"/>
      <c r="E544" s="408"/>
      <c r="F544" s="408"/>
      <c r="G544" s="408"/>
      <c r="H544" s="408"/>
      <c r="I544" s="408"/>
      <c r="J544" s="408"/>
      <c r="K544" s="408"/>
      <c r="L544" s="408"/>
      <c r="M544" s="408"/>
      <c r="N544" s="408"/>
      <c r="O544" s="408"/>
      <c r="P544" s="408"/>
      <c r="Q544" s="408"/>
      <c r="R544" s="408"/>
      <c r="S544" s="408"/>
      <c r="T544" s="408"/>
      <c r="U544" s="408"/>
      <c r="V544" s="408"/>
      <c r="W544" s="408"/>
      <c r="X544" s="408"/>
      <c r="Y544" s="408"/>
      <c r="Z544" s="408"/>
    </row>
    <row r="545" ht="14.25" customHeight="1">
      <c r="A545" s="408"/>
      <c r="B545" s="408"/>
      <c r="C545" s="552"/>
      <c r="D545" s="408"/>
      <c r="E545" s="408"/>
      <c r="F545" s="408"/>
      <c r="G545" s="408"/>
      <c r="H545" s="408"/>
      <c r="I545" s="408"/>
      <c r="J545" s="408"/>
      <c r="K545" s="408"/>
      <c r="L545" s="408"/>
      <c r="M545" s="408"/>
      <c r="N545" s="408"/>
      <c r="O545" s="408"/>
      <c r="P545" s="408"/>
      <c r="Q545" s="408"/>
      <c r="R545" s="408"/>
      <c r="S545" s="408"/>
      <c r="T545" s="408"/>
      <c r="U545" s="408"/>
      <c r="V545" s="408"/>
      <c r="W545" s="408"/>
      <c r="X545" s="408"/>
      <c r="Y545" s="408"/>
      <c r="Z545" s="408"/>
    </row>
    <row r="546" ht="14.25" customHeight="1">
      <c r="A546" s="408"/>
      <c r="B546" s="408"/>
      <c r="C546" s="552"/>
      <c r="D546" s="408"/>
      <c r="E546" s="408"/>
      <c r="F546" s="408"/>
      <c r="G546" s="408"/>
      <c r="H546" s="408"/>
      <c r="I546" s="408"/>
      <c r="J546" s="408"/>
      <c r="K546" s="408"/>
      <c r="L546" s="408"/>
      <c r="M546" s="408"/>
      <c r="N546" s="408"/>
      <c r="O546" s="408"/>
      <c r="P546" s="408"/>
      <c r="Q546" s="408"/>
      <c r="R546" s="408"/>
      <c r="S546" s="408"/>
      <c r="T546" s="408"/>
      <c r="U546" s="408"/>
      <c r="V546" s="408"/>
      <c r="W546" s="408"/>
      <c r="X546" s="408"/>
      <c r="Y546" s="408"/>
      <c r="Z546" s="408"/>
    </row>
    <row r="547" ht="14.25" customHeight="1">
      <c r="A547" s="408"/>
      <c r="B547" s="408"/>
      <c r="C547" s="552"/>
      <c r="D547" s="408"/>
      <c r="E547" s="408"/>
      <c r="F547" s="408"/>
      <c r="G547" s="408"/>
      <c r="H547" s="408"/>
      <c r="I547" s="408"/>
      <c r="J547" s="408"/>
      <c r="K547" s="408"/>
      <c r="L547" s="408"/>
      <c r="M547" s="408"/>
      <c r="N547" s="408"/>
      <c r="O547" s="408"/>
      <c r="P547" s="408"/>
      <c r="Q547" s="408"/>
      <c r="R547" s="408"/>
      <c r="S547" s="408"/>
      <c r="T547" s="408"/>
      <c r="U547" s="408"/>
      <c r="V547" s="408"/>
      <c r="W547" s="408"/>
      <c r="X547" s="408"/>
      <c r="Y547" s="408"/>
      <c r="Z547" s="408"/>
    </row>
    <row r="548" ht="14.25" customHeight="1">
      <c r="A548" s="408"/>
      <c r="B548" s="408"/>
      <c r="C548" s="552"/>
      <c r="D548" s="408"/>
      <c r="E548" s="408"/>
      <c r="F548" s="408"/>
      <c r="G548" s="408"/>
      <c r="H548" s="408"/>
      <c r="I548" s="408"/>
      <c r="J548" s="408"/>
      <c r="K548" s="408"/>
      <c r="L548" s="408"/>
      <c r="M548" s="408"/>
      <c r="N548" s="408"/>
      <c r="O548" s="408"/>
      <c r="P548" s="408"/>
      <c r="Q548" s="408"/>
      <c r="R548" s="408"/>
      <c r="S548" s="408"/>
      <c r="T548" s="408"/>
      <c r="U548" s="408"/>
      <c r="V548" s="408"/>
      <c r="W548" s="408"/>
      <c r="X548" s="408"/>
      <c r="Y548" s="408"/>
      <c r="Z548" s="408"/>
    </row>
    <row r="549" ht="14.25" customHeight="1">
      <c r="A549" s="408"/>
      <c r="B549" s="408"/>
      <c r="C549" s="552"/>
      <c r="D549" s="408"/>
      <c r="E549" s="408"/>
      <c r="F549" s="408"/>
      <c r="G549" s="408"/>
      <c r="H549" s="408"/>
      <c r="I549" s="408"/>
      <c r="J549" s="408"/>
      <c r="K549" s="408"/>
      <c r="L549" s="408"/>
      <c r="M549" s="408"/>
      <c r="N549" s="408"/>
      <c r="O549" s="408"/>
      <c r="P549" s="408"/>
      <c r="Q549" s="408"/>
      <c r="R549" s="408"/>
      <c r="S549" s="408"/>
      <c r="T549" s="408"/>
      <c r="U549" s="408"/>
      <c r="V549" s="408"/>
      <c r="W549" s="408"/>
      <c r="X549" s="408"/>
      <c r="Y549" s="408"/>
      <c r="Z549" s="408"/>
    </row>
    <row r="550" ht="14.25" customHeight="1">
      <c r="A550" s="408"/>
      <c r="B550" s="408"/>
      <c r="C550" s="552"/>
      <c r="D550" s="408"/>
      <c r="E550" s="408"/>
      <c r="F550" s="408"/>
      <c r="G550" s="408"/>
      <c r="H550" s="408"/>
      <c r="I550" s="408"/>
      <c r="J550" s="408"/>
      <c r="K550" s="408"/>
      <c r="L550" s="408"/>
      <c r="M550" s="408"/>
      <c r="N550" s="408"/>
      <c r="O550" s="408"/>
      <c r="P550" s="408"/>
      <c r="Q550" s="408"/>
      <c r="R550" s="408"/>
      <c r="S550" s="408"/>
      <c r="T550" s="408"/>
      <c r="U550" s="408"/>
      <c r="V550" s="408"/>
      <c r="W550" s="408"/>
      <c r="X550" s="408"/>
      <c r="Y550" s="408"/>
      <c r="Z550" s="408"/>
    </row>
    <row r="551" ht="14.25" customHeight="1">
      <c r="A551" s="408"/>
      <c r="B551" s="408"/>
      <c r="C551" s="552"/>
      <c r="D551" s="408"/>
      <c r="E551" s="408"/>
      <c r="F551" s="408"/>
      <c r="G551" s="408"/>
      <c r="H551" s="408"/>
      <c r="I551" s="408"/>
      <c r="J551" s="408"/>
      <c r="K551" s="408"/>
      <c r="L551" s="408"/>
      <c r="M551" s="408"/>
      <c r="N551" s="408"/>
      <c r="O551" s="408"/>
      <c r="P551" s="408"/>
      <c r="Q551" s="408"/>
      <c r="R551" s="408"/>
      <c r="S551" s="408"/>
      <c r="T551" s="408"/>
      <c r="U551" s="408"/>
      <c r="V551" s="408"/>
      <c r="W551" s="408"/>
      <c r="X551" s="408"/>
      <c r="Y551" s="408"/>
      <c r="Z551" s="408"/>
    </row>
    <row r="552" ht="14.25" customHeight="1">
      <c r="A552" s="408"/>
      <c r="B552" s="408"/>
      <c r="C552" s="552"/>
      <c r="D552" s="408"/>
      <c r="E552" s="408"/>
      <c r="F552" s="408"/>
      <c r="G552" s="408"/>
      <c r="H552" s="408"/>
      <c r="I552" s="408"/>
      <c r="J552" s="408"/>
      <c r="K552" s="408"/>
      <c r="L552" s="408"/>
      <c r="M552" s="408"/>
      <c r="N552" s="408"/>
      <c r="O552" s="408"/>
      <c r="P552" s="408"/>
      <c r="Q552" s="408"/>
      <c r="R552" s="408"/>
      <c r="S552" s="408"/>
      <c r="T552" s="408"/>
      <c r="U552" s="408"/>
      <c r="V552" s="408"/>
      <c r="W552" s="408"/>
      <c r="X552" s="408"/>
      <c r="Y552" s="408"/>
      <c r="Z552" s="408"/>
    </row>
    <row r="553" ht="14.25" customHeight="1">
      <c r="A553" s="408"/>
      <c r="B553" s="408"/>
      <c r="C553" s="552"/>
      <c r="D553" s="408"/>
      <c r="E553" s="408"/>
      <c r="F553" s="408"/>
      <c r="G553" s="408"/>
      <c r="H553" s="408"/>
      <c r="I553" s="408"/>
      <c r="J553" s="408"/>
      <c r="K553" s="408"/>
      <c r="L553" s="408"/>
      <c r="M553" s="408"/>
      <c r="N553" s="408"/>
      <c r="O553" s="408"/>
      <c r="P553" s="408"/>
      <c r="Q553" s="408"/>
      <c r="R553" s="408"/>
      <c r="S553" s="408"/>
      <c r="T553" s="408"/>
      <c r="U553" s="408"/>
      <c r="V553" s="408"/>
      <c r="W553" s="408"/>
      <c r="X553" s="408"/>
      <c r="Y553" s="408"/>
      <c r="Z553" s="408"/>
    </row>
    <row r="554" ht="14.25" customHeight="1">
      <c r="A554" s="408"/>
      <c r="B554" s="408"/>
      <c r="C554" s="552"/>
      <c r="D554" s="408"/>
      <c r="E554" s="408"/>
      <c r="F554" s="408"/>
      <c r="G554" s="408"/>
      <c r="H554" s="408"/>
      <c r="I554" s="408"/>
      <c r="J554" s="408"/>
      <c r="K554" s="408"/>
      <c r="L554" s="408"/>
      <c r="M554" s="408"/>
      <c r="N554" s="408"/>
      <c r="O554" s="408"/>
      <c r="P554" s="408"/>
      <c r="Q554" s="408"/>
      <c r="R554" s="408"/>
      <c r="S554" s="408"/>
      <c r="T554" s="408"/>
      <c r="U554" s="408"/>
      <c r="V554" s="408"/>
      <c r="W554" s="408"/>
      <c r="X554" s="408"/>
      <c r="Y554" s="408"/>
      <c r="Z554" s="408"/>
    </row>
    <row r="555" ht="14.25" customHeight="1">
      <c r="A555" s="408"/>
      <c r="B555" s="408"/>
      <c r="C555" s="552"/>
      <c r="D555" s="408"/>
      <c r="E555" s="408"/>
      <c r="F555" s="408"/>
      <c r="G555" s="408"/>
      <c r="H555" s="408"/>
      <c r="I555" s="408"/>
      <c r="J555" s="408"/>
      <c r="K555" s="408"/>
      <c r="L555" s="408"/>
      <c r="M555" s="408"/>
      <c r="N555" s="408"/>
      <c r="O555" s="408"/>
      <c r="P555" s="408"/>
      <c r="Q555" s="408"/>
      <c r="R555" s="408"/>
      <c r="S555" s="408"/>
      <c r="T555" s="408"/>
      <c r="U555" s="408"/>
      <c r="V555" s="408"/>
      <c r="W555" s="408"/>
      <c r="X555" s="408"/>
      <c r="Y555" s="408"/>
      <c r="Z555" s="408"/>
    </row>
    <row r="556" ht="14.25" customHeight="1">
      <c r="A556" s="408"/>
      <c r="B556" s="408"/>
      <c r="C556" s="552"/>
      <c r="D556" s="408"/>
      <c r="E556" s="408"/>
      <c r="F556" s="408"/>
      <c r="G556" s="408"/>
      <c r="H556" s="408"/>
      <c r="I556" s="408"/>
      <c r="J556" s="408"/>
      <c r="K556" s="408"/>
      <c r="L556" s="408"/>
      <c r="M556" s="408"/>
      <c r="N556" s="408"/>
      <c r="O556" s="408"/>
      <c r="P556" s="408"/>
      <c r="Q556" s="408"/>
      <c r="R556" s="408"/>
      <c r="S556" s="408"/>
      <c r="T556" s="408"/>
      <c r="U556" s="408"/>
      <c r="V556" s="408"/>
      <c r="W556" s="408"/>
      <c r="X556" s="408"/>
      <c r="Y556" s="408"/>
      <c r="Z556" s="408"/>
    </row>
    <row r="557" ht="14.25" customHeight="1">
      <c r="A557" s="408"/>
      <c r="B557" s="408"/>
      <c r="C557" s="552"/>
      <c r="D557" s="408"/>
      <c r="E557" s="408"/>
      <c r="F557" s="408"/>
      <c r="G557" s="408"/>
      <c r="H557" s="408"/>
      <c r="I557" s="408"/>
      <c r="J557" s="408"/>
      <c r="K557" s="408"/>
      <c r="L557" s="408"/>
      <c r="M557" s="408"/>
      <c r="N557" s="408"/>
      <c r="O557" s="408"/>
      <c r="P557" s="408"/>
      <c r="Q557" s="408"/>
      <c r="R557" s="408"/>
      <c r="S557" s="408"/>
      <c r="T557" s="408"/>
      <c r="U557" s="408"/>
      <c r="V557" s="408"/>
      <c r="W557" s="408"/>
      <c r="X557" s="408"/>
      <c r="Y557" s="408"/>
      <c r="Z557" s="408"/>
    </row>
    <row r="558" ht="14.25" customHeight="1">
      <c r="A558" s="408"/>
      <c r="B558" s="408"/>
      <c r="C558" s="552"/>
      <c r="D558" s="408"/>
      <c r="E558" s="408"/>
      <c r="F558" s="408"/>
      <c r="G558" s="408"/>
      <c r="H558" s="408"/>
      <c r="I558" s="408"/>
      <c r="J558" s="408"/>
      <c r="K558" s="408"/>
      <c r="L558" s="408"/>
      <c r="M558" s="408"/>
      <c r="N558" s="408"/>
      <c r="O558" s="408"/>
      <c r="P558" s="408"/>
      <c r="Q558" s="408"/>
      <c r="R558" s="408"/>
      <c r="S558" s="408"/>
      <c r="T558" s="408"/>
      <c r="U558" s="408"/>
      <c r="V558" s="408"/>
      <c r="W558" s="408"/>
      <c r="X558" s="408"/>
      <c r="Y558" s="408"/>
      <c r="Z558" s="408"/>
    </row>
    <row r="559" ht="14.25" customHeight="1">
      <c r="A559" s="408"/>
      <c r="B559" s="408"/>
      <c r="C559" s="552"/>
      <c r="D559" s="408"/>
      <c r="E559" s="408"/>
      <c r="F559" s="408"/>
      <c r="G559" s="408"/>
      <c r="H559" s="408"/>
      <c r="I559" s="408"/>
      <c r="J559" s="408"/>
      <c r="K559" s="408"/>
      <c r="L559" s="408"/>
      <c r="M559" s="408"/>
      <c r="N559" s="408"/>
      <c r="O559" s="408"/>
      <c r="P559" s="408"/>
      <c r="Q559" s="408"/>
      <c r="R559" s="408"/>
      <c r="S559" s="408"/>
      <c r="T559" s="408"/>
      <c r="U559" s="408"/>
      <c r="V559" s="408"/>
      <c r="W559" s="408"/>
      <c r="X559" s="408"/>
      <c r="Y559" s="408"/>
      <c r="Z559" s="408"/>
    </row>
    <row r="560" ht="14.25" customHeight="1">
      <c r="A560" s="408"/>
      <c r="B560" s="408"/>
      <c r="C560" s="552"/>
      <c r="D560" s="408"/>
      <c r="E560" s="408"/>
      <c r="F560" s="408"/>
      <c r="G560" s="408"/>
      <c r="H560" s="408"/>
      <c r="I560" s="408"/>
      <c r="J560" s="408"/>
      <c r="K560" s="408"/>
      <c r="L560" s="408"/>
      <c r="M560" s="408"/>
      <c r="N560" s="408"/>
      <c r="O560" s="408"/>
      <c r="P560" s="408"/>
      <c r="Q560" s="408"/>
      <c r="R560" s="408"/>
      <c r="S560" s="408"/>
      <c r="T560" s="408"/>
      <c r="U560" s="408"/>
      <c r="V560" s="408"/>
      <c r="W560" s="408"/>
      <c r="X560" s="408"/>
      <c r="Y560" s="408"/>
      <c r="Z560" s="408"/>
    </row>
    <row r="561" ht="14.25" customHeight="1">
      <c r="A561" s="408"/>
      <c r="B561" s="408"/>
      <c r="C561" s="552"/>
      <c r="D561" s="408"/>
      <c r="E561" s="408"/>
      <c r="F561" s="408"/>
      <c r="G561" s="408"/>
      <c r="H561" s="408"/>
      <c r="I561" s="408"/>
      <c r="J561" s="408"/>
      <c r="K561" s="408"/>
      <c r="L561" s="408"/>
      <c r="M561" s="408"/>
      <c r="N561" s="408"/>
      <c r="O561" s="408"/>
      <c r="P561" s="408"/>
      <c r="Q561" s="408"/>
      <c r="R561" s="408"/>
      <c r="S561" s="408"/>
      <c r="T561" s="408"/>
      <c r="U561" s="408"/>
      <c r="V561" s="408"/>
      <c r="W561" s="408"/>
      <c r="X561" s="408"/>
      <c r="Y561" s="408"/>
      <c r="Z561" s="408"/>
    </row>
    <row r="562" ht="14.25" customHeight="1">
      <c r="A562" s="408"/>
      <c r="B562" s="408"/>
      <c r="C562" s="552"/>
      <c r="D562" s="408"/>
      <c r="E562" s="408"/>
      <c r="F562" s="408"/>
      <c r="G562" s="408"/>
      <c r="H562" s="408"/>
      <c r="I562" s="408"/>
      <c r="J562" s="408"/>
      <c r="K562" s="408"/>
      <c r="L562" s="408"/>
      <c r="M562" s="408"/>
      <c r="N562" s="408"/>
      <c r="O562" s="408"/>
      <c r="P562" s="408"/>
      <c r="Q562" s="408"/>
      <c r="R562" s="408"/>
      <c r="S562" s="408"/>
      <c r="T562" s="408"/>
      <c r="U562" s="408"/>
      <c r="V562" s="408"/>
      <c r="W562" s="408"/>
      <c r="X562" s="408"/>
      <c r="Y562" s="408"/>
      <c r="Z562" s="408"/>
    </row>
    <row r="563" ht="14.25" customHeight="1">
      <c r="A563" s="408"/>
      <c r="B563" s="408"/>
      <c r="C563" s="552"/>
      <c r="D563" s="408"/>
      <c r="E563" s="408"/>
      <c r="F563" s="408"/>
      <c r="G563" s="408"/>
      <c r="H563" s="408"/>
      <c r="I563" s="408"/>
      <c r="J563" s="408"/>
      <c r="K563" s="408"/>
      <c r="L563" s="408"/>
      <c r="M563" s="408"/>
      <c r="N563" s="408"/>
      <c r="O563" s="408"/>
      <c r="P563" s="408"/>
      <c r="Q563" s="408"/>
      <c r="R563" s="408"/>
      <c r="S563" s="408"/>
      <c r="T563" s="408"/>
      <c r="U563" s="408"/>
      <c r="V563" s="408"/>
      <c r="W563" s="408"/>
      <c r="X563" s="408"/>
      <c r="Y563" s="408"/>
      <c r="Z563" s="408"/>
    </row>
    <row r="564" ht="14.25" customHeight="1">
      <c r="A564" s="408"/>
      <c r="B564" s="408"/>
      <c r="C564" s="552"/>
      <c r="D564" s="408"/>
      <c r="E564" s="408"/>
      <c r="F564" s="408"/>
      <c r="G564" s="408"/>
      <c r="H564" s="408"/>
      <c r="I564" s="408"/>
      <c r="J564" s="408"/>
      <c r="K564" s="408"/>
      <c r="L564" s="408"/>
      <c r="M564" s="408"/>
      <c r="N564" s="408"/>
      <c r="O564" s="408"/>
      <c r="P564" s="408"/>
      <c r="Q564" s="408"/>
      <c r="R564" s="408"/>
      <c r="S564" s="408"/>
      <c r="T564" s="408"/>
      <c r="U564" s="408"/>
      <c r="V564" s="408"/>
      <c r="W564" s="408"/>
      <c r="X564" s="408"/>
      <c r="Y564" s="408"/>
      <c r="Z564" s="408"/>
    </row>
    <row r="565" ht="14.25" customHeight="1">
      <c r="A565" s="408"/>
      <c r="B565" s="408"/>
      <c r="C565" s="552"/>
      <c r="D565" s="408"/>
      <c r="E565" s="408"/>
      <c r="F565" s="408"/>
      <c r="G565" s="408"/>
      <c r="H565" s="408"/>
      <c r="I565" s="408"/>
      <c r="J565" s="408"/>
      <c r="K565" s="408"/>
      <c r="L565" s="408"/>
      <c r="M565" s="408"/>
      <c r="N565" s="408"/>
      <c r="O565" s="408"/>
      <c r="P565" s="408"/>
      <c r="Q565" s="408"/>
      <c r="R565" s="408"/>
      <c r="S565" s="408"/>
      <c r="T565" s="408"/>
      <c r="U565" s="408"/>
      <c r="V565" s="408"/>
      <c r="W565" s="408"/>
      <c r="X565" s="408"/>
      <c r="Y565" s="408"/>
      <c r="Z565" s="408"/>
    </row>
    <row r="566" ht="14.25" customHeight="1">
      <c r="A566" s="408"/>
      <c r="B566" s="408"/>
      <c r="C566" s="552"/>
      <c r="D566" s="408"/>
      <c r="E566" s="408"/>
      <c r="F566" s="408"/>
      <c r="G566" s="408"/>
      <c r="H566" s="408"/>
      <c r="I566" s="408"/>
      <c r="J566" s="408"/>
      <c r="K566" s="408"/>
      <c r="L566" s="408"/>
      <c r="M566" s="408"/>
      <c r="N566" s="408"/>
      <c r="O566" s="408"/>
      <c r="P566" s="408"/>
      <c r="Q566" s="408"/>
      <c r="R566" s="408"/>
      <c r="S566" s="408"/>
      <c r="T566" s="408"/>
      <c r="U566" s="408"/>
      <c r="V566" s="408"/>
      <c r="W566" s="408"/>
      <c r="X566" s="408"/>
      <c r="Y566" s="408"/>
      <c r="Z566" s="408"/>
    </row>
    <row r="567" ht="14.25" customHeight="1">
      <c r="A567" s="408"/>
      <c r="B567" s="408"/>
      <c r="C567" s="552"/>
      <c r="D567" s="408"/>
      <c r="E567" s="408"/>
      <c r="F567" s="408"/>
      <c r="G567" s="408"/>
      <c r="H567" s="408"/>
      <c r="I567" s="408"/>
      <c r="J567" s="408"/>
      <c r="K567" s="408"/>
      <c r="L567" s="408"/>
      <c r="M567" s="408"/>
      <c r="N567" s="408"/>
      <c r="O567" s="408"/>
      <c r="P567" s="408"/>
      <c r="Q567" s="408"/>
      <c r="R567" s="408"/>
      <c r="S567" s="408"/>
      <c r="T567" s="408"/>
      <c r="U567" s="408"/>
      <c r="V567" s="408"/>
      <c r="W567" s="408"/>
      <c r="X567" s="408"/>
      <c r="Y567" s="408"/>
      <c r="Z567" s="408"/>
    </row>
    <row r="568" ht="14.25" customHeight="1">
      <c r="A568" s="408"/>
      <c r="B568" s="408"/>
      <c r="C568" s="552"/>
      <c r="D568" s="408"/>
      <c r="E568" s="408"/>
      <c r="F568" s="408"/>
      <c r="G568" s="408"/>
      <c r="H568" s="408"/>
      <c r="I568" s="408"/>
      <c r="J568" s="408"/>
      <c r="K568" s="408"/>
      <c r="L568" s="408"/>
      <c r="M568" s="408"/>
      <c r="N568" s="408"/>
      <c r="O568" s="408"/>
      <c r="P568" s="408"/>
      <c r="Q568" s="408"/>
      <c r="R568" s="408"/>
      <c r="S568" s="408"/>
      <c r="T568" s="408"/>
      <c r="U568" s="408"/>
      <c r="V568" s="408"/>
      <c r="W568" s="408"/>
      <c r="X568" s="408"/>
      <c r="Y568" s="408"/>
      <c r="Z568" s="408"/>
    </row>
    <row r="569" ht="14.25" customHeight="1">
      <c r="A569" s="408"/>
      <c r="B569" s="408"/>
      <c r="C569" s="552"/>
      <c r="D569" s="408"/>
      <c r="E569" s="408"/>
      <c r="F569" s="408"/>
      <c r="G569" s="408"/>
      <c r="H569" s="408"/>
      <c r="I569" s="408"/>
      <c r="J569" s="408"/>
      <c r="K569" s="408"/>
      <c r="L569" s="408"/>
      <c r="M569" s="408"/>
      <c r="N569" s="408"/>
      <c r="O569" s="408"/>
      <c r="P569" s="408"/>
      <c r="Q569" s="408"/>
      <c r="R569" s="408"/>
      <c r="S569" s="408"/>
      <c r="T569" s="408"/>
      <c r="U569" s="408"/>
      <c r="V569" s="408"/>
      <c r="W569" s="408"/>
      <c r="X569" s="408"/>
      <c r="Y569" s="408"/>
      <c r="Z569" s="408"/>
    </row>
    <row r="570" ht="14.25" customHeight="1">
      <c r="A570" s="408"/>
      <c r="B570" s="408"/>
      <c r="C570" s="552"/>
      <c r="D570" s="408"/>
      <c r="E570" s="408"/>
      <c r="F570" s="408"/>
      <c r="G570" s="408"/>
      <c r="H570" s="408"/>
      <c r="I570" s="408"/>
      <c r="J570" s="408"/>
      <c r="K570" s="408"/>
      <c r="L570" s="408"/>
      <c r="M570" s="408"/>
      <c r="N570" s="408"/>
      <c r="O570" s="408"/>
      <c r="P570" s="408"/>
      <c r="Q570" s="408"/>
      <c r="R570" s="408"/>
      <c r="S570" s="408"/>
      <c r="T570" s="408"/>
      <c r="U570" s="408"/>
      <c r="V570" s="408"/>
      <c r="W570" s="408"/>
      <c r="X570" s="408"/>
      <c r="Y570" s="408"/>
      <c r="Z570" s="408"/>
    </row>
    <row r="571" ht="14.25" customHeight="1">
      <c r="A571" s="408"/>
      <c r="B571" s="408"/>
      <c r="C571" s="552"/>
      <c r="D571" s="408"/>
      <c r="E571" s="408"/>
      <c r="F571" s="408"/>
      <c r="G571" s="408"/>
      <c r="H571" s="408"/>
      <c r="I571" s="408"/>
      <c r="J571" s="408"/>
      <c r="K571" s="408"/>
      <c r="L571" s="408"/>
      <c r="M571" s="408"/>
      <c r="N571" s="408"/>
      <c r="O571" s="408"/>
      <c r="P571" s="408"/>
      <c r="Q571" s="408"/>
      <c r="R571" s="408"/>
      <c r="S571" s="408"/>
      <c r="T571" s="408"/>
      <c r="U571" s="408"/>
      <c r="V571" s="408"/>
      <c r="W571" s="408"/>
      <c r="X571" s="408"/>
      <c r="Y571" s="408"/>
      <c r="Z571" s="408"/>
    </row>
    <row r="572" ht="14.25" customHeight="1">
      <c r="A572" s="408"/>
      <c r="B572" s="408"/>
      <c r="C572" s="552"/>
      <c r="D572" s="408"/>
      <c r="E572" s="408"/>
      <c r="F572" s="408"/>
      <c r="G572" s="408"/>
      <c r="H572" s="408"/>
      <c r="I572" s="408"/>
      <c r="J572" s="408"/>
      <c r="K572" s="408"/>
      <c r="L572" s="408"/>
      <c r="M572" s="408"/>
      <c r="N572" s="408"/>
      <c r="O572" s="408"/>
      <c r="P572" s="408"/>
      <c r="Q572" s="408"/>
      <c r="R572" s="408"/>
      <c r="S572" s="408"/>
      <c r="T572" s="408"/>
      <c r="U572" s="408"/>
      <c r="V572" s="408"/>
      <c r="W572" s="408"/>
      <c r="X572" s="408"/>
      <c r="Y572" s="408"/>
      <c r="Z572" s="408"/>
    </row>
    <row r="573" ht="14.25" customHeight="1">
      <c r="A573" s="408"/>
      <c r="B573" s="408"/>
      <c r="C573" s="552"/>
      <c r="D573" s="408"/>
      <c r="E573" s="408"/>
      <c r="F573" s="408"/>
      <c r="G573" s="408"/>
      <c r="H573" s="408"/>
      <c r="I573" s="408"/>
      <c r="J573" s="408"/>
      <c r="K573" s="408"/>
      <c r="L573" s="408"/>
      <c r="M573" s="408"/>
      <c r="N573" s="408"/>
      <c r="O573" s="408"/>
      <c r="P573" s="408"/>
      <c r="Q573" s="408"/>
      <c r="R573" s="408"/>
      <c r="S573" s="408"/>
      <c r="T573" s="408"/>
      <c r="U573" s="408"/>
      <c r="V573" s="408"/>
      <c r="W573" s="408"/>
      <c r="X573" s="408"/>
      <c r="Y573" s="408"/>
      <c r="Z573" s="408"/>
    </row>
    <row r="574" ht="14.25" customHeight="1">
      <c r="A574" s="408"/>
      <c r="B574" s="408"/>
      <c r="C574" s="552"/>
      <c r="D574" s="408"/>
      <c r="E574" s="408"/>
      <c r="F574" s="408"/>
      <c r="G574" s="408"/>
      <c r="H574" s="408"/>
      <c r="I574" s="408"/>
      <c r="J574" s="408"/>
      <c r="K574" s="408"/>
      <c r="L574" s="408"/>
      <c r="M574" s="408"/>
      <c r="N574" s="408"/>
      <c r="O574" s="408"/>
      <c r="P574" s="408"/>
      <c r="Q574" s="408"/>
      <c r="R574" s="408"/>
      <c r="S574" s="408"/>
      <c r="T574" s="408"/>
      <c r="U574" s="408"/>
      <c r="V574" s="408"/>
      <c r="W574" s="408"/>
      <c r="X574" s="408"/>
      <c r="Y574" s="408"/>
      <c r="Z574" s="408"/>
    </row>
    <row r="575" ht="14.25" customHeight="1">
      <c r="A575" s="408"/>
      <c r="B575" s="408"/>
      <c r="C575" s="552"/>
      <c r="D575" s="408"/>
      <c r="E575" s="408"/>
      <c r="F575" s="408"/>
      <c r="G575" s="408"/>
      <c r="H575" s="408"/>
      <c r="I575" s="408"/>
      <c r="J575" s="408"/>
      <c r="K575" s="408"/>
      <c r="L575" s="408"/>
      <c r="M575" s="408"/>
      <c r="N575" s="408"/>
      <c r="O575" s="408"/>
      <c r="P575" s="408"/>
      <c r="Q575" s="408"/>
      <c r="R575" s="408"/>
      <c r="S575" s="408"/>
      <c r="T575" s="408"/>
      <c r="U575" s="408"/>
      <c r="V575" s="408"/>
      <c r="W575" s="408"/>
      <c r="X575" s="408"/>
      <c r="Y575" s="408"/>
      <c r="Z575" s="408"/>
    </row>
    <row r="576" ht="14.25" customHeight="1">
      <c r="A576" s="408"/>
      <c r="B576" s="408"/>
      <c r="C576" s="552"/>
      <c r="D576" s="408"/>
      <c r="E576" s="408"/>
      <c r="F576" s="408"/>
      <c r="G576" s="408"/>
      <c r="H576" s="408"/>
      <c r="I576" s="408"/>
      <c r="J576" s="408"/>
      <c r="K576" s="408"/>
      <c r="L576" s="408"/>
      <c r="M576" s="408"/>
      <c r="N576" s="408"/>
      <c r="O576" s="408"/>
      <c r="P576" s="408"/>
      <c r="Q576" s="408"/>
      <c r="R576" s="408"/>
      <c r="S576" s="408"/>
      <c r="T576" s="408"/>
      <c r="U576" s="408"/>
      <c r="V576" s="408"/>
      <c r="W576" s="408"/>
      <c r="X576" s="408"/>
      <c r="Y576" s="408"/>
      <c r="Z576" s="408"/>
    </row>
    <row r="577" ht="14.25" customHeight="1">
      <c r="A577" s="408"/>
      <c r="B577" s="408"/>
      <c r="C577" s="552"/>
      <c r="D577" s="408"/>
      <c r="E577" s="408"/>
      <c r="F577" s="408"/>
      <c r="G577" s="408"/>
      <c r="H577" s="408"/>
      <c r="I577" s="408"/>
      <c r="J577" s="408"/>
      <c r="K577" s="408"/>
      <c r="L577" s="408"/>
      <c r="M577" s="408"/>
      <c r="N577" s="408"/>
      <c r="O577" s="408"/>
      <c r="P577" s="408"/>
      <c r="Q577" s="408"/>
      <c r="R577" s="408"/>
      <c r="S577" s="408"/>
      <c r="T577" s="408"/>
      <c r="U577" s="408"/>
      <c r="V577" s="408"/>
      <c r="W577" s="408"/>
      <c r="X577" s="408"/>
      <c r="Y577" s="408"/>
      <c r="Z577" s="408"/>
    </row>
    <row r="578" ht="14.25" customHeight="1">
      <c r="A578" s="408"/>
      <c r="B578" s="408"/>
      <c r="C578" s="552"/>
      <c r="D578" s="408"/>
      <c r="E578" s="408"/>
      <c r="F578" s="408"/>
      <c r="G578" s="408"/>
      <c r="H578" s="408"/>
      <c r="I578" s="408"/>
      <c r="J578" s="408"/>
      <c r="K578" s="408"/>
      <c r="L578" s="408"/>
      <c r="M578" s="408"/>
      <c r="N578" s="408"/>
      <c r="O578" s="408"/>
      <c r="P578" s="408"/>
      <c r="Q578" s="408"/>
      <c r="R578" s="408"/>
      <c r="S578" s="408"/>
      <c r="T578" s="408"/>
      <c r="U578" s="408"/>
      <c r="V578" s="408"/>
      <c r="W578" s="408"/>
      <c r="X578" s="408"/>
      <c r="Y578" s="408"/>
      <c r="Z578" s="408"/>
    </row>
    <row r="579" ht="14.25" customHeight="1">
      <c r="A579" s="408"/>
      <c r="B579" s="408"/>
      <c r="C579" s="552"/>
      <c r="D579" s="408"/>
      <c r="E579" s="408"/>
      <c r="F579" s="408"/>
      <c r="G579" s="408"/>
      <c r="H579" s="408"/>
      <c r="I579" s="408"/>
      <c r="J579" s="408"/>
      <c r="K579" s="408"/>
      <c r="L579" s="408"/>
      <c r="M579" s="408"/>
      <c r="N579" s="408"/>
      <c r="O579" s="408"/>
      <c r="P579" s="408"/>
      <c r="Q579" s="408"/>
      <c r="R579" s="408"/>
      <c r="S579" s="408"/>
      <c r="T579" s="408"/>
      <c r="U579" s="408"/>
      <c r="V579" s="408"/>
      <c r="W579" s="408"/>
      <c r="X579" s="408"/>
      <c r="Y579" s="408"/>
      <c r="Z579" s="408"/>
    </row>
    <row r="580" ht="14.25" customHeight="1">
      <c r="A580" s="408"/>
      <c r="B580" s="408"/>
      <c r="C580" s="552"/>
      <c r="D580" s="408"/>
      <c r="E580" s="408"/>
      <c r="F580" s="408"/>
      <c r="G580" s="408"/>
      <c r="H580" s="408"/>
      <c r="I580" s="408"/>
      <c r="J580" s="408"/>
      <c r="K580" s="408"/>
      <c r="L580" s="408"/>
      <c r="M580" s="408"/>
      <c r="N580" s="408"/>
      <c r="O580" s="408"/>
      <c r="P580" s="408"/>
      <c r="Q580" s="408"/>
      <c r="R580" s="408"/>
      <c r="S580" s="408"/>
      <c r="T580" s="408"/>
      <c r="U580" s="408"/>
      <c r="V580" s="408"/>
      <c r="W580" s="408"/>
      <c r="X580" s="408"/>
      <c r="Y580" s="408"/>
      <c r="Z580" s="408"/>
    </row>
    <row r="581" ht="14.25" customHeight="1">
      <c r="A581" s="408"/>
      <c r="B581" s="408"/>
      <c r="C581" s="552"/>
      <c r="D581" s="408"/>
      <c r="E581" s="408"/>
      <c r="F581" s="408"/>
      <c r="G581" s="408"/>
      <c r="H581" s="408"/>
      <c r="I581" s="408"/>
      <c r="J581" s="408"/>
      <c r="K581" s="408"/>
      <c r="L581" s="408"/>
      <c r="M581" s="408"/>
      <c r="N581" s="408"/>
      <c r="O581" s="408"/>
      <c r="P581" s="408"/>
      <c r="Q581" s="408"/>
      <c r="R581" s="408"/>
      <c r="S581" s="408"/>
      <c r="T581" s="408"/>
      <c r="U581" s="408"/>
      <c r="V581" s="408"/>
      <c r="W581" s="408"/>
      <c r="X581" s="408"/>
      <c r="Y581" s="408"/>
      <c r="Z581" s="408"/>
    </row>
    <row r="582" ht="14.25" customHeight="1">
      <c r="A582" s="408"/>
      <c r="B582" s="408"/>
      <c r="C582" s="552"/>
      <c r="D582" s="408"/>
      <c r="E582" s="408"/>
      <c r="F582" s="408"/>
      <c r="G582" s="408"/>
      <c r="H582" s="408"/>
      <c r="I582" s="408"/>
      <c r="J582" s="408"/>
      <c r="K582" s="408"/>
      <c r="L582" s="408"/>
      <c r="M582" s="408"/>
      <c r="N582" s="408"/>
      <c r="O582" s="408"/>
      <c r="P582" s="408"/>
      <c r="Q582" s="408"/>
      <c r="R582" s="408"/>
      <c r="S582" s="408"/>
      <c r="T582" s="408"/>
      <c r="U582" s="408"/>
      <c r="V582" s="408"/>
      <c r="W582" s="408"/>
      <c r="X582" s="408"/>
      <c r="Y582" s="408"/>
      <c r="Z582" s="408"/>
    </row>
    <row r="583" ht="14.25" customHeight="1">
      <c r="A583" s="408"/>
      <c r="B583" s="408"/>
      <c r="C583" s="552"/>
      <c r="D583" s="408"/>
      <c r="E583" s="408"/>
      <c r="F583" s="408"/>
      <c r="G583" s="408"/>
      <c r="H583" s="408"/>
      <c r="I583" s="408"/>
      <c r="J583" s="408"/>
      <c r="K583" s="408"/>
      <c r="L583" s="408"/>
      <c r="M583" s="408"/>
      <c r="N583" s="408"/>
      <c r="O583" s="408"/>
      <c r="P583" s="408"/>
      <c r="Q583" s="408"/>
      <c r="R583" s="408"/>
      <c r="S583" s="408"/>
      <c r="T583" s="408"/>
      <c r="U583" s="408"/>
      <c r="V583" s="408"/>
      <c r="W583" s="408"/>
      <c r="X583" s="408"/>
      <c r="Y583" s="408"/>
      <c r="Z583" s="408"/>
    </row>
    <row r="584" ht="14.25" customHeight="1">
      <c r="A584" s="408"/>
      <c r="B584" s="408"/>
      <c r="C584" s="552"/>
      <c r="D584" s="408"/>
      <c r="E584" s="408"/>
      <c r="F584" s="408"/>
      <c r="G584" s="408"/>
      <c r="H584" s="408"/>
      <c r="I584" s="408"/>
      <c r="J584" s="408"/>
      <c r="K584" s="408"/>
      <c r="L584" s="408"/>
      <c r="M584" s="408"/>
      <c r="N584" s="408"/>
      <c r="O584" s="408"/>
      <c r="P584" s="408"/>
      <c r="Q584" s="408"/>
      <c r="R584" s="408"/>
      <c r="S584" s="408"/>
      <c r="T584" s="408"/>
      <c r="U584" s="408"/>
      <c r="V584" s="408"/>
      <c r="W584" s="408"/>
      <c r="X584" s="408"/>
      <c r="Y584" s="408"/>
      <c r="Z584" s="408"/>
    </row>
    <row r="585" ht="14.25" customHeight="1">
      <c r="A585" s="408"/>
      <c r="B585" s="408"/>
      <c r="C585" s="552"/>
      <c r="D585" s="408"/>
      <c r="E585" s="408"/>
      <c r="F585" s="408"/>
      <c r="G585" s="408"/>
      <c r="H585" s="408"/>
      <c r="I585" s="408"/>
      <c r="J585" s="408"/>
      <c r="K585" s="408"/>
      <c r="L585" s="408"/>
      <c r="M585" s="408"/>
      <c r="N585" s="408"/>
      <c r="O585" s="408"/>
      <c r="P585" s="408"/>
      <c r="Q585" s="408"/>
      <c r="R585" s="408"/>
      <c r="S585" s="408"/>
      <c r="T585" s="408"/>
      <c r="U585" s="408"/>
      <c r="V585" s="408"/>
      <c r="W585" s="408"/>
      <c r="X585" s="408"/>
      <c r="Y585" s="408"/>
      <c r="Z585" s="408"/>
    </row>
    <row r="586" ht="14.25" customHeight="1">
      <c r="A586" s="408"/>
      <c r="B586" s="408"/>
      <c r="C586" s="552"/>
      <c r="D586" s="408"/>
      <c r="E586" s="408"/>
      <c r="F586" s="408"/>
      <c r="G586" s="408"/>
      <c r="H586" s="408"/>
      <c r="I586" s="408"/>
      <c r="J586" s="408"/>
      <c r="K586" s="408"/>
      <c r="L586" s="408"/>
      <c r="M586" s="408"/>
      <c r="N586" s="408"/>
      <c r="O586" s="408"/>
      <c r="P586" s="408"/>
      <c r="Q586" s="408"/>
      <c r="R586" s="408"/>
      <c r="S586" s="408"/>
      <c r="T586" s="408"/>
      <c r="U586" s="408"/>
      <c r="V586" s="408"/>
      <c r="W586" s="408"/>
      <c r="X586" s="408"/>
      <c r="Y586" s="408"/>
      <c r="Z586" s="408"/>
    </row>
    <row r="587" ht="14.25" customHeight="1">
      <c r="A587" s="408"/>
      <c r="B587" s="408"/>
      <c r="C587" s="552"/>
      <c r="D587" s="408"/>
      <c r="E587" s="408"/>
      <c r="F587" s="408"/>
      <c r="G587" s="408"/>
      <c r="H587" s="408"/>
      <c r="I587" s="408"/>
      <c r="J587" s="408"/>
      <c r="K587" s="408"/>
      <c r="L587" s="408"/>
      <c r="M587" s="408"/>
      <c r="N587" s="408"/>
      <c r="O587" s="408"/>
      <c r="P587" s="408"/>
      <c r="Q587" s="408"/>
      <c r="R587" s="408"/>
      <c r="S587" s="408"/>
      <c r="T587" s="408"/>
      <c r="U587" s="408"/>
      <c r="V587" s="408"/>
      <c r="W587" s="408"/>
      <c r="X587" s="408"/>
      <c r="Y587" s="408"/>
      <c r="Z587" s="408"/>
    </row>
    <row r="588" ht="14.25" customHeight="1">
      <c r="A588" s="408"/>
      <c r="B588" s="408"/>
      <c r="C588" s="552"/>
      <c r="D588" s="408"/>
      <c r="E588" s="408"/>
      <c r="F588" s="408"/>
      <c r="G588" s="408"/>
      <c r="H588" s="408"/>
      <c r="I588" s="408"/>
      <c r="J588" s="408"/>
      <c r="K588" s="408"/>
      <c r="L588" s="408"/>
      <c r="M588" s="408"/>
      <c r="N588" s="408"/>
      <c r="O588" s="408"/>
      <c r="P588" s="408"/>
      <c r="Q588" s="408"/>
      <c r="R588" s="408"/>
      <c r="S588" s="408"/>
      <c r="T588" s="408"/>
      <c r="U588" s="408"/>
      <c r="V588" s="408"/>
      <c r="W588" s="408"/>
      <c r="X588" s="408"/>
      <c r="Y588" s="408"/>
      <c r="Z588" s="408"/>
    </row>
    <row r="589" ht="14.25" customHeight="1">
      <c r="A589" s="408"/>
      <c r="B589" s="408"/>
      <c r="C589" s="552"/>
      <c r="D589" s="408"/>
      <c r="E589" s="408"/>
      <c r="F589" s="408"/>
      <c r="G589" s="408"/>
      <c r="H589" s="408"/>
      <c r="I589" s="408"/>
      <c r="J589" s="408"/>
      <c r="K589" s="408"/>
      <c r="L589" s="408"/>
      <c r="M589" s="408"/>
      <c r="N589" s="408"/>
      <c r="O589" s="408"/>
      <c r="P589" s="408"/>
      <c r="Q589" s="408"/>
      <c r="R589" s="408"/>
      <c r="S589" s="408"/>
      <c r="T589" s="408"/>
      <c r="U589" s="408"/>
      <c r="V589" s="408"/>
      <c r="W589" s="408"/>
      <c r="X589" s="408"/>
      <c r="Y589" s="408"/>
      <c r="Z589" s="408"/>
    </row>
    <row r="590" ht="14.25" customHeight="1">
      <c r="A590" s="408"/>
      <c r="B590" s="408"/>
      <c r="C590" s="552"/>
      <c r="D590" s="408"/>
      <c r="E590" s="408"/>
      <c r="F590" s="408"/>
      <c r="G590" s="408"/>
      <c r="H590" s="408"/>
      <c r="I590" s="408"/>
      <c r="J590" s="408"/>
      <c r="K590" s="408"/>
      <c r="L590" s="408"/>
      <c r="M590" s="408"/>
      <c r="N590" s="408"/>
      <c r="O590" s="408"/>
      <c r="P590" s="408"/>
      <c r="Q590" s="408"/>
      <c r="R590" s="408"/>
      <c r="S590" s="408"/>
      <c r="T590" s="408"/>
      <c r="U590" s="408"/>
      <c r="V590" s="408"/>
      <c r="W590" s="408"/>
      <c r="X590" s="408"/>
      <c r="Y590" s="408"/>
      <c r="Z590" s="408"/>
    </row>
    <row r="591" ht="14.25" customHeight="1">
      <c r="A591" s="408"/>
      <c r="B591" s="408"/>
      <c r="C591" s="552"/>
      <c r="D591" s="408"/>
      <c r="E591" s="408"/>
      <c r="F591" s="408"/>
      <c r="G591" s="408"/>
      <c r="H591" s="408"/>
      <c r="I591" s="408"/>
      <c r="J591" s="408"/>
      <c r="K591" s="408"/>
      <c r="L591" s="408"/>
      <c r="M591" s="408"/>
      <c r="N591" s="408"/>
      <c r="O591" s="408"/>
      <c r="P591" s="408"/>
      <c r="Q591" s="408"/>
      <c r="R591" s="408"/>
      <c r="S591" s="408"/>
      <c r="T591" s="408"/>
      <c r="U591" s="408"/>
      <c r="V591" s="408"/>
      <c r="W591" s="408"/>
      <c r="X591" s="408"/>
      <c r="Y591" s="408"/>
      <c r="Z591" s="408"/>
    </row>
    <row r="592" ht="14.25" customHeight="1">
      <c r="A592" s="408"/>
      <c r="B592" s="408"/>
      <c r="C592" s="552"/>
      <c r="D592" s="408"/>
      <c r="E592" s="408"/>
      <c r="F592" s="408"/>
      <c r="G592" s="408"/>
      <c r="H592" s="408"/>
      <c r="I592" s="408"/>
      <c r="J592" s="408"/>
      <c r="K592" s="408"/>
      <c r="L592" s="408"/>
      <c r="M592" s="408"/>
      <c r="N592" s="408"/>
      <c r="O592" s="408"/>
      <c r="P592" s="408"/>
      <c r="Q592" s="408"/>
      <c r="R592" s="408"/>
      <c r="S592" s="408"/>
      <c r="T592" s="408"/>
      <c r="U592" s="408"/>
      <c r="V592" s="408"/>
      <c r="W592" s="408"/>
      <c r="X592" s="408"/>
      <c r="Y592" s="408"/>
      <c r="Z592" s="408"/>
    </row>
    <row r="593" ht="14.25" customHeight="1">
      <c r="A593" s="408"/>
      <c r="B593" s="408"/>
      <c r="C593" s="552"/>
      <c r="D593" s="408"/>
      <c r="E593" s="408"/>
      <c r="F593" s="408"/>
      <c r="G593" s="408"/>
      <c r="H593" s="408"/>
      <c r="I593" s="408"/>
      <c r="J593" s="408"/>
      <c r="K593" s="408"/>
      <c r="L593" s="408"/>
      <c r="M593" s="408"/>
      <c r="N593" s="408"/>
      <c r="O593" s="408"/>
      <c r="P593" s="408"/>
      <c r="Q593" s="408"/>
      <c r="R593" s="408"/>
      <c r="S593" s="408"/>
      <c r="T593" s="408"/>
      <c r="U593" s="408"/>
      <c r="V593" s="408"/>
      <c r="W593" s="408"/>
      <c r="X593" s="408"/>
      <c r="Y593" s="408"/>
      <c r="Z593" s="408"/>
    </row>
    <row r="594" ht="14.25" customHeight="1">
      <c r="A594" s="408"/>
      <c r="B594" s="408"/>
      <c r="C594" s="552"/>
      <c r="D594" s="408"/>
      <c r="E594" s="408"/>
      <c r="F594" s="408"/>
      <c r="G594" s="408"/>
      <c r="H594" s="408"/>
      <c r="I594" s="408"/>
      <c r="J594" s="408"/>
      <c r="K594" s="408"/>
      <c r="L594" s="408"/>
      <c r="M594" s="408"/>
      <c r="N594" s="408"/>
      <c r="O594" s="408"/>
      <c r="P594" s="408"/>
      <c r="Q594" s="408"/>
      <c r="R594" s="408"/>
      <c r="S594" s="408"/>
      <c r="T594" s="408"/>
      <c r="U594" s="408"/>
      <c r="V594" s="408"/>
      <c r="W594" s="408"/>
      <c r="X594" s="408"/>
      <c r="Y594" s="408"/>
      <c r="Z594" s="408"/>
    </row>
    <row r="595" ht="14.25" customHeight="1">
      <c r="A595" s="408"/>
      <c r="B595" s="408"/>
      <c r="C595" s="552"/>
      <c r="D595" s="408"/>
      <c r="E595" s="408"/>
      <c r="F595" s="408"/>
      <c r="G595" s="408"/>
      <c r="H595" s="408"/>
      <c r="I595" s="408"/>
      <c r="J595" s="408"/>
      <c r="K595" s="408"/>
      <c r="L595" s="408"/>
      <c r="M595" s="408"/>
      <c r="N595" s="408"/>
      <c r="O595" s="408"/>
      <c r="P595" s="408"/>
      <c r="Q595" s="408"/>
      <c r="R595" s="408"/>
      <c r="S595" s="408"/>
      <c r="T595" s="408"/>
      <c r="U595" s="408"/>
      <c r="V595" s="408"/>
      <c r="W595" s="408"/>
      <c r="X595" s="408"/>
      <c r="Y595" s="408"/>
      <c r="Z595" s="408"/>
    </row>
    <row r="596" ht="14.25" customHeight="1">
      <c r="A596" s="408"/>
      <c r="B596" s="408"/>
      <c r="C596" s="552"/>
      <c r="D596" s="408"/>
      <c r="E596" s="408"/>
      <c r="F596" s="408"/>
      <c r="G596" s="408"/>
      <c r="H596" s="408"/>
      <c r="I596" s="408"/>
      <c r="J596" s="408"/>
      <c r="K596" s="408"/>
      <c r="L596" s="408"/>
      <c r="M596" s="408"/>
      <c r="N596" s="408"/>
      <c r="O596" s="408"/>
      <c r="P596" s="408"/>
      <c r="Q596" s="408"/>
      <c r="R596" s="408"/>
      <c r="S596" s="408"/>
      <c r="T596" s="408"/>
      <c r="U596" s="408"/>
      <c r="V596" s="408"/>
      <c r="W596" s="408"/>
      <c r="X596" s="408"/>
      <c r="Y596" s="408"/>
      <c r="Z596" s="408"/>
    </row>
    <row r="597" ht="14.25" customHeight="1">
      <c r="A597" s="408"/>
      <c r="B597" s="408"/>
      <c r="C597" s="552"/>
      <c r="D597" s="408"/>
      <c r="E597" s="408"/>
      <c r="F597" s="408"/>
      <c r="G597" s="408"/>
      <c r="H597" s="408"/>
      <c r="I597" s="408"/>
      <c r="J597" s="408"/>
      <c r="K597" s="408"/>
      <c r="L597" s="408"/>
      <c r="M597" s="408"/>
      <c r="N597" s="408"/>
      <c r="O597" s="408"/>
      <c r="P597" s="408"/>
      <c r="Q597" s="408"/>
      <c r="R597" s="408"/>
      <c r="S597" s="408"/>
      <c r="T597" s="408"/>
      <c r="U597" s="408"/>
      <c r="V597" s="408"/>
      <c r="W597" s="408"/>
      <c r="X597" s="408"/>
      <c r="Y597" s="408"/>
      <c r="Z597" s="408"/>
    </row>
    <row r="598" ht="14.25" customHeight="1">
      <c r="A598" s="408"/>
      <c r="B598" s="408"/>
      <c r="C598" s="552"/>
      <c r="D598" s="408"/>
      <c r="E598" s="408"/>
      <c r="F598" s="408"/>
      <c r="G598" s="408"/>
      <c r="H598" s="408"/>
      <c r="I598" s="408"/>
      <c r="J598" s="408"/>
      <c r="K598" s="408"/>
      <c r="L598" s="408"/>
      <c r="M598" s="408"/>
      <c r="N598" s="408"/>
      <c r="O598" s="408"/>
      <c r="P598" s="408"/>
      <c r="Q598" s="408"/>
      <c r="R598" s="408"/>
      <c r="S598" s="408"/>
      <c r="T598" s="408"/>
      <c r="U598" s="408"/>
      <c r="V598" s="408"/>
      <c r="W598" s="408"/>
      <c r="X598" s="408"/>
      <c r="Y598" s="408"/>
      <c r="Z598" s="408"/>
    </row>
    <row r="599" ht="14.25" customHeight="1">
      <c r="A599" s="408"/>
      <c r="B599" s="408"/>
      <c r="C599" s="552"/>
      <c r="D599" s="408"/>
      <c r="E599" s="408"/>
      <c r="F599" s="408"/>
      <c r="G599" s="408"/>
      <c r="H599" s="408"/>
      <c r="I599" s="408"/>
      <c r="J599" s="408"/>
      <c r="K599" s="408"/>
      <c r="L599" s="408"/>
      <c r="M599" s="408"/>
      <c r="N599" s="408"/>
      <c r="O599" s="408"/>
      <c r="P599" s="408"/>
      <c r="Q599" s="408"/>
      <c r="R599" s="408"/>
      <c r="S599" s="408"/>
      <c r="T599" s="408"/>
      <c r="U599" s="408"/>
      <c r="V599" s="408"/>
      <c r="W599" s="408"/>
      <c r="X599" s="408"/>
      <c r="Y599" s="408"/>
      <c r="Z599" s="408"/>
    </row>
    <row r="600" ht="14.25" customHeight="1">
      <c r="A600" s="408"/>
      <c r="B600" s="408"/>
      <c r="C600" s="552"/>
      <c r="D600" s="408"/>
      <c r="E600" s="408"/>
      <c r="F600" s="408"/>
      <c r="G600" s="408"/>
      <c r="H600" s="408"/>
      <c r="I600" s="408"/>
      <c r="J600" s="408"/>
      <c r="K600" s="408"/>
      <c r="L600" s="408"/>
      <c r="M600" s="408"/>
      <c r="N600" s="408"/>
      <c r="O600" s="408"/>
      <c r="P600" s="408"/>
      <c r="Q600" s="408"/>
      <c r="R600" s="408"/>
      <c r="S600" s="408"/>
      <c r="T600" s="408"/>
      <c r="U600" s="408"/>
      <c r="V600" s="408"/>
      <c r="W600" s="408"/>
      <c r="X600" s="408"/>
      <c r="Y600" s="408"/>
      <c r="Z600" s="408"/>
    </row>
    <row r="601" ht="14.25" customHeight="1">
      <c r="A601" s="408"/>
      <c r="B601" s="408"/>
      <c r="C601" s="552"/>
      <c r="D601" s="408"/>
      <c r="E601" s="408"/>
      <c r="F601" s="408"/>
      <c r="G601" s="408"/>
      <c r="H601" s="408"/>
      <c r="I601" s="408"/>
      <c r="J601" s="408"/>
      <c r="K601" s="408"/>
      <c r="L601" s="408"/>
      <c r="M601" s="408"/>
      <c r="N601" s="408"/>
      <c r="O601" s="408"/>
      <c r="P601" s="408"/>
      <c r="Q601" s="408"/>
      <c r="R601" s="408"/>
      <c r="S601" s="408"/>
      <c r="T601" s="408"/>
      <c r="U601" s="408"/>
      <c r="V601" s="408"/>
      <c r="W601" s="408"/>
      <c r="X601" s="408"/>
      <c r="Y601" s="408"/>
      <c r="Z601" s="408"/>
    </row>
    <row r="602" ht="14.25" customHeight="1">
      <c r="A602" s="408"/>
      <c r="B602" s="408"/>
      <c r="C602" s="552"/>
      <c r="D602" s="408"/>
      <c r="E602" s="408"/>
      <c r="F602" s="408"/>
      <c r="G602" s="408"/>
      <c r="H602" s="408"/>
      <c r="I602" s="408"/>
      <c r="J602" s="408"/>
      <c r="K602" s="408"/>
      <c r="L602" s="408"/>
      <c r="M602" s="408"/>
      <c r="N602" s="408"/>
      <c r="O602" s="408"/>
      <c r="P602" s="408"/>
      <c r="Q602" s="408"/>
      <c r="R602" s="408"/>
      <c r="S602" s="408"/>
      <c r="T602" s="408"/>
      <c r="U602" s="408"/>
      <c r="V602" s="408"/>
      <c r="W602" s="408"/>
      <c r="X602" s="408"/>
      <c r="Y602" s="408"/>
      <c r="Z602" s="408"/>
    </row>
    <row r="603" ht="14.25" customHeight="1">
      <c r="A603" s="408"/>
      <c r="B603" s="408"/>
      <c r="C603" s="552"/>
      <c r="D603" s="408"/>
      <c r="E603" s="408"/>
      <c r="F603" s="408"/>
      <c r="G603" s="408"/>
      <c r="H603" s="408"/>
      <c r="I603" s="408"/>
      <c r="J603" s="408"/>
      <c r="K603" s="408"/>
      <c r="L603" s="408"/>
      <c r="M603" s="408"/>
      <c r="N603" s="408"/>
      <c r="O603" s="408"/>
      <c r="P603" s="408"/>
      <c r="Q603" s="408"/>
      <c r="R603" s="408"/>
      <c r="S603" s="408"/>
      <c r="T603" s="408"/>
      <c r="U603" s="408"/>
      <c r="V603" s="408"/>
      <c r="W603" s="408"/>
      <c r="X603" s="408"/>
      <c r="Y603" s="408"/>
      <c r="Z603" s="408"/>
    </row>
    <row r="604" ht="14.25" customHeight="1">
      <c r="A604" s="408"/>
      <c r="B604" s="408"/>
      <c r="C604" s="552"/>
      <c r="D604" s="408"/>
      <c r="E604" s="408"/>
      <c r="F604" s="408"/>
      <c r="G604" s="408"/>
      <c r="H604" s="408"/>
      <c r="I604" s="408"/>
      <c r="J604" s="408"/>
      <c r="K604" s="408"/>
      <c r="L604" s="408"/>
      <c r="M604" s="408"/>
      <c r="N604" s="408"/>
      <c r="O604" s="408"/>
      <c r="P604" s="408"/>
      <c r="Q604" s="408"/>
      <c r="R604" s="408"/>
      <c r="S604" s="408"/>
      <c r="T604" s="408"/>
      <c r="U604" s="408"/>
      <c r="V604" s="408"/>
      <c r="W604" s="408"/>
      <c r="X604" s="408"/>
      <c r="Y604" s="408"/>
      <c r="Z604" s="408"/>
    </row>
    <row r="605" ht="14.25" customHeight="1">
      <c r="A605" s="408"/>
      <c r="B605" s="408"/>
      <c r="C605" s="552"/>
      <c r="D605" s="408"/>
      <c r="E605" s="408"/>
      <c r="F605" s="408"/>
      <c r="G605" s="408"/>
      <c r="H605" s="408"/>
      <c r="I605" s="408"/>
      <c r="J605" s="408"/>
      <c r="K605" s="408"/>
      <c r="L605" s="408"/>
      <c r="M605" s="408"/>
      <c r="N605" s="408"/>
      <c r="O605" s="408"/>
      <c r="P605" s="408"/>
      <c r="Q605" s="408"/>
      <c r="R605" s="408"/>
      <c r="S605" s="408"/>
      <c r="T605" s="408"/>
      <c r="U605" s="408"/>
      <c r="V605" s="408"/>
      <c r="W605" s="408"/>
      <c r="X605" s="408"/>
      <c r="Y605" s="408"/>
      <c r="Z605" s="408"/>
    </row>
    <row r="606" ht="14.25" customHeight="1">
      <c r="A606" s="408"/>
      <c r="B606" s="408"/>
      <c r="C606" s="552"/>
      <c r="D606" s="408"/>
      <c r="E606" s="408"/>
      <c r="F606" s="408"/>
      <c r="G606" s="408"/>
      <c r="H606" s="408"/>
      <c r="I606" s="408"/>
      <c r="J606" s="408"/>
      <c r="K606" s="408"/>
      <c r="L606" s="408"/>
      <c r="M606" s="408"/>
      <c r="N606" s="408"/>
      <c r="O606" s="408"/>
      <c r="P606" s="408"/>
      <c r="Q606" s="408"/>
      <c r="R606" s="408"/>
      <c r="S606" s="408"/>
      <c r="T606" s="408"/>
      <c r="U606" s="408"/>
      <c r="V606" s="408"/>
      <c r="W606" s="408"/>
      <c r="X606" s="408"/>
      <c r="Y606" s="408"/>
      <c r="Z606" s="408"/>
    </row>
    <row r="607" ht="14.25" customHeight="1">
      <c r="A607" s="408"/>
      <c r="B607" s="408"/>
      <c r="C607" s="552"/>
      <c r="D607" s="408"/>
      <c r="E607" s="408"/>
      <c r="F607" s="408"/>
      <c r="G607" s="408"/>
      <c r="H607" s="408"/>
      <c r="I607" s="408"/>
      <c r="J607" s="408"/>
      <c r="K607" s="408"/>
      <c r="L607" s="408"/>
      <c r="M607" s="408"/>
      <c r="N607" s="408"/>
      <c r="O607" s="408"/>
      <c r="P607" s="408"/>
      <c r="Q607" s="408"/>
      <c r="R607" s="408"/>
      <c r="S607" s="408"/>
      <c r="T607" s="408"/>
      <c r="U607" s="408"/>
      <c r="V607" s="408"/>
      <c r="W607" s="408"/>
      <c r="X607" s="408"/>
      <c r="Y607" s="408"/>
      <c r="Z607" s="408"/>
    </row>
    <row r="608" ht="14.25" customHeight="1">
      <c r="A608" s="408"/>
      <c r="B608" s="408"/>
      <c r="C608" s="552"/>
      <c r="D608" s="408"/>
      <c r="E608" s="408"/>
      <c r="F608" s="408"/>
      <c r="G608" s="408"/>
      <c r="H608" s="408"/>
      <c r="I608" s="408"/>
      <c r="J608" s="408"/>
      <c r="K608" s="408"/>
      <c r="L608" s="408"/>
      <c r="M608" s="408"/>
      <c r="N608" s="408"/>
      <c r="O608" s="408"/>
      <c r="P608" s="408"/>
      <c r="Q608" s="408"/>
      <c r="R608" s="408"/>
      <c r="S608" s="408"/>
      <c r="T608" s="408"/>
      <c r="U608" s="408"/>
      <c r="V608" s="408"/>
      <c r="W608" s="408"/>
      <c r="X608" s="408"/>
      <c r="Y608" s="408"/>
      <c r="Z608" s="408"/>
    </row>
    <row r="609" ht="14.25" customHeight="1">
      <c r="A609" s="408"/>
      <c r="B609" s="408"/>
      <c r="C609" s="552"/>
      <c r="D609" s="408"/>
      <c r="E609" s="408"/>
      <c r="F609" s="408"/>
      <c r="G609" s="408"/>
      <c r="H609" s="408"/>
      <c r="I609" s="408"/>
      <c r="J609" s="408"/>
      <c r="K609" s="408"/>
      <c r="L609" s="408"/>
      <c r="M609" s="408"/>
      <c r="N609" s="408"/>
      <c r="O609" s="408"/>
      <c r="P609" s="408"/>
      <c r="Q609" s="408"/>
      <c r="R609" s="408"/>
      <c r="S609" s="408"/>
      <c r="T609" s="408"/>
      <c r="U609" s="408"/>
      <c r="V609" s="408"/>
      <c r="W609" s="408"/>
      <c r="X609" s="408"/>
      <c r="Y609" s="408"/>
      <c r="Z609" s="408"/>
    </row>
    <row r="610" ht="14.25" customHeight="1">
      <c r="A610" s="408"/>
      <c r="B610" s="408"/>
      <c r="C610" s="552"/>
      <c r="D610" s="408"/>
      <c r="E610" s="408"/>
      <c r="F610" s="408"/>
      <c r="G610" s="408"/>
      <c r="H610" s="408"/>
      <c r="I610" s="408"/>
      <c r="J610" s="408"/>
      <c r="K610" s="408"/>
      <c r="L610" s="408"/>
      <c r="M610" s="408"/>
      <c r="N610" s="408"/>
      <c r="O610" s="408"/>
      <c r="P610" s="408"/>
      <c r="Q610" s="408"/>
      <c r="R610" s="408"/>
      <c r="S610" s="408"/>
      <c r="T610" s="408"/>
      <c r="U610" s="408"/>
      <c r="V610" s="408"/>
      <c r="W610" s="408"/>
      <c r="X610" s="408"/>
      <c r="Y610" s="408"/>
      <c r="Z610" s="408"/>
    </row>
    <row r="611" ht="14.25" customHeight="1">
      <c r="A611" s="408"/>
      <c r="B611" s="408"/>
      <c r="C611" s="552"/>
      <c r="D611" s="408"/>
      <c r="E611" s="408"/>
      <c r="F611" s="408"/>
      <c r="G611" s="408"/>
      <c r="H611" s="408"/>
      <c r="I611" s="408"/>
      <c r="J611" s="408"/>
      <c r="K611" s="408"/>
      <c r="L611" s="408"/>
      <c r="M611" s="408"/>
      <c r="N611" s="408"/>
      <c r="O611" s="408"/>
      <c r="P611" s="408"/>
      <c r="Q611" s="408"/>
      <c r="R611" s="408"/>
      <c r="S611" s="408"/>
      <c r="T611" s="408"/>
      <c r="U611" s="408"/>
      <c r="V611" s="408"/>
      <c r="W611" s="408"/>
      <c r="X611" s="408"/>
      <c r="Y611" s="408"/>
      <c r="Z611" s="408"/>
    </row>
    <row r="612" ht="14.25" customHeight="1">
      <c r="A612" s="408"/>
      <c r="B612" s="408"/>
      <c r="C612" s="552"/>
      <c r="D612" s="408"/>
      <c r="E612" s="408"/>
      <c r="F612" s="408"/>
      <c r="G612" s="408"/>
      <c r="H612" s="408"/>
      <c r="I612" s="408"/>
      <c r="J612" s="408"/>
      <c r="K612" s="408"/>
      <c r="L612" s="408"/>
      <c r="M612" s="408"/>
      <c r="N612" s="408"/>
      <c r="O612" s="408"/>
      <c r="P612" s="408"/>
      <c r="Q612" s="408"/>
      <c r="R612" s="408"/>
      <c r="S612" s="408"/>
      <c r="T612" s="408"/>
      <c r="U612" s="408"/>
      <c r="V612" s="408"/>
      <c r="W612" s="408"/>
      <c r="X612" s="408"/>
      <c r="Y612" s="408"/>
      <c r="Z612" s="408"/>
    </row>
    <row r="613" ht="14.25" customHeight="1">
      <c r="A613" s="408"/>
      <c r="B613" s="408"/>
      <c r="C613" s="552"/>
      <c r="D613" s="408"/>
      <c r="E613" s="408"/>
      <c r="F613" s="408"/>
      <c r="G613" s="408"/>
      <c r="H613" s="408"/>
      <c r="I613" s="408"/>
      <c r="J613" s="408"/>
      <c r="K613" s="408"/>
      <c r="L613" s="408"/>
      <c r="M613" s="408"/>
      <c r="N613" s="408"/>
      <c r="O613" s="408"/>
      <c r="P613" s="408"/>
      <c r="Q613" s="408"/>
      <c r="R613" s="408"/>
      <c r="S613" s="408"/>
      <c r="T613" s="408"/>
      <c r="U613" s="408"/>
      <c r="V613" s="408"/>
      <c r="W613" s="408"/>
      <c r="X613" s="408"/>
      <c r="Y613" s="408"/>
      <c r="Z613" s="408"/>
    </row>
    <row r="614" ht="14.25" customHeight="1">
      <c r="A614" s="408"/>
      <c r="B614" s="408"/>
      <c r="C614" s="552"/>
      <c r="D614" s="408"/>
      <c r="E614" s="408"/>
      <c r="F614" s="408"/>
      <c r="G614" s="408"/>
      <c r="H614" s="408"/>
      <c r="I614" s="408"/>
      <c r="J614" s="408"/>
      <c r="K614" s="408"/>
      <c r="L614" s="408"/>
      <c r="M614" s="408"/>
      <c r="N614" s="408"/>
      <c r="O614" s="408"/>
      <c r="P614" s="408"/>
      <c r="Q614" s="408"/>
      <c r="R614" s="408"/>
      <c r="S614" s="408"/>
      <c r="T614" s="408"/>
      <c r="U614" s="408"/>
      <c r="V614" s="408"/>
      <c r="W614" s="408"/>
      <c r="X614" s="408"/>
      <c r="Y614" s="408"/>
      <c r="Z614" s="408"/>
    </row>
    <row r="615" ht="14.25" customHeight="1">
      <c r="A615" s="408"/>
      <c r="B615" s="408"/>
      <c r="C615" s="552"/>
      <c r="D615" s="408"/>
      <c r="E615" s="408"/>
      <c r="F615" s="408"/>
      <c r="G615" s="408"/>
      <c r="H615" s="408"/>
      <c r="I615" s="408"/>
      <c r="J615" s="408"/>
      <c r="K615" s="408"/>
      <c r="L615" s="408"/>
      <c r="M615" s="408"/>
      <c r="N615" s="408"/>
      <c r="O615" s="408"/>
      <c r="P615" s="408"/>
      <c r="Q615" s="408"/>
      <c r="R615" s="408"/>
      <c r="S615" s="408"/>
      <c r="T615" s="408"/>
      <c r="U615" s="408"/>
      <c r="V615" s="408"/>
      <c r="W615" s="408"/>
      <c r="X615" s="408"/>
      <c r="Y615" s="408"/>
      <c r="Z615" s="408"/>
    </row>
    <row r="616" ht="14.25" customHeight="1">
      <c r="A616" s="408"/>
      <c r="B616" s="408"/>
      <c r="C616" s="552"/>
      <c r="D616" s="408"/>
      <c r="E616" s="408"/>
      <c r="F616" s="408"/>
      <c r="G616" s="408"/>
      <c r="H616" s="408"/>
      <c r="I616" s="408"/>
      <c r="J616" s="408"/>
      <c r="K616" s="408"/>
      <c r="L616" s="408"/>
      <c r="M616" s="408"/>
      <c r="N616" s="408"/>
      <c r="O616" s="408"/>
      <c r="P616" s="408"/>
      <c r="Q616" s="408"/>
      <c r="R616" s="408"/>
      <c r="S616" s="408"/>
      <c r="T616" s="408"/>
      <c r="U616" s="408"/>
      <c r="V616" s="408"/>
      <c r="W616" s="408"/>
      <c r="X616" s="408"/>
      <c r="Y616" s="408"/>
      <c r="Z616" s="408"/>
    </row>
    <row r="617" ht="14.25" customHeight="1">
      <c r="A617" s="408"/>
      <c r="B617" s="408"/>
      <c r="C617" s="552"/>
      <c r="D617" s="408"/>
      <c r="E617" s="408"/>
      <c r="F617" s="408"/>
      <c r="G617" s="408"/>
      <c r="H617" s="408"/>
      <c r="I617" s="408"/>
      <c r="J617" s="408"/>
      <c r="K617" s="408"/>
      <c r="L617" s="408"/>
      <c r="M617" s="408"/>
      <c r="N617" s="408"/>
      <c r="O617" s="408"/>
      <c r="P617" s="408"/>
      <c r="Q617" s="408"/>
      <c r="R617" s="408"/>
      <c r="S617" s="408"/>
      <c r="T617" s="408"/>
      <c r="U617" s="408"/>
      <c r="V617" s="408"/>
      <c r="W617" s="408"/>
      <c r="X617" s="408"/>
      <c r="Y617" s="408"/>
      <c r="Z617" s="408"/>
    </row>
    <row r="618" ht="14.25" customHeight="1">
      <c r="A618" s="408"/>
      <c r="B618" s="408"/>
      <c r="C618" s="552"/>
      <c r="D618" s="408"/>
      <c r="E618" s="408"/>
      <c r="F618" s="408"/>
      <c r="G618" s="408"/>
      <c r="H618" s="408"/>
      <c r="I618" s="408"/>
      <c r="J618" s="408"/>
      <c r="K618" s="408"/>
      <c r="L618" s="408"/>
      <c r="M618" s="408"/>
      <c r="N618" s="408"/>
      <c r="O618" s="408"/>
      <c r="P618" s="408"/>
      <c r="Q618" s="408"/>
      <c r="R618" s="408"/>
      <c r="S618" s="408"/>
      <c r="T618" s="408"/>
      <c r="U618" s="408"/>
      <c r="V618" s="408"/>
      <c r="W618" s="408"/>
      <c r="X618" s="408"/>
      <c r="Y618" s="408"/>
      <c r="Z618" s="408"/>
    </row>
    <row r="619" ht="14.25" customHeight="1">
      <c r="A619" s="408"/>
      <c r="B619" s="408"/>
      <c r="C619" s="552"/>
      <c r="D619" s="408"/>
      <c r="E619" s="408"/>
      <c r="F619" s="408"/>
      <c r="G619" s="408"/>
      <c r="H619" s="408"/>
      <c r="I619" s="408"/>
      <c r="J619" s="408"/>
      <c r="K619" s="408"/>
      <c r="L619" s="408"/>
      <c r="M619" s="408"/>
      <c r="N619" s="408"/>
      <c r="O619" s="408"/>
      <c r="P619" s="408"/>
      <c r="Q619" s="408"/>
      <c r="R619" s="408"/>
      <c r="S619" s="408"/>
      <c r="T619" s="408"/>
      <c r="U619" s="408"/>
      <c r="V619" s="408"/>
      <c r="W619" s="408"/>
      <c r="X619" s="408"/>
      <c r="Y619" s="408"/>
      <c r="Z619" s="408"/>
    </row>
    <row r="620" ht="14.25" customHeight="1">
      <c r="A620" s="408"/>
      <c r="B620" s="408"/>
      <c r="C620" s="552"/>
      <c r="D620" s="408"/>
      <c r="E620" s="408"/>
      <c r="F620" s="408"/>
      <c r="G620" s="408"/>
      <c r="H620" s="408"/>
      <c r="I620" s="408"/>
      <c r="J620" s="408"/>
      <c r="K620" s="408"/>
      <c r="L620" s="408"/>
      <c r="M620" s="408"/>
      <c r="N620" s="408"/>
      <c r="O620" s="408"/>
      <c r="P620" s="408"/>
      <c r="Q620" s="408"/>
      <c r="R620" s="408"/>
      <c r="S620" s="408"/>
      <c r="T620" s="408"/>
      <c r="U620" s="408"/>
      <c r="V620" s="408"/>
      <c r="W620" s="408"/>
      <c r="X620" s="408"/>
      <c r="Y620" s="408"/>
      <c r="Z620" s="408"/>
    </row>
    <row r="621" ht="14.25" customHeight="1">
      <c r="A621" s="408"/>
      <c r="B621" s="408"/>
      <c r="C621" s="552"/>
      <c r="D621" s="408"/>
      <c r="E621" s="408"/>
      <c r="F621" s="408"/>
      <c r="G621" s="408"/>
      <c r="H621" s="408"/>
      <c r="I621" s="408"/>
      <c r="J621" s="408"/>
      <c r="K621" s="408"/>
      <c r="L621" s="408"/>
      <c r="M621" s="408"/>
      <c r="N621" s="408"/>
      <c r="O621" s="408"/>
      <c r="P621" s="408"/>
      <c r="Q621" s="408"/>
      <c r="R621" s="408"/>
      <c r="S621" s="408"/>
      <c r="T621" s="408"/>
      <c r="U621" s="408"/>
      <c r="V621" s="408"/>
      <c r="W621" s="408"/>
      <c r="X621" s="408"/>
      <c r="Y621" s="408"/>
      <c r="Z621" s="408"/>
    </row>
    <row r="622" ht="14.25" customHeight="1">
      <c r="A622" s="408"/>
      <c r="B622" s="408"/>
      <c r="C622" s="552"/>
      <c r="D622" s="408"/>
      <c r="E622" s="408"/>
      <c r="F622" s="408"/>
      <c r="G622" s="408"/>
      <c r="H622" s="408"/>
      <c r="I622" s="408"/>
      <c r="J622" s="408"/>
      <c r="K622" s="408"/>
      <c r="L622" s="408"/>
      <c r="M622" s="408"/>
      <c r="N622" s="408"/>
      <c r="O622" s="408"/>
      <c r="P622" s="408"/>
      <c r="Q622" s="408"/>
      <c r="R622" s="408"/>
      <c r="S622" s="408"/>
      <c r="T622" s="408"/>
      <c r="U622" s="408"/>
      <c r="V622" s="408"/>
      <c r="W622" s="408"/>
      <c r="X622" s="408"/>
      <c r="Y622" s="408"/>
      <c r="Z622" s="408"/>
    </row>
    <row r="623" ht="14.25" customHeight="1">
      <c r="A623" s="408"/>
      <c r="B623" s="408"/>
      <c r="C623" s="552"/>
      <c r="D623" s="408"/>
      <c r="E623" s="408"/>
      <c r="F623" s="408"/>
      <c r="G623" s="408"/>
      <c r="H623" s="408"/>
      <c r="I623" s="408"/>
      <c r="J623" s="408"/>
      <c r="K623" s="408"/>
      <c r="L623" s="408"/>
      <c r="M623" s="408"/>
      <c r="N623" s="408"/>
      <c r="O623" s="408"/>
      <c r="P623" s="408"/>
      <c r="Q623" s="408"/>
      <c r="R623" s="408"/>
      <c r="S623" s="408"/>
      <c r="T623" s="408"/>
      <c r="U623" s="408"/>
      <c r="V623" s="408"/>
      <c r="W623" s="408"/>
      <c r="X623" s="408"/>
      <c r="Y623" s="408"/>
      <c r="Z623" s="408"/>
    </row>
    <row r="624" ht="14.25" customHeight="1">
      <c r="A624" s="408"/>
      <c r="B624" s="408"/>
      <c r="C624" s="552"/>
      <c r="D624" s="408"/>
      <c r="E624" s="408"/>
      <c r="F624" s="408"/>
      <c r="G624" s="408"/>
      <c r="H624" s="408"/>
      <c r="I624" s="408"/>
      <c r="J624" s="408"/>
      <c r="K624" s="408"/>
      <c r="L624" s="408"/>
      <c r="M624" s="408"/>
      <c r="N624" s="408"/>
      <c r="O624" s="408"/>
      <c r="P624" s="408"/>
      <c r="Q624" s="408"/>
      <c r="R624" s="408"/>
      <c r="S624" s="408"/>
      <c r="T624" s="408"/>
      <c r="U624" s="408"/>
      <c r="V624" s="408"/>
      <c r="W624" s="408"/>
      <c r="X624" s="408"/>
      <c r="Y624" s="408"/>
      <c r="Z624" s="408"/>
    </row>
    <row r="625" ht="14.25" customHeight="1">
      <c r="A625" s="408"/>
      <c r="B625" s="408"/>
      <c r="C625" s="552"/>
      <c r="D625" s="408"/>
      <c r="E625" s="408"/>
      <c r="F625" s="408"/>
      <c r="G625" s="408"/>
      <c r="H625" s="408"/>
      <c r="I625" s="408"/>
      <c r="J625" s="408"/>
      <c r="K625" s="408"/>
      <c r="L625" s="408"/>
      <c r="M625" s="408"/>
      <c r="N625" s="408"/>
      <c r="O625" s="408"/>
      <c r="P625" s="408"/>
      <c r="Q625" s="408"/>
      <c r="R625" s="408"/>
      <c r="S625" s="408"/>
      <c r="T625" s="408"/>
      <c r="U625" s="408"/>
      <c r="V625" s="408"/>
      <c r="W625" s="408"/>
      <c r="X625" s="408"/>
      <c r="Y625" s="408"/>
      <c r="Z625" s="408"/>
    </row>
    <row r="626" ht="14.25" customHeight="1">
      <c r="A626" s="408"/>
      <c r="B626" s="408"/>
      <c r="C626" s="552"/>
      <c r="D626" s="408"/>
      <c r="E626" s="408"/>
      <c r="F626" s="408"/>
      <c r="G626" s="408"/>
      <c r="H626" s="408"/>
      <c r="I626" s="408"/>
      <c r="J626" s="408"/>
      <c r="K626" s="408"/>
      <c r="L626" s="408"/>
      <c r="M626" s="408"/>
      <c r="N626" s="408"/>
      <c r="O626" s="408"/>
      <c r="P626" s="408"/>
      <c r="Q626" s="408"/>
      <c r="R626" s="408"/>
      <c r="S626" s="408"/>
      <c r="T626" s="408"/>
      <c r="U626" s="408"/>
      <c r="V626" s="408"/>
      <c r="W626" s="408"/>
      <c r="X626" s="408"/>
      <c r="Y626" s="408"/>
      <c r="Z626" s="408"/>
    </row>
    <row r="627" ht="14.25" customHeight="1">
      <c r="A627" s="408"/>
      <c r="B627" s="408"/>
      <c r="C627" s="552"/>
      <c r="D627" s="408"/>
      <c r="E627" s="408"/>
      <c r="F627" s="408"/>
      <c r="G627" s="408"/>
      <c r="H627" s="408"/>
      <c r="I627" s="408"/>
      <c r="J627" s="408"/>
      <c r="K627" s="408"/>
      <c r="L627" s="408"/>
      <c r="M627" s="408"/>
      <c r="N627" s="408"/>
      <c r="O627" s="408"/>
      <c r="P627" s="408"/>
      <c r="Q627" s="408"/>
      <c r="R627" s="408"/>
      <c r="S627" s="408"/>
      <c r="T627" s="408"/>
      <c r="U627" s="408"/>
      <c r="V627" s="408"/>
      <c r="W627" s="408"/>
      <c r="X627" s="408"/>
      <c r="Y627" s="408"/>
      <c r="Z627" s="408"/>
    </row>
    <row r="628" ht="14.25" customHeight="1">
      <c r="A628" s="408"/>
      <c r="B628" s="408"/>
      <c r="C628" s="552"/>
      <c r="D628" s="408"/>
      <c r="E628" s="408"/>
      <c r="F628" s="408"/>
      <c r="G628" s="408"/>
      <c r="H628" s="408"/>
      <c r="I628" s="408"/>
      <c r="J628" s="408"/>
      <c r="K628" s="408"/>
      <c r="L628" s="408"/>
      <c r="M628" s="408"/>
      <c r="N628" s="408"/>
      <c r="O628" s="408"/>
      <c r="P628" s="408"/>
      <c r="Q628" s="408"/>
      <c r="R628" s="408"/>
      <c r="S628" s="408"/>
      <c r="T628" s="408"/>
      <c r="U628" s="408"/>
      <c r="V628" s="408"/>
      <c r="W628" s="408"/>
      <c r="X628" s="408"/>
      <c r="Y628" s="408"/>
      <c r="Z628" s="408"/>
    </row>
    <row r="629" ht="14.25" customHeight="1">
      <c r="A629" s="408"/>
      <c r="B629" s="408"/>
      <c r="C629" s="552"/>
      <c r="D629" s="408"/>
      <c r="E629" s="408"/>
      <c r="F629" s="408"/>
      <c r="G629" s="408"/>
      <c r="H629" s="408"/>
      <c r="I629" s="408"/>
      <c r="J629" s="408"/>
      <c r="K629" s="408"/>
      <c r="L629" s="408"/>
      <c r="M629" s="408"/>
      <c r="N629" s="408"/>
      <c r="O629" s="408"/>
      <c r="P629" s="408"/>
      <c r="Q629" s="408"/>
      <c r="R629" s="408"/>
      <c r="S629" s="408"/>
      <c r="T629" s="408"/>
      <c r="U629" s="408"/>
      <c r="V629" s="408"/>
      <c r="W629" s="408"/>
      <c r="X629" s="408"/>
      <c r="Y629" s="408"/>
      <c r="Z629" s="408"/>
    </row>
    <row r="630" ht="14.25" customHeight="1">
      <c r="A630" s="408"/>
      <c r="B630" s="408"/>
      <c r="C630" s="552"/>
      <c r="D630" s="408"/>
      <c r="E630" s="408"/>
      <c r="F630" s="408"/>
      <c r="G630" s="408"/>
      <c r="H630" s="408"/>
      <c r="I630" s="408"/>
      <c r="J630" s="408"/>
      <c r="K630" s="408"/>
      <c r="L630" s="408"/>
      <c r="M630" s="408"/>
      <c r="N630" s="408"/>
      <c r="O630" s="408"/>
      <c r="P630" s="408"/>
      <c r="Q630" s="408"/>
      <c r="R630" s="408"/>
      <c r="S630" s="408"/>
      <c r="T630" s="408"/>
      <c r="U630" s="408"/>
      <c r="V630" s="408"/>
      <c r="W630" s="408"/>
      <c r="X630" s="408"/>
      <c r="Y630" s="408"/>
      <c r="Z630" s="408"/>
    </row>
    <row r="631" ht="14.25" customHeight="1">
      <c r="A631" s="408"/>
      <c r="B631" s="408"/>
      <c r="C631" s="552"/>
      <c r="D631" s="408"/>
      <c r="E631" s="408"/>
      <c r="F631" s="408"/>
      <c r="G631" s="408"/>
      <c r="H631" s="408"/>
      <c r="I631" s="408"/>
      <c r="J631" s="408"/>
      <c r="K631" s="408"/>
      <c r="L631" s="408"/>
      <c r="M631" s="408"/>
      <c r="N631" s="408"/>
      <c r="O631" s="408"/>
      <c r="P631" s="408"/>
      <c r="Q631" s="408"/>
      <c r="R631" s="408"/>
      <c r="S631" s="408"/>
      <c r="T631" s="408"/>
      <c r="U631" s="408"/>
      <c r="V631" s="408"/>
      <c r="W631" s="408"/>
      <c r="X631" s="408"/>
      <c r="Y631" s="408"/>
      <c r="Z631" s="408"/>
    </row>
    <row r="632" ht="14.25" customHeight="1">
      <c r="A632" s="408"/>
      <c r="B632" s="408"/>
      <c r="C632" s="552"/>
      <c r="D632" s="408"/>
      <c r="E632" s="408"/>
      <c r="F632" s="408"/>
      <c r="G632" s="408"/>
      <c r="H632" s="408"/>
      <c r="I632" s="408"/>
      <c r="J632" s="408"/>
      <c r="K632" s="408"/>
      <c r="L632" s="408"/>
      <c r="M632" s="408"/>
      <c r="N632" s="408"/>
      <c r="O632" s="408"/>
      <c r="P632" s="408"/>
      <c r="Q632" s="408"/>
      <c r="R632" s="408"/>
      <c r="S632" s="408"/>
      <c r="T632" s="408"/>
      <c r="U632" s="408"/>
      <c r="V632" s="408"/>
      <c r="W632" s="408"/>
      <c r="X632" s="408"/>
      <c r="Y632" s="408"/>
      <c r="Z632" s="408"/>
    </row>
    <row r="633" ht="14.25" customHeight="1">
      <c r="A633" s="408"/>
      <c r="B633" s="408"/>
      <c r="C633" s="552"/>
      <c r="D633" s="408"/>
      <c r="E633" s="408"/>
      <c r="F633" s="408"/>
      <c r="G633" s="408"/>
      <c r="H633" s="408"/>
      <c r="I633" s="408"/>
      <c r="J633" s="408"/>
      <c r="K633" s="408"/>
      <c r="L633" s="408"/>
      <c r="M633" s="408"/>
      <c r="N633" s="408"/>
      <c r="O633" s="408"/>
      <c r="P633" s="408"/>
      <c r="Q633" s="408"/>
      <c r="R633" s="408"/>
      <c r="S633" s="408"/>
      <c r="T633" s="408"/>
      <c r="U633" s="408"/>
      <c r="V633" s="408"/>
      <c r="W633" s="408"/>
      <c r="X633" s="408"/>
      <c r="Y633" s="408"/>
      <c r="Z633" s="408"/>
    </row>
    <row r="634" ht="14.25" customHeight="1">
      <c r="A634" s="408"/>
      <c r="B634" s="408"/>
      <c r="C634" s="552"/>
      <c r="D634" s="408"/>
      <c r="E634" s="408"/>
      <c r="F634" s="408"/>
      <c r="G634" s="408"/>
      <c r="H634" s="408"/>
      <c r="I634" s="408"/>
      <c r="J634" s="408"/>
      <c r="K634" s="408"/>
      <c r="L634" s="408"/>
      <c r="M634" s="408"/>
      <c r="N634" s="408"/>
      <c r="O634" s="408"/>
      <c r="P634" s="408"/>
      <c r="Q634" s="408"/>
      <c r="R634" s="408"/>
      <c r="S634" s="408"/>
      <c r="T634" s="408"/>
      <c r="U634" s="408"/>
      <c r="V634" s="408"/>
      <c r="W634" s="408"/>
      <c r="X634" s="408"/>
      <c r="Y634" s="408"/>
      <c r="Z634" s="408"/>
    </row>
    <row r="635" ht="14.25" customHeight="1">
      <c r="A635" s="408"/>
      <c r="B635" s="408"/>
      <c r="C635" s="552"/>
      <c r="D635" s="408"/>
      <c r="E635" s="408"/>
      <c r="F635" s="408"/>
      <c r="G635" s="408"/>
      <c r="H635" s="408"/>
      <c r="I635" s="408"/>
      <c r="J635" s="408"/>
      <c r="K635" s="408"/>
      <c r="L635" s="408"/>
      <c r="M635" s="408"/>
      <c r="N635" s="408"/>
      <c r="O635" s="408"/>
      <c r="P635" s="408"/>
      <c r="Q635" s="408"/>
      <c r="R635" s="408"/>
      <c r="S635" s="408"/>
      <c r="T635" s="408"/>
      <c r="U635" s="408"/>
      <c r="V635" s="408"/>
      <c r="W635" s="408"/>
      <c r="X635" s="408"/>
      <c r="Y635" s="408"/>
      <c r="Z635" s="408"/>
    </row>
    <row r="636" ht="14.25" customHeight="1">
      <c r="A636" s="408"/>
      <c r="B636" s="408"/>
      <c r="C636" s="552"/>
      <c r="D636" s="408"/>
      <c r="E636" s="408"/>
      <c r="F636" s="408"/>
      <c r="G636" s="408"/>
      <c r="H636" s="408"/>
      <c r="I636" s="408"/>
      <c r="J636" s="408"/>
      <c r="K636" s="408"/>
      <c r="L636" s="408"/>
      <c r="M636" s="408"/>
      <c r="N636" s="408"/>
      <c r="O636" s="408"/>
      <c r="P636" s="408"/>
      <c r="Q636" s="408"/>
      <c r="R636" s="408"/>
      <c r="S636" s="408"/>
      <c r="T636" s="408"/>
      <c r="U636" s="408"/>
      <c r="V636" s="408"/>
      <c r="W636" s="408"/>
      <c r="X636" s="408"/>
      <c r="Y636" s="408"/>
      <c r="Z636" s="408"/>
    </row>
    <row r="637" ht="14.25" customHeight="1">
      <c r="A637" s="408"/>
      <c r="B637" s="408"/>
      <c r="C637" s="552"/>
      <c r="D637" s="408"/>
      <c r="E637" s="408"/>
      <c r="F637" s="408"/>
      <c r="G637" s="408"/>
      <c r="H637" s="408"/>
      <c r="I637" s="408"/>
      <c r="J637" s="408"/>
      <c r="K637" s="408"/>
      <c r="L637" s="408"/>
      <c r="M637" s="408"/>
      <c r="N637" s="408"/>
      <c r="O637" s="408"/>
      <c r="P637" s="408"/>
      <c r="Q637" s="408"/>
      <c r="R637" s="408"/>
      <c r="S637" s="408"/>
      <c r="T637" s="408"/>
      <c r="U637" s="408"/>
      <c r="V637" s="408"/>
      <c r="W637" s="408"/>
      <c r="X637" s="408"/>
      <c r="Y637" s="408"/>
      <c r="Z637" s="408"/>
    </row>
    <row r="638" ht="14.25" customHeight="1">
      <c r="A638" s="408"/>
      <c r="B638" s="408"/>
      <c r="C638" s="552"/>
      <c r="D638" s="408"/>
      <c r="E638" s="408"/>
      <c r="F638" s="408"/>
      <c r="G638" s="408"/>
      <c r="H638" s="408"/>
      <c r="I638" s="408"/>
      <c r="J638" s="408"/>
      <c r="K638" s="408"/>
      <c r="L638" s="408"/>
      <c r="M638" s="408"/>
      <c r="N638" s="408"/>
      <c r="O638" s="408"/>
      <c r="P638" s="408"/>
      <c r="Q638" s="408"/>
      <c r="R638" s="408"/>
      <c r="S638" s="408"/>
      <c r="T638" s="408"/>
      <c r="U638" s="408"/>
      <c r="V638" s="408"/>
      <c r="W638" s="408"/>
      <c r="X638" s="408"/>
      <c r="Y638" s="408"/>
      <c r="Z638" s="408"/>
    </row>
    <row r="639" ht="14.25" customHeight="1">
      <c r="A639" s="408"/>
      <c r="B639" s="408"/>
      <c r="C639" s="552"/>
      <c r="D639" s="408"/>
      <c r="E639" s="408"/>
      <c r="F639" s="408"/>
      <c r="G639" s="408"/>
      <c r="H639" s="408"/>
      <c r="I639" s="408"/>
      <c r="J639" s="408"/>
      <c r="K639" s="408"/>
      <c r="L639" s="408"/>
      <c r="M639" s="408"/>
      <c r="N639" s="408"/>
      <c r="O639" s="408"/>
      <c r="P639" s="408"/>
      <c r="Q639" s="408"/>
      <c r="R639" s="408"/>
      <c r="S639" s="408"/>
      <c r="T639" s="408"/>
      <c r="U639" s="408"/>
      <c r="V639" s="408"/>
      <c r="W639" s="408"/>
      <c r="X639" s="408"/>
      <c r="Y639" s="408"/>
      <c r="Z639" s="408"/>
    </row>
    <row r="640" ht="14.25" customHeight="1">
      <c r="A640" s="408"/>
      <c r="B640" s="408"/>
      <c r="C640" s="552"/>
      <c r="D640" s="408"/>
      <c r="E640" s="408"/>
      <c r="F640" s="408"/>
      <c r="G640" s="408"/>
      <c r="H640" s="408"/>
      <c r="I640" s="408"/>
      <c r="J640" s="408"/>
      <c r="K640" s="408"/>
      <c r="L640" s="408"/>
      <c r="M640" s="408"/>
      <c r="N640" s="408"/>
      <c r="O640" s="408"/>
      <c r="P640" s="408"/>
      <c r="Q640" s="408"/>
      <c r="R640" s="408"/>
      <c r="S640" s="408"/>
      <c r="T640" s="408"/>
      <c r="U640" s="408"/>
      <c r="V640" s="408"/>
      <c r="W640" s="408"/>
      <c r="X640" s="408"/>
      <c r="Y640" s="408"/>
      <c r="Z640" s="408"/>
    </row>
    <row r="641" ht="14.25" customHeight="1">
      <c r="A641" s="408"/>
      <c r="B641" s="408"/>
      <c r="C641" s="552"/>
      <c r="D641" s="408"/>
      <c r="E641" s="408"/>
      <c r="F641" s="408"/>
      <c r="G641" s="408"/>
      <c r="H641" s="408"/>
      <c r="I641" s="408"/>
      <c r="J641" s="408"/>
      <c r="K641" s="408"/>
      <c r="L641" s="408"/>
      <c r="M641" s="408"/>
      <c r="N641" s="408"/>
      <c r="O641" s="408"/>
      <c r="P641" s="408"/>
      <c r="Q641" s="408"/>
      <c r="R641" s="408"/>
      <c r="S641" s="408"/>
      <c r="T641" s="408"/>
      <c r="U641" s="408"/>
      <c r="V641" s="408"/>
      <c r="W641" s="408"/>
      <c r="X641" s="408"/>
      <c r="Y641" s="408"/>
      <c r="Z641" s="408"/>
    </row>
    <row r="642" ht="14.25" customHeight="1">
      <c r="A642" s="408"/>
      <c r="B642" s="408"/>
      <c r="C642" s="552"/>
      <c r="D642" s="408"/>
      <c r="E642" s="408"/>
      <c r="F642" s="408"/>
      <c r="G642" s="408"/>
      <c r="H642" s="408"/>
      <c r="I642" s="408"/>
      <c r="J642" s="408"/>
      <c r="K642" s="408"/>
      <c r="L642" s="408"/>
      <c r="M642" s="408"/>
      <c r="N642" s="408"/>
      <c r="O642" s="408"/>
      <c r="P642" s="408"/>
      <c r="Q642" s="408"/>
      <c r="R642" s="408"/>
      <c r="S642" s="408"/>
      <c r="T642" s="408"/>
      <c r="U642" s="408"/>
      <c r="V642" s="408"/>
      <c r="W642" s="408"/>
      <c r="X642" s="408"/>
      <c r="Y642" s="408"/>
      <c r="Z642" s="408"/>
    </row>
    <row r="643" ht="14.25" customHeight="1">
      <c r="A643" s="408"/>
      <c r="B643" s="408"/>
      <c r="C643" s="552"/>
      <c r="D643" s="408"/>
      <c r="E643" s="408"/>
      <c r="F643" s="408"/>
      <c r="G643" s="408"/>
      <c r="H643" s="408"/>
      <c r="I643" s="408"/>
      <c r="J643" s="408"/>
      <c r="K643" s="408"/>
      <c r="L643" s="408"/>
      <c r="M643" s="408"/>
      <c r="N643" s="408"/>
      <c r="O643" s="408"/>
      <c r="P643" s="408"/>
      <c r="Q643" s="408"/>
      <c r="R643" s="408"/>
      <c r="S643" s="408"/>
      <c r="T643" s="408"/>
      <c r="U643" s="408"/>
      <c r="V643" s="408"/>
      <c r="W643" s="408"/>
      <c r="X643" s="408"/>
      <c r="Y643" s="408"/>
      <c r="Z643" s="408"/>
    </row>
    <row r="644" ht="14.25" customHeight="1">
      <c r="A644" s="408"/>
      <c r="B644" s="408"/>
      <c r="C644" s="552"/>
      <c r="D644" s="408"/>
      <c r="E644" s="408"/>
      <c r="F644" s="408"/>
      <c r="G644" s="408"/>
      <c r="H644" s="408"/>
      <c r="I644" s="408"/>
      <c r="J644" s="408"/>
      <c r="K644" s="408"/>
      <c r="L644" s="408"/>
      <c r="M644" s="408"/>
      <c r="N644" s="408"/>
      <c r="O644" s="408"/>
      <c r="P644" s="408"/>
      <c r="Q644" s="408"/>
      <c r="R644" s="408"/>
      <c r="S644" s="408"/>
      <c r="T644" s="408"/>
      <c r="U644" s="408"/>
      <c r="V644" s="408"/>
      <c r="W644" s="408"/>
      <c r="X644" s="408"/>
      <c r="Y644" s="408"/>
      <c r="Z644" s="408"/>
    </row>
    <row r="645" ht="14.25" customHeight="1">
      <c r="A645" s="408"/>
      <c r="B645" s="408"/>
      <c r="C645" s="552"/>
      <c r="D645" s="408"/>
      <c r="E645" s="408"/>
      <c r="F645" s="408"/>
      <c r="G645" s="408"/>
      <c r="H645" s="408"/>
      <c r="I645" s="408"/>
      <c r="J645" s="408"/>
      <c r="K645" s="408"/>
      <c r="L645" s="408"/>
      <c r="M645" s="408"/>
      <c r="N645" s="408"/>
      <c r="O645" s="408"/>
      <c r="P645" s="408"/>
      <c r="Q645" s="408"/>
      <c r="R645" s="408"/>
      <c r="S645" s="408"/>
      <c r="T645" s="408"/>
      <c r="U645" s="408"/>
      <c r="V645" s="408"/>
      <c r="W645" s="408"/>
      <c r="X645" s="408"/>
      <c r="Y645" s="408"/>
      <c r="Z645" s="408"/>
    </row>
    <row r="646" ht="14.25" customHeight="1">
      <c r="A646" s="408"/>
      <c r="B646" s="408"/>
      <c r="C646" s="552"/>
      <c r="D646" s="408"/>
      <c r="E646" s="408"/>
      <c r="F646" s="408"/>
      <c r="G646" s="408"/>
      <c r="H646" s="408"/>
      <c r="I646" s="408"/>
      <c r="J646" s="408"/>
      <c r="K646" s="408"/>
      <c r="L646" s="408"/>
      <c r="M646" s="408"/>
      <c r="N646" s="408"/>
      <c r="O646" s="408"/>
      <c r="P646" s="408"/>
      <c r="Q646" s="408"/>
      <c r="R646" s="408"/>
      <c r="S646" s="408"/>
      <c r="T646" s="408"/>
      <c r="U646" s="408"/>
      <c r="V646" s="408"/>
      <c r="W646" s="408"/>
      <c r="X646" s="408"/>
      <c r="Y646" s="408"/>
      <c r="Z646" s="408"/>
    </row>
    <row r="647" ht="14.25" customHeight="1">
      <c r="A647" s="408"/>
      <c r="B647" s="408"/>
      <c r="C647" s="552"/>
      <c r="D647" s="408"/>
      <c r="E647" s="408"/>
      <c r="F647" s="408"/>
      <c r="G647" s="408"/>
      <c r="H647" s="408"/>
      <c r="I647" s="408"/>
      <c r="J647" s="408"/>
      <c r="K647" s="408"/>
      <c r="L647" s="408"/>
      <c r="M647" s="408"/>
      <c r="N647" s="408"/>
      <c r="O647" s="408"/>
      <c r="P647" s="408"/>
      <c r="Q647" s="408"/>
      <c r="R647" s="408"/>
      <c r="S647" s="408"/>
      <c r="T647" s="408"/>
      <c r="U647" s="408"/>
      <c r="V647" s="408"/>
      <c r="W647" s="408"/>
      <c r="X647" s="408"/>
      <c r="Y647" s="408"/>
      <c r="Z647" s="408"/>
    </row>
    <row r="648" ht="14.25" customHeight="1">
      <c r="A648" s="408"/>
      <c r="B648" s="408"/>
      <c r="C648" s="552"/>
      <c r="D648" s="408"/>
      <c r="E648" s="408"/>
      <c r="F648" s="408"/>
      <c r="G648" s="408"/>
      <c r="H648" s="408"/>
      <c r="I648" s="408"/>
      <c r="J648" s="408"/>
      <c r="K648" s="408"/>
      <c r="L648" s="408"/>
      <c r="M648" s="408"/>
      <c r="N648" s="408"/>
      <c r="O648" s="408"/>
      <c r="P648" s="408"/>
      <c r="Q648" s="408"/>
      <c r="R648" s="408"/>
      <c r="S648" s="408"/>
      <c r="T648" s="408"/>
      <c r="U648" s="408"/>
      <c r="V648" s="408"/>
      <c r="W648" s="408"/>
      <c r="X648" s="408"/>
      <c r="Y648" s="408"/>
      <c r="Z648" s="408"/>
    </row>
    <row r="649" ht="14.25" customHeight="1">
      <c r="A649" s="408"/>
      <c r="B649" s="408"/>
      <c r="C649" s="552"/>
      <c r="D649" s="408"/>
      <c r="E649" s="408"/>
      <c r="F649" s="408"/>
      <c r="G649" s="408"/>
      <c r="H649" s="408"/>
      <c r="I649" s="408"/>
      <c r="J649" s="408"/>
      <c r="K649" s="408"/>
      <c r="L649" s="408"/>
      <c r="M649" s="408"/>
      <c r="N649" s="408"/>
      <c r="O649" s="408"/>
      <c r="P649" s="408"/>
      <c r="Q649" s="408"/>
      <c r="R649" s="408"/>
      <c r="S649" s="408"/>
      <c r="T649" s="408"/>
      <c r="U649" s="408"/>
      <c r="V649" s="408"/>
      <c r="W649" s="408"/>
      <c r="X649" s="408"/>
      <c r="Y649" s="408"/>
      <c r="Z649" s="408"/>
    </row>
    <row r="650" ht="14.25" customHeight="1">
      <c r="A650" s="408"/>
      <c r="B650" s="408"/>
      <c r="C650" s="552"/>
      <c r="D650" s="408"/>
      <c r="E650" s="408"/>
      <c r="F650" s="408"/>
      <c r="G650" s="408"/>
      <c r="H650" s="408"/>
      <c r="I650" s="408"/>
      <c r="J650" s="408"/>
      <c r="K650" s="408"/>
      <c r="L650" s="408"/>
      <c r="M650" s="408"/>
      <c r="N650" s="408"/>
      <c r="O650" s="408"/>
      <c r="P650" s="408"/>
      <c r="Q650" s="408"/>
      <c r="R650" s="408"/>
      <c r="S650" s="408"/>
      <c r="T650" s="408"/>
      <c r="U650" s="408"/>
      <c r="V650" s="408"/>
      <c r="W650" s="408"/>
      <c r="X650" s="408"/>
      <c r="Y650" s="408"/>
      <c r="Z650" s="408"/>
    </row>
    <row r="651" ht="14.25" customHeight="1">
      <c r="A651" s="408"/>
      <c r="B651" s="408"/>
      <c r="C651" s="552"/>
      <c r="D651" s="408"/>
      <c r="E651" s="408"/>
      <c r="F651" s="408"/>
      <c r="G651" s="408"/>
      <c r="H651" s="408"/>
      <c r="I651" s="408"/>
      <c r="J651" s="408"/>
      <c r="K651" s="408"/>
      <c r="L651" s="408"/>
      <c r="M651" s="408"/>
      <c r="N651" s="408"/>
      <c r="O651" s="408"/>
      <c r="P651" s="408"/>
      <c r="Q651" s="408"/>
      <c r="R651" s="408"/>
      <c r="S651" s="408"/>
      <c r="T651" s="408"/>
      <c r="U651" s="408"/>
      <c r="V651" s="408"/>
      <c r="W651" s="408"/>
      <c r="X651" s="408"/>
      <c r="Y651" s="408"/>
      <c r="Z651" s="408"/>
    </row>
    <row r="652" ht="14.25" customHeight="1">
      <c r="A652" s="408"/>
      <c r="B652" s="408"/>
      <c r="C652" s="552"/>
      <c r="D652" s="408"/>
      <c r="E652" s="408"/>
      <c r="F652" s="408"/>
      <c r="G652" s="408"/>
      <c r="H652" s="408"/>
      <c r="I652" s="408"/>
      <c r="J652" s="408"/>
      <c r="K652" s="408"/>
      <c r="L652" s="408"/>
      <c r="M652" s="408"/>
      <c r="N652" s="408"/>
      <c r="O652" s="408"/>
      <c r="P652" s="408"/>
      <c r="Q652" s="408"/>
      <c r="R652" s="408"/>
      <c r="S652" s="408"/>
      <c r="T652" s="408"/>
      <c r="U652" s="408"/>
      <c r="V652" s="408"/>
      <c r="W652" s="408"/>
      <c r="X652" s="408"/>
      <c r="Y652" s="408"/>
      <c r="Z652" s="408"/>
    </row>
    <row r="653" ht="14.25" customHeight="1">
      <c r="A653" s="408"/>
      <c r="B653" s="408"/>
      <c r="C653" s="552"/>
      <c r="D653" s="408"/>
      <c r="E653" s="408"/>
      <c r="F653" s="408"/>
      <c r="G653" s="408"/>
      <c r="H653" s="408"/>
      <c r="I653" s="408"/>
      <c r="J653" s="408"/>
      <c r="K653" s="408"/>
      <c r="L653" s="408"/>
      <c r="M653" s="408"/>
      <c r="N653" s="408"/>
      <c r="O653" s="408"/>
      <c r="P653" s="408"/>
      <c r="Q653" s="408"/>
      <c r="R653" s="408"/>
      <c r="S653" s="408"/>
      <c r="T653" s="408"/>
      <c r="U653" s="408"/>
      <c r="V653" s="408"/>
      <c r="W653" s="408"/>
      <c r="X653" s="408"/>
      <c r="Y653" s="408"/>
      <c r="Z653" s="408"/>
    </row>
    <row r="654" ht="14.25" customHeight="1">
      <c r="A654" s="408"/>
      <c r="B654" s="408"/>
      <c r="C654" s="552"/>
      <c r="D654" s="408"/>
      <c r="E654" s="408"/>
      <c r="F654" s="408"/>
      <c r="G654" s="408"/>
      <c r="H654" s="408"/>
      <c r="I654" s="408"/>
      <c r="J654" s="408"/>
      <c r="K654" s="408"/>
      <c r="L654" s="408"/>
      <c r="M654" s="408"/>
      <c r="N654" s="408"/>
      <c r="O654" s="408"/>
      <c r="P654" s="408"/>
      <c r="Q654" s="408"/>
      <c r="R654" s="408"/>
      <c r="S654" s="408"/>
      <c r="T654" s="408"/>
      <c r="U654" s="408"/>
      <c r="V654" s="408"/>
      <c r="W654" s="408"/>
      <c r="X654" s="408"/>
      <c r="Y654" s="408"/>
      <c r="Z654" s="408"/>
    </row>
    <row r="655" ht="14.25" customHeight="1">
      <c r="A655" s="408"/>
      <c r="B655" s="408"/>
      <c r="C655" s="552"/>
      <c r="D655" s="408"/>
      <c r="E655" s="408"/>
      <c r="F655" s="408"/>
      <c r="G655" s="408"/>
      <c r="H655" s="408"/>
      <c r="I655" s="408"/>
      <c r="J655" s="408"/>
      <c r="K655" s="408"/>
      <c r="L655" s="408"/>
      <c r="M655" s="408"/>
      <c r="N655" s="408"/>
      <c r="O655" s="408"/>
      <c r="P655" s="408"/>
      <c r="Q655" s="408"/>
      <c r="R655" s="408"/>
      <c r="S655" s="408"/>
      <c r="T655" s="408"/>
      <c r="U655" s="408"/>
      <c r="V655" s="408"/>
      <c r="W655" s="408"/>
      <c r="X655" s="408"/>
      <c r="Y655" s="408"/>
      <c r="Z655" s="408"/>
    </row>
    <row r="656" ht="14.25" customHeight="1">
      <c r="A656" s="408"/>
      <c r="B656" s="408"/>
      <c r="C656" s="552"/>
      <c r="D656" s="408"/>
      <c r="E656" s="408"/>
      <c r="F656" s="408"/>
      <c r="G656" s="408"/>
      <c r="H656" s="408"/>
      <c r="I656" s="408"/>
      <c r="J656" s="408"/>
      <c r="K656" s="408"/>
      <c r="L656" s="408"/>
      <c r="M656" s="408"/>
      <c r="N656" s="408"/>
      <c r="O656" s="408"/>
      <c r="P656" s="408"/>
      <c r="Q656" s="408"/>
      <c r="R656" s="408"/>
      <c r="S656" s="408"/>
      <c r="T656" s="408"/>
      <c r="U656" s="408"/>
      <c r="V656" s="408"/>
      <c r="W656" s="408"/>
      <c r="X656" s="408"/>
      <c r="Y656" s="408"/>
      <c r="Z656" s="408"/>
    </row>
    <row r="657" ht="14.25" customHeight="1">
      <c r="A657" s="408"/>
      <c r="B657" s="408"/>
      <c r="C657" s="552"/>
      <c r="D657" s="408"/>
      <c r="E657" s="408"/>
      <c r="F657" s="408"/>
      <c r="G657" s="408"/>
      <c r="H657" s="408"/>
      <c r="I657" s="408"/>
      <c r="J657" s="408"/>
      <c r="K657" s="408"/>
      <c r="L657" s="408"/>
      <c r="M657" s="408"/>
      <c r="N657" s="408"/>
      <c r="O657" s="408"/>
      <c r="P657" s="408"/>
      <c r="Q657" s="408"/>
      <c r="R657" s="408"/>
      <c r="S657" s="408"/>
      <c r="T657" s="408"/>
      <c r="U657" s="408"/>
      <c r="V657" s="408"/>
      <c r="W657" s="408"/>
      <c r="X657" s="408"/>
      <c r="Y657" s="408"/>
      <c r="Z657" s="408"/>
    </row>
    <row r="658" ht="14.25" customHeight="1">
      <c r="A658" s="408"/>
      <c r="B658" s="408"/>
      <c r="C658" s="552"/>
      <c r="D658" s="408"/>
      <c r="E658" s="408"/>
      <c r="F658" s="408"/>
      <c r="G658" s="408"/>
      <c r="H658" s="408"/>
      <c r="I658" s="408"/>
      <c r="J658" s="408"/>
      <c r="K658" s="408"/>
      <c r="L658" s="408"/>
      <c r="M658" s="408"/>
      <c r="N658" s="408"/>
      <c r="O658" s="408"/>
      <c r="P658" s="408"/>
      <c r="Q658" s="408"/>
      <c r="R658" s="408"/>
      <c r="S658" s="408"/>
      <c r="T658" s="408"/>
      <c r="U658" s="408"/>
      <c r="V658" s="408"/>
      <c r="W658" s="408"/>
      <c r="X658" s="408"/>
      <c r="Y658" s="408"/>
      <c r="Z658" s="408"/>
    </row>
    <row r="659" ht="14.25" customHeight="1">
      <c r="A659" s="408"/>
      <c r="B659" s="408"/>
      <c r="C659" s="552"/>
      <c r="D659" s="408"/>
      <c r="E659" s="408"/>
      <c r="F659" s="408"/>
      <c r="G659" s="408"/>
      <c r="H659" s="408"/>
      <c r="I659" s="408"/>
      <c r="J659" s="408"/>
      <c r="K659" s="408"/>
      <c r="L659" s="408"/>
      <c r="M659" s="408"/>
      <c r="N659" s="408"/>
      <c r="O659" s="408"/>
      <c r="P659" s="408"/>
      <c r="Q659" s="408"/>
      <c r="R659" s="408"/>
      <c r="S659" s="408"/>
      <c r="T659" s="408"/>
      <c r="U659" s="408"/>
      <c r="V659" s="408"/>
      <c r="W659" s="408"/>
      <c r="X659" s="408"/>
      <c r="Y659" s="408"/>
      <c r="Z659" s="408"/>
    </row>
    <row r="660" ht="14.25" customHeight="1">
      <c r="A660" s="408"/>
      <c r="B660" s="408"/>
      <c r="C660" s="552"/>
      <c r="D660" s="408"/>
      <c r="E660" s="408"/>
      <c r="F660" s="408"/>
      <c r="G660" s="408"/>
      <c r="H660" s="408"/>
      <c r="I660" s="408"/>
      <c r="J660" s="408"/>
      <c r="K660" s="408"/>
      <c r="L660" s="408"/>
      <c r="M660" s="408"/>
      <c r="N660" s="408"/>
      <c r="O660" s="408"/>
      <c r="P660" s="408"/>
      <c r="Q660" s="408"/>
      <c r="R660" s="408"/>
      <c r="S660" s="408"/>
      <c r="T660" s="408"/>
      <c r="U660" s="408"/>
      <c r="V660" s="408"/>
      <c r="W660" s="408"/>
      <c r="X660" s="408"/>
      <c r="Y660" s="408"/>
      <c r="Z660" s="408"/>
    </row>
    <row r="661" ht="14.25" customHeight="1">
      <c r="A661" s="408"/>
      <c r="B661" s="408"/>
      <c r="C661" s="552"/>
      <c r="D661" s="408"/>
      <c r="E661" s="408"/>
      <c r="F661" s="408"/>
      <c r="G661" s="408"/>
      <c r="H661" s="408"/>
      <c r="I661" s="408"/>
      <c r="J661" s="408"/>
      <c r="K661" s="408"/>
      <c r="L661" s="408"/>
      <c r="M661" s="408"/>
      <c r="N661" s="408"/>
      <c r="O661" s="408"/>
      <c r="P661" s="408"/>
      <c r="Q661" s="408"/>
      <c r="R661" s="408"/>
      <c r="S661" s="408"/>
      <c r="T661" s="408"/>
      <c r="U661" s="408"/>
      <c r="V661" s="408"/>
      <c r="W661" s="408"/>
      <c r="X661" s="408"/>
      <c r="Y661" s="408"/>
      <c r="Z661" s="408"/>
    </row>
    <row r="662" ht="14.25" customHeight="1">
      <c r="A662" s="408"/>
      <c r="B662" s="408"/>
      <c r="C662" s="552"/>
      <c r="D662" s="408"/>
      <c r="E662" s="408"/>
      <c r="F662" s="408"/>
      <c r="G662" s="408"/>
      <c r="H662" s="408"/>
      <c r="I662" s="408"/>
      <c r="J662" s="408"/>
      <c r="K662" s="408"/>
      <c r="L662" s="408"/>
      <c r="M662" s="408"/>
      <c r="N662" s="408"/>
      <c r="O662" s="408"/>
      <c r="P662" s="408"/>
      <c r="Q662" s="408"/>
      <c r="R662" s="408"/>
      <c r="S662" s="408"/>
      <c r="T662" s="408"/>
      <c r="U662" s="408"/>
      <c r="V662" s="408"/>
      <c r="W662" s="408"/>
      <c r="X662" s="408"/>
      <c r="Y662" s="408"/>
      <c r="Z662" s="408"/>
    </row>
    <row r="663" ht="14.25" customHeight="1">
      <c r="A663" s="408"/>
      <c r="B663" s="408"/>
      <c r="C663" s="552"/>
      <c r="D663" s="408"/>
      <c r="E663" s="408"/>
      <c r="F663" s="408"/>
      <c r="G663" s="408"/>
      <c r="H663" s="408"/>
      <c r="I663" s="408"/>
      <c r="J663" s="408"/>
      <c r="K663" s="408"/>
      <c r="L663" s="408"/>
      <c r="M663" s="408"/>
      <c r="N663" s="408"/>
      <c r="O663" s="408"/>
      <c r="P663" s="408"/>
      <c r="Q663" s="408"/>
      <c r="R663" s="408"/>
      <c r="S663" s="408"/>
      <c r="T663" s="408"/>
      <c r="U663" s="408"/>
      <c r="V663" s="408"/>
      <c r="W663" s="408"/>
      <c r="X663" s="408"/>
      <c r="Y663" s="408"/>
      <c r="Z663" s="408"/>
    </row>
    <row r="664" ht="14.25" customHeight="1">
      <c r="A664" s="408"/>
      <c r="B664" s="408"/>
      <c r="C664" s="552"/>
      <c r="D664" s="408"/>
      <c r="E664" s="408"/>
      <c r="F664" s="408"/>
      <c r="G664" s="408"/>
      <c r="H664" s="408"/>
      <c r="I664" s="408"/>
      <c r="J664" s="408"/>
      <c r="K664" s="408"/>
      <c r="L664" s="408"/>
      <c r="M664" s="408"/>
      <c r="N664" s="408"/>
      <c r="O664" s="408"/>
      <c r="P664" s="408"/>
      <c r="Q664" s="408"/>
      <c r="R664" s="408"/>
      <c r="S664" s="408"/>
      <c r="T664" s="408"/>
      <c r="U664" s="408"/>
      <c r="V664" s="408"/>
      <c r="W664" s="408"/>
      <c r="X664" s="408"/>
      <c r="Y664" s="408"/>
      <c r="Z664" s="408"/>
    </row>
    <row r="665" ht="14.25" customHeight="1">
      <c r="A665" s="408"/>
      <c r="B665" s="408"/>
      <c r="C665" s="552"/>
      <c r="D665" s="408"/>
      <c r="E665" s="408"/>
      <c r="F665" s="408"/>
      <c r="G665" s="408"/>
      <c r="H665" s="408"/>
      <c r="I665" s="408"/>
      <c r="J665" s="408"/>
      <c r="K665" s="408"/>
      <c r="L665" s="408"/>
      <c r="M665" s="408"/>
      <c r="N665" s="408"/>
      <c r="O665" s="408"/>
      <c r="P665" s="408"/>
      <c r="Q665" s="408"/>
      <c r="R665" s="408"/>
      <c r="S665" s="408"/>
      <c r="T665" s="408"/>
      <c r="U665" s="408"/>
      <c r="V665" s="408"/>
      <c r="W665" s="408"/>
      <c r="X665" s="408"/>
      <c r="Y665" s="408"/>
      <c r="Z665" s="408"/>
    </row>
    <row r="666" ht="14.25" customHeight="1">
      <c r="A666" s="408"/>
      <c r="B666" s="408"/>
      <c r="C666" s="552"/>
      <c r="D666" s="408"/>
      <c r="E666" s="408"/>
      <c r="F666" s="408"/>
      <c r="G666" s="408"/>
      <c r="H666" s="408"/>
      <c r="I666" s="408"/>
      <c r="J666" s="408"/>
      <c r="K666" s="408"/>
      <c r="L666" s="408"/>
      <c r="M666" s="408"/>
      <c r="N666" s="408"/>
      <c r="O666" s="408"/>
      <c r="P666" s="408"/>
      <c r="Q666" s="408"/>
      <c r="R666" s="408"/>
      <c r="S666" s="408"/>
      <c r="T666" s="408"/>
      <c r="U666" s="408"/>
      <c r="V666" s="408"/>
      <c r="W666" s="408"/>
      <c r="X666" s="408"/>
      <c r="Y666" s="408"/>
      <c r="Z666" s="408"/>
    </row>
    <row r="667" ht="14.25" customHeight="1">
      <c r="A667" s="408"/>
      <c r="B667" s="408"/>
      <c r="C667" s="552"/>
      <c r="D667" s="408"/>
      <c r="E667" s="408"/>
      <c r="F667" s="408"/>
      <c r="G667" s="408"/>
      <c r="H667" s="408"/>
      <c r="I667" s="408"/>
      <c r="J667" s="408"/>
      <c r="K667" s="408"/>
      <c r="L667" s="408"/>
      <c r="M667" s="408"/>
      <c r="N667" s="408"/>
      <c r="O667" s="408"/>
      <c r="P667" s="408"/>
      <c r="Q667" s="408"/>
      <c r="R667" s="408"/>
      <c r="S667" s="408"/>
      <c r="T667" s="408"/>
      <c r="U667" s="408"/>
      <c r="V667" s="408"/>
      <c r="W667" s="408"/>
      <c r="X667" s="408"/>
      <c r="Y667" s="408"/>
      <c r="Z667" s="408"/>
    </row>
    <row r="668" ht="14.25" customHeight="1">
      <c r="A668" s="408"/>
      <c r="B668" s="408"/>
      <c r="C668" s="552"/>
      <c r="D668" s="408"/>
      <c r="E668" s="408"/>
      <c r="F668" s="408"/>
      <c r="G668" s="408"/>
      <c r="H668" s="408"/>
      <c r="I668" s="408"/>
      <c r="J668" s="408"/>
      <c r="K668" s="408"/>
      <c r="L668" s="408"/>
      <c r="M668" s="408"/>
      <c r="N668" s="408"/>
      <c r="O668" s="408"/>
      <c r="P668" s="408"/>
      <c r="Q668" s="408"/>
      <c r="R668" s="408"/>
      <c r="S668" s="408"/>
      <c r="T668" s="408"/>
      <c r="U668" s="408"/>
      <c r="V668" s="408"/>
      <c r="W668" s="408"/>
      <c r="X668" s="408"/>
      <c r="Y668" s="408"/>
      <c r="Z668" s="408"/>
    </row>
    <row r="669" ht="14.25" customHeight="1">
      <c r="A669" s="408"/>
      <c r="B669" s="408"/>
      <c r="C669" s="552"/>
      <c r="D669" s="408"/>
      <c r="E669" s="408"/>
      <c r="F669" s="408"/>
      <c r="G669" s="408"/>
      <c r="H669" s="408"/>
      <c r="I669" s="408"/>
      <c r="J669" s="408"/>
      <c r="K669" s="408"/>
      <c r="L669" s="408"/>
      <c r="M669" s="408"/>
      <c r="N669" s="408"/>
      <c r="O669" s="408"/>
      <c r="P669" s="408"/>
      <c r="Q669" s="408"/>
      <c r="R669" s="408"/>
      <c r="S669" s="408"/>
      <c r="T669" s="408"/>
      <c r="U669" s="408"/>
      <c r="V669" s="408"/>
      <c r="W669" s="408"/>
      <c r="X669" s="408"/>
      <c r="Y669" s="408"/>
      <c r="Z669" s="408"/>
    </row>
    <row r="670" ht="14.25" customHeight="1">
      <c r="A670" s="408"/>
      <c r="B670" s="408"/>
      <c r="C670" s="552"/>
      <c r="D670" s="408"/>
      <c r="E670" s="408"/>
      <c r="F670" s="408"/>
      <c r="G670" s="408"/>
      <c r="H670" s="408"/>
      <c r="I670" s="408"/>
      <c r="J670" s="408"/>
      <c r="K670" s="408"/>
      <c r="L670" s="408"/>
      <c r="M670" s="408"/>
      <c r="N670" s="408"/>
      <c r="O670" s="408"/>
      <c r="P670" s="408"/>
      <c r="Q670" s="408"/>
      <c r="R670" s="408"/>
      <c r="S670" s="408"/>
      <c r="T670" s="408"/>
      <c r="U670" s="408"/>
      <c r="V670" s="408"/>
      <c r="W670" s="408"/>
      <c r="X670" s="408"/>
      <c r="Y670" s="408"/>
      <c r="Z670" s="408"/>
    </row>
    <row r="671" ht="14.25" customHeight="1">
      <c r="A671" s="408"/>
      <c r="B671" s="408"/>
      <c r="C671" s="552"/>
      <c r="D671" s="408"/>
      <c r="E671" s="408"/>
      <c r="F671" s="408"/>
      <c r="G671" s="408"/>
      <c r="H671" s="408"/>
      <c r="I671" s="408"/>
      <c r="J671" s="408"/>
      <c r="K671" s="408"/>
      <c r="L671" s="408"/>
      <c r="M671" s="408"/>
      <c r="N671" s="408"/>
      <c r="O671" s="408"/>
      <c r="P671" s="408"/>
      <c r="Q671" s="408"/>
      <c r="R671" s="408"/>
      <c r="S671" s="408"/>
      <c r="T671" s="408"/>
      <c r="U671" s="408"/>
      <c r="V671" s="408"/>
      <c r="W671" s="408"/>
      <c r="X671" s="408"/>
      <c r="Y671" s="408"/>
      <c r="Z671" s="408"/>
    </row>
    <row r="672" ht="14.25" customHeight="1">
      <c r="A672" s="408"/>
      <c r="B672" s="408"/>
      <c r="C672" s="552"/>
      <c r="D672" s="408"/>
      <c r="E672" s="408"/>
      <c r="F672" s="408"/>
      <c r="G672" s="408"/>
      <c r="H672" s="408"/>
      <c r="I672" s="408"/>
      <c r="J672" s="408"/>
      <c r="K672" s="408"/>
      <c r="L672" s="408"/>
      <c r="M672" s="408"/>
      <c r="N672" s="408"/>
      <c r="O672" s="408"/>
      <c r="P672" s="408"/>
      <c r="Q672" s="408"/>
      <c r="R672" s="408"/>
      <c r="S672" s="408"/>
      <c r="T672" s="408"/>
      <c r="U672" s="408"/>
      <c r="V672" s="408"/>
      <c r="W672" s="408"/>
      <c r="X672" s="408"/>
      <c r="Y672" s="408"/>
      <c r="Z672" s="408"/>
    </row>
    <row r="673" ht="14.25" customHeight="1">
      <c r="A673" s="408"/>
      <c r="B673" s="408"/>
      <c r="C673" s="552"/>
      <c r="D673" s="408"/>
      <c r="E673" s="408"/>
      <c r="F673" s="408"/>
      <c r="G673" s="408"/>
      <c r="H673" s="408"/>
      <c r="I673" s="408"/>
      <c r="J673" s="408"/>
      <c r="K673" s="408"/>
      <c r="L673" s="408"/>
      <c r="M673" s="408"/>
      <c r="N673" s="408"/>
      <c r="O673" s="408"/>
      <c r="P673" s="408"/>
      <c r="Q673" s="408"/>
      <c r="R673" s="408"/>
      <c r="S673" s="408"/>
      <c r="T673" s="408"/>
      <c r="U673" s="408"/>
      <c r="V673" s="408"/>
      <c r="W673" s="408"/>
      <c r="X673" s="408"/>
      <c r="Y673" s="408"/>
      <c r="Z673" s="408"/>
    </row>
    <row r="674" ht="14.25" customHeight="1">
      <c r="A674" s="408"/>
      <c r="B674" s="408"/>
      <c r="C674" s="552"/>
      <c r="D674" s="408"/>
      <c r="E674" s="408"/>
      <c r="F674" s="408"/>
      <c r="G674" s="408"/>
      <c r="H674" s="408"/>
      <c r="I674" s="408"/>
      <c r="J674" s="408"/>
      <c r="K674" s="408"/>
      <c r="L674" s="408"/>
      <c r="M674" s="408"/>
      <c r="N674" s="408"/>
      <c r="O674" s="408"/>
      <c r="P674" s="408"/>
      <c r="Q674" s="408"/>
      <c r="R674" s="408"/>
      <c r="S674" s="408"/>
      <c r="T674" s="408"/>
      <c r="U674" s="408"/>
      <c r="V674" s="408"/>
      <c r="W674" s="408"/>
      <c r="X674" s="408"/>
      <c r="Y674" s="408"/>
      <c r="Z674" s="408"/>
    </row>
    <row r="675" ht="14.25" customHeight="1">
      <c r="A675" s="408"/>
      <c r="B675" s="408"/>
      <c r="C675" s="552"/>
      <c r="D675" s="408"/>
      <c r="E675" s="408"/>
      <c r="F675" s="408"/>
      <c r="G675" s="408"/>
      <c r="H675" s="408"/>
      <c r="I675" s="408"/>
      <c r="J675" s="408"/>
      <c r="K675" s="408"/>
      <c r="L675" s="408"/>
      <c r="M675" s="408"/>
      <c r="N675" s="408"/>
      <c r="O675" s="408"/>
      <c r="P675" s="408"/>
      <c r="Q675" s="408"/>
      <c r="R675" s="408"/>
      <c r="S675" s="408"/>
      <c r="T675" s="408"/>
      <c r="U675" s="408"/>
      <c r="V675" s="408"/>
      <c r="W675" s="408"/>
      <c r="X675" s="408"/>
      <c r="Y675" s="408"/>
      <c r="Z675" s="408"/>
    </row>
    <row r="676" ht="14.25" customHeight="1">
      <c r="A676" s="408"/>
      <c r="B676" s="408"/>
      <c r="C676" s="552"/>
      <c r="D676" s="408"/>
      <c r="E676" s="408"/>
      <c r="F676" s="408"/>
      <c r="G676" s="408"/>
      <c r="H676" s="408"/>
      <c r="I676" s="408"/>
      <c r="J676" s="408"/>
      <c r="K676" s="408"/>
      <c r="L676" s="408"/>
      <c r="M676" s="408"/>
      <c r="N676" s="408"/>
      <c r="O676" s="408"/>
      <c r="P676" s="408"/>
      <c r="Q676" s="408"/>
      <c r="R676" s="408"/>
      <c r="S676" s="408"/>
      <c r="T676" s="408"/>
      <c r="U676" s="408"/>
      <c r="V676" s="408"/>
      <c r="W676" s="408"/>
      <c r="X676" s="408"/>
      <c r="Y676" s="408"/>
      <c r="Z676" s="408"/>
    </row>
    <row r="677" ht="14.25" customHeight="1">
      <c r="A677" s="408"/>
      <c r="B677" s="408"/>
      <c r="C677" s="552"/>
      <c r="D677" s="408"/>
      <c r="E677" s="408"/>
      <c r="F677" s="408"/>
      <c r="G677" s="408"/>
      <c r="H677" s="408"/>
      <c r="I677" s="408"/>
      <c r="J677" s="408"/>
      <c r="K677" s="408"/>
      <c r="L677" s="408"/>
      <c r="M677" s="408"/>
      <c r="N677" s="408"/>
      <c r="O677" s="408"/>
      <c r="P677" s="408"/>
      <c r="Q677" s="408"/>
      <c r="R677" s="408"/>
      <c r="S677" s="408"/>
      <c r="T677" s="408"/>
      <c r="U677" s="408"/>
      <c r="V677" s="408"/>
      <c r="W677" s="408"/>
      <c r="X677" s="408"/>
      <c r="Y677" s="408"/>
      <c r="Z677" s="408"/>
    </row>
    <row r="678" ht="14.25" customHeight="1">
      <c r="A678" s="408"/>
      <c r="B678" s="408"/>
      <c r="C678" s="552"/>
      <c r="D678" s="408"/>
      <c r="E678" s="408"/>
      <c r="F678" s="408"/>
      <c r="G678" s="408"/>
      <c r="H678" s="408"/>
      <c r="I678" s="408"/>
      <c r="J678" s="408"/>
      <c r="K678" s="408"/>
      <c r="L678" s="408"/>
      <c r="M678" s="408"/>
      <c r="N678" s="408"/>
      <c r="O678" s="408"/>
      <c r="P678" s="408"/>
      <c r="Q678" s="408"/>
      <c r="R678" s="408"/>
      <c r="S678" s="408"/>
      <c r="T678" s="408"/>
      <c r="U678" s="408"/>
      <c r="V678" s="408"/>
      <c r="W678" s="408"/>
      <c r="X678" s="408"/>
      <c r="Y678" s="408"/>
      <c r="Z678" s="408"/>
    </row>
    <row r="679" ht="14.25" customHeight="1">
      <c r="A679" s="408"/>
      <c r="B679" s="408"/>
      <c r="C679" s="552"/>
      <c r="D679" s="408"/>
      <c r="E679" s="408"/>
      <c r="F679" s="408"/>
      <c r="G679" s="408"/>
      <c r="H679" s="408"/>
      <c r="I679" s="408"/>
      <c r="J679" s="408"/>
      <c r="K679" s="408"/>
      <c r="L679" s="408"/>
      <c r="M679" s="408"/>
      <c r="N679" s="408"/>
      <c r="O679" s="408"/>
      <c r="P679" s="408"/>
      <c r="Q679" s="408"/>
      <c r="R679" s="408"/>
      <c r="S679" s="408"/>
      <c r="T679" s="408"/>
      <c r="U679" s="408"/>
      <c r="V679" s="408"/>
      <c r="W679" s="408"/>
      <c r="X679" s="408"/>
      <c r="Y679" s="408"/>
      <c r="Z679" s="408"/>
    </row>
    <row r="680" ht="14.25" customHeight="1">
      <c r="A680" s="408"/>
      <c r="B680" s="408"/>
      <c r="C680" s="552"/>
      <c r="D680" s="408"/>
      <c r="E680" s="408"/>
      <c r="F680" s="408"/>
      <c r="G680" s="408"/>
      <c r="H680" s="408"/>
      <c r="I680" s="408"/>
      <c r="J680" s="408"/>
      <c r="K680" s="408"/>
      <c r="L680" s="408"/>
      <c r="M680" s="408"/>
      <c r="N680" s="408"/>
      <c r="O680" s="408"/>
      <c r="P680" s="408"/>
      <c r="Q680" s="408"/>
      <c r="R680" s="408"/>
      <c r="S680" s="408"/>
      <c r="T680" s="408"/>
      <c r="U680" s="408"/>
      <c r="V680" s="408"/>
      <c r="W680" s="408"/>
      <c r="X680" s="408"/>
      <c r="Y680" s="408"/>
      <c r="Z680" s="408"/>
    </row>
    <row r="681" ht="14.25" customHeight="1">
      <c r="A681" s="408"/>
      <c r="B681" s="408"/>
      <c r="C681" s="552"/>
      <c r="D681" s="408"/>
      <c r="E681" s="408"/>
      <c r="F681" s="408"/>
      <c r="G681" s="408"/>
      <c r="H681" s="408"/>
      <c r="I681" s="408"/>
      <c r="J681" s="408"/>
      <c r="K681" s="408"/>
      <c r="L681" s="408"/>
      <c r="M681" s="408"/>
      <c r="N681" s="408"/>
      <c r="O681" s="408"/>
      <c r="P681" s="408"/>
      <c r="Q681" s="408"/>
      <c r="R681" s="408"/>
      <c r="S681" s="408"/>
      <c r="T681" s="408"/>
      <c r="U681" s="408"/>
      <c r="V681" s="408"/>
      <c r="W681" s="408"/>
      <c r="X681" s="408"/>
      <c r="Y681" s="408"/>
      <c r="Z681" s="408"/>
    </row>
    <row r="682" ht="14.25" customHeight="1">
      <c r="A682" s="408"/>
      <c r="B682" s="408"/>
      <c r="C682" s="552"/>
      <c r="D682" s="408"/>
      <c r="E682" s="408"/>
      <c r="F682" s="408"/>
      <c r="G682" s="408"/>
      <c r="H682" s="408"/>
      <c r="I682" s="408"/>
      <c r="J682" s="408"/>
      <c r="K682" s="408"/>
      <c r="L682" s="408"/>
      <c r="M682" s="408"/>
      <c r="N682" s="408"/>
      <c r="O682" s="408"/>
      <c r="P682" s="408"/>
      <c r="Q682" s="408"/>
      <c r="R682" s="408"/>
      <c r="S682" s="408"/>
      <c r="T682" s="408"/>
      <c r="U682" s="408"/>
      <c r="V682" s="408"/>
      <c r="W682" s="408"/>
      <c r="X682" s="408"/>
      <c r="Y682" s="408"/>
      <c r="Z682" s="408"/>
    </row>
    <row r="683" ht="14.25" customHeight="1">
      <c r="A683" s="408"/>
      <c r="B683" s="408"/>
      <c r="C683" s="552"/>
      <c r="D683" s="408"/>
      <c r="E683" s="408"/>
      <c r="F683" s="408"/>
      <c r="G683" s="408"/>
      <c r="H683" s="408"/>
      <c r="I683" s="408"/>
      <c r="J683" s="408"/>
      <c r="K683" s="408"/>
      <c r="L683" s="408"/>
      <c r="M683" s="408"/>
      <c r="N683" s="408"/>
      <c r="O683" s="408"/>
      <c r="P683" s="408"/>
      <c r="Q683" s="408"/>
      <c r="R683" s="408"/>
      <c r="S683" s="408"/>
      <c r="T683" s="408"/>
      <c r="U683" s="408"/>
      <c r="V683" s="408"/>
      <c r="W683" s="408"/>
      <c r="X683" s="408"/>
      <c r="Y683" s="408"/>
      <c r="Z683" s="408"/>
    </row>
    <row r="684" ht="14.25" customHeight="1">
      <c r="A684" s="408"/>
      <c r="B684" s="408"/>
      <c r="C684" s="552"/>
      <c r="D684" s="408"/>
      <c r="E684" s="408"/>
      <c r="F684" s="408"/>
      <c r="G684" s="408"/>
      <c r="H684" s="408"/>
      <c r="I684" s="408"/>
      <c r="J684" s="408"/>
      <c r="K684" s="408"/>
      <c r="L684" s="408"/>
      <c r="M684" s="408"/>
      <c r="N684" s="408"/>
      <c r="O684" s="408"/>
      <c r="P684" s="408"/>
      <c r="Q684" s="408"/>
      <c r="R684" s="408"/>
      <c r="S684" s="408"/>
      <c r="T684" s="408"/>
      <c r="U684" s="408"/>
      <c r="V684" s="408"/>
      <c r="W684" s="408"/>
      <c r="X684" s="408"/>
      <c r="Y684" s="408"/>
      <c r="Z684" s="408"/>
    </row>
    <row r="685" ht="14.25" customHeight="1">
      <c r="A685" s="408"/>
      <c r="B685" s="408"/>
      <c r="C685" s="552"/>
      <c r="D685" s="408"/>
      <c r="E685" s="408"/>
      <c r="F685" s="408"/>
      <c r="G685" s="408"/>
      <c r="H685" s="408"/>
      <c r="I685" s="408"/>
      <c r="J685" s="408"/>
      <c r="K685" s="408"/>
      <c r="L685" s="408"/>
      <c r="M685" s="408"/>
      <c r="N685" s="408"/>
      <c r="O685" s="408"/>
      <c r="P685" s="408"/>
      <c r="Q685" s="408"/>
      <c r="R685" s="408"/>
      <c r="S685" s="408"/>
      <c r="T685" s="408"/>
      <c r="U685" s="408"/>
      <c r="V685" s="408"/>
      <c r="W685" s="408"/>
      <c r="X685" s="408"/>
      <c r="Y685" s="408"/>
      <c r="Z685" s="408"/>
    </row>
    <row r="686" ht="14.25" customHeight="1">
      <c r="A686" s="408"/>
      <c r="B686" s="408"/>
      <c r="C686" s="552"/>
      <c r="D686" s="408"/>
      <c r="E686" s="408"/>
      <c r="F686" s="408"/>
      <c r="G686" s="408"/>
      <c r="H686" s="408"/>
      <c r="I686" s="408"/>
      <c r="J686" s="408"/>
      <c r="K686" s="408"/>
      <c r="L686" s="408"/>
      <c r="M686" s="408"/>
      <c r="N686" s="408"/>
      <c r="O686" s="408"/>
      <c r="P686" s="408"/>
      <c r="Q686" s="408"/>
      <c r="R686" s="408"/>
      <c r="S686" s="408"/>
      <c r="T686" s="408"/>
      <c r="U686" s="408"/>
      <c r="V686" s="408"/>
      <c r="W686" s="408"/>
      <c r="X686" s="408"/>
      <c r="Y686" s="408"/>
      <c r="Z686" s="408"/>
    </row>
    <row r="687" ht="14.25" customHeight="1">
      <c r="A687" s="408"/>
      <c r="B687" s="408"/>
      <c r="C687" s="552"/>
      <c r="D687" s="408"/>
      <c r="E687" s="408"/>
      <c r="F687" s="408"/>
      <c r="G687" s="408"/>
      <c r="H687" s="408"/>
      <c r="I687" s="408"/>
      <c r="J687" s="408"/>
      <c r="K687" s="408"/>
      <c r="L687" s="408"/>
      <c r="M687" s="408"/>
      <c r="N687" s="408"/>
      <c r="O687" s="408"/>
      <c r="P687" s="408"/>
      <c r="Q687" s="408"/>
      <c r="R687" s="408"/>
      <c r="S687" s="408"/>
      <c r="T687" s="408"/>
      <c r="U687" s="408"/>
      <c r="V687" s="408"/>
      <c r="W687" s="408"/>
      <c r="X687" s="408"/>
      <c r="Y687" s="408"/>
      <c r="Z687" s="408"/>
    </row>
    <row r="688" ht="14.25" customHeight="1">
      <c r="A688" s="408"/>
      <c r="B688" s="408"/>
      <c r="C688" s="552"/>
      <c r="D688" s="408"/>
      <c r="E688" s="408"/>
      <c r="F688" s="408"/>
      <c r="G688" s="408"/>
      <c r="H688" s="408"/>
      <c r="I688" s="408"/>
      <c r="J688" s="408"/>
      <c r="K688" s="408"/>
      <c r="L688" s="408"/>
      <c r="M688" s="408"/>
      <c r="N688" s="408"/>
      <c r="O688" s="408"/>
      <c r="P688" s="408"/>
      <c r="Q688" s="408"/>
      <c r="R688" s="408"/>
      <c r="S688" s="408"/>
      <c r="T688" s="408"/>
      <c r="U688" s="408"/>
      <c r="V688" s="408"/>
      <c r="W688" s="408"/>
      <c r="X688" s="408"/>
      <c r="Y688" s="408"/>
      <c r="Z688" s="408"/>
    </row>
    <row r="689" ht="14.25" customHeight="1">
      <c r="A689" s="408"/>
      <c r="B689" s="408"/>
      <c r="C689" s="552"/>
      <c r="D689" s="408"/>
      <c r="E689" s="408"/>
      <c r="F689" s="408"/>
      <c r="G689" s="408"/>
      <c r="H689" s="408"/>
      <c r="I689" s="408"/>
      <c r="J689" s="408"/>
      <c r="K689" s="408"/>
      <c r="L689" s="408"/>
      <c r="M689" s="408"/>
      <c r="N689" s="408"/>
      <c r="O689" s="408"/>
      <c r="P689" s="408"/>
      <c r="Q689" s="408"/>
      <c r="R689" s="408"/>
      <c r="S689" s="408"/>
      <c r="T689" s="408"/>
      <c r="U689" s="408"/>
      <c r="V689" s="408"/>
      <c r="W689" s="408"/>
      <c r="X689" s="408"/>
      <c r="Y689" s="408"/>
      <c r="Z689" s="408"/>
    </row>
    <row r="690" ht="14.25" customHeight="1">
      <c r="A690" s="408"/>
      <c r="B690" s="408"/>
      <c r="C690" s="552"/>
      <c r="D690" s="408"/>
      <c r="E690" s="408"/>
      <c r="F690" s="408"/>
      <c r="G690" s="408"/>
      <c r="H690" s="408"/>
      <c r="I690" s="408"/>
      <c r="J690" s="408"/>
      <c r="K690" s="408"/>
      <c r="L690" s="408"/>
      <c r="M690" s="408"/>
      <c r="N690" s="408"/>
      <c r="O690" s="408"/>
      <c r="P690" s="408"/>
      <c r="Q690" s="408"/>
      <c r="R690" s="408"/>
      <c r="S690" s="408"/>
      <c r="T690" s="408"/>
      <c r="U690" s="408"/>
      <c r="V690" s="408"/>
      <c r="W690" s="408"/>
      <c r="X690" s="408"/>
      <c r="Y690" s="408"/>
      <c r="Z690" s="408"/>
    </row>
    <row r="691" ht="14.25" customHeight="1">
      <c r="A691" s="408"/>
      <c r="B691" s="408"/>
      <c r="C691" s="552"/>
      <c r="D691" s="408"/>
      <c r="E691" s="408"/>
      <c r="F691" s="408"/>
      <c r="G691" s="408"/>
      <c r="H691" s="408"/>
      <c r="I691" s="408"/>
      <c r="J691" s="408"/>
      <c r="K691" s="408"/>
      <c r="L691" s="408"/>
      <c r="M691" s="408"/>
      <c r="N691" s="408"/>
      <c r="O691" s="408"/>
      <c r="P691" s="408"/>
      <c r="Q691" s="408"/>
      <c r="R691" s="408"/>
      <c r="S691" s="408"/>
      <c r="T691" s="408"/>
      <c r="U691" s="408"/>
      <c r="V691" s="408"/>
      <c r="W691" s="408"/>
      <c r="X691" s="408"/>
      <c r="Y691" s="408"/>
      <c r="Z691" s="408"/>
    </row>
    <row r="692" ht="14.25" customHeight="1">
      <c r="A692" s="408"/>
      <c r="B692" s="408"/>
      <c r="C692" s="552"/>
      <c r="D692" s="408"/>
      <c r="E692" s="408"/>
      <c r="F692" s="408"/>
      <c r="G692" s="408"/>
      <c r="H692" s="408"/>
      <c r="I692" s="408"/>
      <c r="J692" s="408"/>
      <c r="K692" s="408"/>
      <c r="L692" s="408"/>
      <c r="M692" s="408"/>
      <c r="N692" s="408"/>
      <c r="O692" s="408"/>
      <c r="P692" s="408"/>
      <c r="Q692" s="408"/>
      <c r="R692" s="408"/>
      <c r="S692" s="408"/>
      <c r="T692" s="408"/>
      <c r="U692" s="408"/>
      <c r="V692" s="408"/>
      <c r="W692" s="408"/>
      <c r="X692" s="408"/>
      <c r="Y692" s="408"/>
      <c r="Z692" s="408"/>
    </row>
    <row r="693" ht="14.25" customHeight="1">
      <c r="A693" s="408"/>
      <c r="B693" s="408"/>
      <c r="C693" s="552"/>
      <c r="D693" s="408"/>
      <c r="E693" s="408"/>
      <c r="F693" s="408"/>
      <c r="G693" s="408"/>
      <c r="H693" s="408"/>
      <c r="I693" s="408"/>
      <c r="J693" s="408"/>
      <c r="K693" s="408"/>
      <c r="L693" s="408"/>
      <c r="M693" s="408"/>
      <c r="N693" s="408"/>
      <c r="O693" s="408"/>
      <c r="P693" s="408"/>
      <c r="Q693" s="408"/>
      <c r="R693" s="408"/>
      <c r="S693" s="408"/>
      <c r="T693" s="408"/>
      <c r="U693" s="408"/>
      <c r="V693" s="408"/>
      <c r="W693" s="408"/>
      <c r="X693" s="408"/>
      <c r="Y693" s="408"/>
      <c r="Z693" s="408"/>
    </row>
    <row r="694" ht="14.25" customHeight="1">
      <c r="A694" s="408"/>
      <c r="B694" s="408"/>
      <c r="C694" s="552"/>
      <c r="D694" s="408"/>
      <c r="E694" s="408"/>
      <c r="F694" s="408"/>
      <c r="G694" s="408"/>
      <c r="H694" s="408"/>
      <c r="I694" s="408"/>
      <c r="J694" s="408"/>
      <c r="K694" s="408"/>
      <c r="L694" s="408"/>
      <c r="M694" s="408"/>
      <c r="N694" s="408"/>
      <c r="O694" s="408"/>
      <c r="P694" s="408"/>
      <c r="Q694" s="408"/>
      <c r="R694" s="408"/>
      <c r="S694" s="408"/>
      <c r="T694" s="408"/>
      <c r="U694" s="408"/>
      <c r="V694" s="408"/>
      <c r="W694" s="408"/>
      <c r="X694" s="408"/>
      <c r="Y694" s="408"/>
      <c r="Z694" s="408"/>
    </row>
    <row r="695" ht="14.25" customHeight="1">
      <c r="A695" s="408"/>
      <c r="B695" s="408"/>
      <c r="C695" s="552"/>
      <c r="D695" s="408"/>
      <c r="E695" s="408"/>
      <c r="F695" s="408"/>
      <c r="G695" s="408"/>
      <c r="H695" s="408"/>
      <c r="I695" s="408"/>
      <c r="J695" s="408"/>
      <c r="K695" s="408"/>
      <c r="L695" s="408"/>
      <c r="M695" s="408"/>
      <c r="N695" s="408"/>
      <c r="O695" s="408"/>
      <c r="P695" s="408"/>
      <c r="Q695" s="408"/>
      <c r="R695" s="408"/>
      <c r="S695" s="408"/>
      <c r="T695" s="408"/>
      <c r="U695" s="408"/>
      <c r="V695" s="408"/>
      <c r="W695" s="408"/>
      <c r="X695" s="408"/>
      <c r="Y695" s="408"/>
      <c r="Z695" s="408"/>
    </row>
    <row r="696" ht="14.25" customHeight="1">
      <c r="A696" s="408"/>
      <c r="B696" s="408"/>
      <c r="C696" s="552"/>
      <c r="D696" s="408"/>
      <c r="E696" s="408"/>
      <c r="F696" s="408"/>
      <c r="G696" s="408"/>
      <c r="H696" s="408"/>
      <c r="I696" s="408"/>
      <c r="J696" s="408"/>
      <c r="K696" s="408"/>
      <c r="L696" s="408"/>
      <c r="M696" s="408"/>
      <c r="N696" s="408"/>
      <c r="O696" s="408"/>
      <c r="P696" s="408"/>
      <c r="Q696" s="408"/>
      <c r="R696" s="408"/>
      <c r="S696" s="408"/>
      <c r="T696" s="408"/>
      <c r="U696" s="408"/>
      <c r="V696" s="408"/>
      <c r="W696" s="408"/>
      <c r="X696" s="408"/>
      <c r="Y696" s="408"/>
      <c r="Z696" s="408"/>
    </row>
    <row r="697" ht="14.25" customHeight="1">
      <c r="A697" s="408"/>
      <c r="B697" s="408"/>
      <c r="C697" s="552"/>
      <c r="D697" s="408"/>
      <c r="E697" s="408"/>
      <c r="F697" s="408"/>
      <c r="G697" s="408"/>
      <c r="H697" s="408"/>
      <c r="I697" s="408"/>
      <c r="J697" s="408"/>
      <c r="K697" s="408"/>
      <c r="L697" s="408"/>
      <c r="M697" s="408"/>
      <c r="N697" s="408"/>
      <c r="O697" s="408"/>
      <c r="P697" s="408"/>
      <c r="Q697" s="408"/>
      <c r="R697" s="408"/>
      <c r="S697" s="408"/>
      <c r="T697" s="408"/>
      <c r="U697" s="408"/>
      <c r="V697" s="408"/>
      <c r="W697" s="408"/>
      <c r="X697" s="408"/>
      <c r="Y697" s="408"/>
      <c r="Z697" s="408"/>
    </row>
    <row r="698" ht="14.25" customHeight="1">
      <c r="A698" s="408"/>
      <c r="B698" s="408"/>
      <c r="C698" s="552"/>
      <c r="D698" s="408"/>
      <c r="E698" s="408"/>
      <c r="F698" s="408"/>
      <c r="G698" s="408"/>
      <c r="H698" s="408"/>
      <c r="I698" s="408"/>
      <c r="J698" s="408"/>
      <c r="K698" s="408"/>
      <c r="L698" s="408"/>
      <c r="M698" s="408"/>
      <c r="N698" s="408"/>
      <c r="O698" s="408"/>
      <c r="P698" s="408"/>
      <c r="Q698" s="408"/>
      <c r="R698" s="408"/>
      <c r="S698" s="408"/>
      <c r="T698" s="408"/>
      <c r="U698" s="408"/>
      <c r="V698" s="408"/>
      <c r="W698" s="408"/>
      <c r="X698" s="408"/>
      <c r="Y698" s="408"/>
      <c r="Z698" s="408"/>
    </row>
    <row r="699" ht="14.25" customHeight="1">
      <c r="A699" s="408"/>
      <c r="B699" s="408"/>
      <c r="C699" s="552"/>
      <c r="D699" s="408"/>
      <c r="E699" s="408"/>
      <c r="F699" s="408"/>
      <c r="G699" s="408"/>
      <c r="H699" s="408"/>
      <c r="I699" s="408"/>
      <c r="J699" s="408"/>
      <c r="K699" s="408"/>
      <c r="L699" s="408"/>
      <c r="M699" s="408"/>
      <c r="N699" s="408"/>
      <c r="O699" s="408"/>
      <c r="P699" s="408"/>
      <c r="Q699" s="408"/>
      <c r="R699" s="408"/>
      <c r="S699" s="408"/>
      <c r="T699" s="408"/>
      <c r="U699" s="408"/>
      <c r="V699" s="408"/>
      <c r="W699" s="408"/>
      <c r="X699" s="408"/>
      <c r="Y699" s="408"/>
      <c r="Z699" s="408"/>
    </row>
    <row r="700" ht="14.25" customHeight="1">
      <c r="A700" s="408"/>
      <c r="B700" s="408"/>
      <c r="C700" s="552"/>
      <c r="D700" s="408"/>
      <c r="E700" s="408"/>
      <c r="F700" s="408"/>
      <c r="G700" s="408"/>
      <c r="H700" s="408"/>
      <c r="I700" s="408"/>
      <c r="J700" s="408"/>
      <c r="K700" s="408"/>
      <c r="L700" s="408"/>
      <c r="M700" s="408"/>
      <c r="N700" s="408"/>
      <c r="O700" s="408"/>
      <c r="P700" s="408"/>
      <c r="Q700" s="408"/>
      <c r="R700" s="408"/>
      <c r="S700" s="408"/>
      <c r="T700" s="408"/>
      <c r="U700" s="408"/>
      <c r="V700" s="408"/>
      <c r="W700" s="408"/>
      <c r="X700" s="408"/>
      <c r="Y700" s="408"/>
      <c r="Z700" s="408"/>
    </row>
    <row r="701" ht="14.25" customHeight="1">
      <c r="A701" s="408"/>
      <c r="B701" s="408"/>
      <c r="C701" s="552"/>
      <c r="D701" s="408"/>
      <c r="E701" s="408"/>
      <c r="F701" s="408"/>
      <c r="G701" s="408"/>
      <c r="H701" s="408"/>
      <c r="I701" s="408"/>
      <c r="J701" s="408"/>
      <c r="K701" s="408"/>
      <c r="L701" s="408"/>
      <c r="M701" s="408"/>
      <c r="N701" s="408"/>
      <c r="O701" s="408"/>
      <c r="P701" s="408"/>
      <c r="Q701" s="408"/>
      <c r="R701" s="408"/>
      <c r="S701" s="408"/>
      <c r="T701" s="408"/>
      <c r="U701" s="408"/>
      <c r="V701" s="408"/>
      <c r="W701" s="408"/>
      <c r="X701" s="408"/>
      <c r="Y701" s="408"/>
      <c r="Z701" s="408"/>
    </row>
    <row r="702" ht="14.25" customHeight="1">
      <c r="A702" s="408"/>
      <c r="B702" s="408"/>
      <c r="C702" s="552"/>
      <c r="D702" s="408"/>
      <c r="E702" s="408"/>
      <c r="F702" s="408"/>
      <c r="G702" s="408"/>
      <c r="H702" s="408"/>
      <c r="I702" s="408"/>
      <c r="J702" s="408"/>
      <c r="K702" s="408"/>
      <c r="L702" s="408"/>
      <c r="M702" s="408"/>
      <c r="N702" s="408"/>
      <c r="O702" s="408"/>
      <c r="P702" s="408"/>
      <c r="Q702" s="408"/>
      <c r="R702" s="408"/>
      <c r="S702" s="408"/>
      <c r="T702" s="408"/>
      <c r="U702" s="408"/>
      <c r="V702" s="408"/>
      <c r="W702" s="408"/>
      <c r="X702" s="408"/>
      <c r="Y702" s="408"/>
      <c r="Z702" s="408"/>
    </row>
    <row r="703" ht="14.25" customHeight="1">
      <c r="A703" s="408"/>
      <c r="B703" s="408"/>
      <c r="C703" s="552"/>
      <c r="D703" s="408"/>
      <c r="E703" s="408"/>
      <c r="F703" s="408"/>
      <c r="G703" s="408"/>
      <c r="H703" s="408"/>
      <c r="I703" s="408"/>
      <c r="J703" s="408"/>
      <c r="K703" s="408"/>
      <c r="L703" s="408"/>
      <c r="M703" s="408"/>
      <c r="N703" s="408"/>
      <c r="O703" s="408"/>
      <c r="P703" s="408"/>
      <c r="Q703" s="408"/>
      <c r="R703" s="408"/>
      <c r="S703" s="408"/>
      <c r="T703" s="408"/>
      <c r="U703" s="408"/>
      <c r="V703" s="408"/>
      <c r="W703" s="408"/>
      <c r="X703" s="408"/>
      <c r="Y703" s="408"/>
      <c r="Z703" s="408"/>
    </row>
    <row r="704" ht="14.25" customHeight="1">
      <c r="A704" s="408"/>
      <c r="B704" s="408"/>
      <c r="C704" s="552"/>
      <c r="D704" s="408"/>
      <c r="E704" s="408"/>
      <c r="F704" s="408"/>
      <c r="G704" s="408"/>
      <c r="H704" s="408"/>
      <c r="I704" s="408"/>
      <c r="J704" s="408"/>
      <c r="K704" s="408"/>
      <c r="L704" s="408"/>
      <c r="M704" s="408"/>
      <c r="N704" s="408"/>
      <c r="O704" s="408"/>
      <c r="P704" s="408"/>
      <c r="Q704" s="408"/>
      <c r="R704" s="408"/>
      <c r="S704" s="408"/>
      <c r="T704" s="408"/>
      <c r="U704" s="408"/>
      <c r="V704" s="408"/>
      <c r="W704" s="408"/>
      <c r="X704" s="408"/>
      <c r="Y704" s="408"/>
      <c r="Z704" s="408"/>
    </row>
    <row r="705" ht="14.25" customHeight="1">
      <c r="A705" s="408"/>
      <c r="B705" s="408"/>
      <c r="C705" s="552"/>
      <c r="D705" s="408"/>
      <c r="E705" s="408"/>
      <c r="F705" s="408"/>
      <c r="G705" s="408"/>
      <c r="H705" s="408"/>
      <c r="I705" s="408"/>
      <c r="J705" s="408"/>
      <c r="K705" s="408"/>
      <c r="L705" s="408"/>
      <c r="M705" s="408"/>
      <c r="N705" s="408"/>
      <c r="O705" s="408"/>
      <c r="P705" s="408"/>
      <c r="Q705" s="408"/>
      <c r="R705" s="408"/>
      <c r="S705" s="408"/>
      <c r="T705" s="408"/>
      <c r="U705" s="408"/>
      <c r="V705" s="408"/>
      <c r="W705" s="408"/>
      <c r="X705" s="408"/>
      <c r="Y705" s="408"/>
      <c r="Z705" s="408"/>
    </row>
    <row r="706" ht="14.25" customHeight="1">
      <c r="A706" s="408"/>
      <c r="B706" s="408"/>
      <c r="C706" s="552"/>
      <c r="D706" s="408"/>
      <c r="E706" s="408"/>
      <c r="F706" s="408"/>
      <c r="G706" s="408"/>
      <c r="H706" s="408"/>
      <c r="I706" s="408"/>
      <c r="J706" s="408"/>
      <c r="K706" s="408"/>
      <c r="L706" s="408"/>
      <c r="M706" s="408"/>
      <c r="N706" s="408"/>
      <c r="O706" s="408"/>
      <c r="P706" s="408"/>
      <c r="Q706" s="408"/>
      <c r="R706" s="408"/>
      <c r="S706" s="408"/>
      <c r="T706" s="408"/>
      <c r="U706" s="408"/>
      <c r="V706" s="408"/>
      <c r="W706" s="408"/>
      <c r="X706" s="408"/>
      <c r="Y706" s="408"/>
      <c r="Z706" s="408"/>
    </row>
    <row r="707" ht="14.25" customHeight="1">
      <c r="A707" s="408"/>
      <c r="B707" s="408"/>
      <c r="C707" s="552"/>
      <c r="D707" s="408"/>
      <c r="E707" s="408"/>
      <c r="F707" s="408"/>
      <c r="G707" s="408"/>
      <c r="H707" s="408"/>
      <c r="I707" s="408"/>
      <c r="J707" s="408"/>
      <c r="K707" s="408"/>
      <c r="L707" s="408"/>
      <c r="M707" s="408"/>
      <c r="N707" s="408"/>
      <c r="O707" s="408"/>
      <c r="P707" s="408"/>
      <c r="Q707" s="408"/>
      <c r="R707" s="408"/>
      <c r="S707" s="408"/>
      <c r="T707" s="408"/>
      <c r="U707" s="408"/>
      <c r="V707" s="408"/>
      <c r="W707" s="408"/>
      <c r="X707" s="408"/>
      <c r="Y707" s="408"/>
      <c r="Z707" s="408"/>
    </row>
    <row r="708" ht="14.25" customHeight="1">
      <c r="A708" s="408"/>
      <c r="B708" s="408"/>
      <c r="C708" s="552"/>
      <c r="D708" s="408"/>
      <c r="E708" s="408"/>
      <c r="F708" s="408"/>
      <c r="G708" s="408"/>
      <c r="H708" s="408"/>
      <c r="I708" s="408"/>
      <c r="J708" s="408"/>
      <c r="K708" s="408"/>
      <c r="L708" s="408"/>
      <c r="M708" s="408"/>
      <c r="N708" s="408"/>
      <c r="O708" s="408"/>
      <c r="P708" s="408"/>
      <c r="Q708" s="408"/>
      <c r="R708" s="408"/>
      <c r="S708" s="408"/>
      <c r="T708" s="408"/>
      <c r="U708" s="408"/>
      <c r="V708" s="408"/>
      <c r="W708" s="408"/>
      <c r="X708" s="408"/>
      <c r="Y708" s="408"/>
      <c r="Z708" s="408"/>
    </row>
    <row r="709" ht="14.25" customHeight="1">
      <c r="A709" s="408"/>
      <c r="B709" s="408"/>
      <c r="C709" s="552"/>
      <c r="D709" s="408"/>
      <c r="E709" s="408"/>
      <c r="F709" s="408"/>
      <c r="G709" s="408"/>
      <c r="H709" s="408"/>
      <c r="I709" s="408"/>
      <c r="J709" s="408"/>
      <c r="K709" s="408"/>
      <c r="L709" s="408"/>
      <c r="M709" s="408"/>
      <c r="N709" s="408"/>
      <c r="O709" s="408"/>
      <c r="P709" s="408"/>
      <c r="Q709" s="408"/>
      <c r="R709" s="408"/>
      <c r="S709" s="408"/>
      <c r="T709" s="408"/>
      <c r="U709" s="408"/>
      <c r="V709" s="408"/>
      <c r="W709" s="408"/>
      <c r="X709" s="408"/>
      <c r="Y709" s="408"/>
      <c r="Z709" s="408"/>
    </row>
    <row r="710" ht="14.25" customHeight="1">
      <c r="A710" s="408"/>
      <c r="B710" s="408"/>
      <c r="C710" s="552"/>
      <c r="D710" s="408"/>
      <c r="E710" s="408"/>
      <c r="F710" s="408"/>
      <c r="G710" s="408"/>
      <c r="H710" s="408"/>
      <c r="I710" s="408"/>
      <c r="J710" s="408"/>
      <c r="K710" s="408"/>
      <c r="L710" s="408"/>
      <c r="M710" s="408"/>
      <c r="N710" s="408"/>
      <c r="O710" s="408"/>
      <c r="P710" s="408"/>
      <c r="Q710" s="408"/>
      <c r="R710" s="408"/>
      <c r="S710" s="408"/>
      <c r="T710" s="408"/>
      <c r="U710" s="408"/>
      <c r="V710" s="408"/>
      <c r="W710" s="408"/>
      <c r="X710" s="408"/>
      <c r="Y710" s="408"/>
      <c r="Z710" s="408"/>
    </row>
    <row r="711" ht="14.25" customHeight="1">
      <c r="A711" s="408"/>
      <c r="B711" s="408"/>
      <c r="C711" s="552"/>
      <c r="D711" s="408"/>
      <c r="E711" s="408"/>
      <c r="F711" s="408"/>
      <c r="G711" s="408"/>
      <c r="H711" s="408"/>
      <c r="I711" s="408"/>
      <c r="J711" s="408"/>
      <c r="K711" s="408"/>
      <c r="L711" s="408"/>
      <c r="M711" s="408"/>
      <c r="N711" s="408"/>
      <c r="O711" s="408"/>
      <c r="P711" s="408"/>
      <c r="Q711" s="408"/>
      <c r="R711" s="408"/>
      <c r="S711" s="408"/>
      <c r="T711" s="408"/>
      <c r="U711" s="408"/>
      <c r="V711" s="408"/>
      <c r="W711" s="408"/>
      <c r="X711" s="408"/>
      <c r="Y711" s="408"/>
      <c r="Z711" s="408"/>
    </row>
    <row r="712" ht="14.25" customHeight="1">
      <c r="A712" s="408"/>
      <c r="B712" s="408"/>
      <c r="C712" s="552"/>
      <c r="D712" s="408"/>
      <c r="E712" s="408"/>
      <c r="F712" s="408"/>
      <c r="G712" s="408"/>
      <c r="H712" s="408"/>
      <c r="I712" s="408"/>
      <c r="J712" s="408"/>
      <c r="K712" s="408"/>
      <c r="L712" s="408"/>
      <c r="M712" s="408"/>
      <c r="N712" s="408"/>
      <c r="O712" s="408"/>
      <c r="P712" s="408"/>
      <c r="Q712" s="408"/>
      <c r="R712" s="408"/>
      <c r="S712" s="408"/>
      <c r="T712" s="408"/>
      <c r="U712" s="408"/>
      <c r="V712" s="408"/>
      <c r="W712" s="408"/>
      <c r="X712" s="408"/>
      <c r="Y712" s="408"/>
      <c r="Z712" s="408"/>
    </row>
    <row r="713" ht="14.25" customHeight="1">
      <c r="A713" s="408"/>
      <c r="B713" s="408"/>
      <c r="C713" s="552"/>
      <c r="D713" s="408"/>
      <c r="E713" s="408"/>
      <c r="F713" s="408"/>
      <c r="G713" s="408"/>
      <c r="H713" s="408"/>
      <c r="I713" s="408"/>
      <c r="J713" s="408"/>
      <c r="K713" s="408"/>
      <c r="L713" s="408"/>
      <c r="M713" s="408"/>
      <c r="N713" s="408"/>
      <c r="O713" s="408"/>
      <c r="P713" s="408"/>
      <c r="Q713" s="408"/>
      <c r="R713" s="408"/>
      <c r="S713" s="408"/>
      <c r="T713" s="408"/>
      <c r="U713" s="408"/>
      <c r="V713" s="408"/>
      <c r="W713" s="408"/>
      <c r="X713" s="408"/>
      <c r="Y713" s="408"/>
      <c r="Z713" s="408"/>
    </row>
    <row r="714" ht="14.25" customHeight="1">
      <c r="A714" s="408"/>
      <c r="B714" s="408"/>
      <c r="C714" s="552"/>
      <c r="D714" s="408"/>
      <c r="E714" s="408"/>
      <c r="F714" s="408"/>
      <c r="G714" s="408"/>
      <c r="H714" s="408"/>
      <c r="I714" s="408"/>
      <c r="J714" s="408"/>
      <c r="K714" s="408"/>
      <c r="L714" s="408"/>
      <c r="M714" s="408"/>
      <c r="N714" s="408"/>
      <c r="O714" s="408"/>
      <c r="P714" s="408"/>
      <c r="Q714" s="408"/>
      <c r="R714" s="408"/>
      <c r="S714" s="408"/>
      <c r="T714" s="408"/>
      <c r="U714" s="408"/>
      <c r="V714" s="408"/>
      <c r="W714" s="408"/>
      <c r="X714" s="408"/>
      <c r="Y714" s="408"/>
      <c r="Z714" s="408"/>
    </row>
    <row r="715" ht="14.25" customHeight="1">
      <c r="A715" s="408"/>
      <c r="B715" s="408"/>
      <c r="C715" s="552"/>
      <c r="D715" s="408"/>
      <c r="E715" s="408"/>
      <c r="F715" s="408"/>
      <c r="G715" s="408"/>
      <c r="H715" s="408"/>
      <c r="I715" s="408"/>
      <c r="J715" s="408"/>
      <c r="K715" s="408"/>
      <c r="L715" s="408"/>
      <c r="M715" s="408"/>
      <c r="N715" s="408"/>
      <c r="O715" s="408"/>
      <c r="P715" s="408"/>
      <c r="Q715" s="408"/>
      <c r="R715" s="408"/>
      <c r="S715" s="408"/>
      <c r="T715" s="408"/>
      <c r="U715" s="408"/>
      <c r="V715" s="408"/>
      <c r="W715" s="408"/>
      <c r="X715" s="408"/>
      <c r="Y715" s="408"/>
      <c r="Z715" s="408"/>
    </row>
    <row r="716" ht="14.25" customHeight="1">
      <c r="A716" s="408"/>
      <c r="B716" s="408"/>
      <c r="C716" s="552"/>
      <c r="D716" s="408"/>
      <c r="E716" s="408"/>
      <c r="F716" s="408"/>
      <c r="G716" s="408"/>
      <c r="H716" s="408"/>
      <c r="I716" s="408"/>
      <c r="J716" s="408"/>
      <c r="K716" s="408"/>
      <c r="L716" s="408"/>
      <c r="M716" s="408"/>
      <c r="N716" s="408"/>
      <c r="O716" s="408"/>
      <c r="P716" s="408"/>
      <c r="Q716" s="408"/>
      <c r="R716" s="408"/>
      <c r="S716" s="408"/>
      <c r="T716" s="408"/>
      <c r="U716" s="408"/>
      <c r="V716" s="408"/>
      <c r="W716" s="408"/>
      <c r="X716" s="408"/>
      <c r="Y716" s="408"/>
      <c r="Z716" s="408"/>
    </row>
    <row r="717" ht="14.25" customHeight="1">
      <c r="A717" s="408"/>
      <c r="B717" s="408"/>
      <c r="C717" s="552"/>
      <c r="D717" s="408"/>
      <c r="E717" s="408"/>
      <c r="F717" s="408"/>
      <c r="G717" s="408"/>
      <c r="H717" s="408"/>
      <c r="I717" s="408"/>
      <c r="J717" s="408"/>
      <c r="K717" s="408"/>
      <c r="L717" s="408"/>
      <c r="M717" s="408"/>
      <c r="N717" s="408"/>
      <c r="O717" s="408"/>
      <c r="P717" s="408"/>
      <c r="Q717" s="408"/>
      <c r="R717" s="408"/>
      <c r="S717" s="408"/>
      <c r="T717" s="408"/>
      <c r="U717" s="408"/>
      <c r="V717" s="408"/>
      <c r="W717" s="408"/>
      <c r="X717" s="408"/>
      <c r="Y717" s="408"/>
      <c r="Z717" s="408"/>
    </row>
    <row r="718" ht="14.25" customHeight="1">
      <c r="A718" s="408"/>
      <c r="B718" s="408"/>
      <c r="C718" s="552"/>
      <c r="D718" s="408"/>
      <c r="E718" s="408"/>
      <c r="F718" s="408"/>
      <c r="G718" s="408"/>
      <c r="H718" s="408"/>
      <c r="I718" s="408"/>
      <c r="J718" s="408"/>
      <c r="K718" s="408"/>
      <c r="L718" s="408"/>
      <c r="M718" s="408"/>
      <c r="N718" s="408"/>
      <c r="O718" s="408"/>
      <c r="P718" s="408"/>
      <c r="Q718" s="408"/>
      <c r="R718" s="408"/>
      <c r="S718" s="408"/>
      <c r="T718" s="408"/>
      <c r="U718" s="408"/>
      <c r="V718" s="408"/>
      <c r="W718" s="408"/>
      <c r="X718" s="408"/>
      <c r="Y718" s="408"/>
      <c r="Z718" s="408"/>
    </row>
    <row r="719" ht="14.25" customHeight="1">
      <c r="A719" s="408"/>
      <c r="B719" s="408"/>
      <c r="C719" s="552"/>
      <c r="D719" s="408"/>
      <c r="E719" s="408"/>
      <c r="F719" s="408"/>
      <c r="G719" s="408"/>
      <c r="H719" s="408"/>
      <c r="I719" s="408"/>
      <c r="J719" s="408"/>
      <c r="K719" s="408"/>
      <c r="L719" s="408"/>
      <c r="M719" s="408"/>
      <c r="N719" s="408"/>
      <c r="O719" s="408"/>
      <c r="P719" s="408"/>
      <c r="Q719" s="408"/>
      <c r="R719" s="408"/>
      <c r="S719" s="408"/>
      <c r="T719" s="408"/>
      <c r="U719" s="408"/>
      <c r="V719" s="408"/>
      <c r="W719" s="408"/>
      <c r="X719" s="408"/>
      <c r="Y719" s="408"/>
      <c r="Z719" s="408"/>
    </row>
    <row r="720" ht="14.25" customHeight="1">
      <c r="A720" s="408"/>
      <c r="B720" s="408"/>
      <c r="C720" s="552"/>
      <c r="D720" s="408"/>
      <c r="E720" s="408"/>
      <c r="F720" s="408"/>
      <c r="G720" s="408"/>
      <c r="H720" s="408"/>
      <c r="I720" s="408"/>
      <c r="J720" s="408"/>
      <c r="K720" s="408"/>
      <c r="L720" s="408"/>
      <c r="M720" s="408"/>
      <c r="N720" s="408"/>
      <c r="O720" s="408"/>
      <c r="P720" s="408"/>
      <c r="Q720" s="408"/>
      <c r="R720" s="408"/>
      <c r="S720" s="408"/>
      <c r="T720" s="408"/>
      <c r="U720" s="408"/>
      <c r="V720" s="408"/>
      <c r="W720" s="408"/>
      <c r="X720" s="408"/>
      <c r="Y720" s="408"/>
      <c r="Z720" s="408"/>
    </row>
    <row r="721" ht="14.25" customHeight="1">
      <c r="A721" s="408"/>
      <c r="B721" s="408"/>
      <c r="C721" s="552"/>
      <c r="D721" s="408"/>
      <c r="E721" s="408"/>
      <c r="F721" s="408"/>
      <c r="G721" s="408"/>
      <c r="H721" s="408"/>
      <c r="I721" s="408"/>
      <c r="J721" s="408"/>
      <c r="K721" s="408"/>
      <c r="L721" s="408"/>
      <c r="M721" s="408"/>
      <c r="N721" s="408"/>
      <c r="O721" s="408"/>
      <c r="P721" s="408"/>
      <c r="Q721" s="408"/>
      <c r="R721" s="408"/>
      <c r="S721" s="408"/>
      <c r="T721" s="408"/>
      <c r="U721" s="408"/>
      <c r="V721" s="408"/>
      <c r="W721" s="408"/>
      <c r="X721" s="408"/>
      <c r="Y721" s="408"/>
      <c r="Z721" s="408"/>
    </row>
    <row r="722" ht="14.25" customHeight="1">
      <c r="A722" s="408"/>
      <c r="B722" s="408"/>
      <c r="C722" s="552"/>
      <c r="D722" s="408"/>
      <c r="E722" s="408"/>
      <c r="F722" s="408"/>
      <c r="G722" s="408"/>
      <c r="H722" s="408"/>
      <c r="I722" s="408"/>
      <c r="J722" s="408"/>
      <c r="K722" s="408"/>
      <c r="L722" s="408"/>
      <c r="M722" s="408"/>
      <c r="N722" s="408"/>
      <c r="O722" s="408"/>
      <c r="P722" s="408"/>
      <c r="Q722" s="408"/>
      <c r="R722" s="408"/>
      <c r="S722" s="408"/>
      <c r="T722" s="408"/>
      <c r="U722" s="408"/>
      <c r="V722" s="408"/>
      <c r="W722" s="408"/>
      <c r="X722" s="408"/>
      <c r="Y722" s="408"/>
      <c r="Z722" s="408"/>
    </row>
    <row r="723" ht="14.25" customHeight="1">
      <c r="A723" s="408"/>
      <c r="B723" s="408"/>
      <c r="C723" s="552"/>
      <c r="D723" s="408"/>
      <c r="E723" s="408"/>
      <c r="F723" s="408"/>
      <c r="G723" s="408"/>
      <c r="H723" s="408"/>
      <c r="I723" s="408"/>
      <c r="J723" s="408"/>
      <c r="K723" s="408"/>
      <c r="L723" s="408"/>
      <c r="M723" s="408"/>
      <c r="N723" s="408"/>
      <c r="O723" s="408"/>
      <c r="P723" s="408"/>
      <c r="Q723" s="408"/>
      <c r="R723" s="408"/>
      <c r="S723" s="408"/>
      <c r="T723" s="408"/>
      <c r="U723" s="408"/>
      <c r="V723" s="408"/>
      <c r="W723" s="408"/>
      <c r="X723" s="408"/>
      <c r="Y723" s="408"/>
      <c r="Z723" s="408"/>
    </row>
    <row r="724" ht="14.25" customHeight="1">
      <c r="A724" s="408"/>
      <c r="B724" s="408"/>
      <c r="C724" s="552"/>
      <c r="D724" s="408"/>
      <c r="E724" s="408"/>
      <c r="F724" s="408"/>
      <c r="G724" s="408"/>
      <c r="H724" s="408"/>
      <c r="I724" s="408"/>
      <c r="J724" s="408"/>
      <c r="K724" s="408"/>
      <c r="L724" s="408"/>
      <c r="M724" s="408"/>
      <c r="N724" s="408"/>
      <c r="O724" s="408"/>
      <c r="P724" s="408"/>
      <c r="Q724" s="408"/>
      <c r="R724" s="408"/>
      <c r="S724" s="408"/>
      <c r="T724" s="408"/>
      <c r="U724" s="408"/>
      <c r="V724" s="408"/>
      <c r="W724" s="408"/>
      <c r="X724" s="408"/>
      <c r="Y724" s="408"/>
      <c r="Z724" s="408"/>
    </row>
    <row r="725" ht="14.25" customHeight="1">
      <c r="A725" s="408"/>
      <c r="B725" s="408"/>
      <c r="C725" s="552"/>
      <c r="D725" s="408"/>
      <c r="E725" s="408"/>
      <c r="F725" s="408"/>
      <c r="G725" s="408"/>
      <c r="H725" s="408"/>
      <c r="I725" s="408"/>
      <c r="J725" s="408"/>
      <c r="K725" s="408"/>
      <c r="L725" s="408"/>
      <c r="M725" s="408"/>
      <c r="N725" s="408"/>
      <c r="O725" s="408"/>
      <c r="P725" s="408"/>
      <c r="Q725" s="408"/>
      <c r="R725" s="408"/>
      <c r="S725" s="408"/>
      <c r="T725" s="408"/>
      <c r="U725" s="408"/>
      <c r="V725" s="408"/>
      <c r="W725" s="408"/>
      <c r="X725" s="408"/>
      <c r="Y725" s="408"/>
      <c r="Z725" s="408"/>
    </row>
    <row r="726" ht="14.25" customHeight="1">
      <c r="A726" s="408"/>
      <c r="B726" s="408"/>
      <c r="C726" s="552"/>
      <c r="D726" s="408"/>
      <c r="E726" s="408"/>
      <c r="F726" s="408"/>
      <c r="G726" s="408"/>
      <c r="H726" s="408"/>
      <c r="I726" s="408"/>
      <c r="J726" s="408"/>
      <c r="K726" s="408"/>
      <c r="L726" s="408"/>
      <c r="M726" s="408"/>
      <c r="N726" s="408"/>
      <c r="O726" s="408"/>
      <c r="P726" s="408"/>
      <c r="Q726" s="408"/>
      <c r="R726" s="408"/>
      <c r="S726" s="408"/>
      <c r="T726" s="408"/>
      <c r="U726" s="408"/>
      <c r="V726" s="408"/>
      <c r="W726" s="408"/>
      <c r="X726" s="408"/>
      <c r="Y726" s="408"/>
      <c r="Z726" s="408"/>
    </row>
    <row r="727" ht="14.25" customHeight="1">
      <c r="A727" s="408"/>
      <c r="B727" s="408"/>
      <c r="C727" s="552"/>
      <c r="D727" s="408"/>
      <c r="E727" s="408"/>
      <c r="F727" s="408"/>
      <c r="G727" s="408"/>
      <c r="H727" s="408"/>
      <c r="I727" s="408"/>
      <c r="J727" s="408"/>
      <c r="K727" s="408"/>
      <c r="L727" s="408"/>
      <c r="M727" s="408"/>
      <c r="N727" s="408"/>
      <c r="O727" s="408"/>
      <c r="P727" s="408"/>
      <c r="Q727" s="408"/>
      <c r="R727" s="408"/>
      <c r="S727" s="408"/>
      <c r="T727" s="408"/>
      <c r="U727" s="408"/>
      <c r="V727" s="408"/>
      <c r="W727" s="408"/>
      <c r="X727" s="408"/>
      <c r="Y727" s="408"/>
      <c r="Z727" s="408"/>
    </row>
    <row r="728" ht="14.25" customHeight="1">
      <c r="A728" s="408"/>
      <c r="B728" s="408"/>
      <c r="C728" s="552"/>
      <c r="D728" s="408"/>
      <c r="E728" s="408"/>
      <c r="F728" s="408"/>
      <c r="G728" s="408"/>
      <c r="H728" s="408"/>
      <c r="I728" s="408"/>
      <c r="J728" s="408"/>
      <c r="K728" s="408"/>
      <c r="L728" s="408"/>
      <c r="M728" s="408"/>
      <c r="N728" s="408"/>
      <c r="O728" s="408"/>
      <c r="P728" s="408"/>
      <c r="Q728" s="408"/>
      <c r="R728" s="408"/>
      <c r="S728" s="408"/>
      <c r="T728" s="408"/>
      <c r="U728" s="408"/>
      <c r="V728" s="408"/>
      <c r="W728" s="408"/>
      <c r="X728" s="408"/>
      <c r="Y728" s="408"/>
      <c r="Z728" s="408"/>
    </row>
    <row r="729" ht="14.25" customHeight="1">
      <c r="A729" s="408"/>
      <c r="B729" s="408"/>
      <c r="C729" s="552"/>
      <c r="D729" s="408"/>
      <c r="E729" s="408"/>
      <c r="F729" s="408"/>
      <c r="G729" s="408"/>
      <c r="H729" s="408"/>
      <c r="I729" s="408"/>
      <c r="J729" s="408"/>
      <c r="K729" s="408"/>
      <c r="L729" s="408"/>
      <c r="M729" s="408"/>
      <c r="N729" s="408"/>
      <c r="O729" s="408"/>
      <c r="P729" s="408"/>
      <c r="Q729" s="408"/>
      <c r="R729" s="408"/>
      <c r="S729" s="408"/>
      <c r="T729" s="408"/>
      <c r="U729" s="408"/>
      <c r="V729" s="408"/>
      <c r="W729" s="408"/>
      <c r="X729" s="408"/>
      <c r="Y729" s="408"/>
      <c r="Z729" s="408"/>
    </row>
    <row r="730" ht="14.25" customHeight="1">
      <c r="A730" s="408"/>
      <c r="B730" s="408"/>
      <c r="C730" s="552"/>
      <c r="D730" s="408"/>
      <c r="E730" s="408"/>
      <c r="F730" s="408"/>
      <c r="G730" s="408"/>
      <c r="H730" s="408"/>
      <c r="I730" s="408"/>
      <c r="J730" s="408"/>
      <c r="K730" s="408"/>
      <c r="L730" s="408"/>
      <c r="M730" s="408"/>
      <c r="N730" s="408"/>
      <c r="O730" s="408"/>
      <c r="P730" s="408"/>
      <c r="Q730" s="408"/>
      <c r="R730" s="408"/>
      <c r="S730" s="408"/>
      <c r="T730" s="408"/>
      <c r="U730" s="408"/>
      <c r="V730" s="408"/>
      <c r="W730" s="408"/>
      <c r="X730" s="408"/>
      <c r="Y730" s="408"/>
      <c r="Z730" s="408"/>
    </row>
    <row r="731" ht="14.25" customHeight="1">
      <c r="A731" s="408"/>
      <c r="B731" s="408"/>
      <c r="C731" s="552"/>
      <c r="D731" s="408"/>
      <c r="E731" s="408"/>
      <c r="F731" s="408"/>
      <c r="G731" s="408"/>
      <c r="H731" s="408"/>
      <c r="I731" s="408"/>
      <c r="J731" s="408"/>
      <c r="K731" s="408"/>
      <c r="L731" s="408"/>
      <c r="M731" s="408"/>
      <c r="N731" s="408"/>
      <c r="O731" s="408"/>
      <c r="P731" s="408"/>
      <c r="Q731" s="408"/>
      <c r="R731" s="408"/>
      <c r="S731" s="408"/>
      <c r="T731" s="408"/>
      <c r="U731" s="408"/>
      <c r="V731" s="408"/>
      <c r="W731" s="408"/>
      <c r="X731" s="408"/>
      <c r="Y731" s="408"/>
      <c r="Z731" s="408"/>
    </row>
    <row r="732" ht="14.25" customHeight="1">
      <c r="A732" s="408"/>
      <c r="B732" s="408"/>
      <c r="C732" s="552"/>
      <c r="D732" s="408"/>
      <c r="E732" s="408"/>
      <c r="F732" s="408"/>
      <c r="G732" s="408"/>
      <c r="H732" s="408"/>
      <c r="I732" s="408"/>
      <c r="J732" s="408"/>
      <c r="K732" s="408"/>
      <c r="L732" s="408"/>
      <c r="M732" s="408"/>
      <c r="N732" s="408"/>
      <c r="O732" s="408"/>
      <c r="P732" s="408"/>
      <c r="Q732" s="408"/>
      <c r="R732" s="408"/>
      <c r="S732" s="408"/>
      <c r="T732" s="408"/>
      <c r="U732" s="408"/>
      <c r="V732" s="408"/>
      <c r="W732" s="408"/>
      <c r="X732" s="408"/>
      <c r="Y732" s="408"/>
      <c r="Z732" s="408"/>
    </row>
    <row r="733" ht="14.25" customHeight="1">
      <c r="A733" s="408"/>
      <c r="B733" s="408"/>
      <c r="C733" s="552"/>
      <c r="D733" s="408"/>
      <c r="E733" s="408"/>
      <c r="F733" s="408"/>
      <c r="G733" s="408"/>
      <c r="H733" s="408"/>
      <c r="I733" s="408"/>
      <c r="J733" s="408"/>
      <c r="K733" s="408"/>
      <c r="L733" s="408"/>
      <c r="M733" s="408"/>
      <c r="N733" s="408"/>
      <c r="O733" s="408"/>
      <c r="P733" s="408"/>
      <c r="Q733" s="408"/>
      <c r="R733" s="408"/>
      <c r="S733" s="408"/>
      <c r="T733" s="408"/>
      <c r="U733" s="408"/>
      <c r="V733" s="408"/>
      <c r="W733" s="408"/>
      <c r="X733" s="408"/>
      <c r="Y733" s="408"/>
      <c r="Z733" s="408"/>
    </row>
    <row r="734" ht="14.25" customHeight="1">
      <c r="A734" s="408"/>
      <c r="B734" s="408"/>
      <c r="C734" s="552"/>
      <c r="D734" s="408"/>
      <c r="E734" s="408"/>
      <c r="F734" s="408"/>
      <c r="G734" s="408"/>
      <c r="H734" s="408"/>
      <c r="I734" s="408"/>
      <c r="J734" s="408"/>
      <c r="K734" s="408"/>
      <c r="L734" s="408"/>
      <c r="M734" s="408"/>
      <c r="N734" s="408"/>
      <c r="O734" s="408"/>
      <c r="P734" s="408"/>
      <c r="Q734" s="408"/>
      <c r="R734" s="408"/>
      <c r="S734" s="408"/>
      <c r="T734" s="408"/>
      <c r="U734" s="408"/>
      <c r="V734" s="408"/>
      <c r="W734" s="408"/>
      <c r="X734" s="408"/>
      <c r="Y734" s="408"/>
      <c r="Z734" s="408"/>
    </row>
    <row r="735" ht="14.25" customHeight="1">
      <c r="A735" s="408"/>
      <c r="B735" s="408"/>
      <c r="C735" s="552"/>
      <c r="D735" s="408"/>
      <c r="E735" s="408"/>
      <c r="F735" s="408"/>
      <c r="G735" s="408"/>
      <c r="H735" s="408"/>
      <c r="I735" s="408"/>
      <c r="J735" s="408"/>
      <c r="K735" s="408"/>
      <c r="L735" s="408"/>
      <c r="M735" s="408"/>
      <c r="N735" s="408"/>
      <c r="O735" s="408"/>
      <c r="P735" s="408"/>
      <c r="Q735" s="408"/>
      <c r="R735" s="408"/>
      <c r="S735" s="408"/>
      <c r="T735" s="408"/>
      <c r="U735" s="408"/>
      <c r="V735" s="408"/>
      <c r="W735" s="408"/>
      <c r="X735" s="408"/>
      <c r="Y735" s="408"/>
      <c r="Z735" s="408"/>
    </row>
    <row r="736" ht="14.25" customHeight="1">
      <c r="A736" s="408"/>
      <c r="B736" s="408"/>
      <c r="C736" s="552"/>
      <c r="D736" s="408"/>
      <c r="E736" s="408"/>
      <c r="F736" s="408"/>
      <c r="G736" s="408"/>
      <c r="H736" s="408"/>
      <c r="I736" s="408"/>
      <c r="J736" s="408"/>
      <c r="K736" s="408"/>
      <c r="L736" s="408"/>
      <c r="M736" s="408"/>
      <c r="N736" s="408"/>
      <c r="O736" s="408"/>
      <c r="P736" s="408"/>
      <c r="Q736" s="408"/>
      <c r="R736" s="408"/>
      <c r="S736" s="408"/>
      <c r="T736" s="408"/>
      <c r="U736" s="408"/>
      <c r="V736" s="408"/>
      <c r="W736" s="408"/>
      <c r="X736" s="408"/>
      <c r="Y736" s="408"/>
      <c r="Z736" s="408"/>
    </row>
    <row r="737" ht="14.25" customHeight="1">
      <c r="A737" s="408"/>
      <c r="B737" s="408"/>
      <c r="C737" s="552"/>
      <c r="D737" s="408"/>
      <c r="E737" s="408"/>
      <c r="F737" s="408"/>
      <c r="G737" s="408"/>
      <c r="H737" s="408"/>
      <c r="I737" s="408"/>
      <c r="J737" s="408"/>
      <c r="K737" s="408"/>
      <c r="L737" s="408"/>
      <c r="M737" s="408"/>
      <c r="N737" s="408"/>
      <c r="O737" s="408"/>
      <c r="P737" s="408"/>
      <c r="Q737" s="408"/>
      <c r="R737" s="408"/>
      <c r="S737" s="408"/>
      <c r="T737" s="408"/>
      <c r="U737" s="408"/>
      <c r="V737" s="408"/>
      <c r="W737" s="408"/>
      <c r="X737" s="408"/>
      <c r="Y737" s="408"/>
      <c r="Z737" s="408"/>
    </row>
    <row r="738" ht="14.25" customHeight="1">
      <c r="A738" s="408"/>
      <c r="B738" s="408"/>
      <c r="C738" s="552"/>
      <c r="D738" s="408"/>
      <c r="E738" s="408"/>
      <c r="F738" s="408"/>
      <c r="G738" s="408"/>
      <c r="H738" s="408"/>
      <c r="I738" s="408"/>
      <c r="J738" s="408"/>
      <c r="K738" s="408"/>
      <c r="L738" s="408"/>
      <c r="M738" s="408"/>
      <c r="N738" s="408"/>
      <c r="O738" s="408"/>
      <c r="P738" s="408"/>
      <c r="Q738" s="408"/>
      <c r="R738" s="408"/>
      <c r="S738" s="408"/>
      <c r="T738" s="408"/>
      <c r="U738" s="408"/>
      <c r="V738" s="408"/>
      <c r="W738" s="408"/>
      <c r="X738" s="408"/>
      <c r="Y738" s="408"/>
      <c r="Z738" s="408"/>
    </row>
    <row r="739" ht="14.25" customHeight="1">
      <c r="A739" s="408"/>
      <c r="B739" s="408"/>
      <c r="C739" s="552"/>
      <c r="D739" s="408"/>
      <c r="E739" s="408"/>
      <c r="F739" s="408"/>
      <c r="G739" s="408"/>
      <c r="H739" s="408"/>
      <c r="I739" s="408"/>
      <c r="J739" s="408"/>
      <c r="K739" s="408"/>
      <c r="L739" s="408"/>
      <c r="M739" s="408"/>
      <c r="N739" s="408"/>
      <c r="O739" s="408"/>
      <c r="P739" s="408"/>
      <c r="Q739" s="408"/>
      <c r="R739" s="408"/>
      <c r="S739" s="408"/>
      <c r="T739" s="408"/>
      <c r="U739" s="408"/>
      <c r="V739" s="408"/>
      <c r="W739" s="408"/>
      <c r="X739" s="408"/>
      <c r="Y739" s="408"/>
      <c r="Z739" s="408"/>
    </row>
    <row r="740" ht="14.25" customHeight="1">
      <c r="A740" s="408"/>
      <c r="B740" s="408"/>
      <c r="C740" s="552"/>
      <c r="D740" s="408"/>
      <c r="E740" s="408"/>
      <c r="F740" s="408"/>
      <c r="G740" s="408"/>
      <c r="H740" s="408"/>
      <c r="I740" s="408"/>
      <c r="J740" s="408"/>
      <c r="K740" s="408"/>
      <c r="L740" s="408"/>
      <c r="M740" s="408"/>
      <c r="N740" s="408"/>
      <c r="O740" s="408"/>
      <c r="P740" s="408"/>
      <c r="Q740" s="408"/>
      <c r="R740" s="408"/>
      <c r="S740" s="408"/>
      <c r="T740" s="408"/>
      <c r="U740" s="408"/>
      <c r="V740" s="408"/>
      <c r="W740" s="408"/>
      <c r="X740" s="408"/>
      <c r="Y740" s="408"/>
      <c r="Z740" s="408"/>
    </row>
    <row r="741" ht="14.25" customHeight="1">
      <c r="A741" s="408"/>
      <c r="B741" s="408"/>
      <c r="C741" s="552"/>
      <c r="D741" s="408"/>
      <c r="E741" s="408"/>
      <c r="F741" s="408"/>
      <c r="G741" s="408"/>
      <c r="H741" s="408"/>
      <c r="I741" s="408"/>
      <c r="J741" s="408"/>
      <c r="K741" s="408"/>
      <c r="L741" s="408"/>
      <c r="M741" s="408"/>
      <c r="N741" s="408"/>
      <c r="O741" s="408"/>
      <c r="P741" s="408"/>
      <c r="Q741" s="408"/>
      <c r="R741" s="408"/>
      <c r="S741" s="408"/>
      <c r="T741" s="408"/>
      <c r="U741" s="408"/>
      <c r="V741" s="408"/>
      <c r="W741" s="408"/>
      <c r="X741" s="408"/>
      <c r="Y741" s="408"/>
      <c r="Z741" s="408"/>
    </row>
    <row r="742" ht="14.25" customHeight="1">
      <c r="A742" s="408"/>
      <c r="B742" s="408"/>
      <c r="C742" s="552"/>
      <c r="D742" s="408"/>
      <c r="E742" s="408"/>
      <c r="F742" s="408"/>
      <c r="G742" s="408"/>
      <c r="H742" s="408"/>
      <c r="I742" s="408"/>
      <c r="J742" s="408"/>
      <c r="K742" s="408"/>
      <c r="L742" s="408"/>
      <c r="M742" s="408"/>
      <c r="N742" s="408"/>
      <c r="O742" s="408"/>
      <c r="P742" s="408"/>
      <c r="Q742" s="408"/>
      <c r="R742" s="408"/>
      <c r="S742" s="408"/>
      <c r="T742" s="408"/>
      <c r="U742" s="408"/>
      <c r="V742" s="408"/>
      <c r="W742" s="408"/>
      <c r="X742" s="408"/>
      <c r="Y742" s="408"/>
      <c r="Z742" s="408"/>
    </row>
    <row r="743" ht="14.25" customHeight="1">
      <c r="A743" s="408"/>
      <c r="B743" s="408"/>
      <c r="C743" s="552"/>
      <c r="D743" s="408"/>
      <c r="E743" s="408"/>
      <c r="F743" s="408"/>
      <c r="G743" s="408"/>
      <c r="H743" s="408"/>
      <c r="I743" s="408"/>
      <c r="J743" s="408"/>
      <c r="K743" s="408"/>
      <c r="L743" s="408"/>
      <c r="M743" s="408"/>
      <c r="N743" s="408"/>
      <c r="O743" s="408"/>
      <c r="P743" s="408"/>
      <c r="Q743" s="408"/>
      <c r="R743" s="408"/>
      <c r="S743" s="408"/>
      <c r="T743" s="408"/>
      <c r="U743" s="408"/>
      <c r="V743" s="408"/>
      <c r="W743" s="408"/>
      <c r="X743" s="408"/>
      <c r="Y743" s="408"/>
      <c r="Z743" s="408"/>
    </row>
    <row r="744" ht="14.25" customHeight="1">
      <c r="A744" s="408"/>
      <c r="B744" s="408"/>
      <c r="C744" s="552"/>
      <c r="D744" s="408"/>
      <c r="E744" s="408"/>
      <c r="F744" s="408"/>
      <c r="G744" s="408"/>
      <c r="H744" s="408"/>
      <c r="I744" s="408"/>
      <c r="J744" s="408"/>
      <c r="K744" s="408"/>
      <c r="L744" s="408"/>
      <c r="M744" s="408"/>
      <c r="N744" s="408"/>
      <c r="O744" s="408"/>
      <c r="P744" s="408"/>
      <c r="Q744" s="408"/>
      <c r="R744" s="408"/>
      <c r="S744" s="408"/>
      <c r="T744" s="408"/>
      <c r="U744" s="408"/>
      <c r="V744" s="408"/>
      <c r="W744" s="408"/>
      <c r="X744" s="408"/>
      <c r="Y744" s="408"/>
      <c r="Z744" s="408"/>
    </row>
    <row r="745" ht="14.25" customHeight="1">
      <c r="A745" s="408"/>
      <c r="B745" s="408"/>
      <c r="C745" s="552"/>
      <c r="D745" s="408"/>
      <c r="E745" s="408"/>
      <c r="F745" s="408"/>
      <c r="G745" s="408"/>
      <c r="H745" s="408"/>
      <c r="I745" s="408"/>
      <c r="J745" s="408"/>
      <c r="K745" s="408"/>
      <c r="L745" s="408"/>
      <c r="M745" s="408"/>
      <c r="N745" s="408"/>
      <c r="O745" s="408"/>
      <c r="P745" s="408"/>
      <c r="Q745" s="408"/>
      <c r="R745" s="408"/>
      <c r="S745" s="408"/>
      <c r="T745" s="408"/>
      <c r="U745" s="408"/>
      <c r="V745" s="408"/>
      <c r="W745" s="408"/>
      <c r="X745" s="408"/>
      <c r="Y745" s="408"/>
      <c r="Z745" s="408"/>
    </row>
    <row r="746" ht="14.25" customHeight="1">
      <c r="A746" s="408"/>
      <c r="B746" s="408"/>
      <c r="C746" s="552"/>
      <c r="D746" s="408"/>
      <c r="E746" s="408"/>
      <c r="F746" s="408"/>
      <c r="G746" s="408"/>
      <c r="H746" s="408"/>
      <c r="I746" s="408"/>
      <c r="J746" s="408"/>
      <c r="K746" s="408"/>
      <c r="L746" s="408"/>
      <c r="M746" s="408"/>
      <c r="N746" s="408"/>
      <c r="O746" s="408"/>
      <c r="P746" s="408"/>
      <c r="Q746" s="408"/>
      <c r="R746" s="408"/>
      <c r="S746" s="408"/>
      <c r="T746" s="408"/>
      <c r="U746" s="408"/>
      <c r="V746" s="408"/>
      <c r="W746" s="408"/>
      <c r="X746" s="408"/>
      <c r="Y746" s="408"/>
      <c r="Z746" s="408"/>
    </row>
    <row r="747" ht="14.25" customHeight="1">
      <c r="A747" s="408"/>
      <c r="B747" s="408"/>
      <c r="C747" s="552"/>
      <c r="D747" s="408"/>
      <c r="E747" s="408"/>
      <c r="F747" s="408"/>
      <c r="G747" s="408"/>
      <c r="H747" s="408"/>
      <c r="I747" s="408"/>
      <c r="J747" s="408"/>
      <c r="K747" s="408"/>
      <c r="L747" s="408"/>
      <c r="M747" s="408"/>
      <c r="N747" s="408"/>
      <c r="O747" s="408"/>
      <c r="P747" s="408"/>
      <c r="Q747" s="408"/>
      <c r="R747" s="408"/>
      <c r="S747" s="408"/>
      <c r="T747" s="408"/>
      <c r="U747" s="408"/>
      <c r="V747" s="408"/>
      <c r="W747" s="408"/>
      <c r="X747" s="408"/>
      <c r="Y747" s="408"/>
      <c r="Z747" s="408"/>
    </row>
    <row r="748" ht="14.25" customHeight="1">
      <c r="A748" s="408"/>
      <c r="B748" s="408"/>
      <c r="C748" s="552"/>
      <c r="D748" s="408"/>
      <c r="E748" s="408"/>
      <c r="F748" s="408"/>
      <c r="G748" s="408"/>
      <c r="H748" s="408"/>
      <c r="I748" s="408"/>
      <c r="J748" s="408"/>
      <c r="K748" s="408"/>
      <c r="L748" s="408"/>
      <c r="M748" s="408"/>
      <c r="N748" s="408"/>
      <c r="O748" s="408"/>
      <c r="P748" s="408"/>
      <c r="Q748" s="408"/>
      <c r="R748" s="408"/>
      <c r="S748" s="408"/>
      <c r="T748" s="408"/>
      <c r="U748" s="408"/>
      <c r="V748" s="408"/>
      <c r="W748" s="408"/>
      <c r="X748" s="408"/>
      <c r="Y748" s="408"/>
      <c r="Z748" s="408"/>
    </row>
    <row r="749" ht="14.25" customHeight="1">
      <c r="A749" s="408"/>
      <c r="B749" s="408"/>
      <c r="C749" s="552"/>
      <c r="D749" s="408"/>
      <c r="E749" s="408"/>
      <c r="F749" s="408"/>
      <c r="G749" s="408"/>
      <c r="H749" s="408"/>
      <c r="I749" s="408"/>
      <c r="J749" s="408"/>
      <c r="K749" s="408"/>
      <c r="L749" s="408"/>
      <c r="M749" s="408"/>
      <c r="N749" s="408"/>
      <c r="O749" s="408"/>
      <c r="P749" s="408"/>
      <c r="Q749" s="408"/>
      <c r="R749" s="408"/>
      <c r="S749" s="408"/>
      <c r="T749" s="408"/>
      <c r="U749" s="408"/>
      <c r="V749" s="408"/>
      <c r="W749" s="408"/>
      <c r="X749" s="408"/>
      <c r="Y749" s="408"/>
      <c r="Z749" s="408"/>
    </row>
    <row r="750" ht="14.25" customHeight="1">
      <c r="A750" s="408"/>
      <c r="B750" s="408"/>
      <c r="C750" s="552"/>
      <c r="D750" s="408"/>
      <c r="E750" s="408"/>
      <c r="F750" s="408"/>
      <c r="G750" s="408"/>
      <c r="H750" s="408"/>
      <c r="I750" s="408"/>
      <c r="J750" s="408"/>
      <c r="K750" s="408"/>
      <c r="L750" s="408"/>
      <c r="M750" s="408"/>
      <c r="N750" s="408"/>
      <c r="O750" s="408"/>
      <c r="P750" s="408"/>
      <c r="Q750" s="408"/>
      <c r="R750" s="408"/>
      <c r="S750" s="408"/>
      <c r="T750" s="408"/>
      <c r="U750" s="408"/>
      <c r="V750" s="408"/>
      <c r="W750" s="408"/>
      <c r="X750" s="408"/>
      <c r="Y750" s="408"/>
      <c r="Z750" s="408"/>
    </row>
    <row r="751" ht="14.25" customHeight="1">
      <c r="A751" s="408"/>
      <c r="B751" s="408"/>
      <c r="C751" s="552"/>
      <c r="D751" s="408"/>
      <c r="E751" s="408"/>
      <c r="F751" s="408"/>
      <c r="G751" s="408"/>
      <c r="H751" s="408"/>
      <c r="I751" s="408"/>
      <c r="J751" s="408"/>
      <c r="K751" s="408"/>
      <c r="L751" s="408"/>
      <c r="M751" s="408"/>
      <c r="N751" s="408"/>
      <c r="O751" s="408"/>
      <c r="P751" s="408"/>
      <c r="Q751" s="408"/>
      <c r="R751" s="408"/>
      <c r="S751" s="408"/>
      <c r="T751" s="408"/>
      <c r="U751" s="408"/>
      <c r="V751" s="408"/>
      <c r="W751" s="408"/>
      <c r="X751" s="408"/>
      <c r="Y751" s="408"/>
      <c r="Z751" s="408"/>
    </row>
    <row r="752" ht="14.25" customHeight="1">
      <c r="A752" s="408"/>
      <c r="B752" s="408"/>
      <c r="C752" s="552"/>
      <c r="D752" s="408"/>
      <c r="E752" s="408"/>
      <c r="F752" s="408"/>
      <c r="G752" s="408"/>
      <c r="H752" s="408"/>
      <c r="I752" s="408"/>
      <c r="J752" s="408"/>
      <c r="K752" s="408"/>
      <c r="L752" s="408"/>
      <c r="M752" s="408"/>
      <c r="N752" s="408"/>
      <c r="O752" s="408"/>
      <c r="P752" s="408"/>
      <c r="Q752" s="408"/>
      <c r="R752" s="408"/>
      <c r="S752" s="408"/>
      <c r="T752" s="408"/>
      <c r="U752" s="408"/>
      <c r="V752" s="408"/>
      <c r="W752" s="408"/>
      <c r="X752" s="408"/>
      <c r="Y752" s="408"/>
      <c r="Z752" s="408"/>
    </row>
    <row r="753" ht="14.25" customHeight="1">
      <c r="A753" s="408"/>
      <c r="B753" s="408"/>
      <c r="C753" s="552"/>
      <c r="D753" s="408"/>
      <c r="E753" s="408"/>
      <c r="F753" s="408"/>
      <c r="G753" s="408"/>
      <c r="H753" s="408"/>
      <c r="I753" s="408"/>
      <c r="J753" s="408"/>
      <c r="K753" s="408"/>
      <c r="L753" s="408"/>
      <c r="M753" s="408"/>
      <c r="N753" s="408"/>
      <c r="O753" s="408"/>
      <c r="P753" s="408"/>
      <c r="Q753" s="408"/>
      <c r="R753" s="408"/>
      <c r="S753" s="408"/>
      <c r="T753" s="408"/>
      <c r="U753" s="408"/>
      <c r="V753" s="408"/>
      <c r="W753" s="408"/>
      <c r="X753" s="408"/>
      <c r="Y753" s="408"/>
      <c r="Z753" s="408"/>
    </row>
    <row r="754" ht="14.25" customHeight="1">
      <c r="A754" s="408"/>
      <c r="B754" s="408"/>
      <c r="C754" s="552"/>
      <c r="D754" s="408"/>
      <c r="E754" s="408"/>
      <c r="F754" s="408"/>
      <c r="G754" s="408"/>
      <c r="H754" s="408"/>
      <c r="I754" s="408"/>
      <c r="J754" s="408"/>
      <c r="K754" s="408"/>
      <c r="L754" s="408"/>
      <c r="M754" s="408"/>
      <c r="N754" s="408"/>
      <c r="O754" s="408"/>
      <c r="P754" s="408"/>
      <c r="Q754" s="408"/>
      <c r="R754" s="408"/>
      <c r="S754" s="408"/>
      <c r="T754" s="408"/>
      <c r="U754" s="408"/>
      <c r="V754" s="408"/>
      <c r="W754" s="408"/>
      <c r="X754" s="408"/>
      <c r="Y754" s="408"/>
      <c r="Z754" s="408"/>
    </row>
    <row r="755" ht="14.25" customHeight="1">
      <c r="A755" s="408"/>
      <c r="B755" s="408"/>
      <c r="C755" s="552"/>
      <c r="D755" s="408"/>
      <c r="E755" s="408"/>
      <c r="F755" s="408"/>
      <c r="G755" s="408"/>
      <c r="H755" s="408"/>
      <c r="I755" s="408"/>
      <c r="J755" s="408"/>
      <c r="K755" s="408"/>
      <c r="L755" s="408"/>
      <c r="M755" s="408"/>
      <c r="N755" s="408"/>
      <c r="O755" s="408"/>
      <c r="P755" s="408"/>
      <c r="Q755" s="408"/>
      <c r="R755" s="408"/>
      <c r="S755" s="408"/>
      <c r="T755" s="408"/>
      <c r="U755" s="408"/>
      <c r="V755" s="408"/>
      <c r="W755" s="408"/>
      <c r="X755" s="408"/>
      <c r="Y755" s="408"/>
      <c r="Z755" s="408"/>
    </row>
    <row r="756" ht="14.25" customHeight="1">
      <c r="A756" s="408"/>
      <c r="B756" s="408"/>
      <c r="C756" s="552"/>
      <c r="D756" s="408"/>
      <c r="E756" s="408"/>
      <c r="F756" s="408"/>
      <c r="G756" s="408"/>
      <c r="H756" s="408"/>
      <c r="I756" s="408"/>
      <c r="J756" s="408"/>
      <c r="K756" s="408"/>
      <c r="L756" s="408"/>
      <c r="M756" s="408"/>
      <c r="N756" s="408"/>
      <c r="O756" s="408"/>
      <c r="P756" s="408"/>
      <c r="Q756" s="408"/>
      <c r="R756" s="408"/>
      <c r="S756" s="408"/>
      <c r="T756" s="408"/>
      <c r="U756" s="408"/>
      <c r="V756" s="408"/>
      <c r="W756" s="408"/>
      <c r="X756" s="408"/>
      <c r="Y756" s="408"/>
      <c r="Z756" s="408"/>
    </row>
    <row r="757" ht="14.25" customHeight="1">
      <c r="A757" s="408"/>
      <c r="B757" s="408"/>
      <c r="C757" s="552"/>
      <c r="D757" s="408"/>
      <c r="E757" s="408"/>
      <c r="F757" s="408"/>
      <c r="G757" s="408"/>
      <c r="H757" s="408"/>
      <c r="I757" s="408"/>
      <c r="J757" s="408"/>
      <c r="K757" s="408"/>
      <c r="L757" s="408"/>
      <c r="M757" s="408"/>
      <c r="N757" s="408"/>
      <c r="O757" s="408"/>
      <c r="P757" s="408"/>
      <c r="Q757" s="408"/>
      <c r="R757" s="408"/>
      <c r="S757" s="408"/>
      <c r="T757" s="408"/>
      <c r="U757" s="408"/>
      <c r="V757" s="408"/>
      <c r="W757" s="408"/>
      <c r="X757" s="408"/>
      <c r="Y757" s="408"/>
      <c r="Z757" s="408"/>
    </row>
    <row r="758" ht="14.25" customHeight="1">
      <c r="A758" s="408"/>
      <c r="B758" s="408"/>
      <c r="C758" s="552"/>
      <c r="D758" s="408"/>
      <c r="E758" s="408"/>
      <c r="F758" s="408"/>
      <c r="G758" s="408"/>
      <c r="H758" s="408"/>
      <c r="I758" s="408"/>
      <c r="J758" s="408"/>
      <c r="K758" s="408"/>
      <c r="L758" s="408"/>
      <c r="M758" s="408"/>
      <c r="N758" s="408"/>
      <c r="O758" s="408"/>
      <c r="P758" s="408"/>
      <c r="Q758" s="408"/>
      <c r="R758" s="408"/>
      <c r="S758" s="408"/>
      <c r="T758" s="408"/>
      <c r="U758" s="408"/>
      <c r="V758" s="408"/>
      <c r="W758" s="408"/>
      <c r="X758" s="408"/>
      <c r="Y758" s="408"/>
      <c r="Z758" s="408"/>
    </row>
    <row r="759" ht="14.25" customHeight="1">
      <c r="A759" s="408"/>
      <c r="B759" s="408"/>
      <c r="C759" s="552"/>
      <c r="D759" s="408"/>
      <c r="E759" s="408"/>
      <c r="F759" s="408"/>
      <c r="G759" s="408"/>
      <c r="H759" s="408"/>
      <c r="I759" s="408"/>
      <c r="J759" s="408"/>
      <c r="K759" s="408"/>
      <c r="L759" s="408"/>
      <c r="M759" s="408"/>
      <c r="N759" s="408"/>
      <c r="O759" s="408"/>
      <c r="P759" s="408"/>
      <c r="Q759" s="408"/>
      <c r="R759" s="408"/>
      <c r="S759" s="408"/>
      <c r="T759" s="408"/>
      <c r="U759" s="408"/>
      <c r="V759" s="408"/>
      <c r="W759" s="408"/>
      <c r="X759" s="408"/>
      <c r="Y759" s="408"/>
      <c r="Z759" s="408"/>
    </row>
    <row r="760" ht="14.25" customHeight="1">
      <c r="A760" s="408"/>
      <c r="B760" s="408"/>
      <c r="C760" s="552"/>
      <c r="D760" s="408"/>
      <c r="E760" s="408"/>
      <c r="F760" s="408"/>
      <c r="G760" s="408"/>
      <c r="H760" s="408"/>
      <c r="I760" s="408"/>
      <c r="J760" s="408"/>
      <c r="K760" s="408"/>
      <c r="L760" s="408"/>
      <c r="M760" s="408"/>
      <c r="N760" s="408"/>
      <c r="O760" s="408"/>
      <c r="P760" s="408"/>
      <c r="Q760" s="408"/>
      <c r="R760" s="408"/>
      <c r="S760" s="408"/>
      <c r="T760" s="408"/>
      <c r="U760" s="408"/>
      <c r="V760" s="408"/>
      <c r="W760" s="408"/>
      <c r="X760" s="408"/>
      <c r="Y760" s="408"/>
      <c r="Z760" s="408"/>
    </row>
    <row r="761" ht="14.25" customHeight="1">
      <c r="A761" s="408"/>
      <c r="B761" s="408"/>
      <c r="C761" s="552"/>
      <c r="D761" s="408"/>
      <c r="E761" s="408"/>
      <c r="F761" s="408"/>
      <c r="G761" s="408"/>
      <c r="H761" s="408"/>
      <c r="I761" s="408"/>
      <c r="J761" s="408"/>
      <c r="K761" s="408"/>
      <c r="L761" s="408"/>
      <c r="M761" s="408"/>
      <c r="N761" s="408"/>
      <c r="O761" s="408"/>
      <c r="P761" s="408"/>
      <c r="Q761" s="408"/>
      <c r="R761" s="408"/>
      <c r="S761" s="408"/>
      <c r="T761" s="408"/>
      <c r="U761" s="408"/>
      <c r="V761" s="408"/>
      <c r="W761" s="408"/>
      <c r="X761" s="408"/>
      <c r="Y761" s="408"/>
      <c r="Z761" s="408"/>
    </row>
    <row r="762" ht="14.25" customHeight="1">
      <c r="A762" s="408"/>
      <c r="B762" s="408"/>
      <c r="C762" s="552"/>
      <c r="D762" s="408"/>
      <c r="E762" s="408"/>
      <c r="F762" s="408"/>
      <c r="G762" s="408"/>
      <c r="H762" s="408"/>
      <c r="I762" s="408"/>
      <c r="J762" s="408"/>
      <c r="K762" s="408"/>
      <c r="L762" s="408"/>
      <c r="M762" s="408"/>
      <c r="N762" s="408"/>
      <c r="O762" s="408"/>
      <c r="P762" s="408"/>
      <c r="Q762" s="408"/>
      <c r="R762" s="408"/>
      <c r="S762" s="408"/>
      <c r="T762" s="408"/>
      <c r="U762" s="408"/>
      <c r="V762" s="408"/>
      <c r="W762" s="408"/>
      <c r="X762" s="408"/>
      <c r="Y762" s="408"/>
      <c r="Z762" s="408"/>
    </row>
    <row r="763" ht="14.25" customHeight="1">
      <c r="A763" s="408"/>
      <c r="B763" s="408"/>
      <c r="C763" s="552"/>
      <c r="D763" s="408"/>
      <c r="E763" s="408"/>
      <c r="F763" s="408"/>
      <c r="G763" s="408"/>
      <c r="H763" s="408"/>
      <c r="I763" s="408"/>
      <c r="J763" s="408"/>
      <c r="K763" s="408"/>
      <c r="L763" s="408"/>
      <c r="M763" s="408"/>
      <c r="N763" s="408"/>
      <c r="O763" s="408"/>
      <c r="P763" s="408"/>
      <c r="Q763" s="408"/>
      <c r="R763" s="408"/>
      <c r="S763" s="408"/>
      <c r="T763" s="408"/>
      <c r="U763" s="408"/>
      <c r="V763" s="408"/>
      <c r="W763" s="408"/>
      <c r="X763" s="408"/>
      <c r="Y763" s="408"/>
      <c r="Z763" s="408"/>
    </row>
    <row r="764" ht="14.25" customHeight="1">
      <c r="A764" s="408"/>
      <c r="B764" s="408"/>
      <c r="C764" s="552"/>
      <c r="D764" s="408"/>
      <c r="E764" s="408"/>
      <c r="F764" s="408"/>
      <c r="G764" s="408"/>
      <c r="H764" s="408"/>
      <c r="I764" s="408"/>
      <c r="J764" s="408"/>
      <c r="K764" s="408"/>
      <c r="L764" s="408"/>
      <c r="M764" s="408"/>
      <c r="N764" s="408"/>
      <c r="O764" s="408"/>
      <c r="P764" s="408"/>
      <c r="Q764" s="408"/>
      <c r="R764" s="408"/>
      <c r="S764" s="408"/>
      <c r="T764" s="408"/>
      <c r="U764" s="408"/>
      <c r="V764" s="408"/>
      <c r="W764" s="408"/>
      <c r="X764" s="408"/>
      <c r="Y764" s="408"/>
      <c r="Z764" s="408"/>
    </row>
    <row r="765" ht="14.25" customHeight="1">
      <c r="A765" s="408"/>
      <c r="B765" s="408"/>
      <c r="C765" s="552"/>
      <c r="D765" s="408"/>
      <c r="E765" s="408"/>
      <c r="F765" s="408"/>
      <c r="G765" s="408"/>
      <c r="H765" s="408"/>
      <c r="I765" s="408"/>
      <c r="J765" s="408"/>
      <c r="K765" s="408"/>
      <c r="L765" s="408"/>
      <c r="M765" s="408"/>
      <c r="N765" s="408"/>
      <c r="O765" s="408"/>
      <c r="P765" s="408"/>
      <c r="Q765" s="408"/>
      <c r="R765" s="408"/>
      <c r="S765" s="408"/>
      <c r="T765" s="408"/>
      <c r="U765" s="408"/>
      <c r="V765" s="408"/>
      <c r="W765" s="408"/>
      <c r="X765" s="408"/>
      <c r="Y765" s="408"/>
      <c r="Z765" s="408"/>
    </row>
    <row r="766" ht="14.25" customHeight="1">
      <c r="A766" s="408"/>
      <c r="B766" s="408"/>
      <c r="C766" s="552"/>
      <c r="D766" s="408"/>
      <c r="E766" s="408"/>
      <c r="F766" s="408"/>
      <c r="G766" s="408"/>
      <c r="H766" s="408"/>
      <c r="I766" s="408"/>
      <c r="J766" s="408"/>
      <c r="K766" s="408"/>
      <c r="L766" s="408"/>
      <c r="M766" s="408"/>
      <c r="N766" s="408"/>
      <c r="O766" s="408"/>
      <c r="P766" s="408"/>
      <c r="Q766" s="408"/>
      <c r="R766" s="408"/>
      <c r="S766" s="408"/>
      <c r="T766" s="408"/>
      <c r="U766" s="408"/>
      <c r="V766" s="408"/>
      <c r="W766" s="408"/>
      <c r="X766" s="408"/>
      <c r="Y766" s="408"/>
      <c r="Z766" s="408"/>
    </row>
    <row r="767" ht="14.25" customHeight="1">
      <c r="A767" s="408"/>
      <c r="B767" s="408"/>
      <c r="C767" s="552"/>
      <c r="D767" s="408"/>
      <c r="E767" s="408"/>
      <c r="F767" s="408"/>
      <c r="G767" s="408"/>
      <c r="H767" s="408"/>
      <c r="I767" s="408"/>
      <c r="J767" s="408"/>
      <c r="K767" s="408"/>
      <c r="L767" s="408"/>
      <c r="M767" s="408"/>
      <c r="N767" s="408"/>
      <c r="O767" s="408"/>
      <c r="P767" s="408"/>
      <c r="Q767" s="408"/>
      <c r="R767" s="408"/>
      <c r="S767" s="408"/>
      <c r="T767" s="408"/>
      <c r="U767" s="408"/>
      <c r="V767" s="408"/>
      <c r="W767" s="408"/>
      <c r="X767" s="408"/>
      <c r="Y767" s="408"/>
      <c r="Z767" s="408"/>
    </row>
    <row r="768" ht="14.25" customHeight="1">
      <c r="A768" s="408"/>
      <c r="B768" s="408"/>
      <c r="C768" s="552"/>
      <c r="D768" s="408"/>
      <c r="E768" s="408"/>
      <c r="F768" s="408"/>
      <c r="G768" s="408"/>
      <c r="H768" s="408"/>
      <c r="I768" s="408"/>
      <c r="J768" s="408"/>
      <c r="K768" s="408"/>
      <c r="L768" s="408"/>
      <c r="M768" s="408"/>
      <c r="N768" s="408"/>
      <c r="O768" s="408"/>
      <c r="P768" s="408"/>
      <c r="Q768" s="408"/>
      <c r="R768" s="408"/>
      <c r="S768" s="408"/>
      <c r="T768" s="408"/>
      <c r="U768" s="408"/>
      <c r="V768" s="408"/>
      <c r="W768" s="408"/>
      <c r="X768" s="408"/>
      <c r="Y768" s="408"/>
      <c r="Z768" s="408"/>
    </row>
    <row r="769" ht="14.25" customHeight="1">
      <c r="A769" s="408"/>
      <c r="B769" s="408"/>
      <c r="C769" s="552"/>
      <c r="D769" s="408"/>
      <c r="E769" s="408"/>
      <c r="F769" s="408"/>
      <c r="G769" s="408"/>
      <c r="H769" s="408"/>
      <c r="I769" s="408"/>
      <c r="J769" s="408"/>
      <c r="K769" s="408"/>
      <c r="L769" s="408"/>
      <c r="M769" s="408"/>
      <c r="N769" s="408"/>
      <c r="O769" s="408"/>
      <c r="P769" s="408"/>
      <c r="Q769" s="408"/>
      <c r="R769" s="408"/>
      <c r="S769" s="408"/>
      <c r="T769" s="408"/>
      <c r="U769" s="408"/>
      <c r="V769" s="408"/>
      <c r="W769" s="408"/>
      <c r="X769" s="408"/>
      <c r="Y769" s="408"/>
      <c r="Z769" s="408"/>
    </row>
    <row r="770" ht="14.25" customHeight="1">
      <c r="A770" s="408"/>
      <c r="B770" s="408"/>
      <c r="C770" s="552"/>
      <c r="D770" s="408"/>
      <c r="E770" s="408"/>
      <c r="F770" s="408"/>
      <c r="G770" s="408"/>
      <c r="H770" s="408"/>
      <c r="I770" s="408"/>
      <c r="J770" s="408"/>
      <c r="K770" s="408"/>
      <c r="L770" s="408"/>
      <c r="M770" s="408"/>
      <c r="N770" s="408"/>
      <c r="O770" s="408"/>
      <c r="P770" s="408"/>
      <c r="Q770" s="408"/>
      <c r="R770" s="408"/>
      <c r="S770" s="408"/>
      <c r="T770" s="408"/>
      <c r="U770" s="408"/>
      <c r="V770" s="408"/>
      <c r="W770" s="408"/>
      <c r="X770" s="408"/>
      <c r="Y770" s="408"/>
      <c r="Z770" s="408"/>
    </row>
    <row r="771" ht="14.25" customHeight="1">
      <c r="A771" s="408"/>
      <c r="B771" s="408"/>
      <c r="C771" s="552"/>
      <c r="D771" s="408"/>
      <c r="E771" s="408"/>
      <c r="F771" s="408"/>
      <c r="G771" s="408"/>
      <c r="H771" s="408"/>
      <c r="I771" s="408"/>
      <c r="J771" s="408"/>
      <c r="K771" s="408"/>
      <c r="L771" s="408"/>
      <c r="M771" s="408"/>
      <c r="N771" s="408"/>
      <c r="O771" s="408"/>
      <c r="P771" s="408"/>
      <c r="Q771" s="408"/>
      <c r="R771" s="408"/>
      <c r="S771" s="408"/>
      <c r="T771" s="408"/>
      <c r="U771" s="408"/>
      <c r="V771" s="408"/>
      <c r="W771" s="408"/>
      <c r="X771" s="408"/>
      <c r="Y771" s="408"/>
      <c r="Z771" s="408"/>
    </row>
    <row r="772" ht="14.25" customHeight="1">
      <c r="A772" s="408"/>
      <c r="B772" s="408"/>
      <c r="C772" s="552"/>
      <c r="D772" s="408"/>
      <c r="E772" s="408"/>
      <c r="F772" s="408"/>
      <c r="G772" s="408"/>
      <c r="H772" s="408"/>
      <c r="I772" s="408"/>
      <c r="J772" s="408"/>
      <c r="K772" s="408"/>
      <c r="L772" s="408"/>
      <c r="M772" s="408"/>
      <c r="N772" s="408"/>
      <c r="O772" s="408"/>
      <c r="P772" s="408"/>
      <c r="Q772" s="408"/>
      <c r="R772" s="408"/>
      <c r="S772" s="408"/>
      <c r="T772" s="408"/>
      <c r="U772" s="408"/>
      <c r="V772" s="408"/>
      <c r="W772" s="408"/>
      <c r="X772" s="408"/>
      <c r="Y772" s="408"/>
      <c r="Z772" s="408"/>
    </row>
    <row r="773" ht="14.25" customHeight="1">
      <c r="A773" s="408"/>
      <c r="B773" s="408"/>
      <c r="C773" s="552"/>
      <c r="D773" s="408"/>
      <c r="E773" s="408"/>
      <c r="F773" s="408"/>
      <c r="G773" s="408"/>
      <c r="H773" s="408"/>
      <c r="I773" s="408"/>
      <c r="J773" s="408"/>
      <c r="K773" s="408"/>
      <c r="L773" s="408"/>
      <c r="M773" s="408"/>
      <c r="N773" s="408"/>
      <c r="O773" s="408"/>
      <c r="P773" s="408"/>
      <c r="Q773" s="408"/>
      <c r="R773" s="408"/>
      <c r="S773" s="408"/>
      <c r="T773" s="408"/>
      <c r="U773" s="408"/>
      <c r="V773" s="408"/>
      <c r="W773" s="408"/>
      <c r="X773" s="408"/>
      <c r="Y773" s="408"/>
      <c r="Z773" s="408"/>
    </row>
    <row r="774" ht="14.25" customHeight="1">
      <c r="A774" s="408"/>
      <c r="B774" s="408"/>
      <c r="C774" s="552"/>
      <c r="D774" s="408"/>
      <c r="E774" s="408"/>
      <c r="F774" s="408"/>
      <c r="G774" s="408"/>
      <c r="H774" s="408"/>
      <c r="I774" s="408"/>
      <c r="J774" s="408"/>
      <c r="K774" s="408"/>
      <c r="L774" s="408"/>
      <c r="M774" s="408"/>
      <c r="N774" s="408"/>
      <c r="O774" s="408"/>
      <c r="P774" s="408"/>
      <c r="Q774" s="408"/>
      <c r="R774" s="408"/>
      <c r="S774" s="408"/>
      <c r="T774" s="408"/>
      <c r="U774" s="408"/>
      <c r="V774" s="408"/>
      <c r="W774" s="408"/>
      <c r="X774" s="408"/>
      <c r="Y774" s="408"/>
      <c r="Z774" s="408"/>
    </row>
    <row r="775" ht="14.25" customHeight="1">
      <c r="A775" s="408"/>
      <c r="B775" s="408"/>
      <c r="C775" s="552"/>
      <c r="D775" s="408"/>
      <c r="E775" s="408"/>
      <c r="F775" s="408"/>
      <c r="G775" s="408"/>
      <c r="H775" s="408"/>
      <c r="I775" s="408"/>
      <c r="J775" s="408"/>
      <c r="K775" s="408"/>
      <c r="L775" s="408"/>
      <c r="M775" s="408"/>
      <c r="N775" s="408"/>
      <c r="O775" s="408"/>
      <c r="P775" s="408"/>
      <c r="Q775" s="408"/>
      <c r="R775" s="408"/>
      <c r="S775" s="408"/>
      <c r="T775" s="408"/>
      <c r="U775" s="408"/>
      <c r="V775" s="408"/>
      <c r="W775" s="408"/>
      <c r="X775" s="408"/>
      <c r="Y775" s="408"/>
      <c r="Z775" s="408"/>
    </row>
    <row r="776" ht="14.25" customHeight="1">
      <c r="A776" s="408"/>
      <c r="B776" s="408"/>
      <c r="C776" s="552"/>
      <c r="D776" s="408"/>
      <c r="E776" s="408"/>
      <c r="F776" s="408"/>
      <c r="G776" s="408"/>
      <c r="H776" s="408"/>
      <c r="I776" s="408"/>
      <c r="J776" s="408"/>
      <c r="K776" s="408"/>
      <c r="L776" s="408"/>
      <c r="M776" s="408"/>
      <c r="N776" s="408"/>
      <c r="O776" s="408"/>
      <c r="P776" s="408"/>
      <c r="Q776" s="408"/>
      <c r="R776" s="408"/>
      <c r="S776" s="408"/>
      <c r="T776" s="408"/>
      <c r="U776" s="408"/>
      <c r="V776" s="408"/>
      <c r="W776" s="408"/>
      <c r="X776" s="408"/>
      <c r="Y776" s="408"/>
      <c r="Z776" s="408"/>
    </row>
    <row r="777" ht="14.25" customHeight="1">
      <c r="A777" s="408"/>
      <c r="B777" s="408"/>
      <c r="C777" s="552"/>
      <c r="D777" s="408"/>
      <c r="E777" s="408"/>
      <c r="F777" s="408"/>
      <c r="G777" s="408"/>
      <c r="H777" s="408"/>
      <c r="I777" s="408"/>
      <c r="J777" s="408"/>
      <c r="K777" s="408"/>
      <c r="L777" s="408"/>
      <c r="M777" s="408"/>
      <c r="N777" s="408"/>
      <c r="O777" s="408"/>
      <c r="P777" s="408"/>
      <c r="Q777" s="408"/>
      <c r="R777" s="408"/>
      <c r="S777" s="408"/>
      <c r="T777" s="408"/>
      <c r="U777" s="408"/>
      <c r="V777" s="408"/>
      <c r="W777" s="408"/>
      <c r="X777" s="408"/>
      <c r="Y777" s="408"/>
      <c r="Z777" s="408"/>
    </row>
    <row r="778" ht="14.25" customHeight="1">
      <c r="A778" s="408"/>
      <c r="B778" s="408"/>
      <c r="C778" s="552"/>
      <c r="D778" s="408"/>
      <c r="E778" s="408"/>
      <c r="F778" s="408"/>
      <c r="G778" s="408"/>
      <c r="H778" s="408"/>
      <c r="I778" s="408"/>
      <c r="J778" s="408"/>
      <c r="K778" s="408"/>
      <c r="L778" s="408"/>
      <c r="M778" s="408"/>
      <c r="N778" s="408"/>
      <c r="O778" s="408"/>
      <c r="P778" s="408"/>
      <c r="Q778" s="408"/>
      <c r="R778" s="408"/>
      <c r="S778" s="408"/>
      <c r="T778" s="408"/>
      <c r="U778" s="408"/>
      <c r="V778" s="408"/>
      <c r="W778" s="408"/>
      <c r="X778" s="408"/>
      <c r="Y778" s="408"/>
      <c r="Z778" s="408"/>
    </row>
    <row r="779" ht="14.25" customHeight="1">
      <c r="A779" s="408"/>
      <c r="B779" s="408"/>
      <c r="C779" s="552"/>
      <c r="D779" s="408"/>
      <c r="E779" s="408"/>
      <c r="F779" s="408"/>
      <c r="G779" s="408"/>
      <c r="H779" s="408"/>
      <c r="I779" s="408"/>
      <c r="J779" s="408"/>
      <c r="K779" s="408"/>
      <c r="L779" s="408"/>
      <c r="M779" s="408"/>
      <c r="N779" s="408"/>
      <c r="O779" s="408"/>
      <c r="P779" s="408"/>
      <c r="Q779" s="408"/>
      <c r="R779" s="408"/>
      <c r="S779" s="408"/>
      <c r="T779" s="408"/>
      <c r="U779" s="408"/>
      <c r="V779" s="408"/>
      <c r="W779" s="408"/>
      <c r="X779" s="408"/>
      <c r="Y779" s="408"/>
      <c r="Z779" s="408"/>
    </row>
    <row r="780" ht="14.25" customHeight="1">
      <c r="A780" s="408"/>
      <c r="B780" s="408"/>
      <c r="C780" s="552"/>
      <c r="D780" s="408"/>
      <c r="E780" s="408"/>
      <c r="F780" s="408"/>
      <c r="G780" s="408"/>
      <c r="H780" s="408"/>
      <c r="I780" s="408"/>
      <c r="J780" s="408"/>
      <c r="K780" s="408"/>
      <c r="L780" s="408"/>
      <c r="M780" s="408"/>
      <c r="N780" s="408"/>
      <c r="O780" s="408"/>
      <c r="P780" s="408"/>
      <c r="Q780" s="408"/>
      <c r="R780" s="408"/>
      <c r="S780" s="408"/>
      <c r="T780" s="408"/>
      <c r="U780" s="408"/>
      <c r="V780" s="408"/>
      <c r="W780" s="408"/>
      <c r="X780" s="408"/>
      <c r="Y780" s="408"/>
      <c r="Z780" s="408"/>
    </row>
    <row r="781" ht="14.25" customHeight="1">
      <c r="A781" s="408"/>
      <c r="B781" s="408"/>
      <c r="C781" s="552"/>
      <c r="D781" s="408"/>
      <c r="E781" s="408"/>
      <c r="F781" s="408"/>
      <c r="G781" s="408"/>
      <c r="H781" s="408"/>
      <c r="I781" s="408"/>
      <c r="J781" s="408"/>
      <c r="K781" s="408"/>
      <c r="L781" s="408"/>
      <c r="M781" s="408"/>
      <c r="N781" s="408"/>
      <c r="O781" s="408"/>
      <c r="P781" s="408"/>
      <c r="Q781" s="408"/>
      <c r="R781" s="408"/>
      <c r="S781" s="408"/>
      <c r="T781" s="408"/>
      <c r="U781" s="408"/>
      <c r="V781" s="408"/>
      <c r="W781" s="408"/>
      <c r="X781" s="408"/>
      <c r="Y781" s="408"/>
      <c r="Z781" s="408"/>
    </row>
    <row r="782" ht="14.25" customHeight="1">
      <c r="A782" s="408"/>
      <c r="B782" s="408"/>
      <c r="C782" s="552"/>
      <c r="D782" s="408"/>
      <c r="E782" s="408"/>
      <c r="F782" s="408"/>
      <c r="G782" s="408"/>
      <c r="H782" s="408"/>
      <c r="I782" s="408"/>
      <c r="J782" s="408"/>
      <c r="K782" s="408"/>
      <c r="L782" s="408"/>
      <c r="M782" s="408"/>
      <c r="N782" s="408"/>
      <c r="O782" s="408"/>
      <c r="P782" s="408"/>
      <c r="Q782" s="408"/>
      <c r="R782" s="408"/>
      <c r="S782" s="408"/>
      <c r="T782" s="408"/>
      <c r="U782" s="408"/>
      <c r="V782" s="408"/>
      <c r="W782" s="408"/>
      <c r="X782" s="408"/>
      <c r="Y782" s="408"/>
      <c r="Z782" s="408"/>
    </row>
    <row r="783" ht="14.25" customHeight="1">
      <c r="A783" s="408"/>
      <c r="B783" s="408"/>
      <c r="C783" s="552"/>
      <c r="D783" s="408"/>
      <c r="E783" s="408"/>
      <c r="F783" s="408"/>
      <c r="G783" s="408"/>
      <c r="H783" s="408"/>
      <c r="I783" s="408"/>
      <c r="J783" s="408"/>
      <c r="K783" s="408"/>
      <c r="L783" s="408"/>
      <c r="M783" s="408"/>
      <c r="N783" s="408"/>
      <c r="O783" s="408"/>
      <c r="P783" s="408"/>
      <c r="Q783" s="408"/>
      <c r="R783" s="408"/>
      <c r="S783" s="408"/>
      <c r="T783" s="408"/>
      <c r="U783" s="408"/>
      <c r="V783" s="408"/>
      <c r="W783" s="408"/>
      <c r="X783" s="408"/>
      <c r="Y783" s="408"/>
      <c r="Z783" s="408"/>
    </row>
    <row r="784" ht="14.25" customHeight="1">
      <c r="A784" s="408"/>
      <c r="B784" s="408"/>
      <c r="C784" s="552"/>
      <c r="D784" s="408"/>
      <c r="E784" s="408"/>
      <c r="F784" s="408"/>
      <c r="G784" s="408"/>
      <c r="H784" s="408"/>
      <c r="I784" s="408"/>
      <c r="J784" s="408"/>
      <c r="K784" s="408"/>
      <c r="L784" s="408"/>
      <c r="M784" s="408"/>
      <c r="N784" s="408"/>
      <c r="O784" s="408"/>
      <c r="P784" s="408"/>
      <c r="Q784" s="408"/>
      <c r="R784" s="408"/>
      <c r="S784" s="408"/>
      <c r="T784" s="408"/>
      <c r="U784" s="408"/>
      <c r="V784" s="408"/>
      <c r="W784" s="408"/>
      <c r="X784" s="408"/>
      <c r="Y784" s="408"/>
      <c r="Z784" s="408"/>
    </row>
    <row r="785" ht="14.25" customHeight="1">
      <c r="A785" s="408"/>
      <c r="B785" s="408"/>
      <c r="C785" s="552"/>
      <c r="D785" s="408"/>
      <c r="E785" s="408"/>
      <c r="F785" s="408"/>
      <c r="G785" s="408"/>
      <c r="H785" s="408"/>
      <c r="I785" s="408"/>
      <c r="J785" s="408"/>
      <c r="K785" s="408"/>
      <c r="L785" s="408"/>
      <c r="M785" s="408"/>
      <c r="N785" s="408"/>
      <c r="O785" s="408"/>
      <c r="P785" s="408"/>
      <c r="Q785" s="408"/>
      <c r="R785" s="408"/>
      <c r="S785" s="408"/>
      <c r="T785" s="408"/>
      <c r="U785" s="408"/>
      <c r="V785" s="408"/>
      <c r="W785" s="408"/>
      <c r="X785" s="408"/>
      <c r="Y785" s="408"/>
      <c r="Z785" s="408"/>
    </row>
    <row r="786" ht="14.25" customHeight="1">
      <c r="A786" s="408"/>
      <c r="B786" s="408"/>
      <c r="C786" s="552"/>
      <c r="D786" s="408"/>
      <c r="E786" s="408"/>
      <c r="F786" s="408"/>
      <c r="G786" s="408"/>
      <c r="H786" s="408"/>
      <c r="I786" s="408"/>
      <c r="J786" s="408"/>
      <c r="K786" s="408"/>
      <c r="L786" s="408"/>
      <c r="M786" s="408"/>
      <c r="N786" s="408"/>
      <c r="O786" s="408"/>
      <c r="P786" s="408"/>
      <c r="Q786" s="408"/>
      <c r="R786" s="408"/>
      <c r="S786" s="408"/>
      <c r="T786" s="408"/>
      <c r="U786" s="408"/>
      <c r="V786" s="408"/>
      <c r="W786" s="408"/>
      <c r="X786" s="408"/>
      <c r="Y786" s="408"/>
      <c r="Z786" s="408"/>
    </row>
    <row r="787" ht="14.25" customHeight="1">
      <c r="A787" s="408"/>
      <c r="B787" s="408"/>
      <c r="C787" s="552"/>
      <c r="D787" s="408"/>
      <c r="E787" s="408"/>
      <c r="F787" s="408"/>
      <c r="G787" s="408"/>
      <c r="H787" s="408"/>
      <c r="I787" s="408"/>
      <c r="J787" s="408"/>
      <c r="K787" s="408"/>
      <c r="L787" s="408"/>
      <c r="M787" s="408"/>
      <c r="N787" s="408"/>
      <c r="O787" s="408"/>
      <c r="P787" s="408"/>
      <c r="Q787" s="408"/>
      <c r="R787" s="408"/>
      <c r="S787" s="408"/>
      <c r="T787" s="408"/>
      <c r="U787" s="408"/>
      <c r="V787" s="408"/>
      <c r="W787" s="408"/>
      <c r="X787" s="408"/>
      <c r="Y787" s="408"/>
      <c r="Z787" s="408"/>
    </row>
    <row r="788" ht="14.25" customHeight="1">
      <c r="A788" s="408"/>
      <c r="B788" s="408"/>
      <c r="C788" s="552"/>
      <c r="D788" s="408"/>
      <c r="E788" s="408"/>
      <c r="F788" s="408"/>
      <c r="G788" s="408"/>
      <c r="H788" s="408"/>
      <c r="I788" s="408"/>
      <c r="J788" s="408"/>
      <c r="K788" s="408"/>
      <c r="L788" s="408"/>
      <c r="M788" s="408"/>
      <c r="N788" s="408"/>
      <c r="O788" s="408"/>
      <c r="P788" s="408"/>
      <c r="Q788" s="408"/>
      <c r="R788" s="408"/>
      <c r="S788" s="408"/>
      <c r="T788" s="408"/>
      <c r="U788" s="408"/>
      <c r="V788" s="408"/>
      <c r="W788" s="408"/>
      <c r="X788" s="408"/>
      <c r="Y788" s="408"/>
      <c r="Z788" s="408"/>
    </row>
    <row r="789" ht="14.25" customHeight="1">
      <c r="A789" s="408"/>
      <c r="B789" s="408"/>
      <c r="C789" s="552"/>
      <c r="D789" s="408"/>
      <c r="E789" s="408"/>
      <c r="F789" s="408"/>
      <c r="G789" s="408"/>
      <c r="H789" s="408"/>
      <c r="I789" s="408"/>
      <c r="J789" s="408"/>
      <c r="K789" s="408"/>
      <c r="L789" s="408"/>
      <c r="M789" s="408"/>
      <c r="N789" s="408"/>
      <c r="O789" s="408"/>
      <c r="P789" s="408"/>
      <c r="Q789" s="408"/>
      <c r="R789" s="408"/>
      <c r="S789" s="408"/>
      <c r="T789" s="408"/>
      <c r="U789" s="408"/>
      <c r="V789" s="408"/>
      <c r="W789" s="408"/>
      <c r="X789" s="408"/>
      <c r="Y789" s="408"/>
      <c r="Z789" s="408"/>
    </row>
    <row r="790" ht="14.25" customHeight="1">
      <c r="A790" s="408"/>
      <c r="B790" s="408"/>
      <c r="C790" s="552"/>
      <c r="D790" s="408"/>
      <c r="E790" s="408"/>
      <c r="F790" s="408"/>
      <c r="G790" s="408"/>
      <c r="H790" s="408"/>
      <c r="I790" s="408"/>
      <c r="J790" s="408"/>
      <c r="K790" s="408"/>
      <c r="L790" s="408"/>
      <c r="M790" s="408"/>
      <c r="N790" s="408"/>
      <c r="O790" s="408"/>
      <c r="P790" s="408"/>
      <c r="Q790" s="408"/>
      <c r="R790" s="408"/>
      <c r="S790" s="408"/>
      <c r="T790" s="408"/>
      <c r="U790" s="408"/>
      <c r="V790" s="408"/>
      <c r="W790" s="408"/>
      <c r="X790" s="408"/>
      <c r="Y790" s="408"/>
      <c r="Z790" s="408"/>
    </row>
    <row r="791" ht="14.25" customHeight="1">
      <c r="A791" s="408"/>
      <c r="B791" s="408"/>
      <c r="C791" s="552"/>
      <c r="D791" s="408"/>
      <c r="E791" s="408"/>
      <c r="F791" s="408"/>
      <c r="G791" s="408"/>
      <c r="H791" s="408"/>
      <c r="I791" s="408"/>
      <c r="J791" s="408"/>
      <c r="K791" s="408"/>
      <c r="L791" s="408"/>
      <c r="M791" s="408"/>
      <c r="N791" s="408"/>
      <c r="O791" s="408"/>
      <c r="P791" s="408"/>
      <c r="Q791" s="408"/>
      <c r="R791" s="408"/>
      <c r="S791" s="408"/>
      <c r="T791" s="408"/>
      <c r="U791" s="408"/>
      <c r="V791" s="408"/>
      <c r="W791" s="408"/>
      <c r="X791" s="408"/>
      <c r="Y791" s="408"/>
      <c r="Z791" s="408"/>
    </row>
    <row r="792" ht="14.25" customHeight="1">
      <c r="A792" s="408"/>
      <c r="B792" s="408"/>
      <c r="C792" s="552"/>
      <c r="D792" s="408"/>
      <c r="E792" s="408"/>
      <c r="F792" s="408"/>
      <c r="G792" s="408"/>
      <c r="H792" s="408"/>
      <c r="I792" s="408"/>
      <c r="J792" s="408"/>
      <c r="K792" s="408"/>
      <c r="L792" s="408"/>
      <c r="M792" s="408"/>
      <c r="N792" s="408"/>
      <c r="O792" s="408"/>
      <c r="P792" s="408"/>
      <c r="Q792" s="408"/>
      <c r="R792" s="408"/>
      <c r="S792" s="408"/>
      <c r="T792" s="408"/>
      <c r="U792" s="408"/>
      <c r="V792" s="408"/>
      <c r="W792" s="408"/>
      <c r="X792" s="408"/>
      <c r="Y792" s="408"/>
      <c r="Z792" s="408"/>
    </row>
    <row r="793" ht="14.25" customHeight="1">
      <c r="A793" s="408"/>
      <c r="B793" s="408"/>
      <c r="C793" s="552"/>
      <c r="D793" s="408"/>
      <c r="E793" s="408"/>
      <c r="F793" s="408"/>
      <c r="G793" s="408"/>
      <c r="H793" s="408"/>
      <c r="I793" s="408"/>
      <c r="J793" s="408"/>
      <c r="K793" s="408"/>
      <c r="L793" s="408"/>
      <c r="M793" s="408"/>
      <c r="N793" s="408"/>
      <c r="O793" s="408"/>
      <c r="P793" s="408"/>
      <c r="Q793" s="408"/>
      <c r="R793" s="408"/>
      <c r="S793" s="408"/>
      <c r="T793" s="408"/>
      <c r="U793" s="408"/>
      <c r="V793" s="408"/>
      <c r="W793" s="408"/>
      <c r="X793" s="408"/>
      <c r="Y793" s="408"/>
      <c r="Z793" s="408"/>
    </row>
    <row r="794" ht="14.25" customHeight="1">
      <c r="A794" s="408"/>
      <c r="B794" s="408"/>
      <c r="C794" s="552"/>
      <c r="D794" s="408"/>
      <c r="E794" s="408"/>
      <c r="F794" s="408"/>
      <c r="G794" s="408"/>
      <c r="H794" s="408"/>
      <c r="I794" s="408"/>
      <c r="J794" s="408"/>
      <c r="K794" s="408"/>
      <c r="L794" s="408"/>
      <c r="M794" s="408"/>
      <c r="N794" s="408"/>
      <c r="O794" s="408"/>
      <c r="P794" s="408"/>
      <c r="Q794" s="408"/>
      <c r="R794" s="408"/>
      <c r="S794" s="408"/>
      <c r="T794" s="408"/>
      <c r="U794" s="408"/>
      <c r="V794" s="408"/>
      <c r="W794" s="408"/>
      <c r="X794" s="408"/>
      <c r="Y794" s="408"/>
      <c r="Z794" s="408"/>
    </row>
    <row r="795" ht="14.25" customHeight="1">
      <c r="A795" s="408"/>
      <c r="B795" s="408"/>
      <c r="C795" s="552"/>
      <c r="D795" s="408"/>
      <c r="E795" s="408"/>
      <c r="F795" s="408"/>
      <c r="G795" s="408"/>
      <c r="H795" s="408"/>
      <c r="I795" s="408"/>
      <c r="J795" s="408"/>
      <c r="K795" s="408"/>
      <c r="L795" s="408"/>
      <c r="M795" s="408"/>
      <c r="N795" s="408"/>
      <c r="O795" s="408"/>
      <c r="P795" s="408"/>
      <c r="Q795" s="408"/>
      <c r="R795" s="408"/>
      <c r="S795" s="408"/>
      <c r="T795" s="408"/>
      <c r="U795" s="408"/>
      <c r="V795" s="408"/>
      <c r="W795" s="408"/>
      <c r="X795" s="408"/>
      <c r="Y795" s="408"/>
      <c r="Z795" s="408"/>
    </row>
    <row r="796" ht="14.25" customHeight="1">
      <c r="A796" s="408"/>
      <c r="B796" s="408"/>
      <c r="C796" s="552"/>
      <c r="D796" s="408"/>
      <c r="E796" s="408"/>
      <c r="F796" s="408"/>
      <c r="G796" s="408"/>
      <c r="H796" s="408"/>
      <c r="I796" s="408"/>
      <c r="J796" s="408"/>
      <c r="K796" s="408"/>
      <c r="L796" s="408"/>
      <c r="M796" s="408"/>
      <c r="N796" s="408"/>
      <c r="O796" s="408"/>
      <c r="P796" s="408"/>
      <c r="Q796" s="408"/>
      <c r="R796" s="408"/>
      <c r="S796" s="408"/>
      <c r="T796" s="408"/>
      <c r="U796" s="408"/>
      <c r="V796" s="408"/>
      <c r="W796" s="408"/>
      <c r="X796" s="408"/>
      <c r="Y796" s="408"/>
      <c r="Z796" s="408"/>
    </row>
    <row r="797" ht="14.25" customHeight="1">
      <c r="A797" s="408"/>
      <c r="B797" s="408"/>
      <c r="C797" s="552"/>
      <c r="D797" s="408"/>
      <c r="E797" s="408"/>
      <c r="F797" s="408"/>
      <c r="G797" s="408"/>
      <c r="H797" s="408"/>
      <c r="I797" s="408"/>
      <c r="J797" s="408"/>
      <c r="K797" s="408"/>
      <c r="L797" s="408"/>
      <c r="M797" s="408"/>
      <c r="N797" s="408"/>
      <c r="O797" s="408"/>
      <c r="P797" s="408"/>
      <c r="Q797" s="408"/>
      <c r="R797" s="408"/>
      <c r="S797" s="408"/>
      <c r="T797" s="408"/>
      <c r="U797" s="408"/>
      <c r="V797" s="408"/>
      <c r="W797" s="408"/>
      <c r="X797" s="408"/>
      <c r="Y797" s="408"/>
      <c r="Z797" s="408"/>
    </row>
    <row r="798" ht="14.25" customHeight="1">
      <c r="A798" s="408"/>
      <c r="B798" s="408"/>
      <c r="C798" s="552"/>
      <c r="D798" s="408"/>
      <c r="E798" s="408"/>
      <c r="F798" s="408"/>
      <c r="G798" s="408"/>
      <c r="H798" s="408"/>
      <c r="I798" s="408"/>
      <c r="J798" s="408"/>
      <c r="K798" s="408"/>
      <c r="L798" s="408"/>
      <c r="M798" s="408"/>
      <c r="N798" s="408"/>
      <c r="O798" s="408"/>
      <c r="P798" s="408"/>
      <c r="Q798" s="408"/>
      <c r="R798" s="408"/>
      <c r="S798" s="408"/>
      <c r="T798" s="408"/>
      <c r="U798" s="408"/>
      <c r="V798" s="408"/>
      <c r="W798" s="408"/>
      <c r="X798" s="408"/>
      <c r="Y798" s="408"/>
      <c r="Z798" s="408"/>
    </row>
    <row r="799" ht="14.25" customHeight="1">
      <c r="A799" s="408"/>
      <c r="B799" s="408"/>
      <c r="C799" s="552"/>
      <c r="D799" s="408"/>
      <c r="E799" s="408"/>
      <c r="F799" s="408"/>
      <c r="G799" s="408"/>
      <c r="H799" s="408"/>
      <c r="I799" s="408"/>
      <c r="J799" s="408"/>
      <c r="K799" s="408"/>
      <c r="L799" s="408"/>
      <c r="M799" s="408"/>
      <c r="N799" s="408"/>
      <c r="O799" s="408"/>
      <c r="P799" s="408"/>
      <c r="Q799" s="408"/>
      <c r="R799" s="408"/>
      <c r="S799" s="408"/>
      <c r="T799" s="408"/>
      <c r="U799" s="408"/>
      <c r="V799" s="408"/>
      <c r="W799" s="408"/>
      <c r="X799" s="408"/>
      <c r="Y799" s="408"/>
      <c r="Z799" s="408"/>
    </row>
    <row r="800" ht="14.25" customHeight="1">
      <c r="A800" s="408"/>
      <c r="B800" s="408"/>
      <c r="C800" s="552"/>
      <c r="D800" s="408"/>
      <c r="E800" s="408"/>
      <c r="F800" s="408"/>
      <c r="G800" s="408"/>
      <c r="H800" s="408"/>
      <c r="I800" s="408"/>
      <c r="J800" s="408"/>
      <c r="K800" s="408"/>
      <c r="L800" s="408"/>
      <c r="M800" s="408"/>
      <c r="N800" s="408"/>
      <c r="O800" s="408"/>
      <c r="P800" s="408"/>
      <c r="Q800" s="408"/>
      <c r="R800" s="408"/>
      <c r="S800" s="408"/>
      <c r="T800" s="408"/>
      <c r="U800" s="408"/>
      <c r="V800" s="408"/>
      <c r="W800" s="408"/>
      <c r="X800" s="408"/>
      <c r="Y800" s="408"/>
      <c r="Z800" s="408"/>
    </row>
    <row r="801" ht="14.25" customHeight="1">
      <c r="A801" s="408"/>
      <c r="B801" s="408"/>
      <c r="C801" s="552"/>
      <c r="D801" s="408"/>
      <c r="E801" s="408"/>
      <c r="F801" s="408"/>
      <c r="G801" s="408"/>
      <c r="H801" s="408"/>
      <c r="I801" s="408"/>
      <c r="J801" s="408"/>
      <c r="K801" s="408"/>
      <c r="L801" s="408"/>
      <c r="M801" s="408"/>
      <c r="N801" s="408"/>
      <c r="O801" s="408"/>
      <c r="P801" s="408"/>
      <c r="Q801" s="408"/>
      <c r="R801" s="408"/>
      <c r="S801" s="408"/>
      <c r="T801" s="408"/>
      <c r="U801" s="408"/>
      <c r="V801" s="408"/>
      <c r="W801" s="408"/>
      <c r="X801" s="408"/>
      <c r="Y801" s="408"/>
      <c r="Z801" s="408"/>
    </row>
    <row r="802" ht="14.25" customHeight="1">
      <c r="A802" s="408"/>
      <c r="B802" s="408"/>
      <c r="C802" s="552"/>
      <c r="D802" s="408"/>
      <c r="E802" s="408"/>
      <c r="F802" s="408"/>
      <c r="G802" s="408"/>
      <c r="H802" s="408"/>
      <c r="I802" s="408"/>
      <c r="J802" s="408"/>
      <c r="K802" s="408"/>
      <c r="L802" s="408"/>
      <c r="M802" s="408"/>
      <c r="N802" s="408"/>
      <c r="O802" s="408"/>
      <c r="P802" s="408"/>
      <c r="Q802" s="408"/>
      <c r="R802" s="408"/>
      <c r="S802" s="408"/>
      <c r="T802" s="408"/>
      <c r="U802" s="408"/>
      <c r="V802" s="408"/>
      <c r="W802" s="408"/>
      <c r="X802" s="408"/>
      <c r="Y802" s="408"/>
      <c r="Z802" s="408"/>
    </row>
    <row r="803" ht="14.25" customHeight="1">
      <c r="A803" s="408"/>
      <c r="B803" s="408"/>
      <c r="C803" s="552"/>
      <c r="D803" s="408"/>
      <c r="E803" s="408"/>
      <c r="F803" s="408"/>
      <c r="G803" s="408"/>
      <c r="H803" s="408"/>
      <c r="I803" s="408"/>
      <c r="J803" s="408"/>
      <c r="K803" s="408"/>
      <c r="L803" s="408"/>
      <c r="M803" s="408"/>
      <c r="N803" s="408"/>
      <c r="O803" s="408"/>
      <c r="P803" s="408"/>
      <c r="Q803" s="408"/>
      <c r="R803" s="408"/>
      <c r="S803" s="408"/>
      <c r="T803" s="408"/>
      <c r="U803" s="408"/>
      <c r="V803" s="408"/>
      <c r="W803" s="408"/>
      <c r="X803" s="408"/>
      <c r="Y803" s="408"/>
      <c r="Z803" s="408"/>
    </row>
    <row r="804" ht="14.25" customHeight="1">
      <c r="A804" s="408"/>
      <c r="B804" s="408"/>
      <c r="C804" s="552"/>
      <c r="D804" s="408"/>
      <c r="E804" s="408"/>
      <c r="F804" s="408"/>
      <c r="G804" s="408"/>
      <c r="H804" s="408"/>
      <c r="I804" s="408"/>
      <c r="J804" s="408"/>
      <c r="K804" s="408"/>
      <c r="L804" s="408"/>
      <c r="M804" s="408"/>
      <c r="N804" s="408"/>
      <c r="O804" s="408"/>
      <c r="P804" s="408"/>
      <c r="Q804" s="408"/>
      <c r="R804" s="408"/>
      <c r="S804" s="408"/>
      <c r="T804" s="408"/>
      <c r="U804" s="408"/>
      <c r="V804" s="408"/>
      <c r="W804" s="408"/>
      <c r="X804" s="408"/>
      <c r="Y804" s="408"/>
      <c r="Z804" s="408"/>
    </row>
    <row r="805" ht="14.25" customHeight="1">
      <c r="A805" s="408"/>
      <c r="B805" s="408"/>
      <c r="C805" s="552"/>
      <c r="D805" s="408"/>
      <c r="E805" s="408"/>
      <c r="F805" s="408"/>
      <c r="G805" s="408"/>
      <c r="H805" s="408"/>
      <c r="I805" s="408"/>
      <c r="J805" s="408"/>
      <c r="K805" s="408"/>
      <c r="L805" s="408"/>
      <c r="M805" s="408"/>
      <c r="N805" s="408"/>
      <c r="O805" s="408"/>
      <c r="P805" s="408"/>
      <c r="Q805" s="408"/>
      <c r="R805" s="408"/>
      <c r="S805" s="408"/>
      <c r="T805" s="408"/>
      <c r="U805" s="408"/>
      <c r="V805" s="408"/>
      <c r="W805" s="408"/>
      <c r="X805" s="408"/>
      <c r="Y805" s="408"/>
      <c r="Z805" s="408"/>
    </row>
    <row r="806" ht="14.25" customHeight="1">
      <c r="A806" s="408"/>
      <c r="B806" s="408"/>
      <c r="C806" s="552"/>
      <c r="D806" s="408"/>
      <c r="E806" s="408"/>
      <c r="F806" s="408"/>
      <c r="G806" s="408"/>
      <c r="H806" s="408"/>
      <c r="I806" s="408"/>
      <c r="J806" s="408"/>
      <c r="K806" s="408"/>
      <c r="L806" s="408"/>
      <c r="M806" s="408"/>
      <c r="N806" s="408"/>
      <c r="O806" s="408"/>
      <c r="P806" s="408"/>
      <c r="Q806" s="408"/>
      <c r="R806" s="408"/>
      <c r="S806" s="408"/>
      <c r="T806" s="408"/>
      <c r="U806" s="408"/>
      <c r="V806" s="408"/>
      <c r="W806" s="408"/>
      <c r="X806" s="408"/>
      <c r="Y806" s="408"/>
      <c r="Z806" s="408"/>
    </row>
    <row r="807" ht="14.25" customHeight="1">
      <c r="A807" s="408"/>
      <c r="B807" s="408"/>
      <c r="C807" s="552"/>
      <c r="D807" s="408"/>
      <c r="E807" s="408"/>
      <c r="F807" s="408"/>
      <c r="G807" s="408"/>
      <c r="H807" s="408"/>
      <c r="I807" s="408"/>
      <c r="J807" s="408"/>
      <c r="K807" s="408"/>
      <c r="L807" s="408"/>
      <c r="M807" s="408"/>
      <c r="N807" s="408"/>
      <c r="O807" s="408"/>
      <c r="P807" s="408"/>
      <c r="Q807" s="408"/>
      <c r="R807" s="408"/>
      <c r="S807" s="408"/>
      <c r="T807" s="408"/>
      <c r="U807" s="408"/>
      <c r="V807" s="408"/>
      <c r="W807" s="408"/>
      <c r="X807" s="408"/>
      <c r="Y807" s="408"/>
      <c r="Z807" s="408"/>
    </row>
    <row r="808" ht="14.25" customHeight="1">
      <c r="A808" s="408"/>
      <c r="B808" s="408"/>
      <c r="C808" s="552"/>
      <c r="D808" s="408"/>
      <c r="E808" s="408"/>
      <c r="F808" s="408"/>
      <c r="G808" s="408"/>
      <c r="H808" s="408"/>
      <c r="I808" s="408"/>
      <c r="J808" s="408"/>
      <c r="K808" s="408"/>
      <c r="L808" s="408"/>
      <c r="M808" s="408"/>
      <c r="N808" s="408"/>
      <c r="O808" s="408"/>
      <c r="P808" s="408"/>
      <c r="Q808" s="408"/>
      <c r="R808" s="408"/>
      <c r="S808" s="408"/>
      <c r="T808" s="408"/>
      <c r="U808" s="408"/>
      <c r="V808" s="408"/>
      <c r="W808" s="408"/>
      <c r="X808" s="408"/>
      <c r="Y808" s="408"/>
      <c r="Z808" s="408"/>
    </row>
    <row r="809" ht="14.25" customHeight="1">
      <c r="A809" s="408"/>
      <c r="B809" s="408"/>
      <c r="C809" s="552"/>
      <c r="D809" s="408"/>
      <c r="E809" s="408"/>
      <c r="F809" s="408"/>
      <c r="G809" s="408"/>
      <c r="H809" s="408"/>
      <c r="I809" s="408"/>
      <c r="J809" s="408"/>
      <c r="K809" s="408"/>
      <c r="L809" s="408"/>
      <c r="M809" s="408"/>
      <c r="N809" s="408"/>
      <c r="O809" s="408"/>
      <c r="P809" s="408"/>
      <c r="Q809" s="408"/>
      <c r="R809" s="408"/>
      <c r="S809" s="408"/>
      <c r="T809" s="408"/>
      <c r="U809" s="408"/>
      <c r="V809" s="408"/>
      <c r="W809" s="408"/>
      <c r="X809" s="408"/>
      <c r="Y809" s="408"/>
      <c r="Z809" s="408"/>
    </row>
    <row r="810" ht="14.25" customHeight="1">
      <c r="A810" s="408"/>
      <c r="B810" s="408"/>
      <c r="C810" s="552"/>
      <c r="D810" s="408"/>
      <c r="E810" s="408"/>
      <c r="F810" s="408"/>
      <c r="G810" s="408"/>
      <c r="H810" s="408"/>
      <c r="I810" s="408"/>
      <c r="J810" s="408"/>
      <c r="K810" s="408"/>
      <c r="L810" s="408"/>
      <c r="M810" s="408"/>
      <c r="N810" s="408"/>
      <c r="O810" s="408"/>
      <c r="P810" s="408"/>
      <c r="Q810" s="408"/>
      <c r="R810" s="408"/>
      <c r="S810" s="408"/>
      <c r="T810" s="408"/>
      <c r="U810" s="408"/>
      <c r="V810" s="408"/>
      <c r="W810" s="408"/>
      <c r="X810" s="408"/>
      <c r="Y810" s="408"/>
      <c r="Z810" s="408"/>
    </row>
    <row r="811" ht="14.25" customHeight="1">
      <c r="A811" s="408"/>
      <c r="B811" s="408"/>
      <c r="C811" s="552"/>
      <c r="D811" s="408"/>
      <c r="E811" s="408"/>
      <c r="F811" s="408"/>
      <c r="G811" s="408"/>
      <c r="H811" s="408"/>
      <c r="I811" s="408"/>
      <c r="J811" s="408"/>
      <c r="K811" s="408"/>
      <c r="L811" s="408"/>
      <c r="M811" s="408"/>
      <c r="N811" s="408"/>
      <c r="O811" s="408"/>
      <c r="P811" s="408"/>
      <c r="Q811" s="408"/>
      <c r="R811" s="408"/>
      <c r="S811" s="408"/>
      <c r="T811" s="408"/>
      <c r="U811" s="408"/>
      <c r="V811" s="408"/>
      <c r="W811" s="408"/>
      <c r="X811" s="408"/>
      <c r="Y811" s="408"/>
      <c r="Z811" s="408"/>
    </row>
    <row r="812" ht="14.25" customHeight="1">
      <c r="A812" s="408"/>
      <c r="B812" s="408"/>
      <c r="C812" s="552"/>
      <c r="D812" s="408"/>
      <c r="E812" s="408"/>
      <c r="F812" s="408"/>
      <c r="G812" s="408"/>
      <c r="H812" s="408"/>
      <c r="I812" s="408"/>
      <c r="J812" s="408"/>
      <c r="K812" s="408"/>
      <c r="L812" s="408"/>
      <c r="M812" s="408"/>
      <c r="N812" s="408"/>
      <c r="O812" s="408"/>
      <c r="P812" s="408"/>
      <c r="Q812" s="408"/>
      <c r="R812" s="408"/>
      <c r="S812" s="408"/>
      <c r="T812" s="408"/>
      <c r="U812" s="408"/>
      <c r="V812" s="408"/>
      <c r="W812" s="408"/>
      <c r="X812" s="408"/>
      <c r="Y812" s="408"/>
      <c r="Z812" s="408"/>
    </row>
    <row r="813" ht="14.25" customHeight="1">
      <c r="A813" s="408"/>
      <c r="B813" s="408"/>
      <c r="C813" s="552"/>
      <c r="D813" s="408"/>
      <c r="E813" s="408"/>
      <c r="F813" s="408"/>
      <c r="G813" s="408"/>
      <c r="H813" s="408"/>
      <c r="I813" s="408"/>
      <c r="J813" s="408"/>
      <c r="K813" s="408"/>
      <c r="L813" s="408"/>
      <c r="M813" s="408"/>
      <c r="N813" s="408"/>
      <c r="O813" s="408"/>
      <c r="P813" s="408"/>
      <c r="Q813" s="408"/>
      <c r="R813" s="408"/>
      <c r="S813" s="408"/>
      <c r="T813" s="408"/>
      <c r="U813" s="408"/>
      <c r="V813" s="408"/>
      <c r="W813" s="408"/>
      <c r="X813" s="408"/>
      <c r="Y813" s="408"/>
      <c r="Z813" s="408"/>
    </row>
    <row r="814" ht="14.25" customHeight="1">
      <c r="A814" s="408"/>
      <c r="B814" s="408"/>
      <c r="C814" s="552"/>
      <c r="D814" s="408"/>
      <c r="E814" s="408"/>
      <c r="F814" s="408"/>
      <c r="G814" s="408"/>
      <c r="H814" s="408"/>
      <c r="I814" s="408"/>
      <c r="J814" s="408"/>
      <c r="K814" s="408"/>
      <c r="L814" s="408"/>
      <c r="M814" s="408"/>
      <c r="N814" s="408"/>
      <c r="O814" s="408"/>
      <c r="P814" s="408"/>
      <c r="Q814" s="408"/>
      <c r="R814" s="408"/>
      <c r="S814" s="408"/>
      <c r="T814" s="408"/>
      <c r="U814" s="408"/>
      <c r="V814" s="408"/>
      <c r="W814" s="408"/>
      <c r="X814" s="408"/>
      <c r="Y814" s="408"/>
      <c r="Z814" s="408"/>
    </row>
    <row r="815" ht="14.25" customHeight="1">
      <c r="A815" s="408"/>
      <c r="B815" s="408"/>
      <c r="C815" s="552"/>
      <c r="D815" s="408"/>
      <c r="E815" s="408"/>
      <c r="F815" s="408"/>
      <c r="G815" s="408"/>
      <c r="H815" s="408"/>
      <c r="I815" s="408"/>
      <c r="J815" s="408"/>
      <c r="K815" s="408"/>
      <c r="L815" s="408"/>
      <c r="M815" s="408"/>
      <c r="N815" s="408"/>
      <c r="O815" s="408"/>
      <c r="P815" s="408"/>
      <c r="Q815" s="408"/>
      <c r="R815" s="408"/>
      <c r="S815" s="408"/>
      <c r="T815" s="408"/>
      <c r="U815" s="408"/>
      <c r="V815" s="408"/>
      <c r="W815" s="408"/>
      <c r="X815" s="408"/>
      <c r="Y815" s="408"/>
      <c r="Z815" s="408"/>
    </row>
    <row r="816" ht="14.25" customHeight="1">
      <c r="A816" s="408"/>
      <c r="B816" s="408"/>
      <c r="C816" s="552"/>
      <c r="D816" s="408"/>
      <c r="E816" s="408"/>
      <c r="F816" s="408"/>
      <c r="G816" s="408"/>
      <c r="H816" s="408"/>
      <c r="I816" s="408"/>
      <c r="J816" s="408"/>
      <c r="K816" s="408"/>
      <c r="L816" s="408"/>
      <c r="M816" s="408"/>
      <c r="N816" s="408"/>
      <c r="O816" s="408"/>
      <c r="P816" s="408"/>
      <c r="Q816" s="408"/>
      <c r="R816" s="408"/>
      <c r="S816" s="408"/>
      <c r="T816" s="408"/>
      <c r="U816" s="408"/>
      <c r="V816" s="408"/>
      <c r="W816" s="408"/>
      <c r="X816" s="408"/>
      <c r="Y816" s="408"/>
      <c r="Z816" s="408"/>
    </row>
    <row r="817" ht="14.25" customHeight="1">
      <c r="A817" s="408"/>
      <c r="B817" s="408"/>
      <c r="C817" s="552"/>
      <c r="D817" s="408"/>
      <c r="E817" s="408"/>
      <c r="F817" s="408"/>
      <c r="G817" s="408"/>
      <c r="H817" s="408"/>
      <c r="I817" s="408"/>
      <c r="J817" s="408"/>
      <c r="K817" s="408"/>
      <c r="L817" s="408"/>
      <c r="M817" s="408"/>
      <c r="N817" s="408"/>
      <c r="O817" s="408"/>
      <c r="P817" s="408"/>
      <c r="Q817" s="408"/>
      <c r="R817" s="408"/>
      <c r="S817" s="408"/>
      <c r="T817" s="408"/>
      <c r="U817" s="408"/>
      <c r="V817" s="408"/>
      <c r="W817" s="408"/>
      <c r="X817" s="408"/>
      <c r="Y817" s="408"/>
      <c r="Z817" s="408"/>
    </row>
    <row r="818" ht="14.25" customHeight="1">
      <c r="A818" s="408"/>
      <c r="B818" s="408"/>
      <c r="C818" s="552"/>
      <c r="D818" s="408"/>
      <c r="E818" s="408"/>
      <c r="F818" s="408"/>
      <c r="G818" s="408"/>
      <c r="H818" s="408"/>
      <c r="I818" s="408"/>
      <c r="J818" s="408"/>
      <c r="K818" s="408"/>
      <c r="L818" s="408"/>
      <c r="M818" s="408"/>
      <c r="N818" s="408"/>
      <c r="O818" s="408"/>
      <c r="P818" s="408"/>
      <c r="Q818" s="408"/>
      <c r="R818" s="408"/>
      <c r="S818" s="408"/>
      <c r="T818" s="408"/>
      <c r="U818" s="408"/>
      <c r="V818" s="408"/>
      <c r="W818" s="408"/>
      <c r="X818" s="408"/>
      <c r="Y818" s="408"/>
      <c r="Z818" s="408"/>
    </row>
    <row r="819" ht="14.25" customHeight="1">
      <c r="A819" s="408"/>
      <c r="B819" s="408"/>
      <c r="C819" s="552"/>
      <c r="D819" s="408"/>
      <c r="E819" s="408"/>
      <c r="F819" s="408"/>
      <c r="G819" s="408"/>
      <c r="H819" s="408"/>
      <c r="I819" s="408"/>
      <c r="J819" s="408"/>
      <c r="K819" s="408"/>
      <c r="L819" s="408"/>
      <c r="M819" s="408"/>
      <c r="N819" s="408"/>
      <c r="O819" s="408"/>
      <c r="P819" s="408"/>
      <c r="Q819" s="408"/>
      <c r="R819" s="408"/>
      <c r="S819" s="408"/>
      <c r="T819" s="408"/>
      <c r="U819" s="408"/>
      <c r="V819" s="408"/>
      <c r="W819" s="408"/>
      <c r="X819" s="408"/>
      <c r="Y819" s="408"/>
      <c r="Z819" s="408"/>
    </row>
    <row r="820" ht="14.25" customHeight="1">
      <c r="A820" s="408"/>
      <c r="B820" s="408"/>
      <c r="C820" s="552"/>
      <c r="D820" s="408"/>
      <c r="E820" s="408"/>
      <c r="F820" s="408"/>
      <c r="G820" s="408"/>
      <c r="H820" s="408"/>
      <c r="I820" s="408"/>
      <c r="J820" s="408"/>
      <c r="K820" s="408"/>
      <c r="L820" s="408"/>
      <c r="M820" s="408"/>
      <c r="N820" s="408"/>
      <c r="O820" s="408"/>
      <c r="P820" s="408"/>
      <c r="Q820" s="408"/>
      <c r="R820" s="408"/>
      <c r="S820" s="408"/>
      <c r="T820" s="408"/>
      <c r="U820" s="408"/>
      <c r="V820" s="408"/>
      <c r="W820" s="408"/>
      <c r="X820" s="408"/>
      <c r="Y820" s="408"/>
      <c r="Z820" s="408"/>
    </row>
    <row r="821" ht="14.25" customHeight="1">
      <c r="A821" s="408"/>
      <c r="B821" s="408"/>
      <c r="C821" s="552"/>
      <c r="D821" s="408"/>
      <c r="E821" s="408"/>
      <c r="F821" s="408"/>
      <c r="G821" s="408"/>
      <c r="H821" s="408"/>
      <c r="I821" s="408"/>
      <c r="J821" s="408"/>
      <c r="K821" s="408"/>
      <c r="L821" s="408"/>
      <c r="M821" s="408"/>
      <c r="N821" s="408"/>
      <c r="O821" s="408"/>
      <c r="P821" s="408"/>
      <c r="Q821" s="408"/>
      <c r="R821" s="408"/>
      <c r="S821" s="408"/>
      <c r="T821" s="408"/>
      <c r="U821" s="408"/>
      <c r="V821" s="408"/>
      <c r="W821" s="408"/>
      <c r="X821" s="408"/>
      <c r="Y821" s="408"/>
      <c r="Z821" s="408"/>
    </row>
    <row r="822" ht="14.25" customHeight="1">
      <c r="A822" s="408"/>
      <c r="B822" s="408"/>
      <c r="C822" s="552"/>
      <c r="D822" s="408"/>
      <c r="E822" s="408"/>
      <c r="F822" s="408"/>
      <c r="G822" s="408"/>
      <c r="H822" s="408"/>
      <c r="I822" s="408"/>
      <c r="J822" s="408"/>
      <c r="K822" s="408"/>
      <c r="L822" s="408"/>
      <c r="M822" s="408"/>
      <c r="N822" s="408"/>
      <c r="O822" s="408"/>
      <c r="P822" s="408"/>
      <c r="Q822" s="408"/>
      <c r="R822" s="408"/>
      <c r="S822" s="408"/>
      <c r="T822" s="408"/>
      <c r="U822" s="408"/>
      <c r="V822" s="408"/>
      <c r="W822" s="408"/>
      <c r="X822" s="408"/>
      <c r="Y822" s="408"/>
      <c r="Z822" s="408"/>
    </row>
    <row r="823" ht="14.25" customHeight="1">
      <c r="A823" s="408"/>
      <c r="B823" s="408"/>
      <c r="C823" s="552"/>
      <c r="D823" s="408"/>
      <c r="E823" s="408"/>
      <c r="F823" s="408"/>
      <c r="G823" s="408"/>
      <c r="H823" s="408"/>
      <c r="I823" s="408"/>
      <c r="J823" s="408"/>
      <c r="K823" s="408"/>
      <c r="L823" s="408"/>
      <c r="M823" s="408"/>
      <c r="N823" s="408"/>
      <c r="O823" s="408"/>
      <c r="P823" s="408"/>
      <c r="Q823" s="408"/>
      <c r="R823" s="408"/>
      <c r="S823" s="408"/>
      <c r="T823" s="408"/>
      <c r="U823" s="408"/>
      <c r="V823" s="408"/>
      <c r="W823" s="408"/>
      <c r="X823" s="408"/>
      <c r="Y823" s="408"/>
      <c r="Z823" s="408"/>
    </row>
    <row r="824" ht="14.25" customHeight="1">
      <c r="A824" s="408"/>
      <c r="B824" s="408"/>
      <c r="C824" s="552"/>
      <c r="D824" s="408"/>
      <c r="E824" s="408"/>
      <c r="F824" s="408"/>
      <c r="G824" s="408"/>
      <c r="H824" s="408"/>
      <c r="I824" s="408"/>
      <c r="J824" s="408"/>
      <c r="K824" s="408"/>
      <c r="L824" s="408"/>
      <c r="M824" s="408"/>
      <c r="N824" s="408"/>
      <c r="O824" s="408"/>
      <c r="P824" s="408"/>
      <c r="Q824" s="408"/>
      <c r="R824" s="408"/>
      <c r="S824" s="408"/>
      <c r="T824" s="408"/>
      <c r="U824" s="408"/>
      <c r="V824" s="408"/>
      <c r="W824" s="408"/>
      <c r="X824" s="408"/>
      <c r="Y824" s="408"/>
      <c r="Z824" s="408"/>
    </row>
    <row r="825" ht="14.25" customHeight="1">
      <c r="A825" s="408"/>
      <c r="B825" s="408"/>
      <c r="C825" s="552"/>
      <c r="D825" s="408"/>
      <c r="E825" s="408"/>
      <c r="F825" s="408"/>
      <c r="G825" s="408"/>
      <c r="H825" s="408"/>
      <c r="I825" s="408"/>
      <c r="J825" s="408"/>
      <c r="K825" s="408"/>
      <c r="L825" s="408"/>
      <c r="M825" s="408"/>
      <c r="N825" s="408"/>
      <c r="O825" s="408"/>
      <c r="P825" s="408"/>
      <c r="Q825" s="408"/>
      <c r="R825" s="408"/>
      <c r="S825" s="408"/>
      <c r="T825" s="408"/>
      <c r="U825" s="408"/>
      <c r="V825" s="408"/>
      <c r="W825" s="408"/>
      <c r="X825" s="408"/>
      <c r="Y825" s="408"/>
      <c r="Z825" s="408"/>
    </row>
    <row r="826" ht="14.25" customHeight="1">
      <c r="A826" s="408"/>
      <c r="B826" s="408"/>
      <c r="C826" s="552"/>
      <c r="D826" s="408"/>
      <c r="E826" s="408"/>
      <c r="F826" s="408"/>
      <c r="G826" s="408"/>
      <c r="H826" s="408"/>
      <c r="I826" s="408"/>
      <c r="J826" s="408"/>
      <c r="K826" s="408"/>
      <c r="L826" s="408"/>
      <c r="M826" s="408"/>
      <c r="N826" s="408"/>
      <c r="O826" s="408"/>
      <c r="P826" s="408"/>
      <c r="Q826" s="408"/>
      <c r="R826" s="408"/>
      <c r="S826" s="408"/>
      <c r="T826" s="408"/>
      <c r="U826" s="408"/>
      <c r="V826" s="408"/>
      <c r="W826" s="408"/>
      <c r="X826" s="408"/>
      <c r="Y826" s="408"/>
      <c r="Z826" s="408"/>
    </row>
    <row r="827" ht="14.25" customHeight="1">
      <c r="A827" s="408"/>
      <c r="B827" s="408"/>
      <c r="C827" s="552"/>
      <c r="D827" s="408"/>
      <c r="E827" s="408"/>
      <c r="F827" s="408"/>
      <c r="G827" s="408"/>
      <c r="H827" s="408"/>
      <c r="I827" s="408"/>
      <c r="J827" s="408"/>
      <c r="K827" s="408"/>
      <c r="L827" s="408"/>
      <c r="M827" s="408"/>
      <c r="N827" s="408"/>
      <c r="O827" s="408"/>
      <c r="P827" s="408"/>
      <c r="Q827" s="408"/>
      <c r="R827" s="408"/>
      <c r="S827" s="408"/>
      <c r="T827" s="408"/>
      <c r="U827" s="408"/>
      <c r="V827" s="408"/>
      <c r="W827" s="408"/>
      <c r="X827" s="408"/>
      <c r="Y827" s="408"/>
      <c r="Z827" s="408"/>
    </row>
    <row r="828" ht="14.25" customHeight="1">
      <c r="A828" s="408"/>
      <c r="B828" s="408"/>
      <c r="C828" s="552"/>
      <c r="D828" s="408"/>
      <c r="E828" s="408"/>
      <c r="F828" s="408"/>
      <c r="G828" s="408"/>
      <c r="H828" s="408"/>
      <c r="I828" s="408"/>
      <c r="J828" s="408"/>
      <c r="K828" s="408"/>
      <c r="L828" s="408"/>
      <c r="M828" s="408"/>
      <c r="N828" s="408"/>
      <c r="O828" s="408"/>
      <c r="P828" s="408"/>
      <c r="Q828" s="408"/>
      <c r="R828" s="408"/>
      <c r="S828" s="408"/>
      <c r="T828" s="408"/>
      <c r="U828" s="408"/>
      <c r="V828" s="408"/>
      <c r="W828" s="408"/>
      <c r="X828" s="408"/>
      <c r="Y828" s="408"/>
      <c r="Z828" s="408"/>
    </row>
    <row r="829" ht="14.25" customHeight="1">
      <c r="A829" s="408"/>
      <c r="B829" s="408"/>
      <c r="C829" s="552"/>
      <c r="D829" s="408"/>
      <c r="E829" s="408"/>
      <c r="F829" s="408"/>
      <c r="G829" s="408"/>
      <c r="H829" s="408"/>
      <c r="I829" s="408"/>
      <c r="J829" s="408"/>
      <c r="K829" s="408"/>
      <c r="L829" s="408"/>
      <c r="M829" s="408"/>
      <c r="N829" s="408"/>
      <c r="O829" s="408"/>
      <c r="P829" s="408"/>
      <c r="Q829" s="408"/>
      <c r="R829" s="408"/>
      <c r="S829" s="408"/>
      <c r="T829" s="408"/>
      <c r="U829" s="408"/>
      <c r="V829" s="408"/>
      <c r="W829" s="408"/>
      <c r="X829" s="408"/>
      <c r="Y829" s="408"/>
      <c r="Z829" s="408"/>
    </row>
    <row r="830" ht="14.25" customHeight="1">
      <c r="A830" s="408"/>
      <c r="B830" s="408"/>
      <c r="C830" s="552"/>
      <c r="D830" s="408"/>
      <c r="E830" s="408"/>
      <c r="F830" s="408"/>
      <c r="G830" s="408"/>
      <c r="H830" s="408"/>
      <c r="I830" s="408"/>
      <c r="J830" s="408"/>
      <c r="K830" s="408"/>
      <c r="L830" s="408"/>
      <c r="M830" s="408"/>
      <c r="N830" s="408"/>
      <c r="O830" s="408"/>
      <c r="P830" s="408"/>
      <c r="Q830" s="408"/>
      <c r="R830" s="408"/>
      <c r="S830" s="408"/>
      <c r="T830" s="408"/>
      <c r="U830" s="408"/>
      <c r="V830" s="408"/>
      <c r="W830" s="408"/>
      <c r="X830" s="408"/>
      <c r="Y830" s="408"/>
      <c r="Z830" s="408"/>
    </row>
    <row r="831" ht="14.25" customHeight="1">
      <c r="A831" s="408"/>
      <c r="B831" s="408"/>
      <c r="C831" s="552"/>
      <c r="D831" s="408"/>
      <c r="E831" s="408"/>
      <c r="F831" s="408"/>
      <c r="G831" s="408"/>
      <c r="H831" s="408"/>
      <c r="I831" s="408"/>
      <c r="J831" s="408"/>
      <c r="K831" s="408"/>
      <c r="L831" s="408"/>
      <c r="M831" s="408"/>
      <c r="N831" s="408"/>
      <c r="O831" s="408"/>
      <c r="P831" s="408"/>
      <c r="Q831" s="408"/>
      <c r="R831" s="408"/>
      <c r="S831" s="408"/>
      <c r="T831" s="408"/>
      <c r="U831" s="408"/>
      <c r="V831" s="408"/>
      <c r="W831" s="408"/>
      <c r="X831" s="408"/>
      <c r="Y831" s="408"/>
      <c r="Z831" s="408"/>
    </row>
    <row r="832" ht="14.25" customHeight="1">
      <c r="A832" s="408"/>
      <c r="B832" s="408"/>
      <c r="C832" s="552"/>
      <c r="D832" s="408"/>
      <c r="E832" s="408"/>
      <c r="F832" s="408"/>
      <c r="G832" s="408"/>
      <c r="H832" s="408"/>
      <c r="I832" s="408"/>
      <c r="J832" s="408"/>
      <c r="K832" s="408"/>
      <c r="L832" s="408"/>
      <c r="M832" s="408"/>
      <c r="N832" s="408"/>
      <c r="O832" s="408"/>
      <c r="P832" s="408"/>
      <c r="Q832" s="408"/>
      <c r="R832" s="408"/>
      <c r="S832" s="408"/>
      <c r="T832" s="408"/>
      <c r="U832" s="408"/>
      <c r="V832" s="408"/>
      <c r="W832" s="408"/>
      <c r="X832" s="408"/>
      <c r="Y832" s="408"/>
      <c r="Z832" s="408"/>
    </row>
    <row r="833" ht="14.25" customHeight="1">
      <c r="A833" s="408"/>
      <c r="B833" s="408"/>
      <c r="C833" s="552"/>
      <c r="D833" s="408"/>
      <c r="E833" s="408"/>
      <c r="F833" s="408"/>
      <c r="G833" s="408"/>
      <c r="H833" s="408"/>
      <c r="I833" s="408"/>
      <c r="J833" s="408"/>
      <c r="K833" s="408"/>
      <c r="L833" s="408"/>
      <c r="M833" s="408"/>
      <c r="N833" s="408"/>
      <c r="O833" s="408"/>
      <c r="P833" s="408"/>
      <c r="Q833" s="408"/>
      <c r="R833" s="408"/>
      <c r="S833" s="408"/>
      <c r="T833" s="408"/>
      <c r="U833" s="408"/>
      <c r="V833" s="408"/>
      <c r="W833" s="408"/>
      <c r="X833" s="408"/>
      <c r="Y833" s="408"/>
      <c r="Z833" s="408"/>
    </row>
    <row r="834" ht="14.25" customHeight="1">
      <c r="A834" s="408"/>
      <c r="B834" s="408"/>
      <c r="C834" s="552"/>
      <c r="D834" s="408"/>
      <c r="E834" s="408"/>
      <c r="F834" s="408"/>
      <c r="G834" s="408"/>
      <c r="H834" s="408"/>
      <c r="I834" s="408"/>
      <c r="J834" s="408"/>
      <c r="K834" s="408"/>
      <c r="L834" s="408"/>
      <c r="M834" s="408"/>
      <c r="N834" s="408"/>
      <c r="O834" s="408"/>
      <c r="P834" s="408"/>
      <c r="Q834" s="408"/>
      <c r="R834" s="408"/>
      <c r="S834" s="408"/>
      <c r="T834" s="408"/>
      <c r="U834" s="408"/>
      <c r="V834" s="408"/>
      <c r="W834" s="408"/>
      <c r="X834" s="408"/>
      <c r="Y834" s="408"/>
      <c r="Z834" s="408"/>
    </row>
    <row r="835" ht="14.25" customHeight="1">
      <c r="A835" s="408"/>
      <c r="B835" s="408"/>
      <c r="C835" s="552"/>
      <c r="D835" s="408"/>
      <c r="E835" s="408"/>
      <c r="F835" s="408"/>
      <c r="G835" s="408"/>
      <c r="H835" s="408"/>
      <c r="I835" s="408"/>
      <c r="J835" s="408"/>
      <c r="K835" s="408"/>
      <c r="L835" s="408"/>
      <c r="M835" s="408"/>
      <c r="N835" s="408"/>
      <c r="O835" s="408"/>
      <c r="P835" s="408"/>
      <c r="Q835" s="408"/>
      <c r="R835" s="408"/>
      <c r="S835" s="408"/>
      <c r="T835" s="408"/>
      <c r="U835" s="408"/>
      <c r="V835" s="408"/>
      <c r="W835" s="408"/>
      <c r="X835" s="408"/>
      <c r="Y835" s="408"/>
      <c r="Z835" s="408"/>
    </row>
    <row r="836" ht="14.25" customHeight="1">
      <c r="A836" s="408"/>
      <c r="B836" s="408"/>
      <c r="C836" s="552"/>
      <c r="D836" s="408"/>
      <c r="E836" s="408"/>
      <c r="F836" s="408"/>
      <c r="G836" s="408"/>
      <c r="H836" s="408"/>
      <c r="I836" s="408"/>
      <c r="J836" s="408"/>
      <c r="K836" s="408"/>
      <c r="L836" s="408"/>
      <c r="M836" s="408"/>
      <c r="N836" s="408"/>
      <c r="O836" s="408"/>
      <c r="P836" s="408"/>
      <c r="Q836" s="408"/>
      <c r="R836" s="408"/>
      <c r="S836" s="408"/>
      <c r="T836" s="408"/>
      <c r="U836" s="408"/>
      <c r="V836" s="408"/>
      <c r="W836" s="408"/>
      <c r="X836" s="408"/>
      <c r="Y836" s="408"/>
      <c r="Z836" s="408"/>
    </row>
    <row r="837" ht="14.25" customHeight="1">
      <c r="A837" s="408"/>
      <c r="B837" s="408"/>
      <c r="C837" s="552"/>
      <c r="D837" s="408"/>
      <c r="E837" s="408"/>
      <c r="F837" s="408"/>
      <c r="G837" s="408"/>
      <c r="H837" s="408"/>
      <c r="I837" s="408"/>
      <c r="J837" s="408"/>
      <c r="K837" s="408"/>
      <c r="L837" s="408"/>
      <c r="M837" s="408"/>
      <c r="N837" s="408"/>
      <c r="O837" s="408"/>
      <c r="P837" s="408"/>
      <c r="Q837" s="408"/>
      <c r="R837" s="408"/>
      <c r="S837" s="408"/>
      <c r="T837" s="408"/>
      <c r="U837" s="408"/>
      <c r="V837" s="408"/>
      <c r="W837" s="408"/>
      <c r="X837" s="408"/>
      <c r="Y837" s="408"/>
      <c r="Z837" s="408"/>
    </row>
    <row r="838" ht="14.25" customHeight="1">
      <c r="A838" s="408"/>
      <c r="B838" s="408"/>
      <c r="C838" s="552"/>
      <c r="D838" s="408"/>
      <c r="E838" s="408"/>
      <c r="F838" s="408"/>
      <c r="G838" s="408"/>
      <c r="H838" s="408"/>
      <c r="I838" s="408"/>
      <c r="J838" s="408"/>
      <c r="K838" s="408"/>
      <c r="L838" s="408"/>
      <c r="M838" s="408"/>
      <c r="N838" s="408"/>
      <c r="O838" s="408"/>
      <c r="P838" s="408"/>
      <c r="Q838" s="408"/>
      <c r="R838" s="408"/>
      <c r="S838" s="408"/>
      <c r="T838" s="408"/>
      <c r="U838" s="408"/>
      <c r="V838" s="408"/>
      <c r="W838" s="408"/>
      <c r="X838" s="408"/>
      <c r="Y838" s="408"/>
      <c r="Z838" s="408"/>
    </row>
    <row r="839" ht="14.25" customHeight="1">
      <c r="A839" s="408"/>
      <c r="B839" s="408"/>
      <c r="C839" s="552"/>
      <c r="D839" s="408"/>
      <c r="E839" s="408"/>
      <c r="F839" s="408"/>
      <c r="G839" s="408"/>
      <c r="H839" s="408"/>
      <c r="I839" s="408"/>
      <c r="J839" s="408"/>
      <c r="K839" s="408"/>
      <c r="L839" s="408"/>
      <c r="M839" s="408"/>
      <c r="N839" s="408"/>
      <c r="O839" s="408"/>
      <c r="P839" s="408"/>
      <c r="Q839" s="408"/>
      <c r="R839" s="408"/>
      <c r="S839" s="408"/>
      <c r="T839" s="408"/>
      <c r="U839" s="408"/>
      <c r="V839" s="408"/>
      <c r="W839" s="408"/>
      <c r="X839" s="408"/>
      <c r="Y839" s="408"/>
      <c r="Z839" s="408"/>
    </row>
    <row r="840" ht="14.25" customHeight="1">
      <c r="A840" s="408"/>
      <c r="B840" s="408"/>
      <c r="C840" s="552"/>
      <c r="D840" s="408"/>
      <c r="E840" s="408"/>
      <c r="F840" s="408"/>
      <c r="G840" s="408"/>
      <c r="H840" s="408"/>
      <c r="I840" s="408"/>
      <c r="J840" s="408"/>
      <c r="K840" s="408"/>
      <c r="L840" s="408"/>
      <c r="M840" s="408"/>
      <c r="N840" s="408"/>
      <c r="O840" s="408"/>
      <c r="P840" s="408"/>
      <c r="Q840" s="408"/>
      <c r="R840" s="408"/>
      <c r="S840" s="408"/>
      <c r="T840" s="408"/>
      <c r="U840" s="408"/>
      <c r="V840" s="408"/>
      <c r="W840" s="408"/>
      <c r="X840" s="408"/>
      <c r="Y840" s="408"/>
      <c r="Z840" s="408"/>
    </row>
    <row r="841" ht="14.25" customHeight="1">
      <c r="A841" s="408"/>
      <c r="B841" s="408"/>
      <c r="C841" s="552"/>
      <c r="D841" s="408"/>
      <c r="E841" s="408"/>
      <c r="F841" s="408"/>
      <c r="G841" s="408"/>
      <c r="H841" s="408"/>
      <c r="I841" s="408"/>
      <c r="J841" s="408"/>
      <c r="K841" s="408"/>
      <c r="L841" s="408"/>
      <c r="M841" s="408"/>
      <c r="N841" s="408"/>
      <c r="O841" s="408"/>
      <c r="P841" s="408"/>
      <c r="Q841" s="408"/>
      <c r="R841" s="408"/>
      <c r="S841" s="408"/>
      <c r="T841" s="408"/>
      <c r="U841" s="408"/>
      <c r="V841" s="408"/>
      <c r="W841" s="408"/>
      <c r="X841" s="408"/>
      <c r="Y841" s="408"/>
      <c r="Z841" s="408"/>
    </row>
    <row r="842" ht="14.25" customHeight="1">
      <c r="A842" s="408"/>
      <c r="B842" s="408"/>
      <c r="C842" s="552"/>
      <c r="D842" s="408"/>
      <c r="E842" s="408"/>
      <c r="F842" s="408"/>
      <c r="G842" s="408"/>
      <c r="H842" s="408"/>
      <c r="I842" s="408"/>
      <c r="J842" s="408"/>
      <c r="K842" s="408"/>
      <c r="L842" s="408"/>
      <c r="M842" s="408"/>
      <c r="N842" s="408"/>
      <c r="O842" s="408"/>
      <c r="P842" s="408"/>
      <c r="Q842" s="408"/>
      <c r="R842" s="408"/>
      <c r="S842" s="408"/>
      <c r="T842" s="408"/>
      <c r="U842" s="408"/>
      <c r="V842" s="408"/>
      <c r="W842" s="408"/>
      <c r="X842" s="408"/>
      <c r="Y842" s="408"/>
      <c r="Z842" s="408"/>
    </row>
    <row r="843" ht="14.25" customHeight="1">
      <c r="A843" s="408"/>
      <c r="B843" s="408"/>
      <c r="C843" s="552"/>
      <c r="D843" s="408"/>
      <c r="E843" s="408"/>
      <c r="F843" s="408"/>
      <c r="G843" s="408"/>
      <c r="H843" s="408"/>
      <c r="I843" s="408"/>
      <c r="J843" s="408"/>
      <c r="K843" s="408"/>
      <c r="L843" s="408"/>
      <c r="M843" s="408"/>
      <c r="N843" s="408"/>
      <c r="O843" s="408"/>
      <c r="P843" s="408"/>
      <c r="Q843" s="408"/>
      <c r="R843" s="408"/>
      <c r="S843" s="408"/>
      <c r="T843" s="408"/>
      <c r="U843" s="408"/>
      <c r="V843" s="408"/>
      <c r="W843" s="408"/>
      <c r="X843" s="408"/>
      <c r="Y843" s="408"/>
      <c r="Z843" s="408"/>
    </row>
    <row r="844" ht="14.25" customHeight="1">
      <c r="A844" s="408"/>
      <c r="B844" s="408"/>
      <c r="C844" s="552"/>
      <c r="D844" s="408"/>
      <c r="E844" s="408"/>
      <c r="F844" s="408"/>
      <c r="G844" s="408"/>
      <c r="H844" s="408"/>
      <c r="I844" s="408"/>
      <c r="J844" s="408"/>
      <c r="K844" s="408"/>
      <c r="L844" s="408"/>
      <c r="M844" s="408"/>
      <c r="N844" s="408"/>
      <c r="O844" s="408"/>
      <c r="P844" s="408"/>
      <c r="Q844" s="408"/>
      <c r="R844" s="408"/>
      <c r="S844" s="408"/>
      <c r="T844" s="408"/>
      <c r="U844" s="408"/>
      <c r="V844" s="408"/>
      <c r="W844" s="408"/>
      <c r="X844" s="408"/>
      <c r="Y844" s="408"/>
      <c r="Z844" s="408"/>
    </row>
    <row r="845" ht="14.25" customHeight="1">
      <c r="A845" s="408"/>
      <c r="B845" s="408"/>
      <c r="C845" s="552"/>
      <c r="D845" s="408"/>
      <c r="E845" s="408"/>
      <c r="F845" s="408"/>
      <c r="G845" s="408"/>
      <c r="H845" s="408"/>
      <c r="I845" s="408"/>
      <c r="J845" s="408"/>
      <c r="K845" s="408"/>
      <c r="L845" s="408"/>
      <c r="M845" s="408"/>
      <c r="N845" s="408"/>
      <c r="O845" s="408"/>
      <c r="P845" s="408"/>
      <c r="Q845" s="408"/>
      <c r="R845" s="408"/>
      <c r="S845" s="408"/>
      <c r="T845" s="408"/>
      <c r="U845" s="408"/>
      <c r="V845" s="408"/>
      <c r="W845" s="408"/>
      <c r="X845" s="408"/>
      <c r="Y845" s="408"/>
      <c r="Z845" s="408"/>
    </row>
    <row r="846" ht="14.25" customHeight="1">
      <c r="A846" s="408"/>
      <c r="B846" s="408"/>
      <c r="C846" s="552"/>
      <c r="D846" s="408"/>
      <c r="E846" s="408"/>
      <c r="F846" s="408"/>
      <c r="G846" s="408"/>
      <c r="H846" s="408"/>
      <c r="I846" s="408"/>
      <c r="J846" s="408"/>
      <c r="K846" s="408"/>
      <c r="L846" s="408"/>
      <c r="M846" s="408"/>
      <c r="N846" s="408"/>
      <c r="O846" s="408"/>
      <c r="P846" s="408"/>
      <c r="Q846" s="408"/>
      <c r="R846" s="408"/>
      <c r="S846" s="408"/>
      <c r="T846" s="408"/>
      <c r="U846" s="408"/>
      <c r="V846" s="408"/>
      <c r="W846" s="408"/>
      <c r="X846" s="408"/>
      <c r="Y846" s="408"/>
      <c r="Z846" s="408"/>
    </row>
    <row r="847" ht="14.25" customHeight="1">
      <c r="A847" s="408"/>
      <c r="B847" s="408"/>
      <c r="C847" s="552"/>
      <c r="D847" s="408"/>
      <c r="E847" s="408"/>
      <c r="F847" s="408"/>
      <c r="G847" s="408"/>
      <c r="H847" s="408"/>
      <c r="I847" s="408"/>
      <c r="J847" s="408"/>
      <c r="K847" s="408"/>
      <c r="L847" s="408"/>
      <c r="M847" s="408"/>
      <c r="N847" s="408"/>
      <c r="O847" s="408"/>
      <c r="P847" s="408"/>
      <c r="Q847" s="408"/>
      <c r="R847" s="408"/>
      <c r="S847" s="408"/>
      <c r="T847" s="408"/>
      <c r="U847" s="408"/>
      <c r="V847" s="408"/>
      <c r="W847" s="408"/>
      <c r="X847" s="408"/>
      <c r="Y847" s="408"/>
      <c r="Z847" s="408"/>
    </row>
    <row r="848" ht="14.25" customHeight="1">
      <c r="A848" s="408"/>
      <c r="B848" s="408"/>
      <c r="C848" s="552"/>
      <c r="D848" s="408"/>
      <c r="E848" s="408"/>
      <c r="F848" s="408"/>
      <c r="G848" s="408"/>
      <c r="H848" s="408"/>
      <c r="I848" s="408"/>
      <c r="J848" s="408"/>
      <c r="K848" s="408"/>
      <c r="L848" s="408"/>
      <c r="M848" s="408"/>
      <c r="N848" s="408"/>
      <c r="O848" s="408"/>
      <c r="P848" s="408"/>
      <c r="Q848" s="408"/>
      <c r="R848" s="408"/>
      <c r="S848" s="408"/>
      <c r="T848" s="408"/>
      <c r="U848" s="408"/>
      <c r="V848" s="408"/>
      <c r="W848" s="408"/>
      <c r="X848" s="408"/>
      <c r="Y848" s="408"/>
      <c r="Z848" s="408"/>
    </row>
    <row r="849" ht="14.25" customHeight="1">
      <c r="A849" s="408"/>
      <c r="B849" s="408"/>
      <c r="C849" s="552"/>
      <c r="D849" s="408"/>
      <c r="E849" s="408"/>
      <c r="F849" s="408"/>
      <c r="G849" s="408"/>
      <c r="H849" s="408"/>
      <c r="I849" s="408"/>
      <c r="J849" s="408"/>
      <c r="K849" s="408"/>
      <c r="L849" s="408"/>
      <c r="M849" s="408"/>
      <c r="N849" s="408"/>
      <c r="O849" s="408"/>
      <c r="P849" s="408"/>
      <c r="Q849" s="408"/>
      <c r="R849" s="408"/>
      <c r="S849" s="408"/>
      <c r="T849" s="408"/>
      <c r="U849" s="408"/>
      <c r="V849" s="408"/>
      <c r="W849" s="408"/>
      <c r="X849" s="408"/>
      <c r="Y849" s="408"/>
      <c r="Z849" s="408"/>
    </row>
    <row r="850" ht="14.25" customHeight="1">
      <c r="A850" s="408"/>
      <c r="B850" s="408"/>
      <c r="C850" s="552"/>
      <c r="D850" s="408"/>
      <c r="E850" s="408"/>
      <c r="F850" s="408"/>
      <c r="G850" s="408"/>
      <c r="H850" s="408"/>
      <c r="I850" s="408"/>
      <c r="J850" s="408"/>
      <c r="K850" s="408"/>
      <c r="L850" s="408"/>
      <c r="M850" s="408"/>
      <c r="N850" s="408"/>
      <c r="O850" s="408"/>
      <c r="P850" s="408"/>
      <c r="Q850" s="408"/>
      <c r="R850" s="408"/>
      <c r="S850" s="408"/>
      <c r="T850" s="408"/>
      <c r="U850" s="408"/>
      <c r="V850" s="408"/>
      <c r="W850" s="408"/>
      <c r="X850" s="408"/>
      <c r="Y850" s="408"/>
      <c r="Z850" s="408"/>
    </row>
    <row r="851" ht="14.25" customHeight="1">
      <c r="A851" s="408"/>
      <c r="B851" s="408"/>
      <c r="C851" s="552"/>
      <c r="D851" s="408"/>
      <c r="E851" s="408"/>
      <c r="F851" s="408"/>
      <c r="G851" s="408"/>
      <c r="H851" s="408"/>
      <c r="I851" s="408"/>
      <c r="J851" s="408"/>
      <c r="K851" s="408"/>
      <c r="L851" s="408"/>
      <c r="M851" s="408"/>
      <c r="N851" s="408"/>
      <c r="O851" s="408"/>
      <c r="P851" s="408"/>
      <c r="Q851" s="408"/>
      <c r="R851" s="408"/>
      <c r="S851" s="408"/>
      <c r="T851" s="408"/>
      <c r="U851" s="408"/>
      <c r="V851" s="408"/>
      <c r="W851" s="408"/>
      <c r="X851" s="408"/>
      <c r="Y851" s="408"/>
      <c r="Z851" s="408"/>
    </row>
    <row r="852" ht="14.25" customHeight="1">
      <c r="A852" s="408"/>
      <c r="B852" s="408"/>
      <c r="C852" s="552"/>
      <c r="D852" s="408"/>
      <c r="E852" s="408"/>
      <c r="F852" s="408"/>
      <c r="G852" s="408"/>
      <c r="H852" s="408"/>
      <c r="I852" s="408"/>
      <c r="J852" s="408"/>
      <c r="K852" s="408"/>
      <c r="L852" s="408"/>
      <c r="M852" s="408"/>
      <c r="N852" s="408"/>
      <c r="O852" s="408"/>
      <c r="P852" s="408"/>
      <c r="Q852" s="408"/>
      <c r="R852" s="408"/>
      <c r="S852" s="408"/>
      <c r="T852" s="408"/>
      <c r="U852" s="408"/>
      <c r="V852" s="408"/>
      <c r="W852" s="408"/>
      <c r="X852" s="408"/>
      <c r="Y852" s="408"/>
      <c r="Z852" s="408"/>
    </row>
    <row r="853" ht="14.25" customHeight="1">
      <c r="A853" s="408"/>
      <c r="B853" s="408"/>
      <c r="C853" s="552"/>
      <c r="D853" s="408"/>
      <c r="E853" s="408"/>
      <c r="F853" s="408"/>
      <c r="G853" s="408"/>
      <c r="H853" s="408"/>
      <c r="I853" s="408"/>
      <c r="J853" s="408"/>
      <c r="K853" s="408"/>
      <c r="L853" s="408"/>
      <c r="M853" s="408"/>
      <c r="N853" s="408"/>
      <c r="O853" s="408"/>
      <c r="P853" s="408"/>
      <c r="Q853" s="408"/>
      <c r="R853" s="408"/>
      <c r="S853" s="408"/>
      <c r="T853" s="408"/>
      <c r="U853" s="408"/>
      <c r="V853" s="408"/>
      <c r="W853" s="408"/>
      <c r="X853" s="408"/>
      <c r="Y853" s="408"/>
      <c r="Z853" s="408"/>
    </row>
    <row r="854" ht="14.25" customHeight="1">
      <c r="A854" s="408"/>
      <c r="B854" s="408"/>
      <c r="C854" s="552"/>
      <c r="D854" s="408"/>
      <c r="E854" s="408"/>
      <c r="F854" s="408"/>
      <c r="G854" s="408"/>
      <c r="H854" s="408"/>
      <c r="I854" s="408"/>
      <c r="J854" s="408"/>
      <c r="K854" s="408"/>
      <c r="L854" s="408"/>
      <c r="M854" s="408"/>
      <c r="N854" s="408"/>
      <c r="O854" s="408"/>
      <c r="P854" s="408"/>
      <c r="Q854" s="408"/>
      <c r="R854" s="408"/>
      <c r="S854" s="408"/>
      <c r="T854" s="408"/>
      <c r="U854" s="408"/>
      <c r="V854" s="408"/>
      <c r="W854" s="408"/>
      <c r="X854" s="408"/>
      <c r="Y854" s="408"/>
      <c r="Z854" s="408"/>
    </row>
    <row r="855" ht="14.25" customHeight="1">
      <c r="A855" s="408"/>
      <c r="B855" s="408"/>
      <c r="C855" s="552"/>
      <c r="D855" s="408"/>
      <c r="E855" s="408"/>
      <c r="F855" s="408"/>
      <c r="G855" s="408"/>
      <c r="H855" s="408"/>
      <c r="I855" s="408"/>
      <c r="J855" s="408"/>
      <c r="K855" s="408"/>
      <c r="L855" s="408"/>
      <c r="M855" s="408"/>
      <c r="N855" s="408"/>
      <c r="O855" s="408"/>
      <c r="P855" s="408"/>
      <c r="Q855" s="408"/>
      <c r="R855" s="408"/>
      <c r="S855" s="408"/>
      <c r="T855" s="408"/>
      <c r="U855" s="408"/>
      <c r="V855" s="408"/>
      <c r="W855" s="408"/>
      <c r="X855" s="408"/>
      <c r="Y855" s="408"/>
      <c r="Z855" s="408"/>
    </row>
    <row r="856" ht="14.25" customHeight="1">
      <c r="A856" s="408"/>
      <c r="B856" s="408"/>
      <c r="C856" s="552"/>
      <c r="D856" s="408"/>
      <c r="E856" s="408"/>
      <c r="F856" s="408"/>
      <c r="G856" s="408"/>
      <c r="H856" s="408"/>
      <c r="I856" s="408"/>
      <c r="J856" s="408"/>
      <c r="K856" s="408"/>
      <c r="L856" s="408"/>
      <c r="M856" s="408"/>
      <c r="N856" s="408"/>
      <c r="O856" s="408"/>
      <c r="P856" s="408"/>
      <c r="Q856" s="408"/>
      <c r="R856" s="408"/>
      <c r="S856" s="408"/>
      <c r="T856" s="408"/>
      <c r="U856" s="408"/>
      <c r="V856" s="408"/>
      <c r="W856" s="408"/>
      <c r="X856" s="408"/>
      <c r="Y856" s="408"/>
      <c r="Z856" s="408"/>
    </row>
    <row r="857" ht="14.25" customHeight="1">
      <c r="A857" s="408"/>
      <c r="B857" s="408"/>
      <c r="C857" s="552"/>
      <c r="D857" s="408"/>
      <c r="E857" s="408"/>
      <c r="F857" s="408"/>
      <c r="G857" s="408"/>
      <c r="H857" s="408"/>
      <c r="I857" s="408"/>
      <c r="J857" s="408"/>
      <c r="K857" s="408"/>
      <c r="L857" s="408"/>
      <c r="M857" s="408"/>
      <c r="N857" s="408"/>
      <c r="O857" s="408"/>
      <c r="P857" s="408"/>
      <c r="Q857" s="408"/>
      <c r="R857" s="408"/>
      <c r="S857" s="408"/>
      <c r="T857" s="408"/>
      <c r="U857" s="408"/>
      <c r="V857" s="408"/>
      <c r="W857" s="408"/>
      <c r="X857" s="408"/>
      <c r="Y857" s="408"/>
      <c r="Z857" s="408"/>
    </row>
    <row r="858" ht="14.25" customHeight="1">
      <c r="A858" s="408"/>
      <c r="B858" s="408"/>
      <c r="C858" s="552"/>
      <c r="D858" s="408"/>
      <c r="E858" s="408"/>
      <c r="F858" s="408"/>
      <c r="G858" s="408"/>
      <c r="H858" s="408"/>
      <c r="I858" s="408"/>
      <c r="J858" s="408"/>
      <c r="K858" s="408"/>
      <c r="L858" s="408"/>
      <c r="M858" s="408"/>
      <c r="N858" s="408"/>
      <c r="O858" s="408"/>
      <c r="P858" s="408"/>
      <c r="Q858" s="408"/>
      <c r="R858" s="408"/>
      <c r="S858" s="408"/>
      <c r="T858" s="408"/>
      <c r="U858" s="408"/>
      <c r="V858" s="408"/>
      <c r="W858" s="408"/>
      <c r="X858" s="408"/>
      <c r="Y858" s="408"/>
      <c r="Z858" s="408"/>
    </row>
    <row r="859" ht="14.25" customHeight="1">
      <c r="A859" s="408"/>
      <c r="B859" s="408"/>
      <c r="C859" s="552"/>
      <c r="D859" s="408"/>
      <c r="E859" s="408"/>
      <c r="F859" s="408"/>
      <c r="G859" s="408"/>
      <c r="H859" s="408"/>
      <c r="I859" s="408"/>
      <c r="J859" s="408"/>
      <c r="K859" s="408"/>
      <c r="L859" s="408"/>
      <c r="M859" s="408"/>
      <c r="N859" s="408"/>
      <c r="O859" s="408"/>
      <c r="P859" s="408"/>
      <c r="Q859" s="408"/>
      <c r="R859" s="408"/>
      <c r="S859" s="408"/>
      <c r="T859" s="408"/>
      <c r="U859" s="408"/>
      <c r="V859" s="408"/>
      <c r="W859" s="408"/>
      <c r="X859" s="408"/>
      <c r="Y859" s="408"/>
      <c r="Z859" s="408"/>
    </row>
    <row r="860" ht="14.25" customHeight="1">
      <c r="A860" s="408"/>
      <c r="B860" s="408"/>
      <c r="C860" s="552"/>
      <c r="D860" s="408"/>
      <c r="E860" s="408"/>
      <c r="F860" s="408"/>
      <c r="G860" s="408"/>
      <c r="H860" s="408"/>
      <c r="I860" s="408"/>
      <c r="J860" s="408"/>
      <c r="K860" s="408"/>
      <c r="L860" s="408"/>
      <c r="M860" s="408"/>
      <c r="N860" s="408"/>
      <c r="O860" s="408"/>
      <c r="P860" s="408"/>
      <c r="Q860" s="408"/>
      <c r="R860" s="408"/>
      <c r="S860" s="408"/>
      <c r="T860" s="408"/>
      <c r="U860" s="408"/>
      <c r="V860" s="408"/>
      <c r="W860" s="408"/>
      <c r="X860" s="408"/>
      <c r="Y860" s="408"/>
      <c r="Z860" s="408"/>
    </row>
    <row r="861" ht="14.25" customHeight="1">
      <c r="A861" s="408"/>
      <c r="B861" s="408"/>
      <c r="C861" s="552"/>
      <c r="D861" s="408"/>
      <c r="E861" s="408"/>
      <c r="F861" s="408"/>
      <c r="G861" s="408"/>
      <c r="H861" s="408"/>
      <c r="I861" s="408"/>
      <c r="J861" s="408"/>
      <c r="K861" s="408"/>
      <c r="L861" s="408"/>
      <c r="M861" s="408"/>
      <c r="N861" s="408"/>
      <c r="O861" s="408"/>
      <c r="P861" s="408"/>
      <c r="Q861" s="408"/>
      <c r="R861" s="408"/>
      <c r="S861" s="408"/>
      <c r="T861" s="408"/>
      <c r="U861" s="408"/>
      <c r="V861" s="408"/>
      <c r="W861" s="408"/>
      <c r="X861" s="408"/>
      <c r="Y861" s="408"/>
      <c r="Z861" s="408"/>
    </row>
    <row r="862" ht="14.25" customHeight="1">
      <c r="A862" s="408"/>
      <c r="B862" s="408"/>
      <c r="C862" s="552"/>
      <c r="D862" s="408"/>
      <c r="E862" s="408"/>
      <c r="F862" s="408"/>
      <c r="G862" s="408"/>
      <c r="H862" s="408"/>
      <c r="I862" s="408"/>
      <c r="J862" s="408"/>
      <c r="K862" s="408"/>
      <c r="L862" s="408"/>
      <c r="M862" s="408"/>
      <c r="N862" s="408"/>
      <c r="O862" s="408"/>
      <c r="P862" s="408"/>
      <c r="Q862" s="408"/>
      <c r="R862" s="408"/>
      <c r="S862" s="408"/>
      <c r="T862" s="408"/>
      <c r="U862" s="408"/>
      <c r="V862" s="408"/>
      <c r="W862" s="408"/>
      <c r="X862" s="408"/>
      <c r="Y862" s="408"/>
      <c r="Z862" s="408"/>
    </row>
    <row r="863" ht="14.25" customHeight="1">
      <c r="A863" s="408"/>
      <c r="B863" s="408"/>
      <c r="C863" s="552"/>
      <c r="D863" s="408"/>
      <c r="E863" s="408"/>
      <c r="F863" s="408"/>
      <c r="G863" s="408"/>
      <c r="H863" s="408"/>
      <c r="I863" s="408"/>
      <c r="J863" s="408"/>
      <c r="K863" s="408"/>
      <c r="L863" s="408"/>
      <c r="M863" s="408"/>
      <c r="N863" s="408"/>
      <c r="O863" s="408"/>
      <c r="P863" s="408"/>
      <c r="Q863" s="408"/>
      <c r="R863" s="408"/>
      <c r="S863" s="408"/>
      <c r="T863" s="408"/>
      <c r="U863" s="408"/>
      <c r="V863" s="408"/>
      <c r="W863" s="408"/>
      <c r="X863" s="408"/>
      <c r="Y863" s="408"/>
      <c r="Z863" s="408"/>
    </row>
    <row r="864" ht="14.25" customHeight="1">
      <c r="A864" s="408"/>
      <c r="B864" s="408"/>
      <c r="C864" s="552"/>
      <c r="D864" s="408"/>
      <c r="E864" s="408"/>
      <c r="F864" s="408"/>
      <c r="G864" s="408"/>
      <c r="H864" s="408"/>
      <c r="I864" s="408"/>
      <c r="J864" s="408"/>
      <c r="K864" s="408"/>
      <c r="L864" s="408"/>
      <c r="M864" s="408"/>
      <c r="N864" s="408"/>
      <c r="O864" s="408"/>
      <c r="P864" s="408"/>
      <c r="Q864" s="408"/>
      <c r="R864" s="408"/>
      <c r="S864" s="408"/>
      <c r="T864" s="408"/>
      <c r="U864" s="408"/>
      <c r="V864" s="408"/>
      <c r="W864" s="408"/>
      <c r="X864" s="408"/>
      <c r="Y864" s="408"/>
      <c r="Z864" s="408"/>
    </row>
    <row r="865" ht="14.25" customHeight="1">
      <c r="A865" s="408"/>
      <c r="B865" s="408"/>
      <c r="C865" s="552"/>
      <c r="D865" s="408"/>
      <c r="E865" s="408"/>
      <c r="F865" s="408"/>
      <c r="G865" s="408"/>
      <c r="H865" s="408"/>
      <c r="I865" s="408"/>
      <c r="J865" s="408"/>
      <c r="K865" s="408"/>
      <c r="L865" s="408"/>
      <c r="M865" s="408"/>
      <c r="N865" s="408"/>
      <c r="O865" s="408"/>
      <c r="P865" s="408"/>
      <c r="Q865" s="408"/>
      <c r="R865" s="408"/>
      <c r="S865" s="408"/>
      <c r="T865" s="408"/>
      <c r="U865" s="408"/>
      <c r="V865" s="408"/>
      <c r="W865" s="408"/>
      <c r="X865" s="408"/>
      <c r="Y865" s="408"/>
      <c r="Z865" s="408"/>
    </row>
    <row r="866" ht="14.25" customHeight="1">
      <c r="A866" s="408"/>
      <c r="B866" s="408"/>
      <c r="C866" s="552"/>
      <c r="D866" s="408"/>
      <c r="E866" s="408"/>
      <c r="F866" s="408"/>
      <c r="G866" s="408"/>
      <c r="H866" s="408"/>
      <c r="I866" s="408"/>
      <c r="J866" s="408"/>
      <c r="K866" s="408"/>
      <c r="L866" s="408"/>
      <c r="M866" s="408"/>
      <c r="N866" s="408"/>
      <c r="O866" s="408"/>
      <c r="P866" s="408"/>
      <c r="Q866" s="408"/>
      <c r="R866" s="408"/>
      <c r="S866" s="408"/>
      <c r="T866" s="408"/>
      <c r="U866" s="408"/>
      <c r="V866" s="408"/>
      <c r="W866" s="408"/>
      <c r="X866" s="408"/>
      <c r="Y866" s="408"/>
      <c r="Z866" s="408"/>
    </row>
    <row r="867" ht="14.25" customHeight="1">
      <c r="A867" s="408"/>
      <c r="B867" s="408"/>
      <c r="C867" s="552"/>
      <c r="D867" s="408"/>
      <c r="E867" s="408"/>
      <c r="F867" s="408"/>
      <c r="G867" s="408"/>
      <c r="H867" s="408"/>
      <c r="I867" s="408"/>
      <c r="J867" s="408"/>
      <c r="K867" s="408"/>
      <c r="L867" s="408"/>
      <c r="M867" s="408"/>
      <c r="N867" s="408"/>
      <c r="O867" s="408"/>
      <c r="P867" s="408"/>
      <c r="Q867" s="408"/>
      <c r="R867" s="408"/>
      <c r="S867" s="408"/>
      <c r="T867" s="408"/>
      <c r="U867" s="408"/>
      <c r="V867" s="408"/>
      <c r="W867" s="408"/>
      <c r="X867" s="408"/>
      <c r="Y867" s="408"/>
      <c r="Z867" s="408"/>
    </row>
    <row r="868" ht="14.25" customHeight="1">
      <c r="A868" s="408"/>
      <c r="B868" s="408"/>
      <c r="C868" s="552"/>
      <c r="D868" s="408"/>
      <c r="E868" s="408"/>
      <c r="F868" s="408"/>
      <c r="G868" s="408"/>
      <c r="H868" s="408"/>
      <c r="I868" s="408"/>
      <c r="J868" s="408"/>
      <c r="K868" s="408"/>
      <c r="L868" s="408"/>
      <c r="M868" s="408"/>
      <c r="N868" s="408"/>
      <c r="O868" s="408"/>
      <c r="P868" s="408"/>
      <c r="Q868" s="408"/>
      <c r="R868" s="408"/>
      <c r="S868" s="408"/>
      <c r="T868" s="408"/>
      <c r="U868" s="408"/>
      <c r="V868" s="408"/>
      <c r="W868" s="408"/>
      <c r="X868" s="408"/>
      <c r="Y868" s="408"/>
      <c r="Z868" s="408"/>
    </row>
    <row r="869" ht="14.25" customHeight="1">
      <c r="A869" s="408"/>
      <c r="B869" s="408"/>
      <c r="C869" s="552"/>
      <c r="D869" s="408"/>
      <c r="E869" s="408"/>
      <c r="F869" s="408"/>
      <c r="G869" s="408"/>
      <c r="H869" s="408"/>
      <c r="I869" s="408"/>
      <c r="J869" s="408"/>
      <c r="K869" s="408"/>
      <c r="L869" s="408"/>
      <c r="M869" s="408"/>
      <c r="N869" s="408"/>
      <c r="O869" s="408"/>
      <c r="P869" s="408"/>
      <c r="Q869" s="408"/>
      <c r="R869" s="408"/>
      <c r="S869" s="408"/>
      <c r="T869" s="408"/>
      <c r="U869" s="408"/>
      <c r="V869" s="408"/>
      <c r="W869" s="408"/>
      <c r="X869" s="408"/>
      <c r="Y869" s="408"/>
      <c r="Z869" s="408"/>
    </row>
    <row r="870" ht="14.25" customHeight="1">
      <c r="A870" s="408"/>
      <c r="B870" s="408"/>
      <c r="C870" s="552"/>
      <c r="D870" s="408"/>
      <c r="E870" s="408"/>
      <c r="F870" s="408"/>
      <c r="G870" s="408"/>
      <c r="H870" s="408"/>
      <c r="I870" s="408"/>
      <c r="J870" s="408"/>
      <c r="K870" s="408"/>
      <c r="L870" s="408"/>
      <c r="M870" s="408"/>
      <c r="N870" s="408"/>
      <c r="O870" s="408"/>
      <c r="P870" s="408"/>
      <c r="Q870" s="408"/>
      <c r="R870" s="408"/>
      <c r="S870" s="408"/>
      <c r="T870" s="408"/>
      <c r="U870" s="408"/>
      <c r="V870" s="408"/>
      <c r="W870" s="408"/>
      <c r="X870" s="408"/>
      <c r="Y870" s="408"/>
      <c r="Z870" s="408"/>
    </row>
    <row r="871" ht="14.25" customHeight="1">
      <c r="A871" s="408"/>
      <c r="B871" s="408"/>
      <c r="C871" s="552"/>
      <c r="D871" s="408"/>
      <c r="E871" s="408"/>
      <c r="F871" s="408"/>
      <c r="G871" s="408"/>
      <c r="H871" s="408"/>
      <c r="I871" s="408"/>
      <c r="J871" s="408"/>
      <c r="K871" s="408"/>
      <c r="L871" s="408"/>
      <c r="M871" s="408"/>
      <c r="N871" s="408"/>
      <c r="O871" s="408"/>
      <c r="P871" s="408"/>
      <c r="Q871" s="408"/>
      <c r="R871" s="408"/>
      <c r="S871" s="408"/>
      <c r="T871" s="408"/>
      <c r="U871" s="408"/>
      <c r="V871" s="408"/>
      <c r="W871" s="408"/>
      <c r="X871" s="408"/>
      <c r="Y871" s="408"/>
      <c r="Z871" s="408"/>
    </row>
    <row r="872" ht="14.25" customHeight="1">
      <c r="A872" s="408"/>
      <c r="B872" s="408"/>
      <c r="C872" s="552"/>
      <c r="D872" s="408"/>
      <c r="E872" s="408"/>
      <c r="F872" s="408"/>
      <c r="G872" s="408"/>
      <c r="H872" s="408"/>
      <c r="I872" s="408"/>
      <c r="J872" s="408"/>
      <c r="K872" s="408"/>
      <c r="L872" s="408"/>
      <c r="M872" s="408"/>
      <c r="N872" s="408"/>
      <c r="O872" s="408"/>
      <c r="P872" s="408"/>
      <c r="Q872" s="408"/>
      <c r="R872" s="408"/>
      <c r="S872" s="408"/>
      <c r="T872" s="408"/>
      <c r="U872" s="408"/>
      <c r="V872" s="408"/>
      <c r="W872" s="408"/>
      <c r="X872" s="408"/>
      <c r="Y872" s="408"/>
      <c r="Z872" s="408"/>
    </row>
    <row r="873" ht="14.25" customHeight="1">
      <c r="A873" s="408"/>
      <c r="B873" s="408"/>
      <c r="C873" s="552"/>
      <c r="D873" s="408"/>
      <c r="E873" s="408"/>
      <c r="F873" s="408"/>
      <c r="G873" s="408"/>
      <c r="H873" s="408"/>
      <c r="I873" s="408"/>
      <c r="J873" s="408"/>
      <c r="K873" s="408"/>
      <c r="L873" s="408"/>
      <c r="M873" s="408"/>
      <c r="N873" s="408"/>
      <c r="O873" s="408"/>
      <c r="P873" s="408"/>
      <c r="Q873" s="408"/>
      <c r="R873" s="408"/>
      <c r="S873" s="408"/>
      <c r="T873" s="408"/>
      <c r="U873" s="408"/>
      <c r="V873" s="408"/>
      <c r="W873" s="408"/>
      <c r="X873" s="408"/>
      <c r="Y873" s="408"/>
      <c r="Z873" s="408"/>
    </row>
    <row r="874" ht="14.25" customHeight="1">
      <c r="A874" s="408"/>
      <c r="B874" s="408"/>
      <c r="C874" s="552"/>
      <c r="D874" s="408"/>
      <c r="E874" s="408"/>
      <c r="F874" s="408"/>
      <c r="G874" s="408"/>
      <c r="H874" s="408"/>
      <c r="I874" s="408"/>
      <c r="J874" s="408"/>
      <c r="K874" s="408"/>
      <c r="L874" s="408"/>
      <c r="M874" s="408"/>
      <c r="N874" s="408"/>
      <c r="O874" s="408"/>
      <c r="P874" s="408"/>
      <c r="Q874" s="408"/>
      <c r="R874" s="408"/>
      <c r="S874" s="408"/>
      <c r="T874" s="408"/>
      <c r="U874" s="408"/>
      <c r="V874" s="408"/>
      <c r="W874" s="408"/>
      <c r="X874" s="408"/>
      <c r="Y874" s="408"/>
      <c r="Z874" s="408"/>
    </row>
    <row r="875" ht="14.25" customHeight="1">
      <c r="A875" s="408"/>
      <c r="B875" s="408"/>
      <c r="C875" s="552"/>
      <c r="D875" s="408"/>
      <c r="E875" s="408"/>
      <c r="F875" s="408"/>
      <c r="G875" s="408"/>
      <c r="H875" s="408"/>
      <c r="I875" s="408"/>
      <c r="J875" s="408"/>
      <c r="K875" s="408"/>
      <c r="L875" s="408"/>
      <c r="M875" s="408"/>
      <c r="N875" s="408"/>
      <c r="O875" s="408"/>
      <c r="P875" s="408"/>
      <c r="Q875" s="408"/>
      <c r="R875" s="408"/>
      <c r="S875" s="408"/>
      <c r="T875" s="408"/>
      <c r="U875" s="408"/>
      <c r="V875" s="408"/>
      <c r="W875" s="408"/>
      <c r="X875" s="408"/>
      <c r="Y875" s="408"/>
      <c r="Z875" s="408"/>
    </row>
    <row r="876" ht="14.25" customHeight="1">
      <c r="A876" s="408"/>
      <c r="B876" s="408"/>
      <c r="C876" s="552"/>
      <c r="D876" s="408"/>
      <c r="E876" s="408"/>
      <c r="F876" s="408"/>
      <c r="G876" s="408"/>
      <c r="H876" s="408"/>
      <c r="I876" s="408"/>
      <c r="J876" s="408"/>
      <c r="K876" s="408"/>
      <c r="L876" s="408"/>
      <c r="M876" s="408"/>
      <c r="N876" s="408"/>
      <c r="O876" s="408"/>
      <c r="P876" s="408"/>
      <c r="Q876" s="408"/>
      <c r="R876" s="408"/>
      <c r="S876" s="408"/>
      <c r="T876" s="408"/>
      <c r="U876" s="408"/>
      <c r="V876" s="408"/>
      <c r="W876" s="408"/>
      <c r="X876" s="408"/>
      <c r="Y876" s="408"/>
      <c r="Z876" s="408"/>
    </row>
    <row r="877" ht="14.25" customHeight="1">
      <c r="A877" s="408"/>
      <c r="B877" s="408"/>
      <c r="C877" s="552"/>
      <c r="D877" s="408"/>
      <c r="E877" s="408"/>
      <c r="F877" s="408"/>
      <c r="G877" s="408"/>
      <c r="H877" s="408"/>
      <c r="I877" s="408"/>
      <c r="J877" s="408"/>
      <c r="K877" s="408"/>
      <c r="L877" s="408"/>
      <c r="M877" s="408"/>
      <c r="N877" s="408"/>
      <c r="O877" s="408"/>
      <c r="P877" s="408"/>
      <c r="Q877" s="408"/>
      <c r="R877" s="408"/>
      <c r="S877" s="408"/>
      <c r="T877" s="408"/>
      <c r="U877" s="408"/>
      <c r="V877" s="408"/>
      <c r="W877" s="408"/>
      <c r="X877" s="408"/>
      <c r="Y877" s="408"/>
      <c r="Z877" s="408"/>
    </row>
    <row r="878" ht="14.25" customHeight="1">
      <c r="A878" s="408"/>
      <c r="B878" s="408"/>
      <c r="C878" s="552"/>
      <c r="D878" s="408"/>
      <c r="E878" s="408"/>
      <c r="F878" s="408"/>
      <c r="G878" s="408"/>
      <c r="H878" s="408"/>
      <c r="I878" s="408"/>
      <c r="J878" s="408"/>
      <c r="K878" s="408"/>
      <c r="L878" s="408"/>
      <c r="M878" s="408"/>
      <c r="N878" s="408"/>
      <c r="O878" s="408"/>
      <c r="P878" s="408"/>
      <c r="Q878" s="408"/>
      <c r="R878" s="408"/>
      <c r="S878" s="408"/>
      <c r="T878" s="408"/>
      <c r="U878" s="408"/>
      <c r="V878" s="408"/>
      <c r="W878" s="408"/>
      <c r="X878" s="408"/>
      <c r="Y878" s="408"/>
      <c r="Z878" s="408"/>
    </row>
    <row r="879" ht="14.25" customHeight="1">
      <c r="A879" s="408"/>
      <c r="B879" s="408"/>
      <c r="C879" s="552"/>
      <c r="D879" s="408"/>
      <c r="E879" s="408"/>
      <c r="F879" s="408"/>
      <c r="G879" s="408"/>
      <c r="H879" s="408"/>
      <c r="I879" s="408"/>
      <c r="J879" s="408"/>
      <c r="K879" s="408"/>
      <c r="L879" s="408"/>
      <c r="M879" s="408"/>
      <c r="N879" s="408"/>
      <c r="O879" s="408"/>
      <c r="P879" s="408"/>
      <c r="Q879" s="408"/>
      <c r="R879" s="408"/>
      <c r="S879" s="408"/>
      <c r="T879" s="408"/>
      <c r="U879" s="408"/>
      <c r="V879" s="408"/>
      <c r="W879" s="408"/>
      <c r="X879" s="408"/>
      <c r="Y879" s="408"/>
      <c r="Z879" s="408"/>
    </row>
    <row r="880" ht="14.25" customHeight="1">
      <c r="A880" s="408"/>
      <c r="B880" s="408"/>
      <c r="C880" s="552"/>
      <c r="D880" s="408"/>
      <c r="E880" s="408"/>
      <c r="F880" s="408"/>
      <c r="G880" s="408"/>
      <c r="H880" s="408"/>
      <c r="I880" s="408"/>
      <c r="J880" s="408"/>
      <c r="K880" s="408"/>
      <c r="L880" s="408"/>
      <c r="M880" s="408"/>
      <c r="N880" s="408"/>
      <c r="O880" s="408"/>
      <c r="P880" s="408"/>
      <c r="Q880" s="408"/>
      <c r="R880" s="408"/>
      <c r="S880" s="408"/>
      <c r="T880" s="408"/>
      <c r="U880" s="408"/>
      <c r="V880" s="408"/>
      <c r="W880" s="408"/>
      <c r="X880" s="408"/>
      <c r="Y880" s="408"/>
      <c r="Z880" s="408"/>
    </row>
    <row r="881" ht="14.25" customHeight="1">
      <c r="A881" s="408"/>
      <c r="B881" s="408"/>
      <c r="C881" s="552"/>
      <c r="D881" s="408"/>
      <c r="E881" s="408"/>
      <c r="F881" s="408"/>
      <c r="G881" s="408"/>
      <c r="H881" s="408"/>
      <c r="I881" s="408"/>
      <c r="J881" s="408"/>
      <c r="K881" s="408"/>
      <c r="L881" s="408"/>
      <c r="M881" s="408"/>
      <c r="N881" s="408"/>
      <c r="O881" s="408"/>
      <c r="P881" s="408"/>
      <c r="Q881" s="408"/>
      <c r="R881" s="408"/>
      <c r="S881" s="408"/>
      <c r="T881" s="408"/>
      <c r="U881" s="408"/>
      <c r="V881" s="408"/>
      <c r="W881" s="408"/>
      <c r="X881" s="408"/>
      <c r="Y881" s="408"/>
      <c r="Z881" s="408"/>
    </row>
    <row r="882" ht="14.25" customHeight="1">
      <c r="A882" s="408"/>
      <c r="B882" s="408"/>
      <c r="C882" s="552"/>
      <c r="D882" s="408"/>
      <c r="E882" s="408"/>
      <c r="F882" s="408"/>
      <c r="G882" s="408"/>
      <c r="H882" s="408"/>
      <c r="I882" s="408"/>
      <c r="J882" s="408"/>
      <c r="K882" s="408"/>
      <c r="L882" s="408"/>
      <c r="M882" s="408"/>
      <c r="N882" s="408"/>
      <c r="O882" s="408"/>
      <c r="P882" s="408"/>
      <c r="Q882" s="408"/>
      <c r="R882" s="408"/>
      <c r="S882" s="408"/>
      <c r="T882" s="408"/>
      <c r="U882" s="408"/>
      <c r="V882" s="408"/>
      <c r="W882" s="408"/>
      <c r="X882" s="408"/>
      <c r="Y882" s="408"/>
      <c r="Z882" s="408"/>
    </row>
    <row r="883" ht="14.25" customHeight="1">
      <c r="A883" s="408"/>
      <c r="B883" s="408"/>
      <c r="C883" s="552"/>
      <c r="D883" s="408"/>
      <c r="E883" s="408"/>
      <c r="F883" s="408"/>
      <c r="G883" s="408"/>
      <c r="H883" s="408"/>
      <c r="I883" s="408"/>
      <c r="J883" s="408"/>
      <c r="K883" s="408"/>
      <c r="L883" s="408"/>
      <c r="M883" s="408"/>
      <c r="N883" s="408"/>
      <c r="O883" s="408"/>
      <c r="P883" s="408"/>
      <c r="Q883" s="408"/>
      <c r="R883" s="408"/>
      <c r="S883" s="408"/>
      <c r="T883" s="408"/>
      <c r="U883" s="408"/>
      <c r="V883" s="408"/>
      <c r="W883" s="408"/>
      <c r="X883" s="408"/>
      <c r="Y883" s="408"/>
      <c r="Z883" s="408"/>
    </row>
    <row r="884" ht="14.25" customHeight="1">
      <c r="A884" s="408"/>
      <c r="B884" s="408"/>
      <c r="C884" s="552"/>
      <c r="D884" s="408"/>
      <c r="E884" s="408"/>
      <c r="F884" s="408"/>
      <c r="G884" s="408"/>
      <c r="H884" s="408"/>
      <c r="I884" s="408"/>
      <c r="J884" s="408"/>
      <c r="K884" s="408"/>
      <c r="L884" s="408"/>
      <c r="M884" s="408"/>
      <c r="N884" s="408"/>
      <c r="O884" s="408"/>
      <c r="P884" s="408"/>
      <c r="Q884" s="408"/>
      <c r="R884" s="408"/>
      <c r="S884" s="408"/>
      <c r="T884" s="408"/>
      <c r="U884" s="408"/>
      <c r="V884" s="408"/>
      <c r="W884" s="408"/>
      <c r="X884" s="408"/>
      <c r="Y884" s="408"/>
      <c r="Z884" s="408"/>
    </row>
    <row r="885" ht="14.25" customHeight="1">
      <c r="A885" s="408"/>
      <c r="B885" s="408"/>
      <c r="C885" s="552"/>
      <c r="D885" s="408"/>
      <c r="E885" s="408"/>
      <c r="F885" s="408"/>
      <c r="G885" s="408"/>
      <c r="H885" s="408"/>
      <c r="I885" s="408"/>
      <c r="J885" s="408"/>
      <c r="K885" s="408"/>
      <c r="L885" s="408"/>
      <c r="M885" s="408"/>
      <c r="N885" s="408"/>
      <c r="O885" s="408"/>
      <c r="P885" s="408"/>
      <c r="Q885" s="408"/>
      <c r="R885" s="408"/>
      <c r="S885" s="408"/>
      <c r="T885" s="408"/>
      <c r="U885" s="408"/>
      <c r="V885" s="408"/>
      <c r="W885" s="408"/>
      <c r="X885" s="408"/>
      <c r="Y885" s="408"/>
      <c r="Z885" s="408"/>
    </row>
    <row r="886" ht="14.25" customHeight="1">
      <c r="A886" s="408"/>
      <c r="B886" s="408"/>
      <c r="C886" s="552"/>
      <c r="D886" s="408"/>
      <c r="E886" s="408"/>
      <c r="F886" s="408"/>
      <c r="G886" s="408"/>
      <c r="H886" s="408"/>
      <c r="I886" s="408"/>
      <c r="J886" s="408"/>
      <c r="K886" s="408"/>
      <c r="L886" s="408"/>
      <c r="M886" s="408"/>
      <c r="N886" s="408"/>
      <c r="O886" s="408"/>
      <c r="P886" s="408"/>
      <c r="Q886" s="408"/>
      <c r="R886" s="408"/>
      <c r="S886" s="408"/>
      <c r="T886" s="408"/>
      <c r="U886" s="408"/>
      <c r="V886" s="408"/>
      <c r="W886" s="408"/>
      <c r="X886" s="408"/>
      <c r="Y886" s="408"/>
      <c r="Z886" s="408"/>
    </row>
    <row r="887" ht="14.25" customHeight="1">
      <c r="A887" s="408"/>
      <c r="B887" s="408"/>
      <c r="C887" s="552"/>
      <c r="D887" s="408"/>
      <c r="E887" s="408"/>
      <c r="F887" s="408"/>
      <c r="G887" s="408"/>
      <c r="H887" s="408"/>
      <c r="I887" s="408"/>
      <c r="J887" s="408"/>
      <c r="K887" s="408"/>
      <c r="L887" s="408"/>
      <c r="M887" s="408"/>
      <c r="N887" s="408"/>
      <c r="O887" s="408"/>
      <c r="P887" s="408"/>
      <c r="Q887" s="408"/>
      <c r="R887" s="408"/>
      <c r="S887" s="408"/>
      <c r="T887" s="408"/>
      <c r="U887" s="408"/>
      <c r="V887" s="408"/>
      <c r="W887" s="408"/>
      <c r="X887" s="408"/>
      <c r="Y887" s="408"/>
      <c r="Z887" s="408"/>
    </row>
    <row r="888" ht="14.25" customHeight="1">
      <c r="A888" s="408"/>
      <c r="B888" s="408"/>
      <c r="C888" s="552"/>
      <c r="D888" s="408"/>
      <c r="E888" s="408"/>
      <c r="F888" s="408"/>
      <c r="G888" s="408"/>
      <c r="H888" s="408"/>
      <c r="I888" s="408"/>
      <c r="J888" s="408"/>
      <c r="K888" s="408"/>
      <c r="L888" s="408"/>
      <c r="M888" s="408"/>
      <c r="N888" s="408"/>
      <c r="O888" s="408"/>
      <c r="P888" s="408"/>
      <c r="Q888" s="408"/>
      <c r="R888" s="408"/>
      <c r="S888" s="408"/>
      <c r="T888" s="408"/>
      <c r="U888" s="408"/>
      <c r="V888" s="408"/>
      <c r="W888" s="408"/>
      <c r="X888" s="408"/>
      <c r="Y888" s="408"/>
      <c r="Z888" s="408"/>
    </row>
    <row r="889" ht="14.25" customHeight="1">
      <c r="A889" s="408"/>
      <c r="B889" s="408"/>
      <c r="C889" s="552"/>
      <c r="D889" s="408"/>
      <c r="E889" s="408"/>
      <c r="F889" s="408"/>
      <c r="G889" s="408"/>
      <c r="H889" s="408"/>
      <c r="I889" s="408"/>
      <c r="J889" s="408"/>
      <c r="K889" s="408"/>
      <c r="L889" s="408"/>
      <c r="M889" s="408"/>
      <c r="N889" s="408"/>
      <c r="O889" s="408"/>
      <c r="P889" s="408"/>
      <c r="Q889" s="408"/>
      <c r="R889" s="408"/>
      <c r="S889" s="408"/>
      <c r="T889" s="408"/>
      <c r="U889" s="408"/>
      <c r="V889" s="408"/>
      <c r="W889" s="408"/>
      <c r="X889" s="408"/>
      <c r="Y889" s="408"/>
      <c r="Z889" s="408"/>
    </row>
    <row r="890" ht="14.25" customHeight="1">
      <c r="A890" s="408"/>
      <c r="B890" s="408"/>
      <c r="C890" s="552"/>
      <c r="D890" s="408"/>
      <c r="E890" s="408"/>
      <c r="F890" s="408"/>
      <c r="G890" s="408"/>
      <c r="H890" s="408"/>
      <c r="I890" s="408"/>
      <c r="J890" s="408"/>
      <c r="K890" s="408"/>
      <c r="L890" s="408"/>
      <c r="M890" s="408"/>
      <c r="N890" s="408"/>
      <c r="O890" s="408"/>
      <c r="P890" s="408"/>
      <c r="Q890" s="408"/>
      <c r="R890" s="408"/>
      <c r="S890" s="408"/>
      <c r="T890" s="408"/>
      <c r="U890" s="408"/>
      <c r="V890" s="408"/>
      <c r="W890" s="408"/>
      <c r="X890" s="408"/>
      <c r="Y890" s="408"/>
      <c r="Z890" s="408"/>
    </row>
    <row r="891" ht="14.25" customHeight="1">
      <c r="A891" s="408"/>
      <c r="B891" s="408"/>
      <c r="C891" s="552"/>
      <c r="D891" s="408"/>
      <c r="E891" s="408"/>
      <c r="F891" s="408"/>
      <c r="G891" s="408"/>
      <c r="H891" s="408"/>
      <c r="I891" s="408"/>
      <c r="J891" s="408"/>
      <c r="K891" s="408"/>
      <c r="L891" s="408"/>
      <c r="M891" s="408"/>
      <c r="N891" s="408"/>
      <c r="O891" s="408"/>
      <c r="P891" s="408"/>
      <c r="Q891" s="408"/>
      <c r="R891" s="408"/>
      <c r="S891" s="408"/>
      <c r="T891" s="408"/>
      <c r="U891" s="408"/>
      <c r="V891" s="408"/>
      <c r="W891" s="408"/>
      <c r="X891" s="408"/>
      <c r="Y891" s="408"/>
      <c r="Z891" s="408"/>
    </row>
    <row r="892" ht="14.25" customHeight="1">
      <c r="A892" s="408"/>
      <c r="B892" s="408"/>
      <c r="C892" s="552"/>
      <c r="D892" s="408"/>
      <c r="E892" s="408"/>
      <c r="F892" s="408"/>
      <c r="G892" s="408"/>
      <c r="H892" s="408"/>
      <c r="I892" s="408"/>
      <c r="J892" s="408"/>
      <c r="K892" s="408"/>
      <c r="L892" s="408"/>
      <c r="M892" s="408"/>
      <c r="N892" s="408"/>
      <c r="O892" s="408"/>
      <c r="P892" s="408"/>
      <c r="Q892" s="408"/>
      <c r="R892" s="408"/>
      <c r="S892" s="408"/>
      <c r="T892" s="408"/>
      <c r="U892" s="408"/>
      <c r="V892" s="408"/>
      <c r="W892" s="408"/>
      <c r="X892" s="408"/>
      <c r="Y892" s="408"/>
      <c r="Z892" s="408"/>
    </row>
    <row r="893" ht="14.25" customHeight="1">
      <c r="A893" s="408"/>
      <c r="B893" s="408"/>
      <c r="C893" s="552"/>
      <c r="D893" s="408"/>
      <c r="E893" s="408"/>
      <c r="F893" s="408"/>
      <c r="G893" s="408"/>
      <c r="H893" s="408"/>
      <c r="I893" s="408"/>
      <c r="J893" s="408"/>
      <c r="K893" s="408"/>
      <c r="L893" s="408"/>
      <c r="M893" s="408"/>
      <c r="N893" s="408"/>
      <c r="O893" s="408"/>
      <c r="P893" s="408"/>
      <c r="Q893" s="408"/>
      <c r="R893" s="408"/>
      <c r="S893" s="408"/>
      <c r="T893" s="408"/>
      <c r="U893" s="408"/>
      <c r="V893" s="408"/>
      <c r="W893" s="408"/>
      <c r="X893" s="408"/>
      <c r="Y893" s="408"/>
      <c r="Z893" s="408"/>
    </row>
    <row r="894" ht="14.25" customHeight="1">
      <c r="A894" s="408"/>
      <c r="B894" s="408"/>
      <c r="C894" s="552"/>
      <c r="D894" s="408"/>
      <c r="E894" s="408"/>
      <c r="F894" s="408"/>
      <c r="G894" s="408"/>
      <c r="H894" s="408"/>
      <c r="I894" s="408"/>
      <c r="J894" s="408"/>
      <c r="K894" s="408"/>
      <c r="L894" s="408"/>
      <c r="M894" s="408"/>
      <c r="N894" s="408"/>
      <c r="O894" s="408"/>
      <c r="P894" s="408"/>
      <c r="Q894" s="408"/>
      <c r="R894" s="408"/>
      <c r="S894" s="408"/>
      <c r="T894" s="408"/>
      <c r="U894" s="408"/>
      <c r="V894" s="408"/>
      <c r="W894" s="408"/>
      <c r="X894" s="408"/>
      <c r="Y894" s="408"/>
      <c r="Z894" s="408"/>
    </row>
    <row r="895" ht="14.25" customHeight="1">
      <c r="A895" s="408"/>
      <c r="B895" s="408"/>
      <c r="C895" s="552"/>
      <c r="D895" s="408"/>
      <c r="E895" s="408"/>
      <c r="F895" s="408"/>
      <c r="G895" s="408"/>
      <c r="H895" s="408"/>
      <c r="I895" s="408"/>
      <c r="J895" s="408"/>
      <c r="K895" s="408"/>
      <c r="L895" s="408"/>
      <c r="M895" s="408"/>
      <c r="N895" s="408"/>
      <c r="O895" s="408"/>
      <c r="P895" s="408"/>
      <c r="Q895" s="408"/>
      <c r="R895" s="408"/>
      <c r="S895" s="408"/>
      <c r="T895" s="408"/>
      <c r="U895" s="408"/>
      <c r="V895" s="408"/>
      <c r="W895" s="408"/>
      <c r="X895" s="408"/>
      <c r="Y895" s="408"/>
      <c r="Z895" s="408"/>
    </row>
    <row r="896" ht="14.25" customHeight="1">
      <c r="A896" s="408"/>
      <c r="B896" s="408"/>
      <c r="C896" s="552"/>
      <c r="D896" s="408"/>
      <c r="E896" s="408"/>
      <c r="F896" s="408"/>
      <c r="G896" s="408"/>
      <c r="H896" s="408"/>
      <c r="I896" s="408"/>
      <c r="J896" s="408"/>
      <c r="K896" s="408"/>
      <c r="L896" s="408"/>
      <c r="M896" s="408"/>
      <c r="N896" s="408"/>
      <c r="O896" s="408"/>
      <c r="P896" s="408"/>
      <c r="Q896" s="408"/>
      <c r="R896" s="408"/>
      <c r="S896" s="408"/>
      <c r="T896" s="408"/>
      <c r="U896" s="408"/>
      <c r="V896" s="408"/>
      <c r="W896" s="408"/>
      <c r="X896" s="408"/>
      <c r="Y896" s="408"/>
      <c r="Z896" s="408"/>
    </row>
    <row r="897" ht="14.25" customHeight="1">
      <c r="A897" s="408"/>
      <c r="B897" s="408"/>
      <c r="C897" s="552"/>
      <c r="D897" s="408"/>
      <c r="E897" s="408"/>
      <c r="F897" s="408"/>
      <c r="G897" s="408"/>
      <c r="H897" s="408"/>
      <c r="I897" s="408"/>
      <c r="J897" s="408"/>
      <c r="K897" s="408"/>
      <c r="L897" s="408"/>
      <c r="M897" s="408"/>
      <c r="N897" s="408"/>
      <c r="O897" s="408"/>
      <c r="P897" s="408"/>
      <c r="Q897" s="408"/>
      <c r="R897" s="408"/>
      <c r="S897" s="408"/>
      <c r="T897" s="408"/>
      <c r="U897" s="408"/>
      <c r="V897" s="408"/>
      <c r="W897" s="408"/>
      <c r="X897" s="408"/>
      <c r="Y897" s="408"/>
      <c r="Z897" s="408"/>
    </row>
    <row r="898" ht="14.25" customHeight="1">
      <c r="A898" s="408"/>
      <c r="B898" s="408"/>
      <c r="C898" s="552"/>
      <c r="D898" s="408"/>
      <c r="E898" s="408"/>
      <c r="F898" s="408"/>
      <c r="G898" s="408"/>
      <c r="H898" s="408"/>
      <c r="I898" s="408"/>
      <c r="J898" s="408"/>
      <c r="K898" s="408"/>
      <c r="L898" s="408"/>
      <c r="M898" s="408"/>
      <c r="N898" s="408"/>
      <c r="O898" s="408"/>
      <c r="P898" s="408"/>
      <c r="Q898" s="408"/>
      <c r="R898" s="408"/>
      <c r="S898" s="408"/>
      <c r="T898" s="408"/>
      <c r="U898" s="408"/>
      <c r="V898" s="408"/>
      <c r="W898" s="408"/>
      <c r="X898" s="408"/>
      <c r="Y898" s="408"/>
      <c r="Z898" s="408"/>
    </row>
    <row r="899" ht="14.25" customHeight="1">
      <c r="A899" s="408"/>
      <c r="B899" s="408"/>
      <c r="C899" s="552"/>
      <c r="D899" s="408"/>
      <c r="E899" s="408"/>
      <c r="F899" s="408"/>
      <c r="G899" s="408"/>
      <c r="H899" s="408"/>
      <c r="I899" s="408"/>
      <c r="J899" s="408"/>
      <c r="K899" s="408"/>
      <c r="L899" s="408"/>
      <c r="M899" s="408"/>
      <c r="N899" s="408"/>
      <c r="O899" s="408"/>
      <c r="P899" s="408"/>
      <c r="Q899" s="408"/>
      <c r="R899" s="408"/>
      <c r="S899" s="408"/>
      <c r="T899" s="408"/>
      <c r="U899" s="408"/>
      <c r="V899" s="408"/>
      <c r="W899" s="408"/>
      <c r="X899" s="408"/>
      <c r="Y899" s="408"/>
      <c r="Z899" s="408"/>
    </row>
    <row r="900" ht="14.25" customHeight="1">
      <c r="A900" s="408"/>
      <c r="B900" s="408"/>
      <c r="C900" s="552"/>
      <c r="D900" s="408"/>
      <c r="E900" s="408"/>
      <c r="F900" s="408"/>
      <c r="G900" s="408"/>
      <c r="H900" s="408"/>
      <c r="I900" s="408"/>
      <c r="J900" s="408"/>
      <c r="K900" s="408"/>
      <c r="L900" s="408"/>
      <c r="M900" s="408"/>
      <c r="N900" s="408"/>
      <c r="O900" s="408"/>
      <c r="P900" s="408"/>
      <c r="Q900" s="408"/>
      <c r="R900" s="408"/>
      <c r="S900" s="408"/>
      <c r="T900" s="408"/>
      <c r="U900" s="408"/>
      <c r="V900" s="408"/>
      <c r="W900" s="408"/>
      <c r="X900" s="408"/>
      <c r="Y900" s="408"/>
      <c r="Z900" s="408"/>
    </row>
    <row r="901" ht="14.25" customHeight="1">
      <c r="A901" s="408"/>
      <c r="B901" s="408"/>
      <c r="C901" s="552"/>
      <c r="D901" s="408"/>
      <c r="E901" s="408"/>
      <c r="F901" s="408"/>
      <c r="G901" s="408"/>
      <c r="H901" s="408"/>
      <c r="I901" s="408"/>
      <c r="J901" s="408"/>
      <c r="K901" s="408"/>
      <c r="L901" s="408"/>
      <c r="M901" s="408"/>
      <c r="N901" s="408"/>
      <c r="O901" s="408"/>
      <c r="P901" s="408"/>
      <c r="Q901" s="408"/>
      <c r="R901" s="408"/>
      <c r="S901" s="408"/>
      <c r="T901" s="408"/>
      <c r="U901" s="408"/>
      <c r="V901" s="408"/>
      <c r="W901" s="408"/>
      <c r="X901" s="408"/>
      <c r="Y901" s="408"/>
      <c r="Z901" s="408"/>
    </row>
    <row r="902" ht="14.25" customHeight="1">
      <c r="A902" s="408"/>
      <c r="B902" s="408"/>
      <c r="C902" s="552"/>
      <c r="D902" s="408"/>
      <c r="E902" s="408"/>
      <c r="F902" s="408"/>
      <c r="G902" s="408"/>
      <c r="H902" s="408"/>
      <c r="I902" s="408"/>
      <c r="J902" s="408"/>
      <c r="K902" s="408"/>
      <c r="L902" s="408"/>
      <c r="M902" s="408"/>
      <c r="N902" s="408"/>
      <c r="O902" s="408"/>
      <c r="P902" s="408"/>
      <c r="Q902" s="408"/>
      <c r="R902" s="408"/>
      <c r="S902" s="408"/>
      <c r="T902" s="408"/>
      <c r="U902" s="408"/>
      <c r="V902" s="408"/>
      <c r="W902" s="408"/>
      <c r="X902" s="408"/>
      <c r="Y902" s="408"/>
      <c r="Z902" s="408"/>
    </row>
    <row r="903" ht="14.25" customHeight="1">
      <c r="A903" s="408"/>
      <c r="B903" s="408"/>
      <c r="C903" s="552"/>
      <c r="D903" s="408"/>
      <c r="E903" s="408"/>
      <c r="F903" s="408"/>
      <c r="G903" s="408"/>
      <c r="H903" s="408"/>
      <c r="I903" s="408"/>
      <c r="J903" s="408"/>
      <c r="K903" s="408"/>
      <c r="L903" s="408"/>
      <c r="M903" s="408"/>
      <c r="N903" s="408"/>
      <c r="O903" s="408"/>
      <c r="P903" s="408"/>
      <c r="Q903" s="408"/>
      <c r="R903" s="408"/>
      <c r="S903" s="408"/>
      <c r="T903" s="408"/>
      <c r="U903" s="408"/>
      <c r="V903" s="408"/>
      <c r="W903" s="408"/>
      <c r="X903" s="408"/>
      <c r="Y903" s="408"/>
      <c r="Z903" s="408"/>
    </row>
    <row r="904" ht="14.25" customHeight="1">
      <c r="A904" s="408"/>
      <c r="B904" s="408"/>
      <c r="C904" s="552"/>
      <c r="D904" s="408"/>
      <c r="E904" s="408"/>
      <c r="F904" s="408"/>
      <c r="G904" s="408"/>
      <c r="H904" s="408"/>
      <c r="I904" s="408"/>
      <c r="J904" s="408"/>
      <c r="K904" s="408"/>
      <c r="L904" s="408"/>
      <c r="M904" s="408"/>
      <c r="N904" s="408"/>
      <c r="O904" s="408"/>
      <c r="P904" s="408"/>
      <c r="Q904" s="408"/>
      <c r="R904" s="408"/>
      <c r="S904" s="408"/>
      <c r="T904" s="408"/>
      <c r="U904" s="408"/>
      <c r="V904" s="408"/>
      <c r="W904" s="408"/>
      <c r="X904" s="408"/>
      <c r="Y904" s="408"/>
      <c r="Z904" s="408"/>
    </row>
    <row r="905" ht="14.25" customHeight="1">
      <c r="A905" s="408"/>
      <c r="B905" s="408"/>
      <c r="C905" s="552"/>
      <c r="D905" s="408"/>
      <c r="E905" s="408"/>
      <c r="F905" s="408"/>
      <c r="G905" s="408"/>
      <c r="H905" s="408"/>
      <c r="I905" s="408"/>
      <c r="J905" s="408"/>
      <c r="K905" s="408"/>
      <c r="L905" s="408"/>
      <c r="M905" s="408"/>
      <c r="N905" s="408"/>
      <c r="O905" s="408"/>
      <c r="P905" s="408"/>
      <c r="Q905" s="408"/>
      <c r="R905" s="408"/>
      <c r="S905" s="408"/>
      <c r="T905" s="408"/>
      <c r="U905" s="408"/>
      <c r="V905" s="408"/>
      <c r="W905" s="408"/>
      <c r="X905" s="408"/>
      <c r="Y905" s="408"/>
      <c r="Z905" s="408"/>
    </row>
    <row r="906" ht="14.25" customHeight="1">
      <c r="A906" s="408"/>
      <c r="B906" s="408"/>
      <c r="C906" s="552"/>
      <c r="D906" s="408"/>
      <c r="E906" s="408"/>
      <c r="F906" s="408"/>
      <c r="G906" s="408"/>
      <c r="H906" s="408"/>
      <c r="I906" s="408"/>
      <c r="J906" s="408"/>
      <c r="K906" s="408"/>
      <c r="L906" s="408"/>
      <c r="M906" s="408"/>
      <c r="N906" s="408"/>
      <c r="O906" s="408"/>
      <c r="P906" s="408"/>
      <c r="Q906" s="408"/>
      <c r="R906" s="408"/>
      <c r="S906" s="408"/>
      <c r="T906" s="408"/>
      <c r="U906" s="408"/>
      <c r="V906" s="408"/>
      <c r="W906" s="408"/>
      <c r="X906" s="408"/>
      <c r="Y906" s="408"/>
      <c r="Z906" s="408"/>
    </row>
    <row r="907" ht="14.25" customHeight="1">
      <c r="A907" s="408"/>
      <c r="B907" s="408"/>
      <c r="C907" s="552"/>
      <c r="D907" s="408"/>
      <c r="E907" s="408"/>
      <c r="F907" s="408"/>
      <c r="G907" s="408"/>
      <c r="H907" s="408"/>
      <c r="I907" s="408"/>
      <c r="J907" s="408"/>
      <c r="K907" s="408"/>
      <c r="L907" s="408"/>
      <c r="M907" s="408"/>
      <c r="N907" s="408"/>
      <c r="O907" s="408"/>
      <c r="P907" s="408"/>
      <c r="Q907" s="408"/>
      <c r="R907" s="408"/>
      <c r="S907" s="408"/>
      <c r="T907" s="408"/>
      <c r="U907" s="408"/>
      <c r="V907" s="408"/>
      <c r="W907" s="408"/>
      <c r="X907" s="408"/>
      <c r="Y907" s="408"/>
      <c r="Z907" s="408"/>
    </row>
    <row r="908" ht="14.25" customHeight="1">
      <c r="A908" s="408"/>
      <c r="B908" s="408"/>
      <c r="C908" s="552"/>
      <c r="D908" s="408"/>
      <c r="E908" s="408"/>
      <c r="F908" s="408"/>
      <c r="G908" s="408"/>
      <c r="H908" s="408"/>
      <c r="I908" s="408"/>
      <c r="J908" s="408"/>
      <c r="K908" s="408"/>
      <c r="L908" s="408"/>
      <c r="M908" s="408"/>
      <c r="N908" s="408"/>
      <c r="O908" s="408"/>
      <c r="P908" s="408"/>
      <c r="Q908" s="408"/>
      <c r="R908" s="408"/>
      <c r="S908" s="408"/>
      <c r="T908" s="408"/>
      <c r="U908" s="408"/>
      <c r="V908" s="408"/>
      <c r="W908" s="408"/>
      <c r="X908" s="408"/>
      <c r="Y908" s="408"/>
      <c r="Z908" s="408"/>
    </row>
    <row r="909" ht="14.25" customHeight="1">
      <c r="A909" s="408"/>
      <c r="B909" s="408"/>
      <c r="C909" s="552"/>
      <c r="D909" s="408"/>
      <c r="E909" s="408"/>
      <c r="F909" s="408"/>
      <c r="G909" s="408"/>
      <c r="H909" s="408"/>
      <c r="I909" s="408"/>
      <c r="J909" s="408"/>
      <c r="K909" s="408"/>
      <c r="L909" s="408"/>
      <c r="M909" s="408"/>
      <c r="N909" s="408"/>
      <c r="O909" s="408"/>
      <c r="P909" s="408"/>
      <c r="Q909" s="408"/>
      <c r="R909" s="408"/>
      <c r="S909" s="408"/>
      <c r="T909" s="408"/>
      <c r="U909" s="408"/>
      <c r="V909" s="408"/>
      <c r="W909" s="408"/>
      <c r="X909" s="408"/>
      <c r="Y909" s="408"/>
      <c r="Z909" s="408"/>
    </row>
    <row r="910" ht="14.25" customHeight="1">
      <c r="A910" s="408"/>
      <c r="B910" s="408"/>
      <c r="C910" s="552"/>
      <c r="D910" s="408"/>
      <c r="E910" s="408"/>
      <c r="F910" s="408"/>
      <c r="G910" s="408"/>
      <c r="H910" s="408"/>
      <c r="I910" s="408"/>
      <c r="J910" s="408"/>
      <c r="K910" s="408"/>
      <c r="L910" s="408"/>
      <c r="M910" s="408"/>
      <c r="N910" s="408"/>
      <c r="O910" s="408"/>
      <c r="P910" s="408"/>
      <c r="Q910" s="408"/>
      <c r="R910" s="408"/>
      <c r="S910" s="408"/>
      <c r="T910" s="408"/>
      <c r="U910" s="408"/>
      <c r="V910" s="408"/>
      <c r="W910" s="408"/>
      <c r="X910" s="408"/>
      <c r="Y910" s="408"/>
      <c r="Z910" s="408"/>
    </row>
    <row r="911" ht="14.25" customHeight="1">
      <c r="A911" s="408"/>
      <c r="B911" s="408"/>
      <c r="C911" s="552"/>
      <c r="D911" s="408"/>
      <c r="E911" s="408"/>
      <c r="F911" s="408"/>
      <c r="G911" s="408"/>
      <c r="H911" s="408"/>
      <c r="I911" s="408"/>
      <c r="J911" s="408"/>
      <c r="K911" s="408"/>
      <c r="L911" s="408"/>
      <c r="M911" s="408"/>
      <c r="N911" s="408"/>
      <c r="O911" s="408"/>
      <c r="P911" s="408"/>
      <c r="Q911" s="408"/>
      <c r="R911" s="408"/>
      <c r="S911" s="408"/>
      <c r="T911" s="408"/>
      <c r="U911" s="408"/>
      <c r="V911" s="408"/>
      <c r="W911" s="408"/>
      <c r="X911" s="408"/>
      <c r="Y911" s="408"/>
      <c r="Z911" s="408"/>
    </row>
    <row r="912" ht="14.25" customHeight="1">
      <c r="A912" s="408"/>
      <c r="B912" s="408"/>
      <c r="C912" s="552"/>
      <c r="D912" s="408"/>
      <c r="E912" s="408"/>
      <c r="F912" s="408"/>
      <c r="G912" s="408"/>
      <c r="H912" s="408"/>
      <c r="I912" s="408"/>
      <c r="J912" s="408"/>
      <c r="K912" s="408"/>
      <c r="L912" s="408"/>
      <c r="M912" s="408"/>
      <c r="N912" s="408"/>
      <c r="O912" s="408"/>
      <c r="P912" s="408"/>
      <c r="Q912" s="408"/>
      <c r="R912" s="408"/>
      <c r="S912" s="408"/>
      <c r="T912" s="408"/>
      <c r="U912" s="408"/>
      <c r="V912" s="408"/>
      <c r="W912" s="408"/>
      <c r="X912" s="408"/>
      <c r="Y912" s="408"/>
      <c r="Z912" s="408"/>
    </row>
    <row r="913" ht="14.25" customHeight="1">
      <c r="A913" s="408"/>
      <c r="B913" s="408"/>
      <c r="C913" s="552"/>
      <c r="D913" s="408"/>
      <c r="E913" s="408"/>
      <c r="F913" s="408"/>
      <c r="G913" s="408"/>
      <c r="H913" s="408"/>
      <c r="I913" s="408"/>
      <c r="J913" s="408"/>
      <c r="K913" s="408"/>
      <c r="L913" s="408"/>
      <c r="M913" s="408"/>
      <c r="N913" s="408"/>
      <c r="O913" s="408"/>
      <c r="P913" s="408"/>
      <c r="Q913" s="408"/>
      <c r="R913" s="408"/>
      <c r="S913" s="408"/>
      <c r="T913" s="408"/>
      <c r="U913" s="408"/>
      <c r="V913" s="408"/>
      <c r="W913" s="408"/>
      <c r="X913" s="408"/>
      <c r="Y913" s="408"/>
      <c r="Z913" s="408"/>
    </row>
    <row r="914" ht="14.25" customHeight="1">
      <c r="A914" s="408"/>
      <c r="B914" s="408"/>
      <c r="C914" s="552"/>
      <c r="D914" s="408"/>
      <c r="E914" s="408"/>
      <c r="F914" s="408"/>
      <c r="G914" s="408"/>
      <c r="H914" s="408"/>
      <c r="I914" s="408"/>
      <c r="J914" s="408"/>
      <c r="K914" s="408"/>
      <c r="L914" s="408"/>
      <c r="M914" s="408"/>
      <c r="N914" s="408"/>
      <c r="O914" s="408"/>
      <c r="P914" s="408"/>
      <c r="Q914" s="408"/>
      <c r="R914" s="408"/>
      <c r="S914" s="408"/>
      <c r="T914" s="408"/>
      <c r="U914" s="408"/>
      <c r="V914" s="408"/>
      <c r="W914" s="408"/>
      <c r="X914" s="408"/>
      <c r="Y914" s="408"/>
      <c r="Z914" s="408"/>
    </row>
    <row r="915" ht="14.25" customHeight="1">
      <c r="A915" s="408"/>
      <c r="B915" s="408"/>
      <c r="C915" s="552"/>
      <c r="D915" s="408"/>
      <c r="E915" s="408"/>
      <c r="F915" s="408"/>
      <c r="G915" s="408"/>
      <c r="H915" s="408"/>
      <c r="I915" s="408"/>
      <c r="J915" s="408"/>
      <c r="K915" s="408"/>
      <c r="L915" s="408"/>
      <c r="M915" s="408"/>
      <c r="N915" s="408"/>
      <c r="O915" s="408"/>
      <c r="P915" s="408"/>
      <c r="Q915" s="408"/>
      <c r="R915" s="408"/>
      <c r="S915" s="408"/>
      <c r="T915" s="408"/>
      <c r="U915" s="408"/>
      <c r="V915" s="408"/>
      <c r="W915" s="408"/>
      <c r="X915" s="408"/>
      <c r="Y915" s="408"/>
      <c r="Z915" s="408"/>
    </row>
    <row r="916" ht="14.25" customHeight="1">
      <c r="A916" s="408"/>
      <c r="B916" s="408"/>
      <c r="C916" s="552"/>
      <c r="D916" s="408"/>
      <c r="E916" s="408"/>
      <c r="F916" s="408"/>
      <c r="G916" s="408"/>
      <c r="H916" s="408"/>
      <c r="I916" s="408"/>
      <c r="J916" s="408"/>
      <c r="K916" s="408"/>
      <c r="L916" s="408"/>
      <c r="M916" s="408"/>
      <c r="N916" s="408"/>
      <c r="O916" s="408"/>
      <c r="P916" s="408"/>
      <c r="Q916" s="408"/>
      <c r="R916" s="408"/>
      <c r="S916" s="408"/>
      <c r="T916" s="408"/>
      <c r="U916" s="408"/>
      <c r="V916" s="408"/>
      <c r="W916" s="408"/>
      <c r="X916" s="408"/>
      <c r="Y916" s="408"/>
      <c r="Z916" s="408"/>
    </row>
    <row r="917" ht="14.25" customHeight="1">
      <c r="A917" s="408"/>
      <c r="B917" s="408"/>
      <c r="C917" s="552"/>
      <c r="D917" s="408"/>
      <c r="E917" s="408"/>
      <c r="F917" s="408"/>
      <c r="G917" s="408"/>
      <c r="H917" s="408"/>
      <c r="I917" s="408"/>
      <c r="J917" s="408"/>
      <c r="K917" s="408"/>
      <c r="L917" s="408"/>
      <c r="M917" s="408"/>
      <c r="N917" s="408"/>
      <c r="O917" s="408"/>
      <c r="P917" s="408"/>
      <c r="Q917" s="408"/>
      <c r="R917" s="408"/>
      <c r="S917" s="408"/>
      <c r="T917" s="408"/>
      <c r="U917" s="408"/>
      <c r="V917" s="408"/>
      <c r="W917" s="408"/>
      <c r="X917" s="408"/>
      <c r="Y917" s="408"/>
      <c r="Z917" s="408"/>
    </row>
    <row r="918" ht="14.25" customHeight="1">
      <c r="A918" s="408"/>
      <c r="B918" s="408"/>
      <c r="C918" s="552"/>
      <c r="D918" s="408"/>
      <c r="E918" s="408"/>
      <c r="F918" s="408"/>
      <c r="G918" s="408"/>
      <c r="H918" s="408"/>
      <c r="I918" s="408"/>
      <c r="J918" s="408"/>
      <c r="K918" s="408"/>
      <c r="L918" s="408"/>
      <c r="M918" s="408"/>
      <c r="N918" s="408"/>
      <c r="O918" s="408"/>
      <c r="P918" s="408"/>
      <c r="Q918" s="408"/>
      <c r="R918" s="408"/>
      <c r="S918" s="408"/>
      <c r="T918" s="408"/>
      <c r="U918" s="408"/>
      <c r="V918" s="408"/>
      <c r="W918" s="408"/>
      <c r="X918" s="408"/>
      <c r="Y918" s="408"/>
      <c r="Z918" s="408"/>
    </row>
    <row r="919" ht="14.25" customHeight="1">
      <c r="A919" s="408"/>
      <c r="B919" s="408"/>
      <c r="C919" s="552"/>
      <c r="D919" s="408"/>
      <c r="E919" s="408"/>
      <c r="F919" s="408"/>
      <c r="G919" s="408"/>
      <c r="H919" s="408"/>
      <c r="I919" s="408"/>
      <c r="J919" s="408"/>
      <c r="K919" s="408"/>
      <c r="L919" s="408"/>
      <c r="M919" s="408"/>
      <c r="N919" s="408"/>
      <c r="O919" s="408"/>
      <c r="P919" s="408"/>
      <c r="Q919" s="408"/>
      <c r="R919" s="408"/>
      <c r="S919" s="408"/>
      <c r="T919" s="408"/>
      <c r="U919" s="408"/>
      <c r="V919" s="408"/>
      <c r="W919" s="408"/>
      <c r="X919" s="408"/>
      <c r="Y919" s="408"/>
      <c r="Z919" s="408"/>
    </row>
    <row r="920" ht="14.25" customHeight="1">
      <c r="A920" s="408"/>
      <c r="B920" s="408"/>
      <c r="C920" s="552"/>
      <c r="D920" s="408"/>
      <c r="E920" s="408"/>
      <c r="F920" s="408"/>
      <c r="G920" s="408"/>
      <c r="H920" s="408"/>
      <c r="I920" s="408"/>
      <c r="J920" s="408"/>
      <c r="K920" s="408"/>
      <c r="L920" s="408"/>
      <c r="M920" s="408"/>
      <c r="N920" s="408"/>
      <c r="O920" s="408"/>
      <c r="P920" s="408"/>
      <c r="Q920" s="408"/>
      <c r="R920" s="408"/>
      <c r="S920" s="408"/>
      <c r="T920" s="408"/>
      <c r="U920" s="408"/>
      <c r="V920" s="408"/>
      <c r="W920" s="408"/>
      <c r="X920" s="408"/>
      <c r="Y920" s="408"/>
      <c r="Z920" s="408"/>
    </row>
    <row r="921" ht="14.25" customHeight="1">
      <c r="A921" s="408"/>
      <c r="B921" s="408"/>
      <c r="C921" s="552"/>
      <c r="D921" s="408"/>
      <c r="E921" s="408"/>
      <c r="F921" s="408"/>
      <c r="G921" s="408"/>
      <c r="H921" s="408"/>
      <c r="I921" s="408"/>
      <c r="J921" s="408"/>
      <c r="K921" s="408"/>
      <c r="L921" s="408"/>
      <c r="M921" s="408"/>
      <c r="N921" s="408"/>
      <c r="O921" s="408"/>
      <c r="P921" s="408"/>
      <c r="Q921" s="408"/>
      <c r="R921" s="408"/>
      <c r="S921" s="408"/>
      <c r="T921" s="408"/>
      <c r="U921" s="408"/>
      <c r="V921" s="408"/>
      <c r="W921" s="408"/>
      <c r="X921" s="408"/>
      <c r="Y921" s="408"/>
      <c r="Z921" s="408"/>
    </row>
    <row r="922" ht="14.25" customHeight="1">
      <c r="A922" s="408"/>
      <c r="B922" s="408"/>
      <c r="C922" s="552"/>
      <c r="D922" s="408"/>
      <c r="E922" s="408"/>
      <c r="F922" s="408"/>
      <c r="G922" s="408"/>
      <c r="H922" s="408"/>
      <c r="I922" s="408"/>
      <c r="J922" s="408"/>
      <c r="K922" s="408"/>
      <c r="L922" s="408"/>
      <c r="M922" s="408"/>
      <c r="N922" s="408"/>
      <c r="O922" s="408"/>
      <c r="P922" s="408"/>
      <c r="Q922" s="408"/>
      <c r="R922" s="408"/>
      <c r="S922" s="408"/>
      <c r="T922" s="408"/>
      <c r="U922" s="408"/>
      <c r="V922" s="408"/>
      <c r="W922" s="408"/>
      <c r="X922" s="408"/>
      <c r="Y922" s="408"/>
      <c r="Z922" s="408"/>
    </row>
    <row r="923" ht="14.25" customHeight="1">
      <c r="A923" s="408"/>
      <c r="B923" s="408"/>
      <c r="C923" s="552"/>
      <c r="D923" s="408"/>
      <c r="E923" s="408"/>
      <c r="F923" s="408"/>
      <c r="G923" s="408"/>
      <c r="H923" s="408"/>
      <c r="I923" s="408"/>
      <c r="J923" s="408"/>
      <c r="K923" s="408"/>
      <c r="L923" s="408"/>
      <c r="M923" s="408"/>
      <c r="N923" s="408"/>
      <c r="O923" s="408"/>
      <c r="P923" s="408"/>
      <c r="Q923" s="408"/>
      <c r="R923" s="408"/>
      <c r="S923" s="408"/>
      <c r="T923" s="408"/>
      <c r="U923" s="408"/>
      <c r="V923" s="408"/>
      <c r="W923" s="408"/>
      <c r="X923" s="408"/>
      <c r="Y923" s="408"/>
      <c r="Z923" s="408"/>
    </row>
    <row r="924" ht="14.25" customHeight="1">
      <c r="A924" s="408"/>
      <c r="B924" s="408"/>
      <c r="C924" s="552"/>
      <c r="D924" s="408"/>
      <c r="E924" s="408"/>
      <c r="F924" s="408"/>
      <c r="G924" s="408"/>
      <c r="H924" s="408"/>
      <c r="I924" s="408"/>
      <c r="J924" s="408"/>
      <c r="K924" s="408"/>
      <c r="L924" s="408"/>
      <c r="M924" s="408"/>
      <c r="N924" s="408"/>
      <c r="O924" s="408"/>
      <c r="P924" s="408"/>
      <c r="Q924" s="408"/>
      <c r="R924" s="408"/>
      <c r="S924" s="408"/>
      <c r="T924" s="408"/>
      <c r="U924" s="408"/>
      <c r="V924" s="408"/>
      <c r="W924" s="408"/>
      <c r="X924" s="408"/>
      <c r="Y924" s="408"/>
      <c r="Z924" s="408"/>
    </row>
    <row r="925" ht="14.25" customHeight="1">
      <c r="A925" s="408"/>
      <c r="B925" s="408"/>
      <c r="C925" s="552"/>
      <c r="D925" s="408"/>
      <c r="E925" s="408"/>
      <c r="F925" s="408"/>
      <c r="G925" s="408"/>
      <c r="H925" s="408"/>
      <c r="I925" s="408"/>
      <c r="J925" s="408"/>
      <c r="K925" s="408"/>
      <c r="L925" s="408"/>
      <c r="M925" s="408"/>
      <c r="N925" s="408"/>
      <c r="O925" s="408"/>
      <c r="P925" s="408"/>
      <c r="Q925" s="408"/>
      <c r="R925" s="408"/>
      <c r="S925" s="408"/>
      <c r="T925" s="408"/>
      <c r="U925" s="408"/>
      <c r="V925" s="408"/>
      <c r="W925" s="408"/>
      <c r="X925" s="408"/>
      <c r="Y925" s="408"/>
      <c r="Z925" s="408"/>
    </row>
    <row r="926" ht="14.25" customHeight="1">
      <c r="A926" s="408"/>
      <c r="B926" s="408"/>
      <c r="C926" s="552"/>
      <c r="D926" s="408"/>
      <c r="E926" s="408"/>
      <c r="F926" s="408"/>
      <c r="G926" s="408"/>
      <c r="H926" s="408"/>
      <c r="I926" s="408"/>
      <c r="J926" s="408"/>
      <c r="K926" s="408"/>
      <c r="L926" s="408"/>
      <c r="M926" s="408"/>
      <c r="N926" s="408"/>
      <c r="O926" s="408"/>
      <c r="P926" s="408"/>
      <c r="Q926" s="408"/>
      <c r="R926" s="408"/>
      <c r="S926" s="408"/>
      <c r="T926" s="408"/>
      <c r="U926" s="408"/>
      <c r="V926" s="408"/>
      <c r="W926" s="408"/>
      <c r="X926" s="408"/>
      <c r="Y926" s="408"/>
      <c r="Z926" s="408"/>
    </row>
    <row r="927" ht="14.25" customHeight="1">
      <c r="A927" s="408"/>
      <c r="B927" s="408"/>
      <c r="C927" s="552"/>
      <c r="D927" s="408"/>
      <c r="E927" s="408"/>
      <c r="F927" s="408"/>
      <c r="G927" s="408"/>
      <c r="H927" s="408"/>
      <c r="I927" s="408"/>
      <c r="J927" s="408"/>
      <c r="K927" s="408"/>
      <c r="L927" s="408"/>
      <c r="M927" s="408"/>
      <c r="N927" s="408"/>
      <c r="O927" s="408"/>
      <c r="P927" s="408"/>
      <c r="Q927" s="408"/>
      <c r="R927" s="408"/>
      <c r="S927" s="408"/>
      <c r="T927" s="408"/>
      <c r="U927" s="408"/>
      <c r="V927" s="408"/>
      <c r="W927" s="408"/>
      <c r="X927" s="408"/>
      <c r="Y927" s="408"/>
      <c r="Z927" s="408"/>
    </row>
    <row r="928" ht="14.25" customHeight="1">
      <c r="A928" s="408"/>
      <c r="B928" s="408"/>
      <c r="C928" s="552"/>
      <c r="D928" s="408"/>
      <c r="E928" s="408"/>
      <c r="F928" s="408"/>
      <c r="G928" s="408"/>
      <c r="H928" s="408"/>
      <c r="I928" s="408"/>
      <c r="J928" s="408"/>
      <c r="K928" s="408"/>
      <c r="L928" s="408"/>
      <c r="M928" s="408"/>
      <c r="N928" s="408"/>
      <c r="O928" s="408"/>
      <c r="P928" s="408"/>
      <c r="Q928" s="408"/>
      <c r="R928" s="408"/>
      <c r="S928" s="408"/>
      <c r="T928" s="408"/>
      <c r="U928" s="408"/>
      <c r="V928" s="408"/>
      <c r="W928" s="408"/>
      <c r="X928" s="408"/>
      <c r="Y928" s="408"/>
      <c r="Z928" s="408"/>
    </row>
    <row r="929" ht="14.25" customHeight="1">
      <c r="A929" s="408"/>
      <c r="B929" s="408"/>
      <c r="C929" s="552"/>
      <c r="D929" s="408"/>
      <c r="E929" s="408"/>
      <c r="F929" s="408"/>
      <c r="G929" s="408"/>
      <c r="H929" s="408"/>
      <c r="I929" s="408"/>
      <c r="J929" s="408"/>
      <c r="K929" s="408"/>
      <c r="L929" s="408"/>
      <c r="M929" s="408"/>
      <c r="N929" s="408"/>
      <c r="O929" s="408"/>
      <c r="P929" s="408"/>
      <c r="Q929" s="408"/>
      <c r="R929" s="408"/>
      <c r="S929" s="408"/>
      <c r="T929" s="408"/>
      <c r="U929" s="408"/>
      <c r="V929" s="408"/>
      <c r="W929" s="408"/>
      <c r="X929" s="408"/>
      <c r="Y929" s="408"/>
      <c r="Z929" s="408"/>
    </row>
    <row r="930" ht="14.25" customHeight="1">
      <c r="A930" s="408"/>
      <c r="B930" s="408"/>
      <c r="C930" s="552"/>
      <c r="D930" s="408"/>
      <c r="E930" s="408"/>
      <c r="F930" s="408"/>
      <c r="G930" s="408"/>
      <c r="H930" s="408"/>
      <c r="I930" s="408"/>
      <c r="J930" s="408"/>
      <c r="K930" s="408"/>
      <c r="L930" s="408"/>
      <c r="M930" s="408"/>
      <c r="N930" s="408"/>
      <c r="O930" s="408"/>
      <c r="P930" s="408"/>
      <c r="Q930" s="408"/>
      <c r="R930" s="408"/>
      <c r="S930" s="408"/>
      <c r="T930" s="408"/>
      <c r="U930" s="408"/>
      <c r="V930" s="408"/>
      <c r="W930" s="408"/>
      <c r="X930" s="408"/>
      <c r="Y930" s="408"/>
      <c r="Z930" s="408"/>
    </row>
    <row r="931" ht="14.25" customHeight="1">
      <c r="A931" s="408"/>
      <c r="B931" s="408"/>
      <c r="C931" s="552"/>
      <c r="D931" s="408"/>
      <c r="E931" s="408"/>
      <c r="F931" s="408"/>
      <c r="G931" s="408"/>
      <c r="H931" s="408"/>
      <c r="I931" s="408"/>
      <c r="J931" s="408"/>
      <c r="K931" s="408"/>
      <c r="L931" s="408"/>
      <c r="M931" s="408"/>
      <c r="N931" s="408"/>
      <c r="O931" s="408"/>
      <c r="P931" s="408"/>
      <c r="Q931" s="408"/>
      <c r="R931" s="408"/>
      <c r="S931" s="408"/>
      <c r="T931" s="408"/>
      <c r="U931" s="408"/>
      <c r="V931" s="408"/>
      <c r="W931" s="408"/>
      <c r="X931" s="408"/>
      <c r="Y931" s="408"/>
      <c r="Z931" s="408"/>
    </row>
    <row r="932" ht="14.25" customHeight="1">
      <c r="A932" s="408"/>
      <c r="B932" s="408"/>
      <c r="C932" s="552"/>
      <c r="D932" s="408"/>
      <c r="E932" s="408"/>
      <c r="F932" s="408"/>
      <c r="G932" s="408"/>
      <c r="H932" s="408"/>
      <c r="I932" s="408"/>
      <c r="J932" s="408"/>
      <c r="K932" s="408"/>
      <c r="L932" s="408"/>
      <c r="M932" s="408"/>
      <c r="N932" s="408"/>
      <c r="O932" s="408"/>
      <c r="P932" s="408"/>
      <c r="Q932" s="408"/>
      <c r="R932" s="408"/>
      <c r="S932" s="408"/>
      <c r="T932" s="408"/>
      <c r="U932" s="408"/>
      <c r="V932" s="408"/>
      <c r="W932" s="408"/>
      <c r="X932" s="408"/>
      <c r="Y932" s="408"/>
      <c r="Z932" s="408"/>
    </row>
    <row r="933" ht="14.25" customHeight="1">
      <c r="A933" s="408"/>
      <c r="B933" s="408"/>
      <c r="C933" s="552"/>
      <c r="D933" s="408"/>
      <c r="E933" s="408"/>
      <c r="F933" s="408"/>
      <c r="G933" s="408"/>
      <c r="H933" s="408"/>
      <c r="I933" s="408"/>
      <c r="J933" s="408"/>
      <c r="K933" s="408"/>
      <c r="L933" s="408"/>
      <c r="M933" s="408"/>
      <c r="N933" s="408"/>
      <c r="O933" s="408"/>
      <c r="P933" s="408"/>
      <c r="Q933" s="408"/>
      <c r="R933" s="408"/>
      <c r="S933" s="408"/>
      <c r="T933" s="408"/>
      <c r="U933" s="408"/>
      <c r="V933" s="408"/>
      <c r="W933" s="408"/>
      <c r="X933" s="408"/>
      <c r="Y933" s="408"/>
      <c r="Z933" s="408"/>
    </row>
    <row r="934" ht="14.25" customHeight="1">
      <c r="A934" s="408"/>
      <c r="B934" s="408"/>
      <c r="C934" s="552"/>
      <c r="D934" s="408"/>
      <c r="E934" s="408"/>
      <c r="F934" s="408"/>
      <c r="G934" s="408"/>
      <c r="H934" s="408"/>
      <c r="I934" s="408"/>
      <c r="J934" s="408"/>
      <c r="K934" s="408"/>
      <c r="L934" s="408"/>
      <c r="M934" s="408"/>
      <c r="N934" s="408"/>
      <c r="O934" s="408"/>
      <c r="P934" s="408"/>
      <c r="Q934" s="408"/>
      <c r="R934" s="408"/>
      <c r="S934" s="408"/>
      <c r="T934" s="408"/>
      <c r="U934" s="408"/>
      <c r="V934" s="408"/>
      <c r="W934" s="408"/>
      <c r="X934" s="408"/>
      <c r="Y934" s="408"/>
      <c r="Z934" s="408"/>
    </row>
    <row r="935" ht="14.25" customHeight="1">
      <c r="A935" s="408"/>
      <c r="B935" s="408"/>
      <c r="C935" s="552"/>
      <c r="D935" s="408"/>
      <c r="E935" s="408"/>
      <c r="F935" s="408"/>
      <c r="G935" s="408"/>
      <c r="H935" s="408"/>
      <c r="I935" s="408"/>
      <c r="J935" s="408"/>
      <c r="K935" s="408"/>
      <c r="L935" s="408"/>
      <c r="M935" s="408"/>
      <c r="N935" s="408"/>
      <c r="O935" s="408"/>
      <c r="P935" s="408"/>
      <c r="Q935" s="408"/>
      <c r="R935" s="408"/>
      <c r="S935" s="408"/>
      <c r="T935" s="408"/>
      <c r="U935" s="408"/>
      <c r="V935" s="408"/>
      <c r="W935" s="408"/>
      <c r="X935" s="408"/>
      <c r="Y935" s="408"/>
      <c r="Z935" s="408"/>
    </row>
    <row r="936" ht="14.25" customHeight="1">
      <c r="A936" s="408"/>
      <c r="B936" s="408"/>
      <c r="C936" s="552"/>
      <c r="D936" s="408"/>
      <c r="E936" s="408"/>
      <c r="F936" s="408"/>
      <c r="G936" s="408"/>
      <c r="H936" s="408"/>
      <c r="I936" s="408"/>
      <c r="J936" s="408"/>
      <c r="K936" s="408"/>
      <c r="L936" s="408"/>
      <c r="M936" s="408"/>
      <c r="N936" s="408"/>
      <c r="O936" s="408"/>
      <c r="P936" s="408"/>
      <c r="Q936" s="408"/>
      <c r="R936" s="408"/>
      <c r="S936" s="408"/>
      <c r="T936" s="408"/>
      <c r="U936" s="408"/>
      <c r="V936" s="408"/>
      <c r="W936" s="408"/>
      <c r="X936" s="408"/>
      <c r="Y936" s="408"/>
      <c r="Z936" s="408"/>
    </row>
    <row r="937" ht="14.25" customHeight="1">
      <c r="A937" s="408"/>
      <c r="B937" s="408"/>
      <c r="C937" s="552"/>
      <c r="D937" s="408"/>
      <c r="E937" s="408"/>
      <c r="F937" s="408"/>
      <c r="G937" s="408"/>
      <c r="H937" s="408"/>
      <c r="I937" s="408"/>
      <c r="J937" s="408"/>
      <c r="K937" s="408"/>
      <c r="L937" s="408"/>
      <c r="M937" s="408"/>
      <c r="N937" s="408"/>
      <c r="O937" s="408"/>
      <c r="P937" s="408"/>
      <c r="Q937" s="408"/>
      <c r="R937" s="408"/>
      <c r="S937" s="408"/>
      <c r="T937" s="408"/>
      <c r="U937" s="408"/>
      <c r="V937" s="408"/>
      <c r="W937" s="408"/>
      <c r="X937" s="408"/>
      <c r="Y937" s="408"/>
      <c r="Z937" s="408"/>
    </row>
    <row r="938" ht="14.25" customHeight="1">
      <c r="A938" s="408"/>
      <c r="B938" s="408"/>
      <c r="C938" s="552"/>
      <c r="D938" s="408"/>
      <c r="E938" s="408"/>
      <c r="F938" s="408"/>
      <c r="G938" s="408"/>
      <c r="H938" s="408"/>
      <c r="I938" s="408"/>
      <c r="J938" s="408"/>
      <c r="K938" s="408"/>
      <c r="L938" s="408"/>
      <c r="M938" s="408"/>
      <c r="N938" s="408"/>
      <c r="O938" s="408"/>
      <c r="P938" s="408"/>
      <c r="Q938" s="408"/>
      <c r="R938" s="408"/>
      <c r="S938" s="408"/>
      <c r="T938" s="408"/>
      <c r="U938" s="408"/>
      <c r="V938" s="408"/>
      <c r="W938" s="408"/>
      <c r="X938" s="408"/>
      <c r="Y938" s="408"/>
      <c r="Z938" s="408"/>
    </row>
    <row r="939" ht="14.25" customHeight="1">
      <c r="A939" s="408"/>
      <c r="B939" s="408"/>
      <c r="C939" s="552"/>
      <c r="D939" s="408"/>
      <c r="E939" s="408"/>
      <c r="F939" s="408"/>
      <c r="G939" s="408"/>
      <c r="H939" s="408"/>
      <c r="I939" s="408"/>
      <c r="J939" s="408"/>
      <c r="K939" s="408"/>
      <c r="L939" s="408"/>
      <c r="M939" s="408"/>
      <c r="N939" s="408"/>
      <c r="O939" s="408"/>
      <c r="P939" s="408"/>
      <c r="Q939" s="408"/>
      <c r="R939" s="408"/>
      <c r="S939" s="408"/>
      <c r="T939" s="408"/>
      <c r="U939" s="408"/>
      <c r="V939" s="408"/>
      <c r="W939" s="408"/>
      <c r="X939" s="408"/>
      <c r="Y939" s="408"/>
      <c r="Z939" s="408"/>
    </row>
    <row r="940" ht="14.25" customHeight="1">
      <c r="A940" s="408"/>
      <c r="B940" s="408"/>
      <c r="C940" s="552"/>
      <c r="D940" s="408"/>
      <c r="E940" s="408"/>
      <c r="F940" s="408"/>
      <c r="G940" s="408"/>
      <c r="H940" s="408"/>
      <c r="I940" s="408"/>
      <c r="J940" s="408"/>
      <c r="K940" s="408"/>
      <c r="L940" s="408"/>
      <c r="M940" s="408"/>
      <c r="N940" s="408"/>
      <c r="O940" s="408"/>
      <c r="P940" s="408"/>
      <c r="Q940" s="408"/>
      <c r="R940" s="408"/>
      <c r="S940" s="408"/>
      <c r="T940" s="408"/>
      <c r="U940" s="408"/>
      <c r="V940" s="408"/>
      <c r="W940" s="408"/>
      <c r="X940" s="408"/>
      <c r="Y940" s="408"/>
      <c r="Z940" s="408"/>
    </row>
    <row r="941" ht="14.25" customHeight="1">
      <c r="A941" s="408"/>
      <c r="B941" s="408"/>
      <c r="C941" s="552"/>
      <c r="D941" s="408"/>
      <c r="E941" s="408"/>
      <c r="F941" s="408"/>
      <c r="G941" s="408"/>
      <c r="H941" s="408"/>
      <c r="I941" s="408"/>
      <c r="J941" s="408"/>
      <c r="K941" s="408"/>
      <c r="L941" s="408"/>
      <c r="M941" s="408"/>
      <c r="N941" s="408"/>
      <c r="O941" s="408"/>
      <c r="P941" s="408"/>
      <c r="Q941" s="408"/>
      <c r="R941" s="408"/>
      <c r="S941" s="408"/>
      <c r="T941" s="408"/>
      <c r="U941" s="408"/>
      <c r="V941" s="408"/>
      <c r="W941" s="408"/>
      <c r="X941" s="408"/>
      <c r="Y941" s="408"/>
      <c r="Z941" s="408"/>
    </row>
    <row r="942" ht="14.25" customHeight="1">
      <c r="A942" s="408"/>
      <c r="B942" s="408"/>
      <c r="C942" s="552"/>
      <c r="D942" s="408"/>
      <c r="E942" s="408"/>
      <c r="F942" s="408"/>
      <c r="G942" s="408"/>
      <c r="H942" s="408"/>
      <c r="I942" s="408"/>
      <c r="J942" s="408"/>
      <c r="K942" s="408"/>
      <c r="L942" s="408"/>
      <c r="M942" s="408"/>
      <c r="N942" s="408"/>
      <c r="O942" s="408"/>
      <c r="P942" s="408"/>
      <c r="Q942" s="408"/>
      <c r="R942" s="408"/>
      <c r="S942" s="408"/>
      <c r="T942" s="408"/>
      <c r="U942" s="408"/>
      <c r="V942" s="408"/>
      <c r="W942" s="408"/>
      <c r="X942" s="408"/>
      <c r="Y942" s="408"/>
      <c r="Z942" s="408"/>
    </row>
    <row r="943" ht="14.25" customHeight="1">
      <c r="A943" s="408"/>
      <c r="B943" s="408"/>
      <c r="C943" s="552"/>
      <c r="D943" s="408"/>
      <c r="E943" s="408"/>
      <c r="F943" s="408"/>
      <c r="G943" s="408"/>
      <c r="H943" s="408"/>
      <c r="I943" s="408"/>
      <c r="J943" s="408"/>
      <c r="K943" s="408"/>
      <c r="L943" s="408"/>
      <c r="M943" s="408"/>
      <c r="N943" s="408"/>
      <c r="O943" s="408"/>
      <c r="P943" s="408"/>
      <c r="Q943" s="408"/>
      <c r="R943" s="408"/>
      <c r="S943" s="408"/>
      <c r="T943" s="408"/>
      <c r="U943" s="408"/>
      <c r="V943" s="408"/>
      <c r="W943" s="408"/>
      <c r="X943" s="408"/>
      <c r="Y943" s="408"/>
      <c r="Z943" s="408"/>
    </row>
    <row r="944" ht="14.25" customHeight="1">
      <c r="A944" s="408"/>
      <c r="B944" s="408"/>
      <c r="C944" s="552"/>
      <c r="D944" s="408"/>
      <c r="E944" s="408"/>
      <c r="F944" s="408"/>
      <c r="G944" s="408"/>
      <c r="H944" s="408"/>
      <c r="I944" s="408"/>
      <c r="J944" s="408"/>
      <c r="K944" s="408"/>
      <c r="L944" s="408"/>
      <c r="M944" s="408"/>
      <c r="N944" s="408"/>
      <c r="O944" s="408"/>
      <c r="P944" s="408"/>
      <c r="Q944" s="408"/>
      <c r="R944" s="408"/>
      <c r="S944" s="408"/>
      <c r="T944" s="408"/>
      <c r="U944" s="408"/>
      <c r="V944" s="408"/>
      <c r="W944" s="408"/>
      <c r="X944" s="408"/>
      <c r="Y944" s="408"/>
      <c r="Z944" s="408"/>
    </row>
    <row r="945" ht="14.25" customHeight="1">
      <c r="A945" s="408"/>
      <c r="B945" s="408"/>
      <c r="C945" s="552"/>
      <c r="D945" s="408"/>
      <c r="E945" s="408"/>
      <c r="F945" s="408"/>
      <c r="G945" s="408"/>
      <c r="H945" s="408"/>
      <c r="I945" s="408"/>
      <c r="J945" s="408"/>
      <c r="K945" s="408"/>
      <c r="L945" s="408"/>
      <c r="M945" s="408"/>
      <c r="N945" s="408"/>
      <c r="O945" s="408"/>
      <c r="P945" s="408"/>
      <c r="Q945" s="408"/>
      <c r="R945" s="408"/>
      <c r="S945" s="408"/>
      <c r="T945" s="408"/>
      <c r="U945" s="408"/>
      <c r="V945" s="408"/>
      <c r="W945" s="408"/>
      <c r="X945" s="408"/>
      <c r="Y945" s="408"/>
      <c r="Z945" s="408"/>
    </row>
    <row r="946" ht="14.25" customHeight="1">
      <c r="A946" s="408"/>
      <c r="B946" s="408"/>
      <c r="C946" s="552"/>
      <c r="D946" s="408"/>
      <c r="E946" s="408"/>
      <c r="F946" s="408"/>
      <c r="G946" s="408"/>
      <c r="H946" s="408"/>
      <c r="I946" s="408"/>
      <c r="J946" s="408"/>
      <c r="K946" s="408"/>
      <c r="L946" s="408"/>
      <c r="M946" s="408"/>
      <c r="N946" s="408"/>
      <c r="O946" s="408"/>
      <c r="P946" s="408"/>
      <c r="Q946" s="408"/>
      <c r="R946" s="408"/>
      <c r="S946" s="408"/>
      <c r="T946" s="408"/>
      <c r="U946" s="408"/>
      <c r="V946" s="408"/>
      <c r="W946" s="408"/>
      <c r="X946" s="408"/>
      <c r="Y946" s="408"/>
      <c r="Z946" s="408"/>
    </row>
    <row r="947" ht="14.25" customHeight="1">
      <c r="A947" s="408"/>
      <c r="B947" s="408"/>
      <c r="C947" s="552"/>
      <c r="D947" s="408"/>
      <c r="E947" s="408"/>
      <c r="F947" s="408"/>
      <c r="G947" s="408"/>
      <c r="H947" s="408"/>
      <c r="I947" s="408"/>
      <c r="J947" s="408"/>
      <c r="K947" s="408"/>
      <c r="L947" s="408"/>
      <c r="M947" s="408"/>
      <c r="N947" s="408"/>
      <c r="O947" s="408"/>
      <c r="P947" s="408"/>
      <c r="Q947" s="408"/>
      <c r="R947" s="408"/>
      <c r="S947" s="408"/>
      <c r="T947" s="408"/>
      <c r="U947" s="408"/>
      <c r="V947" s="408"/>
      <c r="W947" s="408"/>
      <c r="X947" s="408"/>
      <c r="Y947" s="408"/>
      <c r="Z947" s="408"/>
    </row>
    <row r="948" ht="14.25" customHeight="1">
      <c r="A948" s="408"/>
      <c r="B948" s="408"/>
      <c r="C948" s="552"/>
      <c r="D948" s="408"/>
      <c r="E948" s="408"/>
      <c r="F948" s="408"/>
      <c r="G948" s="408"/>
      <c r="H948" s="408"/>
      <c r="I948" s="408"/>
      <c r="J948" s="408"/>
      <c r="K948" s="408"/>
      <c r="L948" s="408"/>
      <c r="M948" s="408"/>
      <c r="N948" s="408"/>
      <c r="O948" s="408"/>
      <c r="P948" s="408"/>
      <c r="Q948" s="408"/>
      <c r="R948" s="408"/>
      <c r="S948" s="408"/>
      <c r="T948" s="408"/>
      <c r="U948" s="408"/>
      <c r="V948" s="408"/>
      <c r="W948" s="408"/>
      <c r="X948" s="408"/>
      <c r="Y948" s="408"/>
      <c r="Z948" s="408"/>
    </row>
    <row r="949" ht="14.25" customHeight="1">
      <c r="A949" s="408"/>
      <c r="B949" s="408"/>
      <c r="C949" s="552"/>
      <c r="D949" s="408"/>
      <c r="E949" s="408"/>
      <c r="F949" s="408"/>
      <c r="G949" s="408"/>
      <c r="H949" s="408"/>
      <c r="I949" s="408"/>
      <c r="J949" s="408"/>
      <c r="K949" s="408"/>
      <c r="L949" s="408"/>
      <c r="M949" s="408"/>
      <c r="N949" s="408"/>
      <c r="O949" s="408"/>
      <c r="P949" s="408"/>
      <c r="Q949" s="408"/>
      <c r="R949" s="408"/>
      <c r="S949" s="408"/>
      <c r="T949" s="408"/>
      <c r="U949" s="408"/>
      <c r="V949" s="408"/>
      <c r="W949" s="408"/>
      <c r="X949" s="408"/>
      <c r="Y949" s="408"/>
      <c r="Z949" s="408"/>
    </row>
    <row r="950" ht="14.25" customHeight="1">
      <c r="A950" s="408"/>
      <c r="B950" s="408"/>
      <c r="C950" s="552"/>
      <c r="D950" s="408"/>
      <c r="E950" s="408"/>
      <c r="F950" s="408"/>
      <c r="G950" s="408"/>
      <c r="H950" s="408"/>
      <c r="I950" s="408"/>
      <c r="J950" s="408"/>
      <c r="K950" s="408"/>
      <c r="L950" s="408"/>
      <c r="M950" s="408"/>
      <c r="N950" s="408"/>
      <c r="O950" s="408"/>
      <c r="P950" s="408"/>
      <c r="Q950" s="408"/>
      <c r="R950" s="408"/>
      <c r="S950" s="408"/>
      <c r="T950" s="408"/>
      <c r="U950" s="408"/>
      <c r="V950" s="408"/>
      <c r="W950" s="408"/>
      <c r="X950" s="408"/>
      <c r="Y950" s="408"/>
      <c r="Z950" s="408"/>
    </row>
    <row r="951" ht="14.25" customHeight="1">
      <c r="A951" s="408"/>
      <c r="B951" s="408"/>
      <c r="C951" s="552"/>
      <c r="D951" s="408"/>
      <c r="E951" s="408"/>
      <c r="F951" s="408"/>
      <c r="G951" s="408"/>
      <c r="H951" s="408"/>
      <c r="I951" s="408"/>
      <c r="J951" s="408"/>
      <c r="K951" s="408"/>
      <c r="L951" s="408"/>
      <c r="M951" s="408"/>
      <c r="N951" s="408"/>
      <c r="O951" s="408"/>
      <c r="P951" s="408"/>
      <c r="Q951" s="408"/>
      <c r="R951" s="408"/>
      <c r="S951" s="408"/>
      <c r="T951" s="408"/>
      <c r="U951" s="408"/>
      <c r="V951" s="408"/>
      <c r="W951" s="408"/>
      <c r="X951" s="408"/>
      <c r="Y951" s="408"/>
      <c r="Z951" s="408"/>
    </row>
    <row r="952" ht="14.25" customHeight="1">
      <c r="A952" s="408"/>
      <c r="B952" s="408"/>
      <c r="C952" s="552"/>
      <c r="D952" s="408"/>
      <c r="E952" s="408"/>
      <c r="F952" s="408"/>
      <c r="G952" s="408"/>
      <c r="H952" s="408"/>
      <c r="I952" s="408"/>
      <c r="J952" s="408"/>
      <c r="K952" s="408"/>
      <c r="L952" s="408"/>
      <c r="M952" s="408"/>
      <c r="N952" s="408"/>
      <c r="O952" s="408"/>
      <c r="P952" s="408"/>
      <c r="Q952" s="408"/>
      <c r="R952" s="408"/>
      <c r="S952" s="408"/>
      <c r="T952" s="408"/>
      <c r="U952" s="408"/>
      <c r="V952" s="408"/>
      <c r="W952" s="408"/>
      <c r="X952" s="408"/>
      <c r="Y952" s="408"/>
      <c r="Z952" s="408"/>
    </row>
    <row r="953" ht="14.25" customHeight="1">
      <c r="A953" s="408"/>
      <c r="B953" s="408"/>
      <c r="C953" s="552"/>
      <c r="D953" s="408"/>
      <c r="E953" s="408"/>
      <c r="F953" s="408"/>
      <c r="G953" s="408"/>
      <c r="H953" s="408"/>
      <c r="I953" s="408"/>
      <c r="J953" s="408"/>
      <c r="K953" s="408"/>
      <c r="L953" s="408"/>
      <c r="M953" s="408"/>
      <c r="N953" s="408"/>
      <c r="O953" s="408"/>
      <c r="P953" s="408"/>
      <c r="Q953" s="408"/>
      <c r="R953" s="408"/>
      <c r="S953" s="408"/>
      <c r="T953" s="408"/>
      <c r="U953" s="408"/>
      <c r="V953" s="408"/>
      <c r="W953" s="408"/>
      <c r="X953" s="408"/>
      <c r="Y953" s="408"/>
      <c r="Z953" s="408"/>
    </row>
    <row r="954" ht="14.25" customHeight="1">
      <c r="A954" s="408"/>
      <c r="B954" s="408"/>
      <c r="C954" s="552"/>
      <c r="D954" s="408"/>
      <c r="E954" s="408"/>
      <c r="F954" s="408"/>
      <c r="G954" s="408"/>
      <c r="H954" s="408"/>
      <c r="I954" s="408"/>
      <c r="J954" s="408"/>
      <c r="K954" s="408"/>
      <c r="L954" s="408"/>
      <c r="M954" s="408"/>
      <c r="N954" s="408"/>
      <c r="O954" s="408"/>
      <c r="P954" s="408"/>
      <c r="Q954" s="408"/>
      <c r="R954" s="408"/>
      <c r="S954" s="408"/>
      <c r="T954" s="408"/>
      <c r="U954" s="408"/>
      <c r="V954" s="408"/>
      <c r="W954" s="408"/>
      <c r="X954" s="408"/>
      <c r="Y954" s="408"/>
      <c r="Z954" s="408"/>
    </row>
    <row r="955" ht="14.25" customHeight="1">
      <c r="A955" s="408"/>
      <c r="B955" s="408"/>
      <c r="C955" s="552"/>
      <c r="D955" s="408"/>
      <c r="E955" s="408"/>
      <c r="F955" s="408"/>
      <c r="G955" s="408"/>
      <c r="H955" s="408"/>
      <c r="I955" s="408"/>
      <c r="J955" s="408"/>
      <c r="K955" s="408"/>
      <c r="L955" s="408"/>
      <c r="M955" s="408"/>
      <c r="N955" s="408"/>
      <c r="O955" s="408"/>
      <c r="P955" s="408"/>
      <c r="Q955" s="408"/>
      <c r="R955" s="408"/>
      <c r="S955" s="408"/>
      <c r="T955" s="408"/>
      <c r="U955" s="408"/>
      <c r="V955" s="408"/>
      <c r="W955" s="408"/>
      <c r="X955" s="408"/>
      <c r="Y955" s="408"/>
      <c r="Z955" s="408"/>
    </row>
    <row r="956" ht="14.25" customHeight="1">
      <c r="A956" s="408"/>
      <c r="B956" s="408"/>
      <c r="C956" s="552"/>
      <c r="D956" s="408"/>
      <c r="E956" s="408"/>
      <c r="F956" s="408"/>
      <c r="G956" s="408"/>
      <c r="H956" s="408"/>
      <c r="I956" s="408"/>
      <c r="J956" s="408"/>
      <c r="K956" s="408"/>
      <c r="L956" s="408"/>
      <c r="M956" s="408"/>
      <c r="N956" s="408"/>
      <c r="O956" s="408"/>
      <c r="P956" s="408"/>
      <c r="Q956" s="408"/>
      <c r="R956" s="408"/>
      <c r="S956" s="408"/>
      <c r="T956" s="408"/>
      <c r="U956" s="408"/>
      <c r="V956" s="408"/>
      <c r="W956" s="408"/>
      <c r="X956" s="408"/>
      <c r="Y956" s="408"/>
      <c r="Z956" s="408"/>
    </row>
    <row r="957" ht="14.25" customHeight="1">
      <c r="A957" s="408"/>
      <c r="B957" s="408"/>
      <c r="C957" s="552"/>
      <c r="D957" s="408"/>
      <c r="E957" s="408"/>
      <c r="F957" s="408"/>
      <c r="G957" s="408"/>
      <c r="H957" s="408"/>
      <c r="I957" s="408"/>
      <c r="J957" s="408"/>
      <c r="K957" s="408"/>
      <c r="L957" s="408"/>
      <c r="M957" s="408"/>
      <c r="N957" s="408"/>
      <c r="O957" s="408"/>
      <c r="P957" s="408"/>
      <c r="Q957" s="408"/>
      <c r="R957" s="408"/>
      <c r="S957" s="408"/>
      <c r="T957" s="408"/>
      <c r="U957" s="408"/>
      <c r="V957" s="408"/>
      <c r="W957" s="408"/>
      <c r="X957" s="408"/>
      <c r="Y957" s="408"/>
      <c r="Z957" s="408"/>
    </row>
    <row r="958" ht="14.25" customHeight="1">
      <c r="A958" s="408"/>
      <c r="B958" s="408"/>
      <c r="C958" s="552"/>
      <c r="D958" s="408"/>
      <c r="E958" s="408"/>
      <c r="F958" s="408"/>
      <c r="G958" s="408"/>
      <c r="H958" s="408"/>
      <c r="I958" s="408"/>
      <c r="J958" s="408"/>
      <c r="K958" s="408"/>
      <c r="L958" s="408"/>
      <c r="M958" s="408"/>
      <c r="N958" s="408"/>
      <c r="O958" s="408"/>
      <c r="P958" s="408"/>
      <c r="Q958" s="408"/>
      <c r="R958" s="408"/>
      <c r="S958" s="408"/>
      <c r="T958" s="408"/>
      <c r="U958" s="408"/>
      <c r="V958" s="408"/>
      <c r="W958" s="408"/>
      <c r="X958" s="408"/>
      <c r="Y958" s="408"/>
      <c r="Z958" s="408"/>
    </row>
    <row r="959" ht="14.25" customHeight="1">
      <c r="A959" s="408"/>
      <c r="B959" s="408"/>
      <c r="C959" s="552"/>
      <c r="D959" s="408"/>
      <c r="E959" s="408"/>
      <c r="F959" s="408"/>
      <c r="G959" s="408"/>
      <c r="H959" s="408"/>
      <c r="I959" s="408"/>
      <c r="J959" s="408"/>
      <c r="K959" s="408"/>
      <c r="L959" s="408"/>
      <c r="M959" s="408"/>
      <c r="N959" s="408"/>
      <c r="O959" s="408"/>
      <c r="P959" s="408"/>
      <c r="Q959" s="408"/>
      <c r="R959" s="408"/>
      <c r="S959" s="408"/>
      <c r="T959" s="408"/>
      <c r="U959" s="408"/>
      <c r="V959" s="408"/>
      <c r="W959" s="408"/>
      <c r="X959" s="408"/>
      <c r="Y959" s="408"/>
      <c r="Z959" s="408"/>
    </row>
    <row r="960" ht="14.25" customHeight="1">
      <c r="A960" s="408"/>
      <c r="B960" s="408"/>
      <c r="C960" s="552"/>
      <c r="D960" s="408"/>
      <c r="E960" s="408"/>
      <c r="F960" s="408"/>
      <c r="G960" s="408"/>
      <c r="H960" s="408"/>
      <c r="I960" s="408"/>
      <c r="J960" s="408"/>
      <c r="K960" s="408"/>
      <c r="L960" s="408"/>
      <c r="M960" s="408"/>
      <c r="N960" s="408"/>
      <c r="O960" s="408"/>
      <c r="P960" s="408"/>
      <c r="Q960" s="408"/>
      <c r="R960" s="408"/>
      <c r="S960" s="408"/>
      <c r="T960" s="408"/>
      <c r="U960" s="408"/>
      <c r="V960" s="408"/>
      <c r="W960" s="408"/>
      <c r="X960" s="408"/>
      <c r="Y960" s="408"/>
      <c r="Z960" s="408"/>
    </row>
    <row r="961" ht="14.25" customHeight="1">
      <c r="A961" s="408"/>
      <c r="B961" s="408"/>
      <c r="C961" s="552"/>
      <c r="D961" s="408"/>
      <c r="E961" s="408"/>
      <c r="F961" s="408"/>
      <c r="G961" s="408"/>
      <c r="H961" s="408"/>
      <c r="I961" s="408"/>
      <c r="J961" s="408"/>
      <c r="K961" s="408"/>
      <c r="L961" s="408"/>
      <c r="M961" s="408"/>
      <c r="N961" s="408"/>
      <c r="O961" s="408"/>
      <c r="P961" s="408"/>
      <c r="Q961" s="408"/>
      <c r="R961" s="408"/>
      <c r="S961" s="408"/>
      <c r="T961" s="408"/>
      <c r="U961" s="408"/>
      <c r="V961" s="408"/>
      <c r="W961" s="408"/>
      <c r="X961" s="408"/>
      <c r="Y961" s="408"/>
      <c r="Z961" s="408"/>
    </row>
    <row r="962" ht="14.25" customHeight="1">
      <c r="A962" s="408"/>
      <c r="B962" s="408"/>
      <c r="C962" s="552"/>
      <c r="D962" s="408"/>
      <c r="E962" s="408"/>
      <c r="F962" s="408"/>
      <c r="G962" s="408"/>
      <c r="H962" s="408"/>
      <c r="I962" s="408"/>
      <c r="J962" s="408"/>
      <c r="K962" s="408"/>
      <c r="L962" s="408"/>
      <c r="M962" s="408"/>
      <c r="N962" s="408"/>
      <c r="O962" s="408"/>
      <c r="P962" s="408"/>
      <c r="Q962" s="408"/>
      <c r="R962" s="408"/>
      <c r="S962" s="408"/>
      <c r="T962" s="408"/>
      <c r="U962" s="408"/>
      <c r="V962" s="408"/>
      <c r="W962" s="408"/>
      <c r="X962" s="408"/>
      <c r="Y962" s="408"/>
      <c r="Z962" s="408"/>
    </row>
    <row r="963" ht="14.25" customHeight="1">
      <c r="A963" s="408"/>
      <c r="B963" s="408"/>
      <c r="C963" s="552"/>
      <c r="D963" s="408"/>
      <c r="E963" s="408"/>
      <c r="F963" s="408"/>
      <c r="G963" s="408"/>
      <c r="H963" s="408"/>
      <c r="I963" s="408"/>
      <c r="J963" s="408"/>
      <c r="K963" s="408"/>
      <c r="L963" s="408"/>
      <c r="M963" s="408"/>
      <c r="N963" s="408"/>
      <c r="O963" s="408"/>
      <c r="P963" s="408"/>
      <c r="Q963" s="408"/>
      <c r="R963" s="408"/>
      <c r="S963" s="408"/>
      <c r="T963" s="408"/>
      <c r="U963" s="408"/>
      <c r="V963" s="408"/>
      <c r="W963" s="408"/>
      <c r="X963" s="408"/>
      <c r="Y963" s="408"/>
      <c r="Z963" s="408"/>
    </row>
    <row r="964" ht="14.25" customHeight="1">
      <c r="A964" s="408"/>
      <c r="B964" s="408"/>
      <c r="C964" s="552"/>
      <c r="D964" s="408"/>
      <c r="E964" s="408"/>
      <c r="F964" s="408"/>
      <c r="G964" s="408"/>
      <c r="H964" s="408"/>
      <c r="I964" s="408"/>
      <c r="J964" s="408"/>
      <c r="K964" s="408"/>
      <c r="L964" s="408"/>
      <c r="M964" s="408"/>
      <c r="N964" s="408"/>
      <c r="O964" s="408"/>
      <c r="P964" s="408"/>
      <c r="Q964" s="408"/>
      <c r="R964" s="408"/>
      <c r="S964" s="408"/>
      <c r="T964" s="408"/>
      <c r="U964" s="408"/>
      <c r="V964" s="408"/>
      <c r="W964" s="408"/>
      <c r="X964" s="408"/>
      <c r="Y964" s="408"/>
      <c r="Z964" s="408"/>
    </row>
    <row r="965" ht="14.25" customHeight="1">
      <c r="A965" s="408"/>
      <c r="B965" s="408"/>
      <c r="C965" s="552"/>
      <c r="D965" s="408"/>
      <c r="E965" s="408"/>
      <c r="F965" s="408"/>
      <c r="G965" s="408"/>
      <c r="H965" s="408"/>
      <c r="I965" s="408"/>
      <c r="J965" s="408"/>
      <c r="K965" s="408"/>
      <c r="L965" s="408"/>
      <c r="M965" s="408"/>
      <c r="N965" s="408"/>
      <c r="O965" s="408"/>
      <c r="P965" s="408"/>
      <c r="Q965" s="408"/>
      <c r="R965" s="408"/>
      <c r="S965" s="408"/>
      <c r="T965" s="408"/>
      <c r="U965" s="408"/>
      <c r="V965" s="408"/>
      <c r="W965" s="408"/>
      <c r="X965" s="408"/>
      <c r="Y965" s="408"/>
      <c r="Z965" s="408"/>
    </row>
    <row r="966" ht="14.25" customHeight="1">
      <c r="A966" s="408"/>
      <c r="B966" s="408"/>
      <c r="C966" s="552"/>
      <c r="D966" s="408"/>
      <c r="E966" s="408"/>
      <c r="F966" s="408"/>
      <c r="G966" s="408"/>
      <c r="H966" s="408"/>
      <c r="I966" s="408"/>
      <c r="J966" s="408"/>
      <c r="K966" s="408"/>
      <c r="L966" s="408"/>
      <c r="M966" s="408"/>
      <c r="N966" s="408"/>
      <c r="O966" s="408"/>
      <c r="P966" s="408"/>
      <c r="Q966" s="408"/>
      <c r="R966" s="408"/>
      <c r="S966" s="408"/>
      <c r="T966" s="408"/>
      <c r="U966" s="408"/>
      <c r="V966" s="408"/>
      <c r="W966" s="408"/>
      <c r="X966" s="408"/>
      <c r="Y966" s="408"/>
      <c r="Z966" s="408"/>
    </row>
    <row r="967" ht="14.25" customHeight="1">
      <c r="A967" s="408"/>
      <c r="B967" s="408"/>
      <c r="C967" s="552"/>
      <c r="D967" s="408"/>
      <c r="E967" s="408"/>
      <c r="F967" s="408"/>
      <c r="G967" s="408"/>
      <c r="H967" s="408"/>
      <c r="I967" s="408"/>
      <c r="J967" s="408"/>
      <c r="K967" s="408"/>
      <c r="L967" s="408"/>
      <c r="M967" s="408"/>
      <c r="N967" s="408"/>
      <c r="O967" s="408"/>
      <c r="P967" s="408"/>
      <c r="Q967" s="408"/>
      <c r="R967" s="408"/>
      <c r="S967" s="408"/>
      <c r="T967" s="408"/>
      <c r="U967" s="408"/>
      <c r="V967" s="408"/>
      <c r="W967" s="408"/>
      <c r="X967" s="408"/>
      <c r="Y967" s="408"/>
      <c r="Z967" s="408"/>
    </row>
    <row r="968" ht="14.25" customHeight="1">
      <c r="A968" s="408"/>
      <c r="B968" s="408"/>
      <c r="C968" s="552"/>
      <c r="D968" s="408"/>
      <c r="E968" s="408"/>
      <c r="F968" s="408"/>
      <c r="G968" s="408"/>
      <c r="H968" s="408"/>
      <c r="I968" s="408"/>
      <c r="J968" s="408"/>
      <c r="K968" s="408"/>
      <c r="L968" s="408"/>
      <c r="M968" s="408"/>
      <c r="N968" s="408"/>
      <c r="O968" s="408"/>
      <c r="P968" s="408"/>
      <c r="Q968" s="408"/>
      <c r="R968" s="408"/>
      <c r="S968" s="408"/>
      <c r="T968" s="408"/>
      <c r="U968" s="408"/>
      <c r="V968" s="408"/>
      <c r="W968" s="408"/>
      <c r="X968" s="408"/>
      <c r="Y968" s="408"/>
      <c r="Z968" s="408"/>
    </row>
    <row r="969" ht="14.25" customHeight="1">
      <c r="A969" s="408"/>
      <c r="B969" s="408"/>
      <c r="C969" s="552"/>
      <c r="D969" s="408"/>
      <c r="E969" s="408"/>
      <c r="F969" s="408"/>
      <c r="G969" s="408"/>
      <c r="H969" s="408"/>
      <c r="I969" s="408"/>
      <c r="J969" s="408"/>
      <c r="K969" s="408"/>
      <c r="L969" s="408"/>
      <c r="M969" s="408"/>
      <c r="N969" s="408"/>
      <c r="O969" s="408"/>
      <c r="P969" s="408"/>
      <c r="Q969" s="408"/>
      <c r="R969" s="408"/>
      <c r="S969" s="408"/>
      <c r="T969" s="408"/>
      <c r="U969" s="408"/>
      <c r="V969" s="408"/>
      <c r="W969" s="408"/>
      <c r="X969" s="408"/>
      <c r="Y969" s="408"/>
      <c r="Z969" s="408"/>
    </row>
    <row r="970" ht="14.25" customHeight="1">
      <c r="A970" s="408"/>
      <c r="B970" s="408"/>
      <c r="C970" s="552"/>
      <c r="D970" s="408"/>
      <c r="E970" s="408"/>
      <c r="F970" s="408"/>
      <c r="G970" s="408"/>
      <c r="H970" s="408"/>
      <c r="I970" s="408"/>
      <c r="J970" s="408"/>
      <c r="K970" s="408"/>
      <c r="L970" s="408"/>
      <c r="M970" s="408"/>
      <c r="N970" s="408"/>
      <c r="O970" s="408"/>
      <c r="P970" s="408"/>
      <c r="Q970" s="408"/>
      <c r="R970" s="408"/>
      <c r="S970" s="408"/>
      <c r="T970" s="408"/>
      <c r="U970" s="408"/>
      <c r="V970" s="408"/>
      <c r="W970" s="408"/>
      <c r="X970" s="408"/>
      <c r="Y970" s="408"/>
      <c r="Z970" s="408"/>
    </row>
    <row r="971" ht="14.25" customHeight="1">
      <c r="A971" s="408"/>
      <c r="B971" s="408"/>
      <c r="C971" s="552"/>
      <c r="D971" s="408"/>
      <c r="E971" s="408"/>
      <c r="F971" s="408"/>
      <c r="G971" s="408"/>
      <c r="H971" s="408"/>
      <c r="I971" s="408"/>
      <c r="J971" s="408"/>
      <c r="K971" s="408"/>
      <c r="L971" s="408"/>
      <c r="M971" s="408"/>
      <c r="N971" s="408"/>
      <c r="O971" s="408"/>
      <c r="P971" s="408"/>
      <c r="Q971" s="408"/>
      <c r="R971" s="408"/>
      <c r="S971" s="408"/>
      <c r="T971" s="408"/>
      <c r="U971" s="408"/>
      <c r="V971" s="408"/>
      <c r="W971" s="408"/>
      <c r="X971" s="408"/>
      <c r="Y971" s="408"/>
      <c r="Z971" s="408"/>
    </row>
    <row r="972" ht="14.25" customHeight="1">
      <c r="A972" s="408"/>
      <c r="B972" s="408"/>
      <c r="C972" s="552"/>
      <c r="D972" s="408"/>
      <c r="E972" s="408"/>
      <c r="F972" s="408"/>
      <c r="G972" s="408"/>
      <c r="H972" s="408"/>
      <c r="I972" s="408"/>
      <c r="J972" s="408"/>
      <c r="K972" s="408"/>
      <c r="L972" s="408"/>
      <c r="M972" s="408"/>
      <c r="N972" s="408"/>
      <c r="O972" s="408"/>
      <c r="P972" s="408"/>
      <c r="Q972" s="408"/>
      <c r="R972" s="408"/>
      <c r="S972" s="408"/>
      <c r="T972" s="408"/>
      <c r="U972" s="408"/>
      <c r="V972" s="408"/>
      <c r="W972" s="408"/>
      <c r="X972" s="408"/>
      <c r="Y972" s="408"/>
      <c r="Z972" s="408"/>
    </row>
    <row r="973" ht="14.25" customHeight="1">
      <c r="A973" s="408"/>
      <c r="B973" s="408"/>
      <c r="C973" s="552"/>
      <c r="D973" s="408"/>
      <c r="E973" s="408"/>
      <c r="F973" s="408"/>
      <c r="G973" s="408"/>
      <c r="H973" s="408"/>
      <c r="I973" s="408"/>
      <c r="J973" s="408"/>
      <c r="K973" s="408"/>
      <c r="L973" s="408"/>
      <c r="M973" s="408"/>
      <c r="N973" s="408"/>
      <c r="O973" s="408"/>
      <c r="P973" s="408"/>
      <c r="Q973" s="408"/>
      <c r="R973" s="408"/>
      <c r="S973" s="408"/>
      <c r="T973" s="408"/>
      <c r="U973" s="408"/>
      <c r="V973" s="408"/>
      <c r="W973" s="408"/>
      <c r="X973" s="408"/>
      <c r="Y973" s="408"/>
      <c r="Z973" s="408"/>
    </row>
    <row r="974" ht="14.25" customHeight="1">
      <c r="A974" s="408"/>
      <c r="B974" s="408"/>
      <c r="C974" s="552"/>
      <c r="D974" s="408"/>
      <c r="E974" s="408"/>
      <c r="F974" s="408"/>
      <c r="G974" s="408"/>
      <c r="H974" s="408"/>
      <c r="I974" s="408"/>
      <c r="J974" s="408"/>
      <c r="K974" s="408"/>
      <c r="L974" s="408"/>
      <c r="M974" s="408"/>
      <c r="N974" s="408"/>
      <c r="O974" s="408"/>
      <c r="P974" s="408"/>
      <c r="Q974" s="408"/>
      <c r="R974" s="408"/>
      <c r="S974" s="408"/>
      <c r="T974" s="408"/>
      <c r="U974" s="408"/>
      <c r="V974" s="408"/>
      <c r="W974" s="408"/>
      <c r="X974" s="408"/>
      <c r="Y974" s="408"/>
      <c r="Z974" s="408"/>
    </row>
    <row r="975" ht="14.25" customHeight="1">
      <c r="A975" s="408"/>
      <c r="B975" s="408"/>
      <c r="C975" s="552"/>
      <c r="D975" s="408"/>
      <c r="E975" s="408"/>
      <c r="F975" s="408"/>
      <c r="G975" s="408"/>
      <c r="H975" s="408"/>
      <c r="I975" s="408"/>
      <c r="J975" s="408"/>
      <c r="K975" s="408"/>
      <c r="L975" s="408"/>
      <c r="M975" s="408"/>
      <c r="N975" s="408"/>
      <c r="O975" s="408"/>
      <c r="P975" s="408"/>
      <c r="Q975" s="408"/>
      <c r="R975" s="408"/>
      <c r="S975" s="408"/>
      <c r="T975" s="408"/>
      <c r="U975" s="408"/>
      <c r="V975" s="408"/>
      <c r="W975" s="408"/>
      <c r="X975" s="408"/>
      <c r="Y975" s="408"/>
      <c r="Z975" s="408"/>
    </row>
    <row r="976" ht="14.25" customHeight="1">
      <c r="A976" s="408"/>
      <c r="B976" s="408"/>
      <c r="C976" s="552"/>
      <c r="D976" s="408"/>
      <c r="E976" s="408"/>
      <c r="F976" s="408"/>
      <c r="G976" s="408"/>
      <c r="H976" s="408"/>
      <c r="I976" s="408"/>
      <c r="J976" s="408"/>
      <c r="K976" s="408"/>
      <c r="L976" s="408"/>
      <c r="M976" s="408"/>
      <c r="N976" s="408"/>
      <c r="O976" s="408"/>
      <c r="P976" s="408"/>
      <c r="Q976" s="408"/>
      <c r="R976" s="408"/>
      <c r="S976" s="408"/>
      <c r="T976" s="408"/>
      <c r="U976" s="408"/>
      <c r="V976" s="408"/>
      <c r="W976" s="408"/>
      <c r="X976" s="408"/>
      <c r="Y976" s="408"/>
      <c r="Z976" s="408"/>
    </row>
    <row r="977" ht="14.25" customHeight="1">
      <c r="A977" s="408"/>
      <c r="B977" s="408"/>
      <c r="C977" s="552"/>
      <c r="D977" s="408"/>
      <c r="E977" s="408"/>
      <c r="F977" s="408"/>
      <c r="G977" s="408"/>
      <c r="H977" s="408"/>
      <c r="I977" s="408"/>
      <c r="J977" s="408"/>
      <c r="K977" s="408"/>
      <c r="L977" s="408"/>
      <c r="M977" s="408"/>
      <c r="N977" s="408"/>
      <c r="O977" s="408"/>
      <c r="P977" s="408"/>
      <c r="Q977" s="408"/>
      <c r="R977" s="408"/>
      <c r="S977" s="408"/>
      <c r="T977" s="408"/>
      <c r="U977" s="408"/>
      <c r="V977" s="408"/>
      <c r="W977" s="408"/>
      <c r="X977" s="408"/>
      <c r="Y977" s="408"/>
      <c r="Z977" s="408"/>
    </row>
    <row r="978" ht="14.25" customHeight="1">
      <c r="A978" s="408"/>
      <c r="B978" s="408"/>
      <c r="C978" s="552"/>
      <c r="D978" s="408"/>
      <c r="E978" s="408"/>
      <c r="F978" s="408"/>
      <c r="G978" s="408"/>
      <c r="H978" s="408"/>
      <c r="I978" s="408"/>
      <c r="J978" s="408"/>
      <c r="K978" s="408"/>
      <c r="L978" s="408"/>
      <c r="M978" s="408"/>
      <c r="N978" s="408"/>
      <c r="O978" s="408"/>
      <c r="P978" s="408"/>
      <c r="Q978" s="408"/>
      <c r="R978" s="408"/>
      <c r="S978" s="408"/>
      <c r="T978" s="408"/>
      <c r="U978" s="408"/>
      <c r="V978" s="408"/>
      <c r="W978" s="408"/>
      <c r="X978" s="408"/>
      <c r="Y978" s="408"/>
      <c r="Z978" s="408"/>
    </row>
    <row r="979" ht="14.25" customHeight="1">
      <c r="A979" s="408"/>
      <c r="B979" s="408"/>
      <c r="C979" s="552"/>
      <c r="D979" s="408"/>
      <c r="E979" s="408"/>
      <c r="F979" s="408"/>
      <c r="G979" s="408"/>
      <c r="H979" s="408"/>
      <c r="I979" s="408"/>
      <c r="J979" s="408"/>
      <c r="K979" s="408"/>
      <c r="L979" s="408"/>
      <c r="M979" s="408"/>
      <c r="N979" s="408"/>
      <c r="O979" s="408"/>
      <c r="P979" s="408"/>
      <c r="Q979" s="408"/>
      <c r="R979" s="408"/>
      <c r="S979" s="408"/>
      <c r="T979" s="408"/>
      <c r="U979" s="408"/>
      <c r="V979" s="408"/>
      <c r="W979" s="408"/>
      <c r="X979" s="408"/>
      <c r="Y979" s="408"/>
      <c r="Z979" s="408"/>
    </row>
    <row r="980" ht="14.25" customHeight="1">
      <c r="A980" s="408"/>
      <c r="B980" s="408"/>
      <c r="C980" s="552"/>
      <c r="D980" s="408"/>
      <c r="E980" s="408"/>
      <c r="F980" s="408"/>
      <c r="G980" s="408"/>
      <c r="H980" s="408"/>
      <c r="I980" s="408"/>
      <c r="J980" s="408"/>
      <c r="K980" s="408"/>
      <c r="L980" s="408"/>
      <c r="M980" s="408"/>
      <c r="N980" s="408"/>
      <c r="O980" s="408"/>
      <c r="P980" s="408"/>
      <c r="Q980" s="408"/>
      <c r="R980" s="408"/>
      <c r="S980" s="408"/>
      <c r="T980" s="408"/>
      <c r="U980" s="408"/>
      <c r="V980" s="408"/>
      <c r="W980" s="408"/>
      <c r="X980" s="408"/>
      <c r="Y980" s="408"/>
      <c r="Z980" s="408"/>
    </row>
    <row r="981" ht="14.25" customHeight="1">
      <c r="A981" s="408"/>
      <c r="B981" s="408"/>
      <c r="C981" s="552"/>
      <c r="D981" s="408"/>
      <c r="E981" s="408"/>
      <c r="F981" s="408"/>
      <c r="G981" s="408"/>
      <c r="H981" s="408"/>
      <c r="I981" s="408"/>
      <c r="J981" s="408"/>
      <c r="K981" s="408"/>
      <c r="L981" s="408"/>
      <c r="M981" s="408"/>
      <c r="N981" s="408"/>
      <c r="O981" s="408"/>
      <c r="P981" s="408"/>
      <c r="Q981" s="408"/>
      <c r="R981" s="408"/>
      <c r="S981" s="408"/>
      <c r="T981" s="408"/>
      <c r="U981" s="408"/>
      <c r="V981" s="408"/>
      <c r="W981" s="408"/>
      <c r="X981" s="408"/>
      <c r="Y981" s="408"/>
      <c r="Z981" s="408"/>
    </row>
    <row r="982" ht="14.25" customHeight="1">
      <c r="A982" s="408"/>
      <c r="B982" s="408"/>
      <c r="C982" s="552"/>
      <c r="D982" s="408"/>
      <c r="E982" s="408"/>
      <c r="F982" s="408"/>
      <c r="G982" s="408"/>
      <c r="H982" s="408"/>
      <c r="I982" s="408"/>
      <c r="J982" s="408"/>
      <c r="K982" s="408"/>
      <c r="L982" s="408"/>
      <c r="M982" s="408"/>
      <c r="N982" s="408"/>
      <c r="O982" s="408"/>
      <c r="P982" s="408"/>
      <c r="Q982" s="408"/>
      <c r="R982" s="408"/>
      <c r="S982" s="408"/>
      <c r="T982" s="408"/>
      <c r="U982" s="408"/>
      <c r="V982" s="408"/>
      <c r="W982" s="408"/>
      <c r="X982" s="408"/>
      <c r="Y982" s="408"/>
      <c r="Z982" s="408"/>
    </row>
    <row r="983" ht="14.25" customHeight="1">
      <c r="A983" s="408"/>
      <c r="B983" s="408"/>
      <c r="C983" s="552"/>
      <c r="D983" s="408"/>
      <c r="E983" s="408"/>
      <c r="F983" s="408"/>
      <c r="G983" s="408"/>
      <c r="H983" s="408"/>
      <c r="I983" s="408"/>
      <c r="J983" s="408"/>
      <c r="K983" s="408"/>
      <c r="L983" s="408"/>
      <c r="M983" s="408"/>
      <c r="N983" s="408"/>
      <c r="O983" s="408"/>
      <c r="P983" s="408"/>
      <c r="Q983" s="408"/>
      <c r="R983" s="408"/>
      <c r="S983" s="408"/>
      <c r="T983" s="408"/>
      <c r="U983" s="408"/>
      <c r="V983" s="408"/>
      <c r="W983" s="408"/>
      <c r="X983" s="408"/>
      <c r="Y983" s="408"/>
      <c r="Z983" s="408"/>
    </row>
    <row r="984" ht="14.25" customHeight="1">
      <c r="A984" s="408"/>
      <c r="B984" s="408"/>
      <c r="C984" s="552"/>
      <c r="D984" s="408"/>
      <c r="E984" s="408"/>
      <c r="F984" s="408"/>
      <c r="G984" s="408"/>
      <c r="H984" s="408"/>
      <c r="I984" s="408"/>
      <c r="J984" s="408"/>
      <c r="K984" s="408"/>
      <c r="L984" s="408"/>
      <c r="M984" s="408"/>
      <c r="N984" s="408"/>
      <c r="O984" s="408"/>
      <c r="P984" s="408"/>
      <c r="Q984" s="408"/>
      <c r="R984" s="408"/>
      <c r="S984" s="408"/>
      <c r="T984" s="408"/>
      <c r="U984" s="408"/>
      <c r="V984" s="408"/>
      <c r="W984" s="408"/>
      <c r="X984" s="408"/>
      <c r="Y984" s="408"/>
      <c r="Z984" s="408"/>
    </row>
    <row r="985" ht="14.25" customHeight="1">
      <c r="A985" s="408"/>
      <c r="B985" s="408"/>
      <c r="C985" s="552"/>
      <c r="D985" s="408"/>
      <c r="E985" s="408"/>
      <c r="F985" s="408"/>
      <c r="G985" s="408"/>
      <c r="H985" s="408"/>
      <c r="I985" s="408"/>
      <c r="J985" s="408"/>
      <c r="K985" s="408"/>
      <c r="L985" s="408"/>
      <c r="M985" s="408"/>
      <c r="N985" s="408"/>
      <c r="O985" s="408"/>
      <c r="P985" s="408"/>
      <c r="Q985" s="408"/>
      <c r="R985" s="408"/>
      <c r="S985" s="408"/>
      <c r="T985" s="408"/>
      <c r="U985" s="408"/>
      <c r="V985" s="408"/>
      <c r="W985" s="408"/>
      <c r="X985" s="408"/>
      <c r="Y985" s="408"/>
      <c r="Z985" s="408"/>
    </row>
    <row r="986" ht="14.25" customHeight="1">
      <c r="A986" s="408"/>
      <c r="B986" s="408"/>
      <c r="C986" s="552"/>
      <c r="D986" s="408"/>
      <c r="E986" s="408"/>
      <c r="F986" s="408"/>
      <c r="G986" s="408"/>
      <c r="H986" s="408"/>
      <c r="I986" s="408"/>
      <c r="J986" s="408"/>
      <c r="K986" s="408"/>
      <c r="L986" s="408"/>
      <c r="M986" s="408"/>
      <c r="N986" s="408"/>
      <c r="O986" s="408"/>
      <c r="P986" s="408"/>
      <c r="Q986" s="408"/>
      <c r="R986" s="408"/>
      <c r="S986" s="408"/>
      <c r="T986" s="408"/>
      <c r="U986" s="408"/>
      <c r="V986" s="408"/>
      <c r="W986" s="408"/>
      <c r="X986" s="408"/>
      <c r="Y986" s="408"/>
      <c r="Z986" s="408"/>
    </row>
    <row r="987" ht="14.25" customHeight="1">
      <c r="A987" s="408"/>
      <c r="B987" s="408"/>
      <c r="C987" s="552"/>
      <c r="D987" s="408"/>
      <c r="E987" s="408"/>
      <c r="F987" s="408"/>
      <c r="G987" s="408"/>
      <c r="H987" s="408"/>
      <c r="I987" s="408"/>
      <c r="J987" s="408"/>
      <c r="K987" s="408"/>
      <c r="L987" s="408"/>
      <c r="M987" s="408"/>
      <c r="N987" s="408"/>
      <c r="O987" s="408"/>
      <c r="P987" s="408"/>
      <c r="Q987" s="408"/>
      <c r="R987" s="408"/>
      <c r="S987" s="408"/>
      <c r="T987" s="408"/>
      <c r="U987" s="408"/>
      <c r="V987" s="408"/>
      <c r="W987" s="408"/>
      <c r="X987" s="408"/>
      <c r="Y987" s="408"/>
      <c r="Z987" s="408"/>
    </row>
    <row r="988" ht="14.25" customHeight="1">
      <c r="A988" s="408"/>
      <c r="B988" s="408"/>
      <c r="C988" s="552"/>
      <c r="D988" s="408"/>
      <c r="E988" s="408"/>
      <c r="F988" s="408"/>
      <c r="G988" s="408"/>
      <c r="H988" s="408"/>
      <c r="I988" s="408"/>
      <c r="J988" s="408"/>
      <c r="K988" s="408"/>
      <c r="L988" s="408"/>
      <c r="M988" s="408"/>
      <c r="N988" s="408"/>
      <c r="O988" s="408"/>
      <c r="P988" s="408"/>
      <c r="Q988" s="408"/>
      <c r="R988" s="408"/>
      <c r="S988" s="408"/>
      <c r="T988" s="408"/>
      <c r="U988" s="408"/>
      <c r="V988" s="408"/>
      <c r="W988" s="408"/>
      <c r="X988" s="408"/>
      <c r="Y988" s="408"/>
      <c r="Z988" s="408"/>
    </row>
    <row r="989" ht="14.25" customHeight="1">
      <c r="A989" s="408"/>
      <c r="B989" s="408"/>
      <c r="C989" s="552"/>
      <c r="D989" s="408"/>
      <c r="E989" s="408"/>
      <c r="F989" s="408"/>
      <c r="G989" s="408"/>
      <c r="H989" s="408"/>
      <c r="I989" s="408"/>
      <c r="J989" s="408"/>
      <c r="K989" s="408"/>
      <c r="L989" s="408"/>
      <c r="M989" s="408"/>
      <c r="N989" s="408"/>
      <c r="O989" s="408"/>
      <c r="P989" s="408"/>
      <c r="Q989" s="408"/>
      <c r="R989" s="408"/>
      <c r="S989" s="408"/>
      <c r="T989" s="408"/>
      <c r="U989" s="408"/>
      <c r="V989" s="408"/>
      <c r="W989" s="408"/>
      <c r="X989" s="408"/>
      <c r="Y989" s="408"/>
      <c r="Z989" s="408"/>
    </row>
    <row r="990" ht="14.25" customHeight="1">
      <c r="A990" s="408"/>
      <c r="B990" s="408"/>
      <c r="C990" s="552"/>
      <c r="D990" s="408"/>
      <c r="E990" s="408"/>
      <c r="F990" s="408"/>
      <c r="G990" s="408"/>
      <c r="H990" s="408"/>
      <c r="I990" s="408"/>
      <c r="J990" s="408"/>
      <c r="K990" s="408"/>
      <c r="L990" s="408"/>
      <c r="M990" s="408"/>
      <c r="N990" s="408"/>
      <c r="O990" s="408"/>
      <c r="P990" s="408"/>
      <c r="Q990" s="408"/>
      <c r="R990" s="408"/>
      <c r="S990" s="408"/>
      <c r="T990" s="408"/>
      <c r="U990" s="408"/>
      <c r="V990" s="408"/>
      <c r="W990" s="408"/>
      <c r="X990" s="408"/>
      <c r="Y990" s="408"/>
      <c r="Z990" s="408"/>
    </row>
    <row r="991" ht="14.25" customHeight="1">
      <c r="A991" s="408"/>
      <c r="B991" s="408"/>
      <c r="C991" s="552"/>
      <c r="D991" s="408"/>
      <c r="E991" s="408"/>
      <c r="F991" s="408"/>
      <c r="G991" s="408"/>
      <c r="H991" s="408"/>
      <c r="I991" s="408"/>
      <c r="J991" s="408"/>
      <c r="K991" s="408"/>
      <c r="L991" s="408"/>
      <c r="M991" s="408"/>
      <c r="N991" s="408"/>
      <c r="O991" s="408"/>
      <c r="P991" s="408"/>
      <c r="Q991" s="408"/>
      <c r="R991" s="408"/>
      <c r="S991" s="408"/>
      <c r="T991" s="408"/>
      <c r="U991" s="408"/>
      <c r="V991" s="408"/>
      <c r="W991" s="408"/>
      <c r="X991" s="408"/>
      <c r="Y991" s="408"/>
      <c r="Z991" s="408"/>
    </row>
    <row r="992" ht="14.25" customHeight="1">
      <c r="A992" s="408"/>
      <c r="B992" s="408"/>
      <c r="C992" s="552"/>
      <c r="D992" s="408"/>
      <c r="E992" s="408"/>
      <c r="F992" s="408"/>
      <c r="G992" s="408"/>
      <c r="H992" s="408"/>
      <c r="I992" s="408"/>
      <c r="J992" s="408"/>
      <c r="K992" s="408"/>
      <c r="L992" s="408"/>
      <c r="M992" s="408"/>
      <c r="N992" s="408"/>
      <c r="O992" s="408"/>
      <c r="P992" s="408"/>
      <c r="Q992" s="408"/>
      <c r="R992" s="408"/>
      <c r="S992" s="408"/>
      <c r="T992" s="408"/>
      <c r="U992" s="408"/>
      <c r="V992" s="408"/>
      <c r="W992" s="408"/>
      <c r="X992" s="408"/>
      <c r="Y992" s="408"/>
      <c r="Z992" s="408"/>
    </row>
    <row r="993" ht="14.25" customHeight="1">
      <c r="A993" s="408"/>
      <c r="B993" s="408"/>
      <c r="C993" s="552"/>
      <c r="D993" s="408"/>
      <c r="E993" s="408"/>
      <c r="F993" s="408"/>
      <c r="G993" s="408"/>
      <c r="H993" s="408"/>
      <c r="I993" s="408"/>
      <c r="J993" s="408"/>
      <c r="K993" s="408"/>
      <c r="L993" s="408"/>
      <c r="M993" s="408"/>
      <c r="N993" s="408"/>
      <c r="O993" s="408"/>
      <c r="P993" s="408"/>
      <c r="Q993" s="408"/>
      <c r="R993" s="408"/>
      <c r="S993" s="408"/>
      <c r="T993" s="408"/>
      <c r="U993" s="408"/>
      <c r="V993" s="408"/>
      <c r="W993" s="408"/>
      <c r="X993" s="408"/>
      <c r="Y993" s="408"/>
      <c r="Z993" s="408"/>
    </row>
    <row r="994" ht="14.25" customHeight="1">
      <c r="A994" s="408"/>
      <c r="B994" s="408"/>
      <c r="C994" s="552"/>
      <c r="D994" s="408"/>
      <c r="E994" s="408"/>
      <c r="F994" s="408"/>
      <c r="G994" s="408"/>
      <c r="H994" s="408"/>
      <c r="I994" s="408"/>
      <c r="J994" s="408"/>
      <c r="K994" s="408"/>
      <c r="L994" s="408"/>
      <c r="M994" s="408"/>
      <c r="N994" s="408"/>
      <c r="O994" s="408"/>
      <c r="P994" s="408"/>
      <c r="Q994" s="408"/>
      <c r="R994" s="408"/>
      <c r="S994" s="408"/>
      <c r="T994" s="408"/>
      <c r="U994" s="408"/>
      <c r="V994" s="408"/>
      <c r="W994" s="408"/>
      <c r="X994" s="408"/>
      <c r="Y994" s="408"/>
      <c r="Z994" s="408"/>
    </row>
    <row r="995" ht="14.25" customHeight="1">
      <c r="A995" s="408"/>
      <c r="B995" s="408"/>
      <c r="C995" s="552"/>
      <c r="D995" s="408"/>
      <c r="E995" s="408"/>
      <c r="F995" s="408"/>
      <c r="G995" s="408"/>
      <c r="H995" s="408"/>
      <c r="I995" s="408"/>
      <c r="J995" s="408"/>
      <c r="K995" s="408"/>
      <c r="L995" s="408"/>
      <c r="M995" s="408"/>
      <c r="N995" s="408"/>
      <c r="O995" s="408"/>
      <c r="P995" s="408"/>
      <c r="Q995" s="408"/>
      <c r="R995" s="408"/>
      <c r="S995" s="408"/>
      <c r="T995" s="408"/>
      <c r="U995" s="408"/>
      <c r="V995" s="408"/>
      <c r="W995" s="408"/>
      <c r="X995" s="408"/>
      <c r="Y995" s="408"/>
      <c r="Z995" s="408"/>
    </row>
    <row r="996" ht="14.25" customHeight="1">
      <c r="A996" s="408"/>
      <c r="B996" s="408"/>
      <c r="C996" s="552"/>
      <c r="D996" s="408"/>
      <c r="E996" s="408"/>
      <c r="F996" s="408"/>
      <c r="G996" s="408"/>
      <c r="H996" s="408"/>
      <c r="I996" s="408"/>
      <c r="J996" s="408"/>
      <c r="K996" s="408"/>
      <c r="L996" s="408"/>
      <c r="M996" s="408"/>
      <c r="N996" s="408"/>
      <c r="O996" s="408"/>
      <c r="P996" s="408"/>
      <c r="Q996" s="408"/>
      <c r="R996" s="408"/>
      <c r="S996" s="408"/>
      <c r="T996" s="408"/>
      <c r="U996" s="408"/>
      <c r="V996" s="408"/>
      <c r="W996" s="408"/>
      <c r="X996" s="408"/>
      <c r="Y996" s="408"/>
      <c r="Z996" s="408"/>
    </row>
    <row r="997" ht="14.25" customHeight="1">
      <c r="A997" s="408"/>
      <c r="B997" s="408"/>
      <c r="C997" s="552"/>
      <c r="D997" s="408"/>
      <c r="E997" s="408"/>
      <c r="F997" s="408"/>
      <c r="G997" s="408"/>
      <c r="H997" s="408"/>
      <c r="I997" s="408"/>
      <c r="J997" s="408"/>
      <c r="K997" s="408"/>
      <c r="L997" s="408"/>
      <c r="M997" s="408"/>
      <c r="N997" s="408"/>
      <c r="O997" s="408"/>
      <c r="P997" s="408"/>
      <c r="Q997" s="408"/>
      <c r="R997" s="408"/>
      <c r="S997" s="408"/>
      <c r="T997" s="408"/>
      <c r="U997" s="408"/>
      <c r="V997" s="408"/>
      <c r="W997" s="408"/>
      <c r="X997" s="408"/>
      <c r="Y997" s="408"/>
      <c r="Z997" s="408"/>
    </row>
    <row r="998" ht="14.25" customHeight="1">
      <c r="A998" s="408"/>
      <c r="B998" s="408"/>
      <c r="C998" s="552"/>
      <c r="D998" s="408"/>
      <c r="E998" s="408"/>
      <c r="F998" s="408"/>
      <c r="G998" s="408"/>
      <c r="H998" s="408"/>
      <c r="I998" s="408"/>
      <c r="J998" s="408"/>
      <c r="K998" s="408"/>
      <c r="L998" s="408"/>
      <c r="M998" s="408"/>
      <c r="N998" s="408"/>
      <c r="O998" s="408"/>
      <c r="P998" s="408"/>
      <c r="Q998" s="408"/>
      <c r="R998" s="408"/>
      <c r="S998" s="408"/>
      <c r="T998" s="408"/>
      <c r="U998" s="408"/>
      <c r="V998" s="408"/>
      <c r="W998" s="408"/>
      <c r="X998" s="408"/>
      <c r="Y998" s="408"/>
      <c r="Z998" s="408"/>
    </row>
    <row r="999" ht="14.25" customHeight="1">
      <c r="A999" s="408"/>
      <c r="B999" s="408"/>
      <c r="C999" s="552"/>
      <c r="D999" s="408"/>
      <c r="E999" s="408"/>
      <c r="F999" s="408"/>
      <c r="G999" s="408"/>
      <c r="H999" s="408"/>
      <c r="I999" s="408"/>
      <c r="J999" s="408"/>
      <c r="K999" s="408"/>
      <c r="L999" s="408"/>
      <c r="M999" s="408"/>
      <c r="N999" s="408"/>
      <c r="O999" s="408"/>
      <c r="P999" s="408"/>
      <c r="Q999" s="408"/>
      <c r="R999" s="408"/>
      <c r="S999" s="408"/>
      <c r="T999" s="408"/>
      <c r="U999" s="408"/>
      <c r="V999" s="408"/>
      <c r="W999" s="408"/>
      <c r="X999" s="408"/>
      <c r="Y999" s="408"/>
      <c r="Z999" s="408"/>
    </row>
    <row r="1000" ht="14.25" customHeight="1">
      <c r="A1000" s="408"/>
      <c r="B1000" s="408"/>
      <c r="C1000" s="552"/>
      <c r="D1000" s="408"/>
      <c r="E1000" s="408"/>
      <c r="F1000" s="408"/>
      <c r="G1000" s="408"/>
      <c r="H1000" s="408"/>
      <c r="I1000" s="408"/>
      <c r="J1000" s="408"/>
      <c r="K1000" s="408"/>
      <c r="L1000" s="408"/>
      <c r="M1000" s="408"/>
      <c r="N1000" s="408"/>
      <c r="O1000" s="408"/>
      <c r="P1000" s="408"/>
      <c r="Q1000" s="408"/>
      <c r="R1000" s="408"/>
      <c r="S1000" s="408"/>
      <c r="T1000" s="408"/>
      <c r="U1000" s="408"/>
      <c r="V1000" s="408"/>
      <c r="W1000" s="408"/>
      <c r="X1000" s="408"/>
      <c r="Y1000" s="408"/>
      <c r="Z1000" s="408"/>
    </row>
  </sheetData>
  <mergeCells count="5">
    <mergeCell ref="A1:L3"/>
    <mergeCell ref="D6:F6"/>
    <mergeCell ref="G6:I6"/>
    <mergeCell ref="J6:L6"/>
    <mergeCell ref="A119:B119"/>
  </mergeCells>
  <printOptions/>
  <pageMargins bottom="0.75" footer="0.0" header="0.0" left="0.25" right="0.25" top="0.75"/>
  <pageSetup paperSize="9" scale="86" orientation="landscape"/>
  <headerFooter>
    <oddFooter>&amp;L&amp;F_x000D_#000000 Data sensitivity - Restricted&amp;R&amp;A</oddFooter>
  </headerFooter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5.0"/>
    <col customWidth="1" min="2" max="2" width="50.86"/>
    <col customWidth="1" min="3" max="3" width="5.71"/>
    <col customWidth="1" min="4" max="26" width="11.43"/>
  </cols>
  <sheetData>
    <row r="1" ht="15.0" customHeight="1">
      <c r="A1" s="471" t="s">
        <v>1079</v>
      </c>
      <c r="B1" s="472"/>
      <c r="C1" s="472"/>
      <c r="D1" s="472"/>
      <c r="E1" s="472"/>
      <c r="F1" s="473"/>
      <c r="G1" s="474"/>
      <c r="H1" s="474"/>
      <c r="I1" s="474"/>
      <c r="J1" s="474"/>
      <c r="K1" s="474"/>
      <c r="L1" s="474"/>
      <c r="M1" s="474"/>
      <c r="N1" s="474"/>
      <c r="O1" s="474"/>
      <c r="P1" s="474"/>
      <c r="Q1" s="474"/>
      <c r="R1" s="474"/>
      <c r="S1" s="474"/>
      <c r="T1" s="474"/>
      <c r="U1" s="474"/>
      <c r="V1" s="474"/>
      <c r="W1" s="474"/>
      <c r="X1" s="474"/>
      <c r="Y1" s="474"/>
      <c r="Z1" s="474"/>
    </row>
    <row r="2" ht="12.0" customHeight="1">
      <c r="A2" s="475" t="s">
        <v>1080</v>
      </c>
      <c r="F2" s="476"/>
      <c r="G2" s="474"/>
      <c r="H2" s="474"/>
      <c r="I2" s="474"/>
      <c r="J2" s="474"/>
      <c r="K2" s="474"/>
      <c r="L2" s="474"/>
      <c r="M2" s="474"/>
      <c r="N2" s="474"/>
      <c r="O2" s="474"/>
      <c r="P2" s="474"/>
      <c r="Q2" s="474"/>
      <c r="R2" s="474"/>
      <c r="S2" s="474"/>
      <c r="T2" s="474"/>
      <c r="U2" s="474"/>
      <c r="V2" s="474"/>
      <c r="W2" s="474"/>
      <c r="X2" s="474"/>
      <c r="Y2" s="474"/>
      <c r="Z2" s="474"/>
    </row>
    <row r="3" ht="12.75" customHeight="1">
      <c r="A3" s="477" t="s">
        <v>1081</v>
      </c>
      <c r="B3" s="478"/>
      <c r="C3" s="478"/>
      <c r="D3" s="478"/>
      <c r="E3" s="478"/>
      <c r="F3" s="479"/>
      <c r="G3" s="474"/>
      <c r="H3" s="474"/>
      <c r="I3" s="474"/>
      <c r="J3" s="474"/>
      <c r="K3" s="474"/>
      <c r="L3" s="474"/>
      <c r="M3" s="474"/>
      <c r="N3" s="474"/>
      <c r="O3" s="474"/>
      <c r="P3" s="474"/>
      <c r="Q3" s="474"/>
      <c r="R3" s="474"/>
      <c r="S3" s="474"/>
      <c r="T3" s="474"/>
      <c r="U3" s="474"/>
      <c r="V3" s="474"/>
      <c r="W3" s="474"/>
      <c r="X3" s="474"/>
      <c r="Y3" s="474"/>
      <c r="Z3" s="474"/>
    </row>
    <row r="4" ht="8.25" customHeight="1">
      <c r="A4" s="480"/>
      <c r="B4" s="323"/>
      <c r="C4" s="323"/>
      <c r="D4" s="323"/>
      <c r="E4" s="323"/>
      <c r="F4" s="323"/>
      <c r="G4" s="474"/>
      <c r="H4" s="474"/>
      <c r="I4" s="474"/>
      <c r="J4" s="474"/>
      <c r="K4" s="474"/>
      <c r="L4" s="474"/>
      <c r="M4" s="474"/>
      <c r="N4" s="474"/>
      <c r="O4" s="474"/>
      <c r="P4" s="474"/>
      <c r="Q4" s="474"/>
      <c r="R4" s="474"/>
      <c r="S4" s="474"/>
      <c r="T4" s="474"/>
      <c r="U4" s="474"/>
      <c r="V4" s="474"/>
      <c r="W4" s="474"/>
      <c r="X4" s="474"/>
      <c r="Y4" s="474"/>
      <c r="Z4" s="474"/>
    </row>
    <row r="5" ht="30.0" customHeight="1">
      <c r="A5" s="481" t="s">
        <v>15</v>
      </c>
      <c r="B5" s="482" t="s">
        <v>706</v>
      </c>
      <c r="C5" s="482" t="s">
        <v>17</v>
      </c>
      <c r="D5" s="482" t="s">
        <v>707</v>
      </c>
      <c r="E5" s="483" t="s">
        <v>708</v>
      </c>
      <c r="F5" s="484" t="s">
        <v>709</v>
      </c>
      <c r="G5" s="485"/>
      <c r="H5" s="485"/>
      <c r="I5" s="485"/>
      <c r="J5" s="485"/>
      <c r="K5" s="485"/>
      <c r="L5" s="485"/>
      <c r="M5" s="485"/>
      <c r="N5" s="485"/>
      <c r="O5" s="485"/>
      <c r="P5" s="485"/>
      <c r="Q5" s="485"/>
      <c r="R5" s="485"/>
      <c r="S5" s="485"/>
      <c r="T5" s="485"/>
      <c r="U5" s="485"/>
      <c r="V5" s="485"/>
      <c r="W5" s="485"/>
      <c r="X5" s="485"/>
      <c r="Y5" s="485"/>
      <c r="Z5" s="485"/>
    </row>
    <row r="6" ht="12.0" customHeight="1">
      <c r="A6" s="535"/>
      <c r="B6" s="595" t="s">
        <v>712</v>
      </c>
      <c r="C6" s="537"/>
      <c r="D6" s="537"/>
      <c r="E6" s="538"/>
      <c r="F6" s="539"/>
      <c r="G6" s="474"/>
      <c r="H6" s="487"/>
      <c r="I6" s="474"/>
      <c r="J6" s="474"/>
      <c r="K6" s="474"/>
      <c r="L6" s="474"/>
      <c r="M6" s="474"/>
      <c r="N6" s="474"/>
      <c r="O6" s="474"/>
      <c r="P6" s="474"/>
      <c r="Q6" s="474"/>
      <c r="R6" s="474"/>
      <c r="S6" s="474"/>
      <c r="T6" s="474"/>
      <c r="U6" s="474"/>
      <c r="V6" s="474"/>
      <c r="W6" s="474"/>
      <c r="X6" s="474"/>
      <c r="Y6" s="474"/>
      <c r="Z6" s="474"/>
    </row>
    <row r="7" ht="12.0" customHeight="1">
      <c r="A7" s="488" t="s">
        <v>911</v>
      </c>
      <c r="B7" s="489" t="s">
        <v>25</v>
      </c>
      <c r="C7" s="490"/>
      <c r="D7" s="490"/>
      <c r="E7" s="491"/>
      <c r="F7" s="492"/>
      <c r="G7" s="474"/>
      <c r="H7" s="487"/>
      <c r="I7" s="474"/>
      <c r="J7" s="474"/>
      <c r="K7" s="474"/>
      <c r="L7" s="474"/>
      <c r="M7" s="474"/>
      <c r="N7" s="474"/>
      <c r="O7" s="474"/>
      <c r="P7" s="474"/>
      <c r="Q7" s="474"/>
      <c r="R7" s="474"/>
      <c r="S7" s="474"/>
      <c r="T7" s="474"/>
      <c r="U7" s="474"/>
      <c r="V7" s="474"/>
      <c r="W7" s="474"/>
      <c r="X7" s="474"/>
      <c r="Y7" s="474"/>
      <c r="Z7" s="474"/>
    </row>
    <row r="8" ht="12.0" customHeight="1">
      <c r="A8" s="488"/>
      <c r="B8" s="493" t="s">
        <v>26</v>
      </c>
      <c r="C8" s="490" t="s">
        <v>32</v>
      </c>
      <c r="D8" s="490"/>
      <c r="E8" s="491"/>
      <c r="F8" s="492"/>
      <c r="G8" s="474"/>
      <c r="H8" s="487"/>
      <c r="I8" s="474"/>
      <c r="J8" s="474"/>
      <c r="K8" s="474"/>
      <c r="L8" s="474"/>
      <c r="M8" s="474"/>
      <c r="N8" s="474"/>
      <c r="O8" s="474"/>
      <c r="P8" s="474"/>
      <c r="Q8" s="474"/>
      <c r="R8" s="474"/>
      <c r="S8" s="474"/>
      <c r="T8" s="474"/>
      <c r="U8" s="474"/>
      <c r="V8" s="474"/>
      <c r="W8" s="474"/>
      <c r="X8" s="474"/>
      <c r="Y8" s="474"/>
      <c r="Z8" s="474"/>
    </row>
    <row r="9" ht="12.0" customHeight="1">
      <c r="A9" s="488"/>
      <c r="B9" s="493" t="s">
        <v>912</v>
      </c>
      <c r="C9" s="490" t="s">
        <v>32</v>
      </c>
      <c r="D9" s="490"/>
      <c r="E9" s="491"/>
      <c r="F9" s="492"/>
      <c r="G9" s="474"/>
      <c r="H9" s="487"/>
      <c r="I9" s="474"/>
      <c r="J9" s="474"/>
      <c r="K9" s="474"/>
      <c r="L9" s="474"/>
      <c r="M9" s="474"/>
      <c r="N9" s="474"/>
      <c r="O9" s="474"/>
      <c r="P9" s="474"/>
      <c r="Q9" s="474"/>
      <c r="R9" s="474"/>
      <c r="S9" s="474"/>
      <c r="T9" s="474"/>
      <c r="U9" s="474"/>
      <c r="V9" s="474"/>
      <c r="W9" s="474"/>
      <c r="X9" s="474"/>
      <c r="Y9" s="474"/>
      <c r="Z9" s="474"/>
    </row>
    <row r="10" ht="12.0" customHeight="1">
      <c r="A10" s="494"/>
      <c r="B10" s="495" t="s">
        <v>713</v>
      </c>
      <c r="C10" s="496"/>
      <c r="D10" s="496"/>
      <c r="E10" s="497"/>
      <c r="F10" s="498"/>
      <c r="G10" s="474"/>
      <c r="H10" s="487"/>
      <c r="I10" s="474"/>
      <c r="J10" s="474"/>
      <c r="K10" s="474"/>
      <c r="L10" s="474"/>
      <c r="M10" s="474"/>
      <c r="N10" s="474"/>
      <c r="O10" s="474"/>
      <c r="P10" s="474"/>
      <c r="Q10" s="474"/>
      <c r="R10" s="474"/>
      <c r="S10" s="474"/>
      <c r="T10" s="474"/>
      <c r="U10" s="474"/>
      <c r="V10" s="474"/>
      <c r="W10" s="474"/>
      <c r="X10" s="474"/>
      <c r="Y10" s="474"/>
      <c r="Z10" s="474"/>
    </row>
    <row r="11" ht="12.0" customHeight="1">
      <c r="A11" s="499" t="s">
        <v>913</v>
      </c>
      <c r="B11" s="500" t="s">
        <v>29</v>
      </c>
      <c r="C11" s="501"/>
      <c r="D11" s="501"/>
      <c r="E11" s="502"/>
      <c r="F11" s="503"/>
      <c r="G11" s="504"/>
      <c r="H11" s="504"/>
      <c r="I11" s="504"/>
      <c r="J11" s="504"/>
      <c r="K11" s="504"/>
      <c r="L11" s="504"/>
      <c r="M11" s="504"/>
      <c r="N11" s="504"/>
      <c r="O11" s="504"/>
      <c r="P11" s="504"/>
      <c r="Q11" s="504"/>
      <c r="R11" s="504"/>
      <c r="S11" s="504"/>
      <c r="T11" s="504"/>
      <c r="U11" s="504"/>
      <c r="V11" s="504"/>
      <c r="W11" s="504"/>
      <c r="X11" s="504"/>
      <c r="Y11" s="504"/>
      <c r="Z11" s="504"/>
    </row>
    <row r="12" ht="12.0" customHeight="1">
      <c r="A12" s="488"/>
      <c r="B12" s="493" t="s">
        <v>30</v>
      </c>
      <c r="C12" s="490" t="s">
        <v>32</v>
      </c>
      <c r="D12" s="490"/>
      <c r="E12" s="491"/>
      <c r="F12" s="492"/>
      <c r="G12" s="504"/>
      <c r="H12" s="504"/>
      <c r="I12" s="504"/>
      <c r="J12" s="504"/>
      <c r="K12" s="504"/>
      <c r="L12" s="504"/>
      <c r="M12" s="504"/>
      <c r="N12" s="504"/>
      <c r="O12" s="504"/>
      <c r="P12" s="504"/>
      <c r="Q12" s="504"/>
      <c r="R12" s="504"/>
      <c r="S12" s="504"/>
      <c r="T12" s="504"/>
      <c r="U12" s="504"/>
      <c r="V12" s="504"/>
      <c r="W12" s="504"/>
      <c r="X12" s="504"/>
      <c r="Y12" s="504"/>
      <c r="Z12" s="504"/>
    </row>
    <row r="13" ht="12.0" customHeight="1">
      <c r="A13" s="488"/>
      <c r="B13" s="493" t="s">
        <v>33</v>
      </c>
      <c r="C13" s="490" t="s">
        <v>34</v>
      </c>
      <c r="D13" s="490"/>
      <c r="E13" s="491"/>
      <c r="F13" s="492"/>
      <c r="G13" s="504"/>
      <c r="H13" s="504"/>
      <c r="I13" s="504"/>
      <c r="J13" s="504"/>
      <c r="K13" s="504"/>
      <c r="L13" s="504"/>
      <c r="M13" s="504"/>
      <c r="N13" s="504"/>
      <c r="O13" s="504"/>
      <c r="P13" s="504"/>
      <c r="Q13" s="504"/>
      <c r="R13" s="504"/>
      <c r="S13" s="504"/>
      <c r="T13" s="504"/>
      <c r="U13" s="504"/>
      <c r="V13" s="504"/>
      <c r="W13" s="504"/>
      <c r="X13" s="504"/>
      <c r="Y13" s="504"/>
      <c r="Z13" s="504"/>
    </row>
    <row r="14" ht="12.0" customHeight="1">
      <c r="A14" s="488"/>
      <c r="B14" s="493" t="s">
        <v>914</v>
      </c>
      <c r="C14" s="490" t="s">
        <v>32</v>
      </c>
      <c r="D14" s="490"/>
      <c r="E14" s="491"/>
      <c r="F14" s="492"/>
      <c r="G14" s="504"/>
      <c r="H14" s="504"/>
      <c r="I14" s="504"/>
      <c r="J14" s="504"/>
      <c r="K14" s="504"/>
      <c r="L14" s="504"/>
      <c r="M14" s="504"/>
      <c r="N14" s="504"/>
      <c r="O14" s="504"/>
      <c r="P14" s="504"/>
      <c r="Q14" s="504"/>
      <c r="R14" s="504"/>
      <c r="S14" s="504"/>
      <c r="T14" s="504"/>
      <c r="U14" s="504"/>
      <c r="V14" s="504"/>
      <c r="W14" s="504"/>
      <c r="X14" s="504"/>
      <c r="Y14" s="504"/>
      <c r="Z14" s="504"/>
    </row>
    <row r="15" ht="12.0" customHeight="1">
      <c r="A15" s="494"/>
      <c r="B15" s="495" t="s">
        <v>713</v>
      </c>
      <c r="C15" s="496"/>
      <c r="D15" s="496"/>
      <c r="E15" s="497"/>
      <c r="F15" s="498"/>
      <c r="G15" s="504"/>
      <c r="H15" s="504"/>
      <c r="I15" s="504"/>
      <c r="J15" s="504"/>
      <c r="K15" s="504"/>
      <c r="L15" s="504"/>
      <c r="M15" s="504"/>
      <c r="N15" s="504"/>
      <c r="O15" s="504"/>
      <c r="P15" s="504"/>
      <c r="Q15" s="504"/>
      <c r="R15" s="504"/>
      <c r="S15" s="504"/>
      <c r="T15" s="504"/>
      <c r="U15" s="504"/>
      <c r="V15" s="504"/>
      <c r="W15" s="504"/>
      <c r="X15" s="504"/>
      <c r="Y15" s="504"/>
      <c r="Z15" s="504"/>
    </row>
    <row r="16" ht="12.0" customHeight="1">
      <c r="A16" s="499" t="s">
        <v>915</v>
      </c>
      <c r="B16" s="500" t="s">
        <v>38</v>
      </c>
      <c r="C16" s="501"/>
      <c r="D16" s="501"/>
      <c r="E16" s="502"/>
      <c r="F16" s="503"/>
      <c r="G16" s="474"/>
      <c r="H16" s="487"/>
      <c r="I16" s="474"/>
      <c r="J16" s="474"/>
      <c r="K16" s="474"/>
      <c r="L16" s="474"/>
      <c r="M16" s="474"/>
      <c r="N16" s="474"/>
      <c r="O16" s="474"/>
      <c r="P16" s="474"/>
      <c r="Q16" s="474"/>
      <c r="R16" s="474"/>
      <c r="S16" s="474"/>
      <c r="T16" s="474"/>
      <c r="U16" s="474"/>
      <c r="V16" s="474"/>
      <c r="W16" s="474"/>
      <c r="X16" s="474"/>
      <c r="Y16" s="474"/>
      <c r="Z16" s="474"/>
    </row>
    <row r="17" ht="12.0" customHeight="1">
      <c r="A17" s="488"/>
      <c r="B17" s="505" t="s">
        <v>916</v>
      </c>
      <c r="C17" s="490" t="s">
        <v>34</v>
      </c>
      <c r="D17" s="490"/>
      <c r="E17" s="491"/>
      <c r="F17" s="492"/>
      <c r="G17" s="474"/>
      <c r="H17" s="487"/>
      <c r="I17" s="474"/>
      <c r="J17" s="474"/>
      <c r="K17" s="474"/>
      <c r="L17" s="474"/>
      <c r="M17" s="474"/>
      <c r="N17" s="474"/>
      <c r="O17" s="474"/>
      <c r="P17" s="474"/>
      <c r="Q17" s="474"/>
      <c r="R17" s="474"/>
      <c r="S17" s="474"/>
      <c r="T17" s="474"/>
      <c r="U17" s="474"/>
      <c r="V17" s="474"/>
      <c r="W17" s="474"/>
      <c r="X17" s="474"/>
      <c r="Y17" s="474"/>
      <c r="Z17" s="474"/>
    </row>
    <row r="18" ht="12.0" customHeight="1">
      <c r="A18" s="488"/>
      <c r="B18" s="493" t="s">
        <v>41</v>
      </c>
      <c r="C18" s="490" t="s">
        <v>34</v>
      </c>
      <c r="D18" s="490"/>
      <c r="E18" s="491"/>
      <c r="F18" s="492"/>
      <c r="G18" s="474"/>
      <c r="H18" s="487"/>
      <c r="I18" s="474"/>
      <c r="J18" s="474"/>
      <c r="K18" s="474"/>
      <c r="L18" s="474"/>
      <c r="M18" s="474"/>
      <c r="N18" s="474"/>
      <c r="O18" s="474"/>
      <c r="P18" s="474"/>
      <c r="Q18" s="474"/>
      <c r="R18" s="474"/>
      <c r="S18" s="474"/>
      <c r="T18" s="474"/>
      <c r="U18" s="474"/>
      <c r="V18" s="474"/>
      <c r="W18" s="474"/>
      <c r="X18" s="474"/>
      <c r="Y18" s="474"/>
      <c r="Z18" s="474"/>
    </row>
    <row r="19" ht="12.0" customHeight="1">
      <c r="A19" s="488"/>
      <c r="B19" s="493" t="s">
        <v>42</v>
      </c>
      <c r="C19" s="490" t="s">
        <v>32</v>
      </c>
      <c r="D19" s="490"/>
      <c r="E19" s="491"/>
      <c r="F19" s="492"/>
      <c r="G19" s="474"/>
      <c r="H19" s="487"/>
      <c r="I19" s="474"/>
      <c r="J19" s="474"/>
      <c r="K19" s="474"/>
      <c r="L19" s="474"/>
      <c r="M19" s="474"/>
      <c r="N19" s="474"/>
      <c r="O19" s="474"/>
      <c r="P19" s="474"/>
      <c r="Q19" s="474"/>
      <c r="R19" s="474"/>
      <c r="S19" s="474"/>
      <c r="T19" s="474"/>
      <c r="U19" s="474"/>
      <c r="V19" s="474"/>
      <c r="W19" s="474"/>
      <c r="X19" s="474"/>
      <c r="Y19" s="474"/>
      <c r="Z19" s="474"/>
    </row>
    <row r="20" ht="12.0" customHeight="1">
      <c r="A20" s="494"/>
      <c r="B20" s="495" t="s">
        <v>713</v>
      </c>
      <c r="C20" s="496"/>
      <c r="D20" s="496"/>
      <c r="E20" s="497"/>
      <c r="F20" s="498"/>
      <c r="G20" s="474"/>
      <c r="H20" s="487"/>
      <c r="I20" s="474"/>
      <c r="J20" s="474"/>
      <c r="K20" s="474"/>
      <c r="L20" s="474"/>
      <c r="M20" s="474"/>
      <c r="N20" s="474"/>
      <c r="O20" s="474"/>
      <c r="P20" s="474"/>
      <c r="Q20" s="474"/>
      <c r="R20" s="474"/>
      <c r="S20" s="474"/>
      <c r="T20" s="474"/>
      <c r="U20" s="474"/>
      <c r="V20" s="474"/>
      <c r="W20" s="474"/>
      <c r="X20" s="474"/>
      <c r="Y20" s="474"/>
      <c r="Z20" s="474"/>
    </row>
    <row r="21" ht="12.0" customHeight="1">
      <c r="A21" s="499" t="s">
        <v>917</v>
      </c>
      <c r="B21" s="500" t="s">
        <v>49</v>
      </c>
      <c r="C21" s="501"/>
      <c r="D21" s="501"/>
      <c r="E21" s="502"/>
      <c r="F21" s="503"/>
      <c r="G21" s="474"/>
      <c r="H21" s="487"/>
      <c r="I21" s="474"/>
      <c r="J21" s="474"/>
      <c r="K21" s="474"/>
      <c r="L21" s="474"/>
      <c r="M21" s="474"/>
      <c r="N21" s="474"/>
      <c r="O21" s="474"/>
      <c r="P21" s="474"/>
      <c r="Q21" s="474"/>
      <c r="R21" s="474"/>
      <c r="S21" s="474"/>
      <c r="T21" s="474"/>
      <c r="U21" s="474"/>
      <c r="V21" s="474"/>
      <c r="W21" s="474"/>
      <c r="X21" s="474"/>
      <c r="Y21" s="474"/>
      <c r="Z21" s="474"/>
    </row>
    <row r="22" ht="12.0" customHeight="1">
      <c r="A22" s="488"/>
      <c r="B22" s="493" t="s">
        <v>918</v>
      </c>
      <c r="C22" s="490" t="s">
        <v>51</v>
      </c>
      <c r="D22" s="490"/>
      <c r="E22" s="491"/>
      <c r="F22" s="492"/>
      <c r="G22" s="474"/>
      <c r="H22" s="487"/>
      <c r="I22" s="474"/>
      <c r="J22" s="474"/>
      <c r="K22" s="474"/>
      <c r="L22" s="474"/>
      <c r="M22" s="474"/>
      <c r="N22" s="474"/>
      <c r="O22" s="474"/>
      <c r="P22" s="474"/>
      <c r="Q22" s="474"/>
      <c r="R22" s="474"/>
      <c r="S22" s="474"/>
      <c r="T22" s="474"/>
      <c r="U22" s="474"/>
      <c r="V22" s="474"/>
      <c r="W22" s="474"/>
      <c r="X22" s="474"/>
      <c r="Y22" s="474"/>
      <c r="Z22" s="474"/>
    </row>
    <row r="23" ht="12.0" customHeight="1">
      <c r="A23" s="488"/>
      <c r="B23" s="493" t="s">
        <v>718</v>
      </c>
      <c r="C23" s="490" t="s">
        <v>34</v>
      </c>
      <c r="D23" s="490"/>
      <c r="E23" s="491"/>
      <c r="F23" s="492"/>
      <c r="G23" s="474"/>
      <c r="H23" s="487"/>
      <c r="I23" s="474"/>
      <c r="J23" s="474"/>
      <c r="K23" s="474"/>
      <c r="L23" s="474"/>
      <c r="M23" s="474"/>
      <c r="N23" s="474"/>
      <c r="O23" s="474"/>
      <c r="P23" s="474"/>
      <c r="Q23" s="474"/>
      <c r="R23" s="474"/>
      <c r="S23" s="474"/>
      <c r="T23" s="474"/>
      <c r="U23" s="474"/>
      <c r="V23" s="474"/>
      <c r="W23" s="474"/>
      <c r="X23" s="474"/>
      <c r="Y23" s="474"/>
      <c r="Z23" s="474"/>
    </row>
    <row r="24" ht="12.0" customHeight="1">
      <c r="A24" s="488"/>
      <c r="B24" s="493" t="s">
        <v>719</v>
      </c>
      <c r="C24" s="490" t="s">
        <v>32</v>
      </c>
      <c r="D24" s="490"/>
      <c r="E24" s="491"/>
      <c r="F24" s="492"/>
      <c r="G24" s="474"/>
      <c r="H24" s="487"/>
      <c r="I24" s="474"/>
      <c r="J24" s="474"/>
      <c r="K24" s="474"/>
      <c r="L24" s="474"/>
      <c r="M24" s="474"/>
      <c r="N24" s="474"/>
      <c r="O24" s="474"/>
      <c r="P24" s="474"/>
      <c r="Q24" s="474"/>
      <c r="R24" s="474"/>
      <c r="S24" s="474"/>
      <c r="T24" s="474"/>
      <c r="U24" s="474"/>
      <c r="V24" s="474"/>
      <c r="W24" s="474"/>
      <c r="X24" s="474"/>
      <c r="Y24" s="474"/>
      <c r="Z24" s="474"/>
    </row>
    <row r="25" ht="12.0" customHeight="1">
      <c r="A25" s="488"/>
      <c r="B25" s="493" t="s">
        <v>720</v>
      </c>
      <c r="C25" s="490" t="s">
        <v>32</v>
      </c>
      <c r="D25" s="490"/>
      <c r="E25" s="491"/>
      <c r="F25" s="492"/>
      <c r="G25" s="474"/>
      <c r="H25" s="487"/>
      <c r="I25" s="474"/>
      <c r="J25" s="474"/>
      <c r="K25" s="474"/>
      <c r="L25" s="474"/>
      <c r="M25" s="474"/>
      <c r="N25" s="474"/>
      <c r="O25" s="474"/>
      <c r="P25" s="474"/>
      <c r="Q25" s="474"/>
      <c r="R25" s="474"/>
      <c r="S25" s="474"/>
      <c r="T25" s="474"/>
      <c r="U25" s="474"/>
      <c r="V25" s="474"/>
      <c r="W25" s="474"/>
      <c r="X25" s="474"/>
      <c r="Y25" s="474"/>
      <c r="Z25" s="474"/>
    </row>
    <row r="26" ht="12.0" customHeight="1">
      <c r="A26" s="494"/>
      <c r="B26" s="495" t="s">
        <v>713</v>
      </c>
      <c r="C26" s="496"/>
      <c r="D26" s="496"/>
      <c r="E26" s="497"/>
      <c r="F26" s="498"/>
      <c r="G26" s="474"/>
      <c r="H26" s="487"/>
      <c r="I26" s="474"/>
      <c r="J26" s="474"/>
      <c r="K26" s="474"/>
      <c r="L26" s="474"/>
      <c r="M26" s="474"/>
      <c r="N26" s="474"/>
      <c r="O26" s="474"/>
      <c r="P26" s="474"/>
      <c r="Q26" s="474"/>
      <c r="R26" s="474"/>
      <c r="S26" s="474"/>
      <c r="T26" s="474"/>
      <c r="U26" s="474"/>
      <c r="V26" s="474"/>
      <c r="W26" s="474"/>
      <c r="X26" s="474"/>
      <c r="Y26" s="474"/>
      <c r="Z26" s="474"/>
    </row>
    <row r="27" ht="12.0" customHeight="1">
      <c r="A27" s="499" t="s">
        <v>919</v>
      </c>
      <c r="B27" s="500" t="s">
        <v>920</v>
      </c>
      <c r="C27" s="501"/>
      <c r="D27" s="501"/>
      <c r="E27" s="502"/>
      <c r="F27" s="503"/>
      <c r="G27" s="474"/>
      <c r="H27" s="487"/>
      <c r="I27" s="474"/>
      <c r="J27" s="474"/>
      <c r="K27" s="474"/>
      <c r="L27" s="474"/>
      <c r="M27" s="474"/>
      <c r="N27" s="474"/>
      <c r="O27" s="474"/>
      <c r="P27" s="474"/>
      <c r="Q27" s="474"/>
      <c r="R27" s="474"/>
      <c r="S27" s="474"/>
      <c r="T27" s="474"/>
      <c r="U27" s="474"/>
      <c r="V27" s="474"/>
      <c r="W27" s="474"/>
      <c r="X27" s="474"/>
      <c r="Y27" s="474"/>
      <c r="Z27" s="474"/>
    </row>
    <row r="28" ht="12.0" customHeight="1">
      <c r="A28" s="488"/>
      <c r="B28" s="493" t="s">
        <v>136</v>
      </c>
      <c r="C28" s="490" t="s">
        <v>34</v>
      </c>
      <c r="D28" s="490"/>
      <c r="E28" s="491"/>
      <c r="F28" s="492"/>
      <c r="G28" s="474"/>
      <c r="H28" s="487"/>
      <c r="I28" s="474"/>
      <c r="J28" s="474"/>
      <c r="K28" s="474"/>
      <c r="L28" s="474"/>
      <c r="M28" s="474"/>
      <c r="N28" s="474"/>
      <c r="O28" s="474"/>
      <c r="P28" s="474"/>
      <c r="Q28" s="474"/>
      <c r="R28" s="474"/>
      <c r="S28" s="474"/>
      <c r="T28" s="474"/>
      <c r="U28" s="474"/>
      <c r="V28" s="474"/>
      <c r="W28" s="474"/>
      <c r="X28" s="474"/>
      <c r="Y28" s="474"/>
      <c r="Z28" s="474"/>
    </row>
    <row r="29" ht="12.0" customHeight="1">
      <c r="A29" s="488"/>
      <c r="B29" s="493" t="s">
        <v>137</v>
      </c>
      <c r="C29" s="490" t="s">
        <v>34</v>
      </c>
      <c r="D29" s="490"/>
      <c r="E29" s="491"/>
      <c r="F29" s="492"/>
      <c r="G29" s="474"/>
      <c r="H29" s="487"/>
      <c r="I29" s="474"/>
      <c r="J29" s="474"/>
      <c r="K29" s="474"/>
      <c r="L29" s="474"/>
      <c r="M29" s="474"/>
      <c r="N29" s="474"/>
      <c r="O29" s="474"/>
      <c r="P29" s="474"/>
      <c r="Q29" s="474"/>
      <c r="R29" s="474"/>
      <c r="S29" s="474"/>
      <c r="T29" s="474"/>
      <c r="U29" s="474"/>
      <c r="V29" s="474"/>
      <c r="W29" s="474"/>
      <c r="X29" s="474"/>
      <c r="Y29" s="474"/>
      <c r="Z29" s="474"/>
    </row>
    <row r="30" ht="12.0" customHeight="1">
      <c r="A30" s="488"/>
      <c r="B30" s="493" t="s">
        <v>138</v>
      </c>
      <c r="C30" s="490" t="s">
        <v>32</v>
      </c>
      <c r="D30" s="490"/>
      <c r="E30" s="491"/>
      <c r="F30" s="492"/>
      <c r="G30" s="474"/>
      <c r="H30" s="487"/>
      <c r="I30" s="474"/>
      <c r="J30" s="474"/>
      <c r="K30" s="474"/>
      <c r="L30" s="474"/>
      <c r="M30" s="474"/>
      <c r="N30" s="474"/>
      <c r="O30" s="474"/>
      <c r="P30" s="474"/>
      <c r="Q30" s="474"/>
      <c r="R30" s="474"/>
      <c r="S30" s="474"/>
      <c r="T30" s="474"/>
      <c r="U30" s="474"/>
      <c r="V30" s="474"/>
      <c r="W30" s="474"/>
      <c r="X30" s="474"/>
      <c r="Y30" s="474"/>
      <c r="Z30" s="474"/>
    </row>
    <row r="31" ht="12.0" customHeight="1">
      <c r="A31" s="488"/>
      <c r="B31" s="493" t="s">
        <v>139</v>
      </c>
      <c r="C31" s="490" t="s">
        <v>32</v>
      </c>
      <c r="D31" s="490"/>
      <c r="E31" s="491"/>
      <c r="F31" s="492"/>
      <c r="G31" s="474"/>
      <c r="H31" s="487"/>
      <c r="I31" s="474"/>
      <c r="J31" s="474"/>
      <c r="K31" s="474"/>
      <c r="L31" s="474"/>
      <c r="M31" s="474"/>
      <c r="N31" s="474"/>
      <c r="O31" s="474"/>
      <c r="P31" s="474"/>
      <c r="Q31" s="474"/>
      <c r="R31" s="474"/>
      <c r="S31" s="474"/>
      <c r="T31" s="474"/>
      <c r="U31" s="474"/>
      <c r="V31" s="474"/>
      <c r="W31" s="474"/>
      <c r="X31" s="474"/>
      <c r="Y31" s="474"/>
      <c r="Z31" s="474"/>
    </row>
    <row r="32" ht="12.0" customHeight="1">
      <c r="A32" s="488"/>
      <c r="B32" s="493" t="s">
        <v>140</v>
      </c>
      <c r="C32" s="490" t="s">
        <v>34</v>
      </c>
      <c r="D32" s="490"/>
      <c r="E32" s="491"/>
      <c r="F32" s="492"/>
      <c r="G32" s="474"/>
      <c r="H32" s="487"/>
      <c r="I32" s="474"/>
      <c r="J32" s="474"/>
      <c r="K32" s="474"/>
      <c r="L32" s="474"/>
      <c r="M32" s="474"/>
      <c r="N32" s="474"/>
      <c r="O32" s="474"/>
      <c r="P32" s="474"/>
      <c r="Q32" s="474"/>
      <c r="R32" s="474"/>
      <c r="S32" s="474"/>
      <c r="T32" s="474"/>
      <c r="U32" s="474"/>
      <c r="V32" s="474"/>
      <c r="W32" s="474"/>
      <c r="X32" s="474"/>
      <c r="Y32" s="474"/>
      <c r="Z32" s="474"/>
    </row>
    <row r="33" ht="12.0" customHeight="1">
      <c r="A33" s="488"/>
      <c r="B33" s="493" t="s">
        <v>141</v>
      </c>
      <c r="C33" s="490" t="s">
        <v>32</v>
      </c>
      <c r="D33" s="490"/>
      <c r="E33" s="491"/>
      <c r="F33" s="492"/>
      <c r="G33" s="474"/>
      <c r="H33" s="487"/>
      <c r="I33" s="474"/>
      <c r="J33" s="474"/>
      <c r="K33" s="474"/>
      <c r="L33" s="474"/>
      <c r="M33" s="474"/>
      <c r="N33" s="474"/>
      <c r="O33" s="474"/>
      <c r="P33" s="474"/>
      <c r="Q33" s="474"/>
      <c r="R33" s="474"/>
      <c r="S33" s="474"/>
      <c r="T33" s="474"/>
      <c r="U33" s="474"/>
      <c r="V33" s="474"/>
      <c r="W33" s="474"/>
      <c r="X33" s="474"/>
      <c r="Y33" s="474"/>
      <c r="Z33" s="474"/>
    </row>
    <row r="34" ht="12.0" customHeight="1">
      <c r="A34" s="494"/>
      <c r="B34" s="495" t="s">
        <v>713</v>
      </c>
      <c r="C34" s="496"/>
      <c r="D34" s="496"/>
      <c r="E34" s="497"/>
      <c r="F34" s="498"/>
      <c r="G34" s="474"/>
      <c r="H34" s="487"/>
      <c r="I34" s="474"/>
      <c r="J34" s="474"/>
      <c r="K34" s="474"/>
      <c r="L34" s="474"/>
      <c r="M34" s="474"/>
      <c r="N34" s="474"/>
      <c r="O34" s="474"/>
      <c r="P34" s="474"/>
      <c r="Q34" s="474"/>
      <c r="R34" s="474"/>
      <c r="S34" s="474"/>
      <c r="T34" s="474"/>
      <c r="U34" s="474"/>
      <c r="V34" s="474"/>
      <c r="W34" s="474"/>
      <c r="X34" s="474"/>
      <c r="Y34" s="474"/>
      <c r="Z34" s="474"/>
    </row>
    <row r="35" ht="12.0" customHeight="1">
      <c r="A35" s="499" t="s">
        <v>921</v>
      </c>
      <c r="B35" s="500" t="s">
        <v>216</v>
      </c>
      <c r="C35" s="501"/>
      <c r="D35" s="501"/>
      <c r="E35" s="502"/>
      <c r="F35" s="503"/>
      <c r="G35" s="474"/>
      <c r="H35" s="487"/>
      <c r="I35" s="474"/>
      <c r="J35" s="474"/>
      <c r="K35" s="474"/>
      <c r="L35" s="474"/>
      <c r="M35" s="474"/>
      <c r="N35" s="474"/>
      <c r="O35" s="474"/>
      <c r="P35" s="474"/>
      <c r="Q35" s="474"/>
      <c r="R35" s="474"/>
      <c r="S35" s="474"/>
      <c r="T35" s="474"/>
      <c r="U35" s="474"/>
      <c r="V35" s="474"/>
      <c r="W35" s="474"/>
      <c r="X35" s="474"/>
      <c r="Y35" s="474"/>
      <c r="Z35" s="474"/>
    </row>
    <row r="36" ht="12.0" customHeight="1">
      <c r="A36" s="488"/>
      <c r="B36" s="493" t="s">
        <v>217</v>
      </c>
      <c r="C36" s="490" t="s">
        <v>34</v>
      </c>
      <c r="D36" s="490"/>
      <c r="E36" s="491"/>
      <c r="F36" s="492"/>
      <c r="G36" s="474"/>
      <c r="H36" s="487"/>
      <c r="I36" s="474"/>
      <c r="J36" s="474"/>
      <c r="K36" s="474"/>
      <c r="L36" s="474"/>
      <c r="M36" s="474"/>
      <c r="N36" s="474"/>
      <c r="O36" s="474"/>
      <c r="P36" s="474"/>
      <c r="Q36" s="474"/>
      <c r="R36" s="474"/>
      <c r="S36" s="474"/>
      <c r="T36" s="474"/>
      <c r="U36" s="474"/>
      <c r="V36" s="474"/>
      <c r="W36" s="474"/>
      <c r="X36" s="474"/>
      <c r="Y36" s="474"/>
      <c r="Z36" s="474"/>
    </row>
    <row r="37" ht="12.0" customHeight="1">
      <c r="A37" s="494"/>
      <c r="B37" s="495" t="s">
        <v>713</v>
      </c>
      <c r="C37" s="496"/>
      <c r="D37" s="496"/>
      <c r="E37" s="497"/>
      <c r="F37" s="498"/>
      <c r="G37" s="474"/>
      <c r="H37" s="487"/>
      <c r="I37" s="474"/>
      <c r="J37" s="474"/>
      <c r="K37" s="474"/>
      <c r="L37" s="474"/>
      <c r="M37" s="474"/>
      <c r="N37" s="474"/>
      <c r="O37" s="474"/>
      <c r="P37" s="474"/>
      <c r="Q37" s="474"/>
      <c r="R37" s="474"/>
      <c r="S37" s="474"/>
      <c r="T37" s="474"/>
      <c r="U37" s="474"/>
      <c r="V37" s="474"/>
      <c r="W37" s="474"/>
      <c r="X37" s="474"/>
      <c r="Y37" s="474"/>
      <c r="Z37" s="474"/>
    </row>
    <row r="38" ht="12.0" customHeight="1">
      <c r="A38" s="499" t="s">
        <v>922</v>
      </c>
      <c r="B38" s="500" t="s">
        <v>219</v>
      </c>
      <c r="C38" s="501"/>
      <c r="D38" s="501"/>
      <c r="E38" s="502"/>
      <c r="F38" s="503"/>
      <c r="G38" s="474"/>
      <c r="H38" s="487"/>
      <c r="I38" s="474"/>
      <c r="J38" s="474"/>
      <c r="K38" s="474"/>
      <c r="L38" s="474"/>
      <c r="M38" s="474"/>
      <c r="N38" s="474"/>
      <c r="O38" s="474"/>
      <c r="P38" s="474"/>
      <c r="Q38" s="474"/>
      <c r="R38" s="474"/>
      <c r="S38" s="474"/>
      <c r="T38" s="474"/>
      <c r="U38" s="474"/>
      <c r="V38" s="474"/>
      <c r="W38" s="474"/>
      <c r="X38" s="474"/>
      <c r="Y38" s="474"/>
      <c r="Z38" s="474"/>
    </row>
    <row r="39" ht="12.0" customHeight="1">
      <c r="A39" s="488"/>
      <c r="B39" s="493" t="s">
        <v>923</v>
      </c>
      <c r="C39" s="490" t="s">
        <v>34</v>
      </c>
      <c r="D39" s="490"/>
      <c r="E39" s="491"/>
      <c r="F39" s="492"/>
      <c r="G39" s="474"/>
      <c r="H39" s="487"/>
      <c r="I39" s="474"/>
      <c r="J39" s="474"/>
      <c r="K39" s="474"/>
      <c r="L39" s="474"/>
      <c r="M39" s="474"/>
      <c r="N39" s="474"/>
      <c r="O39" s="474"/>
      <c r="P39" s="474"/>
      <c r="Q39" s="474"/>
      <c r="R39" s="474"/>
      <c r="S39" s="474"/>
      <c r="T39" s="474"/>
      <c r="U39" s="474"/>
      <c r="V39" s="474"/>
      <c r="W39" s="474"/>
      <c r="X39" s="474"/>
      <c r="Y39" s="474"/>
      <c r="Z39" s="474"/>
    </row>
    <row r="40" ht="12.0" customHeight="1">
      <c r="A40" s="494"/>
      <c r="B40" s="495" t="s">
        <v>713</v>
      </c>
      <c r="C40" s="496"/>
      <c r="D40" s="496"/>
      <c r="E40" s="497"/>
      <c r="F40" s="498"/>
      <c r="G40" s="474"/>
      <c r="H40" s="487"/>
      <c r="I40" s="474"/>
      <c r="J40" s="474"/>
      <c r="K40" s="474"/>
      <c r="L40" s="474"/>
      <c r="M40" s="474"/>
      <c r="N40" s="474"/>
      <c r="O40" s="474"/>
      <c r="P40" s="474"/>
      <c r="Q40" s="474"/>
      <c r="R40" s="474"/>
      <c r="S40" s="474"/>
      <c r="T40" s="474"/>
      <c r="U40" s="474"/>
      <c r="V40" s="474"/>
      <c r="W40" s="474"/>
      <c r="X40" s="474"/>
      <c r="Y40" s="474"/>
      <c r="Z40" s="474"/>
    </row>
    <row r="41" ht="12.0" customHeight="1">
      <c r="A41" s="499" t="s">
        <v>924</v>
      </c>
      <c r="B41" s="500" t="s">
        <v>925</v>
      </c>
      <c r="C41" s="501"/>
      <c r="D41" s="501"/>
      <c r="E41" s="502"/>
      <c r="F41" s="503"/>
      <c r="G41" s="474"/>
      <c r="H41" s="487"/>
      <c r="I41" s="474"/>
      <c r="J41" s="474"/>
      <c r="K41" s="474"/>
      <c r="L41" s="474"/>
      <c r="M41" s="474"/>
      <c r="N41" s="474"/>
      <c r="O41" s="474"/>
      <c r="P41" s="474"/>
      <c r="Q41" s="474"/>
      <c r="R41" s="474"/>
      <c r="S41" s="474"/>
      <c r="T41" s="474"/>
      <c r="U41" s="474"/>
      <c r="V41" s="474"/>
      <c r="W41" s="474"/>
      <c r="X41" s="474"/>
      <c r="Y41" s="474"/>
      <c r="Z41" s="474"/>
    </row>
    <row r="42" ht="12.0" customHeight="1">
      <c r="A42" s="488"/>
      <c r="B42" s="493" t="s">
        <v>926</v>
      </c>
      <c r="C42" s="490" t="s">
        <v>34</v>
      </c>
      <c r="D42" s="490"/>
      <c r="E42" s="491"/>
      <c r="F42" s="492"/>
      <c r="G42" s="474"/>
      <c r="H42" s="487"/>
      <c r="I42" s="474"/>
      <c r="J42" s="474"/>
      <c r="K42" s="474"/>
      <c r="L42" s="474"/>
      <c r="M42" s="474"/>
      <c r="N42" s="474"/>
      <c r="O42" s="474"/>
      <c r="P42" s="474"/>
      <c r="Q42" s="474"/>
      <c r="R42" s="474"/>
      <c r="S42" s="474"/>
      <c r="T42" s="474"/>
      <c r="U42" s="474"/>
      <c r="V42" s="474"/>
      <c r="W42" s="474"/>
      <c r="X42" s="474"/>
      <c r="Y42" s="474"/>
      <c r="Z42" s="474"/>
    </row>
    <row r="43" ht="12.0" customHeight="1">
      <c r="A43" s="488"/>
      <c r="B43" s="493" t="s">
        <v>927</v>
      </c>
      <c r="C43" s="490" t="s">
        <v>34</v>
      </c>
      <c r="D43" s="490"/>
      <c r="E43" s="491"/>
      <c r="F43" s="492"/>
      <c r="G43" s="474"/>
      <c r="H43" s="487"/>
      <c r="I43" s="474"/>
      <c r="J43" s="474"/>
      <c r="K43" s="474"/>
      <c r="L43" s="474"/>
      <c r="M43" s="474"/>
      <c r="N43" s="474"/>
      <c r="O43" s="474"/>
      <c r="P43" s="474"/>
      <c r="Q43" s="474"/>
      <c r="R43" s="474"/>
      <c r="S43" s="474"/>
      <c r="T43" s="474"/>
      <c r="U43" s="474"/>
      <c r="V43" s="474"/>
      <c r="W43" s="474"/>
      <c r="X43" s="474"/>
      <c r="Y43" s="474"/>
      <c r="Z43" s="474"/>
    </row>
    <row r="44" ht="12.0" customHeight="1">
      <c r="A44" s="488"/>
      <c r="B44" s="493" t="s">
        <v>928</v>
      </c>
      <c r="C44" s="490" t="s">
        <v>34</v>
      </c>
      <c r="D44" s="490"/>
      <c r="E44" s="491"/>
      <c r="F44" s="492"/>
      <c r="G44" s="474"/>
      <c r="H44" s="487"/>
      <c r="I44" s="474"/>
      <c r="J44" s="474"/>
      <c r="K44" s="474"/>
      <c r="L44" s="474"/>
      <c r="M44" s="474"/>
      <c r="N44" s="474"/>
      <c r="O44" s="474"/>
      <c r="P44" s="474"/>
      <c r="Q44" s="474"/>
      <c r="R44" s="474"/>
      <c r="S44" s="474"/>
      <c r="T44" s="474"/>
      <c r="U44" s="474"/>
      <c r="V44" s="474"/>
      <c r="W44" s="474"/>
      <c r="X44" s="474"/>
      <c r="Y44" s="474"/>
      <c r="Z44" s="474"/>
    </row>
    <row r="45" ht="12.0" customHeight="1">
      <c r="A45" s="488"/>
      <c r="B45" s="493" t="s">
        <v>929</v>
      </c>
      <c r="C45" s="490" t="s">
        <v>34</v>
      </c>
      <c r="D45" s="490"/>
      <c r="E45" s="491"/>
      <c r="F45" s="492"/>
      <c r="G45" s="474"/>
      <c r="H45" s="487"/>
      <c r="I45" s="474"/>
      <c r="J45" s="474"/>
      <c r="K45" s="474"/>
      <c r="L45" s="474"/>
      <c r="M45" s="474"/>
      <c r="N45" s="474"/>
      <c r="O45" s="474"/>
      <c r="P45" s="474"/>
      <c r="Q45" s="474"/>
      <c r="R45" s="474"/>
      <c r="S45" s="474"/>
      <c r="T45" s="474"/>
      <c r="U45" s="474"/>
      <c r="V45" s="474"/>
      <c r="W45" s="474"/>
      <c r="X45" s="474"/>
      <c r="Y45" s="474"/>
      <c r="Z45" s="474"/>
    </row>
    <row r="46" ht="12.0" customHeight="1">
      <c r="A46" s="494"/>
      <c r="B46" s="495" t="s">
        <v>713</v>
      </c>
      <c r="C46" s="496"/>
      <c r="D46" s="496"/>
      <c r="E46" s="497"/>
      <c r="F46" s="498"/>
      <c r="G46" s="474"/>
      <c r="H46" s="487"/>
      <c r="I46" s="474"/>
      <c r="J46" s="474"/>
      <c r="K46" s="474"/>
      <c r="L46" s="474"/>
      <c r="M46" s="474"/>
      <c r="N46" s="474"/>
      <c r="O46" s="474"/>
      <c r="P46" s="474"/>
      <c r="Q46" s="474"/>
      <c r="R46" s="474"/>
      <c r="S46" s="474"/>
      <c r="T46" s="474"/>
      <c r="U46" s="474"/>
      <c r="V46" s="474"/>
      <c r="W46" s="474"/>
      <c r="X46" s="474"/>
      <c r="Y46" s="474"/>
      <c r="Z46" s="474"/>
    </row>
    <row r="47" ht="12.0" customHeight="1">
      <c r="A47" s="506" t="s">
        <v>930</v>
      </c>
      <c r="B47" s="500" t="s">
        <v>931</v>
      </c>
      <c r="C47" s="501"/>
      <c r="D47" s="501"/>
      <c r="E47" s="502"/>
      <c r="F47" s="503"/>
      <c r="G47" s="504"/>
      <c r="H47" s="487"/>
      <c r="I47" s="474"/>
      <c r="J47" s="504"/>
      <c r="K47" s="504"/>
      <c r="L47" s="504"/>
      <c r="M47" s="504"/>
      <c r="N47" s="504"/>
      <c r="O47" s="504"/>
      <c r="P47" s="504"/>
      <c r="Q47" s="504"/>
      <c r="R47" s="504"/>
      <c r="S47" s="504"/>
      <c r="T47" s="504"/>
      <c r="U47" s="504"/>
      <c r="V47" s="504"/>
      <c r="W47" s="504"/>
      <c r="X47" s="504"/>
      <c r="Y47" s="504"/>
      <c r="Z47" s="504"/>
    </row>
    <row r="48" ht="12.0" customHeight="1">
      <c r="A48" s="488"/>
      <c r="B48" s="493" t="s">
        <v>932</v>
      </c>
      <c r="C48" s="490" t="s">
        <v>51</v>
      </c>
      <c r="D48" s="490"/>
      <c r="E48" s="491"/>
      <c r="F48" s="492"/>
      <c r="G48" s="504"/>
      <c r="H48" s="487"/>
      <c r="I48" s="474"/>
      <c r="J48" s="504"/>
      <c r="K48" s="504"/>
      <c r="L48" s="504"/>
      <c r="M48" s="504"/>
      <c r="N48" s="504"/>
      <c r="O48" s="504"/>
      <c r="P48" s="504"/>
      <c r="Q48" s="504"/>
      <c r="R48" s="504"/>
      <c r="S48" s="504"/>
      <c r="T48" s="504"/>
      <c r="U48" s="504"/>
      <c r="V48" s="504"/>
      <c r="W48" s="504"/>
      <c r="X48" s="504"/>
      <c r="Y48" s="504"/>
      <c r="Z48" s="504"/>
    </row>
    <row r="49" ht="12.0" customHeight="1">
      <c r="A49" s="488"/>
      <c r="B49" s="493" t="s">
        <v>933</v>
      </c>
      <c r="C49" s="490" t="s">
        <v>51</v>
      </c>
      <c r="D49" s="490"/>
      <c r="E49" s="491"/>
      <c r="F49" s="492"/>
      <c r="G49" s="504"/>
      <c r="H49" s="487"/>
      <c r="I49" s="474"/>
      <c r="J49" s="504"/>
      <c r="K49" s="504"/>
      <c r="L49" s="504"/>
      <c r="M49" s="504"/>
      <c r="N49" s="504"/>
      <c r="O49" s="504"/>
      <c r="P49" s="504"/>
      <c r="Q49" s="504"/>
      <c r="R49" s="504"/>
      <c r="S49" s="504"/>
      <c r="T49" s="504"/>
      <c r="U49" s="504"/>
      <c r="V49" s="504"/>
      <c r="W49" s="504"/>
      <c r="X49" s="504"/>
      <c r="Y49" s="504"/>
      <c r="Z49" s="504"/>
    </row>
    <row r="50" ht="12.0" customHeight="1">
      <c r="A50" s="488"/>
      <c r="B50" s="493" t="s">
        <v>934</v>
      </c>
      <c r="C50" s="490" t="s">
        <v>51</v>
      </c>
      <c r="D50" s="490"/>
      <c r="E50" s="491"/>
      <c r="F50" s="492"/>
      <c r="G50" s="504"/>
      <c r="H50" s="487"/>
      <c r="I50" s="474"/>
      <c r="J50" s="504"/>
      <c r="K50" s="504"/>
      <c r="L50" s="504"/>
      <c r="M50" s="504"/>
      <c r="N50" s="504"/>
      <c r="O50" s="504"/>
      <c r="P50" s="504"/>
      <c r="Q50" s="504"/>
      <c r="R50" s="504"/>
      <c r="S50" s="504"/>
      <c r="T50" s="504"/>
      <c r="U50" s="504"/>
      <c r="V50" s="504"/>
      <c r="W50" s="504"/>
      <c r="X50" s="504"/>
      <c r="Y50" s="504"/>
      <c r="Z50" s="504"/>
    </row>
    <row r="51" ht="12.0" customHeight="1">
      <c r="A51" s="488"/>
      <c r="B51" s="493" t="s">
        <v>263</v>
      </c>
      <c r="C51" s="490" t="s">
        <v>51</v>
      </c>
      <c r="D51" s="490"/>
      <c r="E51" s="491"/>
      <c r="F51" s="492"/>
      <c r="G51" s="504"/>
      <c r="H51" s="487"/>
      <c r="I51" s="474"/>
      <c r="J51" s="504"/>
      <c r="K51" s="504"/>
      <c r="L51" s="504"/>
      <c r="M51" s="504"/>
      <c r="N51" s="504"/>
      <c r="O51" s="504"/>
      <c r="P51" s="504"/>
      <c r="Q51" s="504"/>
      <c r="R51" s="504"/>
      <c r="S51" s="504"/>
      <c r="T51" s="504"/>
      <c r="U51" s="504"/>
      <c r="V51" s="504"/>
      <c r="W51" s="504"/>
      <c r="X51" s="504"/>
      <c r="Y51" s="504"/>
      <c r="Z51" s="504"/>
    </row>
    <row r="52" ht="12.0" customHeight="1">
      <c r="A52" s="488"/>
      <c r="B52" s="493" t="s">
        <v>272</v>
      </c>
      <c r="C52" s="490" t="s">
        <v>51</v>
      </c>
      <c r="D52" s="490"/>
      <c r="E52" s="491"/>
      <c r="F52" s="492"/>
      <c r="G52" s="504"/>
      <c r="H52" s="487"/>
      <c r="I52" s="474"/>
      <c r="J52" s="504"/>
      <c r="K52" s="504"/>
      <c r="L52" s="504"/>
      <c r="M52" s="504"/>
      <c r="N52" s="504"/>
      <c r="O52" s="504"/>
      <c r="P52" s="504"/>
      <c r="Q52" s="504"/>
      <c r="R52" s="504"/>
      <c r="S52" s="504"/>
      <c r="T52" s="504"/>
      <c r="U52" s="504"/>
      <c r="V52" s="504"/>
      <c r="W52" s="504"/>
      <c r="X52" s="504"/>
      <c r="Y52" s="504"/>
      <c r="Z52" s="504"/>
    </row>
    <row r="53" ht="12.0" customHeight="1">
      <c r="A53" s="488"/>
      <c r="B53" s="493" t="s">
        <v>273</v>
      </c>
      <c r="C53" s="490" t="s">
        <v>32</v>
      </c>
      <c r="D53" s="490"/>
      <c r="E53" s="491"/>
      <c r="F53" s="492"/>
      <c r="G53" s="504"/>
      <c r="H53" s="487"/>
      <c r="I53" s="474"/>
      <c r="J53" s="504"/>
      <c r="K53" s="504"/>
      <c r="L53" s="504"/>
      <c r="M53" s="504"/>
      <c r="N53" s="504"/>
      <c r="O53" s="504"/>
      <c r="P53" s="504"/>
      <c r="Q53" s="504"/>
      <c r="R53" s="504"/>
      <c r="S53" s="504"/>
      <c r="T53" s="504"/>
      <c r="U53" s="504"/>
      <c r="V53" s="504"/>
      <c r="W53" s="504"/>
      <c r="X53" s="504"/>
      <c r="Y53" s="504"/>
      <c r="Z53" s="504"/>
    </row>
    <row r="54" ht="12.0" customHeight="1">
      <c r="A54" s="494"/>
      <c r="B54" s="495" t="s">
        <v>713</v>
      </c>
      <c r="C54" s="496"/>
      <c r="D54" s="496"/>
      <c r="E54" s="497"/>
      <c r="F54" s="498"/>
      <c r="G54" s="504"/>
      <c r="H54" s="487"/>
      <c r="I54" s="474"/>
      <c r="J54" s="504"/>
      <c r="K54" s="504"/>
      <c r="L54" s="504"/>
      <c r="M54" s="504"/>
      <c r="N54" s="504"/>
      <c r="O54" s="504"/>
      <c r="P54" s="504"/>
      <c r="Q54" s="504"/>
      <c r="R54" s="504"/>
      <c r="S54" s="504"/>
      <c r="T54" s="504"/>
      <c r="U54" s="504"/>
      <c r="V54" s="504"/>
      <c r="W54" s="504"/>
      <c r="X54" s="504"/>
      <c r="Y54" s="504"/>
      <c r="Z54" s="504"/>
    </row>
    <row r="55" ht="12.0" customHeight="1">
      <c r="A55" s="506" t="s">
        <v>935</v>
      </c>
      <c r="B55" s="500" t="s">
        <v>275</v>
      </c>
      <c r="C55" s="501"/>
      <c r="D55" s="501"/>
      <c r="E55" s="502"/>
      <c r="F55" s="503"/>
      <c r="G55" s="504"/>
      <c r="H55" s="487"/>
      <c r="I55" s="474"/>
      <c r="J55" s="504"/>
      <c r="K55" s="504"/>
      <c r="L55" s="504"/>
      <c r="M55" s="504"/>
      <c r="N55" s="504"/>
      <c r="O55" s="504"/>
      <c r="P55" s="504"/>
      <c r="Q55" s="504"/>
      <c r="R55" s="504"/>
      <c r="S55" s="504"/>
      <c r="T55" s="504"/>
      <c r="U55" s="504"/>
      <c r="V55" s="504"/>
      <c r="W55" s="504"/>
      <c r="X55" s="504"/>
      <c r="Y55" s="504"/>
      <c r="Z55" s="504"/>
    </row>
    <row r="56" ht="12.0" customHeight="1">
      <c r="A56" s="488"/>
      <c r="B56" s="507" t="s">
        <v>288</v>
      </c>
      <c r="C56" s="508" t="s">
        <v>34</v>
      </c>
      <c r="D56" s="490"/>
      <c r="E56" s="491"/>
      <c r="F56" s="492"/>
      <c r="G56" s="504"/>
      <c r="H56" s="487"/>
      <c r="I56" s="474"/>
      <c r="J56" s="504"/>
      <c r="K56" s="504"/>
      <c r="L56" s="504"/>
      <c r="M56" s="504"/>
      <c r="N56" s="504"/>
      <c r="O56" s="504"/>
      <c r="P56" s="504"/>
      <c r="Q56" s="504"/>
      <c r="R56" s="504"/>
      <c r="S56" s="504"/>
      <c r="T56" s="504"/>
      <c r="U56" s="504"/>
      <c r="V56" s="504"/>
      <c r="W56" s="504"/>
      <c r="X56" s="504"/>
      <c r="Y56" s="504"/>
      <c r="Z56" s="504"/>
    </row>
    <row r="57" ht="12.0" customHeight="1">
      <c r="A57" s="488"/>
      <c r="B57" s="507" t="s">
        <v>289</v>
      </c>
      <c r="C57" s="508" t="s">
        <v>34</v>
      </c>
      <c r="D57" s="490"/>
      <c r="E57" s="491"/>
      <c r="F57" s="492"/>
      <c r="G57" s="504"/>
      <c r="H57" s="487"/>
      <c r="I57" s="474"/>
      <c r="J57" s="504"/>
      <c r="K57" s="504"/>
      <c r="L57" s="504"/>
      <c r="M57" s="504"/>
      <c r="N57" s="504"/>
      <c r="O57" s="504"/>
      <c r="P57" s="504"/>
      <c r="Q57" s="504"/>
      <c r="R57" s="504"/>
      <c r="S57" s="504"/>
      <c r="T57" s="504"/>
      <c r="U57" s="504"/>
      <c r="V57" s="504"/>
      <c r="W57" s="504"/>
      <c r="X57" s="504"/>
      <c r="Y57" s="504"/>
      <c r="Z57" s="504"/>
    </row>
    <row r="58" ht="12.0" customHeight="1">
      <c r="A58" s="488"/>
      <c r="B58" s="507" t="s">
        <v>290</v>
      </c>
      <c r="C58" s="508" t="s">
        <v>34</v>
      </c>
      <c r="D58" s="490"/>
      <c r="E58" s="491"/>
      <c r="F58" s="492"/>
      <c r="G58" s="504"/>
      <c r="H58" s="487"/>
      <c r="I58" s="474"/>
      <c r="J58" s="504"/>
      <c r="K58" s="504"/>
      <c r="L58" s="504"/>
      <c r="M58" s="504"/>
      <c r="N58" s="504"/>
      <c r="O58" s="504"/>
      <c r="P58" s="504"/>
      <c r="Q58" s="504"/>
      <c r="R58" s="504"/>
      <c r="S58" s="504"/>
      <c r="T58" s="504"/>
      <c r="U58" s="504"/>
      <c r="V58" s="504"/>
      <c r="W58" s="504"/>
      <c r="X58" s="504"/>
      <c r="Y58" s="504"/>
      <c r="Z58" s="504"/>
    </row>
    <row r="59" ht="12.0" customHeight="1">
      <c r="A59" s="488"/>
      <c r="B59" s="507" t="s">
        <v>291</v>
      </c>
      <c r="C59" s="508" t="s">
        <v>34</v>
      </c>
      <c r="D59" s="490"/>
      <c r="E59" s="491"/>
      <c r="F59" s="492"/>
      <c r="G59" s="504"/>
      <c r="H59" s="487"/>
      <c r="I59" s="474"/>
      <c r="J59" s="504"/>
      <c r="K59" s="504"/>
      <c r="L59" s="504"/>
      <c r="M59" s="504"/>
      <c r="N59" s="504"/>
      <c r="O59" s="504"/>
      <c r="P59" s="504"/>
      <c r="Q59" s="504"/>
      <c r="R59" s="504"/>
      <c r="S59" s="504"/>
      <c r="T59" s="504"/>
      <c r="U59" s="504"/>
      <c r="V59" s="504"/>
      <c r="W59" s="504"/>
      <c r="X59" s="504"/>
      <c r="Y59" s="504"/>
      <c r="Z59" s="504"/>
    </row>
    <row r="60" ht="12.0" customHeight="1">
      <c r="A60" s="488"/>
      <c r="B60" s="507" t="s">
        <v>292</v>
      </c>
      <c r="C60" s="508" t="s">
        <v>34</v>
      </c>
      <c r="D60" s="490"/>
      <c r="E60" s="491"/>
      <c r="F60" s="492"/>
      <c r="G60" s="504"/>
      <c r="H60" s="487"/>
      <c r="I60" s="474"/>
      <c r="J60" s="504"/>
      <c r="K60" s="504"/>
      <c r="L60" s="504"/>
      <c r="M60" s="504"/>
      <c r="N60" s="504"/>
      <c r="O60" s="504"/>
      <c r="P60" s="504"/>
      <c r="Q60" s="504"/>
      <c r="R60" s="504"/>
      <c r="S60" s="504"/>
      <c r="T60" s="504"/>
      <c r="U60" s="504"/>
      <c r="V60" s="504"/>
      <c r="W60" s="504"/>
      <c r="X60" s="504"/>
      <c r="Y60" s="504"/>
      <c r="Z60" s="504"/>
    </row>
    <row r="61" ht="12.0" customHeight="1">
      <c r="A61" s="488"/>
      <c r="B61" s="507" t="s">
        <v>293</v>
      </c>
      <c r="C61" s="508" t="s">
        <v>34</v>
      </c>
      <c r="D61" s="490"/>
      <c r="E61" s="491"/>
      <c r="F61" s="492"/>
      <c r="G61" s="504"/>
      <c r="H61" s="487"/>
      <c r="I61" s="474"/>
      <c r="J61" s="504"/>
      <c r="K61" s="504"/>
      <c r="L61" s="504"/>
      <c r="M61" s="504"/>
      <c r="N61" s="504"/>
      <c r="O61" s="504"/>
      <c r="P61" s="504"/>
      <c r="Q61" s="504"/>
      <c r="R61" s="504"/>
      <c r="S61" s="504"/>
      <c r="T61" s="504"/>
      <c r="U61" s="504"/>
      <c r="V61" s="504"/>
      <c r="W61" s="504"/>
      <c r="X61" s="504"/>
      <c r="Y61" s="504"/>
      <c r="Z61" s="504"/>
    </row>
    <row r="62" ht="12.0" customHeight="1">
      <c r="A62" s="488"/>
      <c r="B62" s="507" t="s">
        <v>294</v>
      </c>
      <c r="C62" s="508" t="s">
        <v>34</v>
      </c>
      <c r="D62" s="490"/>
      <c r="E62" s="491"/>
      <c r="F62" s="492"/>
      <c r="G62" s="504"/>
      <c r="H62" s="487"/>
      <c r="I62" s="474"/>
      <c r="J62" s="504"/>
      <c r="K62" s="504"/>
      <c r="L62" s="504"/>
      <c r="M62" s="504"/>
      <c r="N62" s="504"/>
      <c r="O62" s="504"/>
      <c r="P62" s="504"/>
      <c r="Q62" s="504"/>
      <c r="R62" s="504"/>
      <c r="S62" s="504"/>
      <c r="T62" s="504"/>
      <c r="U62" s="504"/>
      <c r="V62" s="504"/>
      <c r="W62" s="504"/>
      <c r="X62" s="504"/>
      <c r="Y62" s="504"/>
      <c r="Z62" s="504"/>
    </row>
    <row r="63" ht="12.0" customHeight="1">
      <c r="A63" s="488"/>
      <c r="B63" s="507" t="s">
        <v>295</v>
      </c>
      <c r="C63" s="508" t="s">
        <v>34</v>
      </c>
      <c r="D63" s="490"/>
      <c r="E63" s="491"/>
      <c r="F63" s="492"/>
      <c r="G63" s="504"/>
      <c r="H63" s="487"/>
      <c r="I63" s="474"/>
      <c r="J63" s="504"/>
      <c r="K63" s="504"/>
      <c r="L63" s="504"/>
      <c r="M63" s="504"/>
      <c r="N63" s="504"/>
      <c r="O63" s="504"/>
      <c r="P63" s="504"/>
      <c r="Q63" s="504"/>
      <c r="R63" s="504"/>
      <c r="S63" s="504"/>
      <c r="T63" s="504"/>
      <c r="U63" s="504"/>
      <c r="V63" s="504"/>
      <c r="W63" s="504"/>
      <c r="X63" s="504"/>
      <c r="Y63" s="504"/>
      <c r="Z63" s="504"/>
    </row>
    <row r="64" ht="12.0" customHeight="1">
      <c r="A64" s="488"/>
      <c r="B64" s="507" t="s">
        <v>296</v>
      </c>
      <c r="C64" s="508" t="s">
        <v>34</v>
      </c>
      <c r="D64" s="490"/>
      <c r="E64" s="491"/>
      <c r="F64" s="492"/>
      <c r="G64" s="504"/>
      <c r="H64" s="487"/>
      <c r="I64" s="474"/>
      <c r="J64" s="504"/>
      <c r="K64" s="504"/>
      <c r="L64" s="504"/>
      <c r="M64" s="504"/>
      <c r="N64" s="504"/>
      <c r="O64" s="504"/>
      <c r="P64" s="504"/>
      <c r="Q64" s="504"/>
      <c r="R64" s="504"/>
      <c r="S64" s="504"/>
      <c r="T64" s="504"/>
      <c r="U64" s="504"/>
      <c r="V64" s="504"/>
      <c r="W64" s="504"/>
      <c r="X64" s="504"/>
      <c r="Y64" s="504"/>
      <c r="Z64" s="504"/>
    </row>
    <row r="65" ht="12.0" customHeight="1">
      <c r="A65" s="488"/>
      <c r="B65" s="507" t="s">
        <v>297</v>
      </c>
      <c r="C65" s="508" t="s">
        <v>34</v>
      </c>
      <c r="D65" s="509"/>
      <c r="E65" s="510"/>
      <c r="F65" s="511"/>
      <c r="G65" s="504"/>
      <c r="H65" s="487"/>
      <c r="I65" s="474"/>
      <c r="J65" s="504"/>
      <c r="K65" s="504"/>
      <c r="L65" s="504"/>
      <c r="M65" s="504"/>
      <c r="N65" s="504"/>
      <c r="O65" s="504"/>
      <c r="P65" s="504"/>
      <c r="Q65" s="504"/>
      <c r="R65" s="504"/>
      <c r="S65" s="504"/>
      <c r="T65" s="504"/>
      <c r="U65" s="504"/>
      <c r="V65" s="504"/>
      <c r="W65" s="504"/>
      <c r="X65" s="504"/>
      <c r="Y65" s="504"/>
      <c r="Z65" s="504"/>
    </row>
    <row r="66" ht="12.0" customHeight="1">
      <c r="A66" s="488"/>
      <c r="B66" s="507" t="s">
        <v>298</v>
      </c>
      <c r="C66" s="508" t="s">
        <v>34</v>
      </c>
      <c r="D66" s="490"/>
      <c r="E66" s="491"/>
      <c r="F66" s="492"/>
      <c r="G66" s="504"/>
      <c r="H66" s="487"/>
      <c r="I66" s="474"/>
      <c r="J66" s="504"/>
      <c r="K66" s="504"/>
      <c r="L66" s="504"/>
      <c r="M66" s="504"/>
      <c r="N66" s="504"/>
      <c r="O66" s="504"/>
      <c r="P66" s="504"/>
      <c r="Q66" s="504"/>
      <c r="R66" s="504"/>
      <c r="S66" s="504"/>
      <c r="T66" s="504"/>
      <c r="U66" s="504"/>
      <c r="V66" s="504"/>
      <c r="W66" s="504"/>
      <c r="X66" s="504"/>
      <c r="Y66" s="504"/>
      <c r="Z66" s="504"/>
    </row>
    <row r="67" ht="12.0" customHeight="1">
      <c r="A67" s="488"/>
      <c r="B67" s="493" t="s">
        <v>299</v>
      </c>
      <c r="C67" s="508" t="s">
        <v>34</v>
      </c>
      <c r="D67" s="490"/>
      <c r="E67" s="491"/>
      <c r="F67" s="492"/>
      <c r="G67" s="504"/>
      <c r="H67" s="487"/>
      <c r="I67" s="474"/>
      <c r="J67" s="504"/>
      <c r="K67" s="504"/>
      <c r="L67" s="504"/>
      <c r="M67" s="504"/>
      <c r="N67" s="504"/>
      <c r="O67" s="504"/>
      <c r="P67" s="504"/>
      <c r="Q67" s="504"/>
      <c r="R67" s="504"/>
      <c r="S67" s="504"/>
      <c r="T67" s="504"/>
      <c r="U67" s="504"/>
      <c r="V67" s="504"/>
      <c r="W67" s="504"/>
      <c r="X67" s="504"/>
      <c r="Y67" s="504"/>
      <c r="Z67" s="504"/>
    </row>
    <row r="68" ht="12.0" customHeight="1">
      <c r="A68" s="488"/>
      <c r="B68" s="493" t="s">
        <v>300</v>
      </c>
      <c r="C68" s="508" t="s">
        <v>32</v>
      </c>
      <c r="D68" s="509"/>
      <c r="E68" s="510"/>
      <c r="F68" s="511"/>
      <c r="G68" s="504"/>
      <c r="H68" s="487"/>
      <c r="I68" s="474"/>
      <c r="J68" s="504"/>
      <c r="K68" s="504"/>
      <c r="L68" s="504"/>
      <c r="M68" s="504"/>
      <c r="N68" s="504"/>
      <c r="O68" s="504"/>
      <c r="P68" s="504"/>
      <c r="Q68" s="504"/>
      <c r="R68" s="504"/>
      <c r="S68" s="504"/>
      <c r="T68" s="504"/>
      <c r="U68" s="504"/>
      <c r="V68" s="504"/>
      <c r="W68" s="504"/>
      <c r="X68" s="504"/>
      <c r="Y68" s="504"/>
      <c r="Z68" s="504"/>
    </row>
    <row r="69" ht="12.0" customHeight="1">
      <c r="A69" s="494"/>
      <c r="B69" s="495" t="s">
        <v>713</v>
      </c>
      <c r="C69" s="496"/>
      <c r="D69" s="496"/>
      <c r="E69" s="497"/>
      <c r="F69" s="498"/>
      <c r="G69" s="504"/>
      <c r="H69" s="487"/>
      <c r="I69" s="474"/>
      <c r="J69" s="504"/>
      <c r="K69" s="504"/>
      <c r="L69" s="504"/>
      <c r="M69" s="504"/>
      <c r="N69" s="504"/>
      <c r="O69" s="504"/>
      <c r="P69" s="504"/>
      <c r="Q69" s="504"/>
      <c r="R69" s="504"/>
      <c r="S69" s="504"/>
      <c r="T69" s="504"/>
      <c r="U69" s="504"/>
      <c r="V69" s="504"/>
      <c r="W69" s="504"/>
      <c r="X69" s="504"/>
      <c r="Y69" s="504"/>
      <c r="Z69" s="504"/>
    </row>
    <row r="70" ht="12.0" customHeight="1">
      <c r="A70" s="499" t="s">
        <v>936</v>
      </c>
      <c r="B70" s="500" t="s">
        <v>302</v>
      </c>
      <c r="C70" s="501"/>
      <c r="D70" s="501"/>
      <c r="E70" s="502"/>
      <c r="F70" s="503"/>
      <c r="G70" s="504"/>
      <c r="H70" s="487"/>
      <c r="I70" s="474"/>
      <c r="J70" s="504"/>
      <c r="K70" s="504"/>
      <c r="L70" s="504"/>
      <c r="M70" s="504"/>
      <c r="N70" s="504"/>
      <c r="O70" s="504"/>
      <c r="P70" s="504"/>
      <c r="Q70" s="504"/>
      <c r="R70" s="504"/>
      <c r="S70" s="504"/>
      <c r="T70" s="504"/>
      <c r="U70" s="504"/>
      <c r="V70" s="504"/>
      <c r="W70" s="504"/>
      <c r="X70" s="504"/>
      <c r="Y70" s="504"/>
      <c r="Z70" s="504"/>
    </row>
    <row r="71" ht="12.0" customHeight="1">
      <c r="A71" s="488"/>
      <c r="B71" s="493" t="s">
        <v>937</v>
      </c>
      <c r="C71" s="490" t="s">
        <v>34</v>
      </c>
      <c r="D71" s="490"/>
      <c r="E71" s="491"/>
      <c r="F71" s="492"/>
      <c r="G71" s="504"/>
      <c r="H71" s="487"/>
      <c r="I71" s="474"/>
      <c r="J71" s="504"/>
      <c r="K71" s="504"/>
      <c r="L71" s="504"/>
      <c r="M71" s="504"/>
      <c r="N71" s="504"/>
      <c r="O71" s="504"/>
      <c r="P71" s="504"/>
      <c r="Q71" s="504"/>
      <c r="R71" s="504"/>
      <c r="S71" s="504"/>
      <c r="T71" s="504"/>
      <c r="U71" s="504"/>
      <c r="V71" s="504"/>
      <c r="W71" s="504"/>
      <c r="X71" s="504"/>
      <c r="Y71" s="504"/>
      <c r="Z71" s="504"/>
    </row>
    <row r="72" ht="12.0" customHeight="1">
      <c r="A72" s="488"/>
      <c r="B72" s="493" t="s">
        <v>938</v>
      </c>
      <c r="C72" s="490" t="s">
        <v>34</v>
      </c>
      <c r="D72" s="490"/>
      <c r="E72" s="491"/>
      <c r="F72" s="492"/>
      <c r="G72" s="504"/>
      <c r="H72" s="487"/>
      <c r="I72" s="474"/>
      <c r="J72" s="504"/>
      <c r="K72" s="504"/>
      <c r="L72" s="504"/>
      <c r="M72" s="504"/>
      <c r="N72" s="504"/>
      <c r="O72" s="504"/>
      <c r="P72" s="504"/>
      <c r="Q72" s="504"/>
      <c r="R72" s="504"/>
      <c r="S72" s="504"/>
      <c r="T72" s="504"/>
      <c r="U72" s="504"/>
      <c r="V72" s="504"/>
      <c r="W72" s="504"/>
      <c r="X72" s="504"/>
      <c r="Y72" s="504"/>
      <c r="Z72" s="504"/>
    </row>
    <row r="73" ht="12.0" customHeight="1">
      <c r="A73" s="488"/>
      <c r="B73" s="493" t="s">
        <v>939</v>
      </c>
      <c r="C73" s="490" t="s">
        <v>34</v>
      </c>
      <c r="D73" s="490"/>
      <c r="E73" s="491"/>
      <c r="F73" s="492"/>
      <c r="G73" s="504"/>
      <c r="H73" s="487"/>
      <c r="I73" s="474"/>
      <c r="J73" s="504"/>
      <c r="K73" s="504"/>
      <c r="L73" s="504"/>
      <c r="M73" s="504"/>
      <c r="N73" s="504"/>
      <c r="O73" s="504"/>
      <c r="P73" s="504"/>
      <c r="Q73" s="504"/>
      <c r="R73" s="504"/>
      <c r="S73" s="504"/>
      <c r="T73" s="504"/>
      <c r="U73" s="504"/>
      <c r="V73" s="504"/>
      <c r="W73" s="504"/>
      <c r="X73" s="504"/>
      <c r="Y73" s="504"/>
      <c r="Z73" s="504"/>
    </row>
    <row r="74" ht="12.0" customHeight="1">
      <c r="A74" s="488"/>
      <c r="B74" s="493" t="s">
        <v>940</v>
      </c>
      <c r="C74" s="490" t="s">
        <v>34</v>
      </c>
      <c r="D74" s="490"/>
      <c r="E74" s="491"/>
      <c r="F74" s="492"/>
      <c r="G74" s="504"/>
      <c r="H74" s="487"/>
      <c r="I74" s="474"/>
      <c r="J74" s="504"/>
      <c r="K74" s="504"/>
      <c r="L74" s="504"/>
      <c r="M74" s="504"/>
      <c r="N74" s="504"/>
      <c r="O74" s="504"/>
      <c r="P74" s="504"/>
      <c r="Q74" s="504"/>
      <c r="R74" s="504"/>
      <c r="S74" s="504"/>
      <c r="T74" s="504"/>
      <c r="U74" s="504"/>
      <c r="V74" s="504"/>
      <c r="W74" s="504"/>
      <c r="X74" s="504"/>
      <c r="Y74" s="504"/>
      <c r="Z74" s="504"/>
    </row>
    <row r="75" ht="12.0" customHeight="1">
      <c r="A75" s="488"/>
      <c r="B75" s="493" t="s">
        <v>941</v>
      </c>
      <c r="C75" s="490" t="s">
        <v>34</v>
      </c>
      <c r="D75" s="490"/>
      <c r="E75" s="491"/>
      <c r="F75" s="492"/>
      <c r="G75" s="504"/>
      <c r="H75" s="487"/>
      <c r="I75" s="474"/>
      <c r="J75" s="504"/>
      <c r="K75" s="504"/>
      <c r="L75" s="504"/>
      <c r="M75" s="504"/>
      <c r="N75" s="504"/>
      <c r="O75" s="504"/>
      <c r="P75" s="504"/>
      <c r="Q75" s="504"/>
      <c r="R75" s="504"/>
      <c r="S75" s="504"/>
      <c r="T75" s="504"/>
      <c r="U75" s="504"/>
      <c r="V75" s="504"/>
      <c r="W75" s="504"/>
      <c r="X75" s="504"/>
      <c r="Y75" s="504"/>
      <c r="Z75" s="504"/>
    </row>
    <row r="76" ht="12.0" customHeight="1">
      <c r="A76" s="488"/>
      <c r="B76" s="493" t="s">
        <v>942</v>
      </c>
      <c r="C76" s="490" t="s">
        <v>34</v>
      </c>
      <c r="D76" s="490"/>
      <c r="E76" s="491"/>
      <c r="F76" s="492"/>
      <c r="G76" s="504"/>
      <c r="H76" s="487"/>
      <c r="I76" s="474"/>
      <c r="J76" s="504"/>
      <c r="K76" s="504"/>
      <c r="L76" s="504"/>
      <c r="M76" s="504"/>
      <c r="N76" s="504"/>
      <c r="O76" s="504"/>
      <c r="P76" s="504"/>
      <c r="Q76" s="504"/>
      <c r="R76" s="504"/>
      <c r="S76" s="504"/>
      <c r="T76" s="504"/>
      <c r="U76" s="504"/>
      <c r="V76" s="504"/>
      <c r="W76" s="504"/>
      <c r="X76" s="504"/>
      <c r="Y76" s="504"/>
      <c r="Z76" s="504"/>
    </row>
    <row r="77" ht="12.0" customHeight="1">
      <c r="A77" s="488"/>
      <c r="B77" s="493" t="s">
        <v>943</v>
      </c>
      <c r="C77" s="490" t="s">
        <v>34</v>
      </c>
      <c r="D77" s="490"/>
      <c r="E77" s="491"/>
      <c r="F77" s="492"/>
      <c r="G77" s="504"/>
      <c r="H77" s="487"/>
      <c r="I77" s="474"/>
      <c r="J77" s="504"/>
      <c r="K77" s="504"/>
      <c r="L77" s="504"/>
      <c r="M77" s="504"/>
      <c r="N77" s="504"/>
      <c r="O77" s="504"/>
      <c r="P77" s="504"/>
      <c r="Q77" s="504"/>
      <c r="R77" s="504"/>
      <c r="S77" s="504"/>
      <c r="T77" s="504"/>
      <c r="U77" s="504"/>
      <c r="V77" s="504"/>
      <c r="W77" s="504"/>
      <c r="X77" s="504"/>
      <c r="Y77" s="504"/>
      <c r="Z77" s="504"/>
    </row>
    <row r="78" ht="12.0" customHeight="1">
      <c r="A78" s="488"/>
      <c r="B78" s="493" t="s">
        <v>944</v>
      </c>
      <c r="C78" s="490" t="s">
        <v>34</v>
      </c>
      <c r="D78" s="490"/>
      <c r="E78" s="491"/>
      <c r="F78" s="492"/>
      <c r="G78" s="504"/>
      <c r="H78" s="487"/>
      <c r="I78" s="474"/>
      <c r="J78" s="504"/>
      <c r="K78" s="504"/>
      <c r="L78" s="504"/>
      <c r="M78" s="504"/>
      <c r="N78" s="504"/>
      <c r="O78" s="504"/>
      <c r="P78" s="504"/>
      <c r="Q78" s="504"/>
      <c r="R78" s="504"/>
      <c r="S78" s="504"/>
      <c r="T78" s="504"/>
      <c r="U78" s="504"/>
      <c r="V78" s="504"/>
      <c r="W78" s="504"/>
      <c r="X78" s="504"/>
      <c r="Y78" s="504"/>
      <c r="Z78" s="504"/>
    </row>
    <row r="79" ht="12.0" customHeight="1">
      <c r="A79" s="488"/>
      <c r="B79" s="493" t="s">
        <v>328</v>
      </c>
      <c r="C79" s="490" t="s">
        <v>32</v>
      </c>
      <c r="D79" s="490"/>
      <c r="E79" s="491"/>
      <c r="F79" s="492"/>
      <c r="G79" s="504"/>
      <c r="H79" s="487"/>
      <c r="I79" s="474"/>
      <c r="J79" s="504"/>
      <c r="K79" s="504"/>
      <c r="L79" s="504"/>
      <c r="M79" s="504"/>
      <c r="N79" s="504"/>
      <c r="O79" s="504"/>
      <c r="P79" s="504"/>
      <c r="Q79" s="504"/>
      <c r="R79" s="504"/>
      <c r="S79" s="504"/>
      <c r="T79" s="504"/>
      <c r="U79" s="504"/>
      <c r="V79" s="504"/>
      <c r="W79" s="504"/>
      <c r="X79" s="504"/>
      <c r="Y79" s="504"/>
      <c r="Z79" s="504"/>
    </row>
    <row r="80" ht="12.0" customHeight="1">
      <c r="A80" s="494"/>
      <c r="B80" s="495" t="s">
        <v>713</v>
      </c>
      <c r="C80" s="496"/>
      <c r="D80" s="496"/>
      <c r="E80" s="497"/>
      <c r="F80" s="498"/>
      <c r="G80" s="504"/>
      <c r="H80" s="487"/>
      <c r="I80" s="474"/>
      <c r="J80" s="504"/>
      <c r="K80" s="504"/>
      <c r="L80" s="504"/>
      <c r="M80" s="504"/>
      <c r="N80" s="504"/>
      <c r="O80" s="504"/>
      <c r="P80" s="504"/>
      <c r="Q80" s="504"/>
      <c r="R80" s="504"/>
      <c r="S80" s="504"/>
      <c r="T80" s="504"/>
      <c r="U80" s="504"/>
      <c r="V80" s="504"/>
      <c r="W80" s="504"/>
      <c r="X80" s="504"/>
      <c r="Y80" s="504"/>
      <c r="Z80" s="504"/>
    </row>
    <row r="81" ht="12.0" customHeight="1">
      <c r="A81" s="499" t="s">
        <v>945</v>
      </c>
      <c r="B81" s="500" t="s">
        <v>330</v>
      </c>
      <c r="C81" s="501"/>
      <c r="D81" s="501"/>
      <c r="E81" s="502"/>
      <c r="F81" s="503"/>
      <c r="G81" s="504"/>
      <c r="H81" s="487"/>
      <c r="I81" s="474"/>
      <c r="J81" s="504"/>
      <c r="K81" s="504"/>
      <c r="L81" s="504"/>
      <c r="M81" s="504"/>
      <c r="N81" s="504"/>
      <c r="O81" s="504"/>
      <c r="P81" s="504"/>
      <c r="Q81" s="504"/>
      <c r="R81" s="504"/>
      <c r="S81" s="504"/>
      <c r="T81" s="504"/>
      <c r="U81" s="504"/>
      <c r="V81" s="504"/>
      <c r="W81" s="504"/>
      <c r="X81" s="504"/>
      <c r="Y81" s="504"/>
      <c r="Z81" s="504"/>
    </row>
    <row r="82" ht="12.0" customHeight="1">
      <c r="A82" s="488"/>
      <c r="B82" s="493" t="s">
        <v>342</v>
      </c>
      <c r="C82" s="490" t="s">
        <v>34</v>
      </c>
      <c r="D82" s="490"/>
      <c r="E82" s="491"/>
      <c r="F82" s="492"/>
      <c r="G82" s="504"/>
      <c r="H82" s="487"/>
      <c r="I82" s="474"/>
      <c r="J82" s="504"/>
      <c r="K82" s="504"/>
      <c r="L82" s="504"/>
      <c r="M82" s="504"/>
      <c r="N82" s="504"/>
      <c r="O82" s="504"/>
      <c r="P82" s="504"/>
      <c r="Q82" s="504"/>
      <c r="R82" s="504"/>
      <c r="S82" s="504"/>
      <c r="T82" s="504"/>
      <c r="U82" s="504"/>
      <c r="V82" s="504"/>
      <c r="W82" s="504"/>
      <c r="X82" s="504"/>
      <c r="Y82" s="504"/>
      <c r="Z82" s="504"/>
    </row>
    <row r="83" ht="12.0" customHeight="1">
      <c r="A83" s="488"/>
      <c r="B83" s="493" t="s">
        <v>343</v>
      </c>
      <c r="C83" s="490" t="s">
        <v>34</v>
      </c>
      <c r="D83" s="490"/>
      <c r="E83" s="491"/>
      <c r="F83" s="492"/>
      <c r="G83" s="504"/>
      <c r="H83" s="487"/>
      <c r="I83" s="474"/>
      <c r="J83" s="504"/>
      <c r="K83" s="504"/>
      <c r="L83" s="504"/>
      <c r="M83" s="504"/>
      <c r="N83" s="504"/>
      <c r="O83" s="504"/>
      <c r="P83" s="504"/>
      <c r="Q83" s="504"/>
      <c r="R83" s="504"/>
      <c r="S83" s="504"/>
      <c r="T83" s="504"/>
      <c r="U83" s="504"/>
      <c r="V83" s="504"/>
      <c r="W83" s="504"/>
      <c r="X83" s="504"/>
      <c r="Y83" s="504"/>
      <c r="Z83" s="504"/>
    </row>
    <row r="84" ht="12.0" customHeight="1">
      <c r="A84" s="488"/>
      <c r="B84" s="493" t="s">
        <v>344</v>
      </c>
      <c r="C84" s="490" t="s">
        <v>34</v>
      </c>
      <c r="D84" s="490"/>
      <c r="E84" s="491"/>
      <c r="F84" s="492"/>
      <c r="G84" s="504"/>
      <c r="H84" s="487"/>
      <c r="I84" s="474"/>
      <c r="J84" s="504"/>
      <c r="K84" s="504"/>
      <c r="L84" s="504"/>
      <c r="M84" s="504"/>
      <c r="N84" s="504"/>
      <c r="O84" s="504"/>
      <c r="P84" s="504"/>
      <c r="Q84" s="504"/>
      <c r="R84" s="504"/>
      <c r="S84" s="504"/>
      <c r="T84" s="504"/>
      <c r="U84" s="504"/>
      <c r="V84" s="504"/>
      <c r="W84" s="504"/>
      <c r="X84" s="504"/>
      <c r="Y84" s="504"/>
      <c r="Z84" s="504"/>
    </row>
    <row r="85" ht="12.0" customHeight="1">
      <c r="A85" s="488"/>
      <c r="B85" s="493" t="s">
        <v>345</v>
      </c>
      <c r="C85" s="490" t="s">
        <v>34</v>
      </c>
      <c r="D85" s="490"/>
      <c r="E85" s="491"/>
      <c r="F85" s="492"/>
      <c r="G85" s="504"/>
      <c r="H85" s="487"/>
      <c r="I85" s="474"/>
      <c r="J85" s="504"/>
      <c r="K85" s="504"/>
      <c r="L85" s="504"/>
      <c r="M85" s="504"/>
      <c r="N85" s="504"/>
      <c r="O85" s="504"/>
      <c r="P85" s="504"/>
      <c r="Q85" s="504"/>
      <c r="R85" s="504"/>
      <c r="S85" s="504"/>
      <c r="T85" s="504"/>
      <c r="U85" s="504"/>
      <c r="V85" s="504"/>
      <c r="W85" s="504"/>
      <c r="X85" s="504"/>
      <c r="Y85" s="504"/>
      <c r="Z85" s="504"/>
    </row>
    <row r="86" ht="12.0" customHeight="1">
      <c r="A86" s="488"/>
      <c r="B86" s="493" t="s">
        <v>346</v>
      </c>
      <c r="C86" s="490" t="s">
        <v>32</v>
      </c>
      <c r="D86" s="490"/>
      <c r="E86" s="491"/>
      <c r="F86" s="492"/>
      <c r="G86" s="504"/>
      <c r="H86" s="487"/>
      <c r="I86" s="474"/>
      <c r="J86" s="504"/>
      <c r="K86" s="504"/>
      <c r="L86" s="504"/>
      <c r="M86" s="504"/>
      <c r="N86" s="504"/>
      <c r="O86" s="504"/>
      <c r="P86" s="504"/>
      <c r="Q86" s="504"/>
      <c r="R86" s="504"/>
      <c r="S86" s="504"/>
      <c r="T86" s="504"/>
      <c r="U86" s="504"/>
      <c r="V86" s="504"/>
      <c r="W86" s="504"/>
      <c r="X86" s="504"/>
      <c r="Y86" s="504"/>
      <c r="Z86" s="504"/>
    </row>
    <row r="87" ht="12.0" customHeight="1">
      <c r="A87" s="494"/>
      <c r="B87" s="495" t="s">
        <v>713</v>
      </c>
      <c r="C87" s="496"/>
      <c r="D87" s="496"/>
      <c r="E87" s="497"/>
      <c r="F87" s="498"/>
      <c r="G87" s="504"/>
      <c r="H87" s="487"/>
      <c r="I87" s="474"/>
      <c r="J87" s="504"/>
      <c r="K87" s="504"/>
      <c r="L87" s="504"/>
      <c r="M87" s="504"/>
      <c r="N87" s="504"/>
      <c r="O87" s="504"/>
      <c r="P87" s="504"/>
      <c r="Q87" s="504"/>
      <c r="R87" s="504"/>
      <c r="S87" s="504"/>
      <c r="T87" s="504"/>
      <c r="U87" s="504"/>
      <c r="V87" s="504"/>
      <c r="W87" s="504"/>
      <c r="X87" s="504"/>
      <c r="Y87" s="504"/>
      <c r="Z87" s="504"/>
    </row>
    <row r="88" ht="12.0" customHeight="1">
      <c r="A88" s="499" t="s">
        <v>946</v>
      </c>
      <c r="B88" s="500" t="s">
        <v>348</v>
      </c>
      <c r="C88" s="501"/>
      <c r="D88" s="501"/>
      <c r="E88" s="502"/>
      <c r="F88" s="503"/>
      <c r="G88" s="504"/>
      <c r="H88" s="487"/>
      <c r="I88" s="474"/>
      <c r="J88" s="504"/>
      <c r="K88" s="504"/>
      <c r="L88" s="504"/>
      <c r="M88" s="504"/>
      <c r="N88" s="504"/>
      <c r="O88" s="504"/>
      <c r="P88" s="504"/>
      <c r="Q88" s="504"/>
      <c r="R88" s="504"/>
      <c r="S88" s="504"/>
      <c r="T88" s="504"/>
      <c r="U88" s="504"/>
      <c r="V88" s="504"/>
      <c r="W88" s="504"/>
      <c r="X88" s="504"/>
      <c r="Y88" s="504"/>
      <c r="Z88" s="504"/>
    </row>
    <row r="89" ht="12.0" customHeight="1">
      <c r="A89" s="488"/>
      <c r="B89" s="512" t="s">
        <v>357</v>
      </c>
      <c r="C89" s="508"/>
      <c r="D89" s="490"/>
      <c r="E89" s="491"/>
      <c r="F89" s="492"/>
      <c r="G89" s="504"/>
      <c r="H89" s="487"/>
      <c r="I89" s="474"/>
      <c r="J89" s="504"/>
      <c r="K89" s="504"/>
      <c r="L89" s="504"/>
      <c r="M89" s="504"/>
      <c r="N89" s="504"/>
      <c r="O89" s="504"/>
      <c r="P89" s="504"/>
      <c r="Q89" s="504"/>
      <c r="R89" s="504"/>
      <c r="S89" s="504"/>
      <c r="T89" s="504"/>
      <c r="U89" s="504"/>
      <c r="V89" s="504"/>
      <c r="W89" s="504"/>
      <c r="X89" s="504"/>
      <c r="Y89" s="504"/>
      <c r="Z89" s="504"/>
    </row>
    <row r="90" ht="12.0" customHeight="1">
      <c r="A90" s="488"/>
      <c r="B90" s="512" t="s">
        <v>358</v>
      </c>
      <c r="C90" s="508" t="s">
        <v>51</v>
      </c>
      <c r="D90" s="490"/>
      <c r="E90" s="491"/>
      <c r="F90" s="492"/>
      <c r="G90" s="504"/>
      <c r="H90" s="504"/>
      <c r="I90" s="504"/>
      <c r="J90" s="504"/>
      <c r="K90" s="504"/>
      <c r="L90" s="504"/>
      <c r="M90" s="504"/>
      <c r="N90" s="504"/>
      <c r="O90" s="504"/>
      <c r="P90" s="504"/>
      <c r="Q90" s="504"/>
      <c r="R90" s="504"/>
      <c r="S90" s="504"/>
      <c r="T90" s="504"/>
      <c r="U90" s="504"/>
      <c r="V90" s="504"/>
      <c r="W90" s="504"/>
      <c r="X90" s="504"/>
      <c r="Y90" s="504"/>
      <c r="Z90" s="504"/>
    </row>
    <row r="91" ht="12.0" customHeight="1">
      <c r="A91" s="488"/>
      <c r="B91" s="512" t="s">
        <v>359</v>
      </c>
      <c r="C91" s="508" t="s">
        <v>51</v>
      </c>
      <c r="D91" s="490"/>
      <c r="E91" s="491"/>
      <c r="F91" s="492"/>
      <c r="G91" s="504"/>
      <c r="H91" s="504"/>
      <c r="I91" s="504"/>
      <c r="J91" s="504"/>
      <c r="K91" s="504"/>
      <c r="L91" s="504"/>
      <c r="M91" s="504"/>
      <c r="N91" s="504"/>
      <c r="O91" s="504"/>
      <c r="P91" s="504"/>
      <c r="Q91" s="504"/>
      <c r="R91" s="504"/>
      <c r="S91" s="504"/>
      <c r="T91" s="504"/>
      <c r="U91" s="504"/>
      <c r="V91" s="504"/>
      <c r="W91" s="504"/>
      <c r="X91" s="504"/>
      <c r="Y91" s="504"/>
      <c r="Z91" s="504"/>
    </row>
    <row r="92" ht="12.0" customHeight="1">
      <c r="A92" s="488"/>
      <c r="B92" s="512" t="s">
        <v>360</v>
      </c>
      <c r="C92" s="508" t="s">
        <v>51</v>
      </c>
      <c r="D92" s="490"/>
      <c r="E92" s="491"/>
      <c r="F92" s="492"/>
      <c r="G92" s="504"/>
      <c r="H92" s="504"/>
      <c r="I92" s="504"/>
      <c r="J92" s="504"/>
      <c r="K92" s="504"/>
      <c r="L92" s="504"/>
      <c r="M92" s="504"/>
      <c r="N92" s="504"/>
      <c r="O92" s="504"/>
      <c r="P92" s="504"/>
      <c r="Q92" s="504"/>
      <c r="R92" s="504"/>
      <c r="S92" s="504"/>
      <c r="T92" s="504"/>
      <c r="U92" s="504"/>
      <c r="V92" s="504"/>
      <c r="W92" s="504"/>
      <c r="X92" s="504"/>
      <c r="Y92" s="504"/>
      <c r="Z92" s="504"/>
    </row>
    <row r="93" ht="12.0" customHeight="1">
      <c r="A93" s="488"/>
      <c r="B93" s="512" t="s">
        <v>361</v>
      </c>
      <c r="C93" s="508" t="s">
        <v>51</v>
      </c>
      <c r="D93" s="490"/>
      <c r="E93" s="491"/>
      <c r="F93" s="492"/>
      <c r="G93" s="504"/>
      <c r="H93" s="504"/>
      <c r="I93" s="504"/>
      <c r="J93" s="504"/>
      <c r="K93" s="504"/>
      <c r="L93" s="504"/>
      <c r="M93" s="504"/>
      <c r="N93" s="504"/>
      <c r="O93" s="504"/>
      <c r="P93" s="504"/>
      <c r="Q93" s="504"/>
      <c r="R93" s="504"/>
      <c r="S93" s="504"/>
      <c r="T93" s="504"/>
      <c r="U93" s="504"/>
      <c r="V93" s="504"/>
      <c r="W93" s="504"/>
      <c r="X93" s="504"/>
      <c r="Y93" s="504"/>
      <c r="Z93" s="504"/>
    </row>
    <row r="94" ht="12.0" customHeight="1">
      <c r="A94" s="488"/>
      <c r="B94" s="512" t="s">
        <v>362</v>
      </c>
      <c r="C94" s="508" t="s">
        <v>51</v>
      </c>
      <c r="D94" s="490"/>
      <c r="E94" s="491"/>
      <c r="F94" s="492"/>
      <c r="G94" s="504"/>
      <c r="H94" s="504"/>
      <c r="I94" s="504"/>
      <c r="J94" s="504"/>
      <c r="K94" s="504"/>
      <c r="L94" s="504"/>
      <c r="M94" s="504"/>
      <c r="N94" s="504"/>
      <c r="O94" s="504"/>
      <c r="P94" s="504"/>
      <c r="Q94" s="504"/>
      <c r="R94" s="504"/>
      <c r="S94" s="504"/>
      <c r="T94" s="504"/>
      <c r="U94" s="504"/>
      <c r="V94" s="504"/>
      <c r="W94" s="504"/>
      <c r="X94" s="504"/>
      <c r="Y94" s="504"/>
      <c r="Z94" s="504"/>
    </row>
    <row r="95" ht="12.0" customHeight="1">
      <c r="A95" s="488"/>
      <c r="B95" s="512" t="s">
        <v>363</v>
      </c>
      <c r="C95" s="508" t="s">
        <v>51</v>
      </c>
      <c r="D95" s="490"/>
      <c r="E95" s="491"/>
      <c r="F95" s="492"/>
      <c r="G95" s="504"/>
      <c r="H95" s="504"/>
      <c r="I95" s="504"/>
      <c r="J95" s="504"/>
      <c r="K95" s="504"/>
      <c r="L95" s="504"/>
      <c r="M95" s="504"/>
      <c r="N95" s="504"/>
      <c r="O95" s="504"/>
      <c r="P95" s="504"/>
      <c r="Q95" s="504"/>
      <c r="R95" s="504"/>
      <c r="S95" s="504"/>
      <c r="T95" s="504"/>
      <c r="U95" s="504"/>
      <c r="V95" s="504"/>
      <c r="W95" s="504"/>
      <c r="X95" s="504"/>
      <c r="Y95" s="504"/>
      <c r="Z95" s="504"/>
    </row>
    <row r="96" ht="12.0" customHeight="1">
      <c r="A96" s="488"/>
      <c r="B96" s="512" t="s">
        <v>364</v>
      </c>
      <c r="C96" s="508" t="s">
        <v>51</v>
      </c>
      <c r="D96" s="490"/>
      <c r="E96" s="491"/>
      <c r="F96" s="492"/>
      <c r="G96" s="504"/>
      <c r="H96" s="504"/>
      <c r="I96" s="504"/>
      <c r="J96" s="504"/>
      <c r="K96" s="504"/>
      <c r="L96" s="504"/>
      <c r="M96" s="504"/>
      <c r="N96" s="504"/>
      <c r="O96" s="504"/>
      <c r="P96" s="504"/>
      <c r="Q96" s="504"/>
      <c r="R96" s="504"/>
      <c r="S96" s="504"/>
      <c r="T96" s="504"/>
      <c r="U96" s="504"/>
      <c r="V96" s="504"/>
      <c r="W96" s="504"/>
      <c r="X96" s="504"/>
      <c r="Y96" s="504"/>
      <c r="Z96" s="504"/>
    </row>
    <row r="97" ht="12.0" customHeight="1">
      <c r="A97" s="488"/>
      <c r="B97" s="512" t="s">
        <v>365</v>
      </c>
      <c r="C97" s="508" t="s">
        <v>51</v>
      </c>
      <c r="D97" s="490"/>
      <c r="E97" s="491"/>
      <c r="F97" s="492"/>
      <c r="G97" s="504"/>
      <c r="H97" s="504"/>
      <c r="I97" s="504"/>
      <c r="J97" s="504"/>
      <c r="K97" s="504"/>
      <c r="L97" s="504"/>
      <c r="M97" s="504"/>
      <c r="N97" s="504"/>
      <c r="O97" s="504"/>
      <c r="P97" s="504"/>
      <c r="Q97" s="504"/>
      <c r="R97" s="504"/>
      <c r="S97" s="504"/>
      <c r="T97" s="504"/>
      <c r="U97" s="504"/>
      <c r="V97" s="504"/>
      <c r="W97" s="504"/>
      <c r="X97" s="504"/>
      <c r="Y97" s="504"/>
      <c r="Z97" s="504"/>
    </row>
    <row r="98" ht="12.0" customHeight="1">
      <c r="A98" s="488"/>
      <c r="B98" s="512" t="s">
        <v>366</v>
      </c>
      <c r="C98" s="508" t="s">
        <v>51</v>
      </c>
      <c r="D98" s="490"/>
      <c r="E98" s="491"/>
      <c r="F98" s="492"/>
      <c r="G98" s="504"/>
      <c r="H98" s="504"/>
      <c r="I98" s="504"/>
      <c r="J98" s="504"/>
      <c r="K98" s="504"/>
      <c r="L98" s="504"/>
      <c r="M98" s="504"/>
      <c r="N98" s="504"/>
      <c r="O98" s="504"/>
      <c r="P98" s="504"/>
      <c r="Q98" s="504"/>
      <c r="R98" s="504"/>
      <c r="S98" s="504"/>
      <c r="T98" s="504"/>
      <c r="U98" s="504"/>
      <c r="V98" s="504"/>
      <c r="W98" s="504"/>
      <c r="X98" s="504"/>
      <c r="Y98" s="504"/>
      <c r="Z98" s="504"/>
    </row>
    <row r="99" ht="12.0" customHeight="1">
      <c r="A99" s="488"/>
      <c r="B99" s="512" t="s">
        <v>367</v>
      </c>
      <c r="C99" s="508" t="s">
        <v>51</v>
      </c>
      <c r="D99" s="490"/>
      <c r="E99" s="491"/>
      <c r="F99" s="492"/>
      <c r="G99" s="504"/>
      <c r="H99" s="504"/>
      <c r="I99" s="504"/>
      <c r="J99" s="504"/>
      <c r="K99" s="504"/>
      <c r="L99" s="504"/>
      <c r="M99" s="504"/>
      <c r="N99" s="504"/>
      <c r="O99" s="504"/>
      <c r="P99" s="504"/>
      <c r="Q99" s="504"/>
      <c r="R99" s="504"/>
      <c r="S99" s="504"/>
      <c r="T99" s="504"/>
      <c r="U99" s="504"/>
      <c r="V99" s="504"/>
      <c r="W99" s="504"/>
      <c r="X99" s="504"/>
      <c r="Y99" s="504"/>
      <c r="Z99" s="504"/>
    </row>
    <row r="100" ht="12.0" customHeight="1">
      <c r="A100" s="488"/>
      <c r="B100" s="512" t="s">
        <v>368</v>
      </c>
      <c r="C100" s="508" t="s">
        <v>51</v>
      </c>
      <c r="D100" s="490"/>
      <c r="E100" s="491"/>
      <c r="F100" s="492"/>
      <c r="G100" s="504"/>
      <c r="H100" s="504"/>
      <c r="I100" s="504"/>
      <c r="J100" s="504"/>
      <c r="K100" s="504"/>
      <c r="L100" s="504"/>
      <c r="M100" s="504"/>
      <c r="N100" s="504"/>
      <c r="O100" s="504"/>
      <c r="P100" s="504"/>
      <c r="Q100" s="504"/>
      <c r="R100" s="504"/>
      <c r="S100" s="504"/>
      <c r="T100" s="504"/>
      <c r="U100" s="504"/>
      <c r="V100" s="504"/>
      <c r="W100" s="504"/>
      <c r="X100" s="504"/>
      <c r="Y100" s="504"/>
      <c r="Z100" s="504"/>
    </row>
    <row r="101" ht="12.0" customHeight="1">
      <c r="A101" s="488"/>
      <c r="B101" s="512" t="s">
        <v>369</v>
      </c>
      <c r="C101" s="508" t="s">
        <v>51</v>
      </c>
      <c r="D101" s="490"/>
      <c r="E101" s="491"/>
      <c r="F101" s="492"/>
      <c r="G101" s="504"/>
      <c r="H101" s="504"/>
      <c r="I101" s="504"/>
      <c r="J101" s="504"/>
      <c r="K101" s="504"/>
      <c r="L101" s="504"/>
      <c r="M101" s="504"/>
      <c r="N101" s="504"/>
      <c r="O101" s="504"/>
      <c r="P101" s="504"/>
      <c r="Q101" s="504"/>
      <c r="R101" s="504"/>
      <c r="S101" s="504"/>
      <c r="T101" s="504"/>
      <c r="U101" s="504"/>
      <c r="V101" s="504"/>
      <c r="W101" s="504"/>
      <c r="X101" s="504"/>
      <c r="Y101" s="504"/>
      <c r="Z101" s="504"/>
    </row>
    <row r="102" ht="12.0" customHeight="1">
      <c r="A102" s="488"/>
      <c r="B102" s="512" t="s">
        <v>370</v>
      </c>
      <c r="C102" s="508"/>
      <c r="D102" s="490"/>
      <c r="E102" s="491"/>
      <c r="F102" s="492"/>
      <c r="G102" s="504"/>
      <c r="H102" s="504"/>
      <c r="I102" s="504"/>
      <c r="J102" s="504"/>
      <c r="K102" s="504"/>
      <c r="L102" s="504"/>
      <c r="M102" s="504"/>
      <c r="N102" s="504"/>
      <c r="O102" s="504"/>
      <c r="P102" s="504"/>
      <c r="Q102" s="504"/>
      <c r="R102" s="504"/>
      <c r="S102" s="504"/>
      <c r="T102" s="504"/>
      <c r="U102" s="504"/>
      <c r="V102" s="504"/>
      <c r="W102" s="504"/>
      <c r="X102" s="504"/>
      <c r="Y102" s="504"/>
      <c r="Z102" s="504"/>
    </row>
    <row r="103" ht="12.0" customHeight="1">
      <c r="A103" s="488"/>
      <c r="B103" s="512" t="s">
        <v>371</v>
      </c>
      <c r="C103" s="508"/>
      <c r="D103" s="490"/>
      <c r="E103" s="491"/>
      <c r="F103" s="492"/>
      <c r="G103" s="504"/>
      <c r="H103" s="504"/>
      <c r="I103" s="504"/>
      <c r="J103" s="504"/>
      <c r="K103" s="504"/>
      <c r="L103" s="504"/>
      <c r="M103" s="504"/>
      <c r="N103" s="504"/>
      <c r="O103" s="504"/>
      <c r="P103" s="504"/>
      <c r="Q103" s="504"/>
      <c r="R103" s="504"/>
      <c r="S103" s="504"/>
      <c r="T103" s="504"/>
      <c r="U103" s="504"/>
      <c r="V103" s="504"/>
      <c r="W103" s="504"/>
      <c r="X103" s="504"/>
      <c r="Y103" s="504"/>
      <c r="Z103" s="504"/>
    </row>
    <row r="104" ht="12.0" customHeight="1">
      <c r="A104" s="488"/>
      <c r="B104" s="512" t="s">
        <v>372</v>
      </c>
      <c r="C104" s="508"/>
      <c r="D104" s="490"/>
      <c r="E104" s="491"/>
      <c r="F104" s="492"/>
      <c r="G104" s="504"/>
      <c r="H104" s="504"/>
      <c r="I104" s="504"/>
      <c r="J104" s="504"/>
      <c r="K104" s="504"/>
      <c r="L104" s="504"/>
      <c r="M104" s="504"/>
      <c r="N104" s="504"/>
      <c r="O104" s="504"/>
      <c r="P104" s="504"/>
      <c r="Q104" s="504"/>
      <c r="R104" s="504"/>
      <c r="S104" s="504"/>
      <c r="T104" s="504"/>
      <c r="U104" s="504"/>
      <c r="V104" s="504"/>
      <c r="W104" s="504"/>
      <c r="X104" s="504"/>
      <c r="Y104" s="504"/>
      <c r="Z104" s="504"/>
    </row>
    <row r="105" ht="12.0" customHeight="1">
      <c r="A105" s="488"/>
      <c r="B105" s="512"/>
      <c r="C105" s="508"/>
      <c r="D105" s="490"/>
      <c r="E105" s="491"/>
      <c r="F105" s="492"/>
      <c r="G105" s="504"/>
      <c r="H105" s="504"/>
      <c r="I105" s="504"/>
      <c r="J105" s="504"/>
      <c r="K105" s="504"/>
      <c r="L105" s="504"/>
      <c r="M105" s="504"/>
      <c r="N105" s="504"/>
      <c r="O105" s="504"/>
      <c r="P105" s="504"/>
      <c r="Q105" s="504"/>
      <c r="R105" s="504"/>
      <c r="S105" s="504"/>
      <c r="T105" s="504"/>
      <c r="U105" s="504"/>
      <c r="V105" s="504"/>
      <c r="W105" s="504"/>
      <c r="X105" s="504"/>
      <c r="Y105" s="504"/>
      <c r="Z105" s="504"/>
    </row>
    <row r="106" ht="12.0" customHeight="1">
      <c r="A106" s="488"/>
      <c r="B106" s="512" t="s">
        <v>373</v>
      </c>
      <c r="C106" s="508"/>
      <c r="D106" s="509"/>
      <c r="E106" s="510"/>
      <c r="F106" s="511"/>
      <c r="G106" s="504"/>
      <c r="H106" s="504"/>
      <c r="I106" s="504"/>
      <c r="J106" s="504"/>
      <c r="K106" s="504"/>
      <c r="L106" s="504"/>
      <c r="M106" s="504"/>
      <c r="N106" s="504"/>
      <c r="O106" s="504"/>
      <c r="P106" s="504"/>
      <c r="Q106" s="504"/>
      <c r="R106" s="504"/>
      <c r="S106" s="504"/>
      <c r="T106" s="504"/>
      <c r="U106" s="504"/>
      <c r="V106" s="504"/>
      <c r="W106" s="504"/>
      <c r="X106" s="504"/>
      <c r="Y106" s="504"/>
      <c r="Z106" s="504"/>
    </row>
    <row r="107" ht="12.0" customHeight="1">
      <c r="A107" s="488"/>
      <c r="B107" s="512" t="s">
        <v>374</v>
      </c>
      <c r="C107" s="508" t="s">
        <v>51</v>
      </c>
      <c r="D107" s="509"/>
      <c r="E107" s="510"/>
      <c r="F107" s="511"/>
      <c r="G107" s="504"/>
      <c r="H107" s="504"/>
      <c r="I107" s="504"/>
      <c r="J107" s="504"/>
      <c r="K107" s="504"/>
      <c r="L107" s="504"/>
      <c r="M107" s="504"/>
      <c r="N107" s="504"/>
      <c r="O107" s="504"/>
      <c r="P107" s="504"/>
      <c r="Q107" s="504"/>
      <c r="R107" s="504"/>
      <c r="S107" s="504"/>
      <c r="T107" s="504"/>
      <c r="U107" s="504"/>
      <c r="V107" s="504"/>
      <c r="W107" s="504"/>
      <c r="X107" s="504"/>
      <c r="Y107" s="504"/>
      <c r="Z107" s="504"/>
    </row>
    <row r="108" ht="12.0" customHeight="1">
      <c r="A108" s="488"/>
      <c r="B108" s="512" t="s">
        <v>375</v>
      </c>
      <c r="C108" s="508" t="s">
        <v>32</v>
      </c>
      <c r="D108" s="509"/>
      <c r="E108" s="510"/>
      <c r="F108" s="511"/>
      <c r="G108" s="504"/>
      <c r="H108" s="504"/>
      <c r="I108" s="504"/>
      <c r="J108" s="504"/>
      <c r="K108" s="504"/>
      <c r="L108" s="504"/>
      <c r="M108" s="504"/>
      <c r="N108" s="504"/>
      <c r="O108" s="504"/>
      <c r="P108" s="504"/>
      <c r="Q108" s="504"/>
      <c r="R108" s="504"/>
      <c r="S108" s="504"/>
      <c r="T108" s="504"/>
      <c r="U108" s="504"/>
      <c r="V108" s="504"/>
      <c r="W108" s="504"/>
      <c r="X108" s="504"/>
      <c r="Y108" s="504"/>
      <c r="Z108" s="504"/>
    </row>
    <row r="109" ht="12.0" customHeight="1">
      <c r="A109" s="494"/>
      <c r="B109" s="495" t="s">
        <v>713</v>
      </c>
      <c r="C109" s="496"/>
      <c r="D109" s="496"/>
      <c r="E109" s="497"/>
      <c r="F109" s="498"/>
      <c r="G109" s="504"/>
      <c r="H109" s="504"/>
      <c r="I109" s="504"/>
      <c r="J109" s="504"/>
      <c r="K109" s="504"/>
      <c r="L109" s="504"/>
      <c r="M109" s="504"/>
      <c r="N109" s="504"/>
      <c r="O109" s="504"/>
      <c r="P109" s="504"/>
      <c r="Q109" s="504"/>
      <c r="R109" s="504"/>
      <c r="S109" s="504"/>
      <c r="T109" s="504"/>
      <c r="U109" s="504"/>
      <c r="V109" s="504"/>
      <c r="W109" s="504"/>
      <c r="X109" s="504"/>
      <c r="Y109" s="504"/>
      <c r="Z109" s="504"/>
    </row>
    <row r="110" ht="12.0" customHeight="1">
      <c r="A110" s="506" t="s">
        <v>947</v>
      </c>
      <c r="B110" s="500" t="s">
        <v>948</v>
      </c>
      <c r="C110" s="501"/>
      <c r="D110" s="501"/>
      <c r="E110" s="502"/>
      <c r="F110" s="503"/>
      <c r="G110" s="504"/>
      <c r="H110" s="504"/>
      <c r="I110" s="504"/>
      <c r="J110" s="504"/>
      <c r="K110" s="504"/>
      <c r="L110" s="504"/>
      <c r="M110" s="504"/>
      <c r="N110" s="504"/>
      <c r="O110" s="504"/>
      <c r="P110" s="504"/>
      <c r="Q110" s="504"/>
      <c r="R110" s="504"/>
      <c r="S110" s="504"/>
      <c r="T110" s="504"/>
      <c r="U110" s="504"/>
      <c r="V110" s="504"/>
      <c r="W110" s="504"/>
      <c r="X110" s="504"/>
      <c r="Y110" s="504"/>
      <c r="Z110" s="504"/>
    </row>
    <row r="111" ht="12.0" customHeight="1">
      <c r="A111" s="488"/>
      <c r="B111" s="512" t="s">
        <v>949</v>
      </c>
      <c r="C111" s="508" t="s">
        <v>32</v>
      </c>
      <c r="D111" s="509"/>
      <c r="E111" s="510"/>
      <c r="F111" s="511"/>
      <c r="G111" s="504"/>
      <c r="H111" s="504"/>
      <c r="I111" s="504"/>
      <c r="J111" s="504"/>
      <c r="K111" s="504"/>
      <c r="L111" s="504"/>
      <c r="M111" s="504"/>
      <c r="N111" s="504"/>
      <c r="O111" s="504"/>
      <c r="P111" s="504"/>
      <c r="Q111" s="504"/>
      <c r="R111" s="504"/>
      <c r="S111" s="504"/>
      <c r="T111" s="504"/>
      <c r="U111" s="504"/>
      <c r="V111" s="504"/>
      <c r="W111" s="504"/>
      <c r="X111" s="504"/>
      <c r="Y111" s="504"/>
      <c r="Z111" s="504"/>
    </row>
    <row r="112" ht="12.0" customHeight="1">
      <c r="A112" s="488"/>
      <c r="B112" s="512" t="s">
        <v>950</v>
      </c>
      <c r="C112" s="508" t="s">
        <v>34</v>
      </c>
      <c r="D112" s="509"/>
      <c r="E112" s="510"/>
      <c r="F112" s="511"/>
      <c r="G112" s="504"/>
      <c r="H112" s="504"/>
      <c r="I112" s="504"/>
      <c r="J112" s="504"/>
      <c r="K112" s="504"/>
      <c r="L112" s="504"/>
      <c r="M112" s="504"/>
      <c r="N112" s="504"/>
      <c r="O112" s="504"/>
      <c r="P112" s="504"/>
      <c r="Q112" s="504"/>
      <c r="R112" s="504"/>
      <c r="S112" s="504"/>
      <c r="T112" s="504"/>
      <c r="U112" s="504"/>
      <c r="V112" s="504"/>
      <c r="W112" s="504"/>
      <c r="X112" s="504"/>
      <c r="Y112" s="504"/>
      <c r="Z112" s="504"/>
    </row>
    <row r="113" ht="12.0" customHeight="1">
      <c r="A113" s="494"/>
      <c r="B113" s="495" t="s">
        <v>713</v>
      </c>
      <c r="C113" s="496"/>
      <c r="D113" s="496"/>
      <c r="E113" s="497"/>
      <c r="F113" s="498"/>
      <c r="G113" s="504"/>
      <c r="H113" s="504"/>
      <c r="I113" s="504"/>
      <c r="J113" s="504"/>
      <c r="K113" s="504"/>
      <c r="L113" s="504"/>
      <c r="M113" s="504"/>
      <c r="N113" s="504"/>
      <c r="O113" s="504"/>
      <c r="P113" s="504"/>
      <c r="Q113" s="504"/>
      <c r="R113" s="504"/>
      <c r="S113" s="504"/>
      <c r="T113" s="504"/>
      <c r="U113" s="504"/>
      <c r="V113" s="504"/>
      <c r="W113" s="504"/>
      <c r="X113" s="504"/>
      <c r="Y113" s="504"/>
      <c r="Z113" s="504"/>
    </row>
    <row r="114" ht="12.0" customHeight="1">
      <c r="A114" s="499"/>
      <c r="B114" s="596" t="s">
        <v>800</v>
      </c>
      <c r="C114" s="501"/>
      <c r="D114" s="501"/>
      <c r="E114" s="502"/>
      <c r="F114" s="503"/>
      <c r="G114" s="504"/>
      <c r="H114" s="504"/>
      <c r="I114" s="504"/>
      <c r="J114" s="504"/>
      <c r="K114" s="504"/>
      <c r="L114" s="504"/>
      <c r="M114" s="504"/>
      <c r="N114" s="504"/>
      <c r="O114" s="504"/>
      <c r="P114" s="504"/>
      <c r="Q114" s="504"/>
      <c r="R114" s="504"/>
      <c r="S114" s="504"/>
      <c r="T114" s="504"/>
      <c r="U114" s="504"/>
      <c r="V114" s="504"/>
      <c r="W114" s="504"/>
      <c r="X114" s="504"/>
      <c r="Y114" s="504"/>
      <c r="Z114" s="504"/>
    </row>
    <row r="115" ht="12.0" customHeight="1">
      <c r="A115" s="488" t="s">
        <v>952</v>
      </c>
      <c r="B115" s="489" t="s">
        <v>801</v>
      </c>
      <c r="C115" s="490"/>
      <c r="D115" s="490"/>
      <c r="E115" s="491"/>
      <c r="F115" s="492"/>
      <c r="G115" s="504"/>
      <c r="H115" s="504"/>
      <c r="I115" s="504"/>
      <c r="J115" s="504"/>
      <c r="K115" s="504"/>
      <c r="L115" s="504"/>
      <c r="M115" s="504"/>
      <c r="N115" s="504"/>
      <c r="O115" s="504"/>
      <c r="P115" s="504"/>
      <c r="Q115" s="504"/>
      <c r="R115" s="504"/>
      <c r="S115" s="504"/>
      <c r="T115" s="504"/>
      <c r="U115" s="504"/>
      <c r="V115" s="504"/>
      <c r="W115" s="504"/>
      <c r="X115" s="504"/>
      <c r="Y115" s="504"/>
      <c r="Z115" s="504"/>
    </row>
    <row r="116" ht="12.0" customHeight="1">
      <c r="A116" s="488"/>
      <c r="B116" s="493" t="s">
        <v>447</v>
      </c>
      <c r="C116" s="490" t="s">
        <v>34</v>
      </c>
      <c r="D116" s="490"/>
      <c r="E116" s="491"/>
      <c r="F116" s="492"/>
      <c r="G116" s="504"/>
      <c r="H116" s="504"/>
      <c r="I116" s="504"/>
      <c r="J116" s="504"/>
      <c r="K116" s="504"/>
      <c r="L116" s="504"/>
      <c r="M116" s="504"/>
      <c r="N116" s="504"/>
      <c r="O116" s="504"/>
      <c r="P116" s="504"/>
      <c r="Q116" s="504"/>
      <c r="R116" s="504"/>
      <c r="S116" s="504"/>
      <c r="T116" s="504"/>
      <c r="U116" s="504"/>
      <c r="V116" s="504"/>
      <c r="W116" s="504"/>
      <c r="X116" s="504"/>
      <c r="Y116" s="504"/>
      <c r="Z116" s="504"/>
    </row>
    <row r="117" ht="12.0" customHeight="1">
      <c r="A117" s="488"/>
      <c r="B117" s="493" t="s">
        <v>448</v>
      </c>
      <c r="C117" s="490" t="s">
        <v>34</v>
      </c>
      <c r="D117" s="490"/>
      <c r="E117" s="491"/>
      <c r="F117" s="492"/>
      <c r="G117" s="504"/>
      <c r="H117" s="504"/>
      <c r="I117" s="504"/>
      <c r="J117" s="504"/>
      <c r="K117" s="504"/>
      <c r="L117" s="504"/>
      <c r="M117" s="504"/>
      <c r="N117" s="504"/>
      <c r="O117" s="504"/>
      <c r="P117" s="504"/>
      <c r="Q117" s="504"/>
      <c r="R117" s="504"/>
      <c r="S117" s="504"/>
      <c r="T117" s="504"/>
      <c r="U117" s="504"/>
      <c r="V117" s="504"/>
      <c r="W117" s="504"/>
      <c r="X117" s="504"/>
      <c r="Y117" s="504"/>
      <c r="Z117" s="504"/>
    </row>
    <row r="118" ht="12.0" customHeight="1">
      <c r="A118" s="488"/>
      <c r="B118" s="493" t="s">
        <v>449</v>
      </c>
      <c r="C118" s="490" t="s">
        <v>34</v>
      </c>
      <c r="D118" s="490"/>
      <c r="E118" s="491"/>
      <c r="F118" s="492"/>
      <c r="G118" s="504"/>
      <c r="H118" s="504"/>
      <c r="I118" s="504"/>
      <c r="J118" s="504"/>
      <c r="K118" s="504"/>
      <c r="L118" s="504"/>
      <c r="M118" s="504"/>
      <c r="N118" s="504"/>
      <c r="O118" s="504"/>
      <c r="P118" s="504"/>
      <c r="Q118" s="504"/>
      <c r="R118" s="504"/>
      <c r="S118" s="504"/>
      <c r="T118" s="504"/>
      <c r="U118" s="504"/>
      <c r="V118" s="504"/>
      <c r="W118" s="504"/>
      <c r="X118" s="504"/>
      <c r="Y118" s="504"/>
      <c r="Z118" s="504"/>
    </row>
    <row r="119" ht="12.0" customHeight="1">
      <c r="A119" s="488"/>
      <c r="B119" s="493" t="s">
        <v>450</v>
      </c>
      <c r="C119" s="490" t="s">
        <v>34</v>
      </c>
      <c r="D119" s="490"/>
      <c r="E119" s="491"/>
      <c r="F119" s="492"/>
      <c r="G119" s="504"/>
      <c r="H119" s="504"/>
      <c r="I119" s="504"/>
      <c r="J119" s="504"/>
      <c r="K119" s="504"/>
      <c r="L119" s="504"/>
      <c r="M119" s="504"/>
      <c r="N119" s="504"/>
      <c r="O119" s="504"/>
      <c r="P119" s="504"/>
      <c r="Q119" s="504"/>
      <c r="R119" s="504"/>
      <c r="S119" s="504"/>
      <c r="T119" s="504"/>
      <c r="U119" s="504"/>
      <c r="V119" s="504"/>
      <c r="W119" s="504"/>
      <c r="X119" s="504"/>
      <c r="Y119" s="504"/>
      <c r="Z119" s="504"/>
    </row>
    <row r="120" ht="12.0" customHeight="1">
      <c r="A120" s="488"/>
      <c r="B120" s="493" t="s">
        <v>451</v>
      </c>
      <c r="C120" s="490" t="s">
        <v>51</v>
      </c>
      <c r="D120" s="490"/>
      <c r="E120" s="491"/>
      <c r="F120" s="492"/>
      <c r="G120" s="504"/>
      <c r="H120" s="504"/>
      <c r="I120" s="504"/>
      <c r="J120" s="504"/>
      <c r="K120" s="504"/>
      <c r="L120" s="504"/>
      <c r="M120" s="504"/>
      <c r="N120" s="504"/>
      <c r="O120" s="504"/>
      <c r="P120" s="504"/>
      <c r="Q120" s="504"/>
      <c r="R120" s="504"/>
      <c r="S120" s="504"/>
      <c r="T120" s="504"/>
      <c r="U120" s="504"/>
      <c r="V120" s="504"/>
      <c r="W120" s="504"/>
      <c r="X120" s="504"/>
      <c r="Y120" s="504"/>
      <c r="Z120" s="504"/>
    </row>
    <row r="121" ht="12.0" customHeight="1">
      <c r="A121" s="488"/>
      <c r="B121" s="493" t="s">
        <v>452</v>
      </c>
      <c r="C121" s="490" t="s">
        <v>32</v>
      </c>
      <c r="D121" s="490"/>
      <c r="E121" s="491"/>
      <c r="F121" s="492"/>
      <c r="G121" s="504"/>
      <c r="H121" s="504"/>
      <c r="I121" s="504"/>
      <c r="J121" s="504"/>
      <c r="K121" s="504"/>
      <c r="L121" s="504"/>
      <c r="M121" s="504"/>
      <c r="N121" s="504"/>
      <c r="O121" s="504"/>
      <c r="P121" s="504"/>
      <c r="Q121" s="504"/>
      <c r="R121" s="504"/>
      <c r="S121" s="504"/>
      <c r="T121" s="504"/>
      <c r="U121" s="504"/>
      <c r="V121" s="504"/>
      <c r="W121" s="504"/>
      <c r="X121" s="504"/>
      <c r="Y121" s="504"/>
      <c r="Z121" s="504"/>
    </row>
    <row r="122" ht="12.0" customHeight="1">
      <c r="A122" s="488"/>
      <c r="B122" s="493"/>
      <c r="C122" s="490"/>
      <c r="D122" s="490"/>
      <c r="E122" s="491"/>
      <c r="F122" s="492"/>
      <c r="G122" s="504"/>
      <c r="H122" s="504"/>
      <c r="I122" s="504"/>
      <c r="J122" s="504"/>
      <c r="K122" s="504"/>
      <c r="L122" s="504"/>
      <c r="M122" s="504"/>
      <c r="N122" s="504"/>
      <c r="O122" s="504"/>
      <c r="P122" s="504"/>
      <c r="Q122" s="504"/>
      <c r="R122" s="504"/>
      <c r="S122" s="504"/>
      <c r="T122" s="504"/>
      <c r="U122" s="504"/>
      <c r="V122" s="504"/>
      <c r="W122" s="504"/>
      <c r="X122" s="504"/>
      <c r="Y122" s="504"/>
      <c r="Z122" s="504"/>
    </row>
    <row r="123" ht="12.0" customHeight="1">
      <c r="A123" s="488"/>
      <c r="B123" s="493" t="s">
        <v>453</v>
      </c>
      <c r="C123" s="490"/>
      <c r="D123" s="490"/>
      <c r="E123" s="491"/>
      <c r="F123" s="492"/>
      <c r="G123" s="504"/>
      <c r="H123" s="504"/>
      <c r="I123" s="504"/>
      <c r="J123" s="504"/>
      <c r="K123" s="504"/>
      <c r="L123" s="504"/>
      <c r="M123" s="504"/>
      <c r="N123" s="504"/>
      <c r="O123" s="504"/>
      <c r="P123" s="504"/>
      <c r="Q123" s="504"/>
      <c r="R123" s="504"/>
      <c r="S123" s="504"/>
      <c r="T123" s="504"/>
      <c r="U123" s="504"/>
      <c r="V123" s="504"/>
      <c r="W123" s="504"/>
      <c r="X123" s="504"/>
      <c r="Y123" s="504"/>
      <c r="Z123" s="504"/>
    </row>
    <row r="124" ht="12.0" customHeight="1">
      <c r="A124" s="488"/>
      <c r="B124" s="493" t="s">
        <v>454</v>
      </c>
      <c r="C124" s="490" t="s">
        <v>51</v>
      </c>
      <c r="D124" s="490"/>
      <c r="E124" s="491"/>
      <c r="F124" s="492"/>
      <c r="G124" s="504"/>
      <c r="H124" s="504"/>
      <c r="I124" s="504"/>
      <c r="J124" s="504"/>
      <c r="K124" s="504"/>
      <c r="L124" s="504"/>
      <c r="M124" s="504"/>
      <c r="N124" s="504"/>
      <c r="O124" s="504"/>
      <c r="P124" s="504"/>
      <c r="Q124" s="504"/>
      <c r="R124" s="504"/>
      <c r="S124" s="504"/>
      <c r="T124" s="504"/>
      <c r="U124" s="504"/>
      <c r="V124" s="504"/>
      <c r="W124" s="504"/>
      <c r="X124" s="504"/>
      <c r="Y124" s="504"/>
      <c r="Z124" s="504"/>
    </row>
    <row r="125" ht="12.0" customHeight="1">
      <c r="A125" s="488"/>
      <c r="B125" s="493" t="s">
        <v>455</v>
      </c>
      <c r="C125" s="490" t="s">
        <v>34</v>
      </c>
      <c r="D125" s="490"/>
      <c r="E125" s="491"/>
      <c r="F125" s="492"/>
      <c r="G125" s="504"/>
      <c r="H125" s="504"/>
      <c r="I125" s="504"/>
      <c r="J125" s="504"/>
      <c r="K125" s="504"/>
      <c r="L125" s="504"/>
      <c r="M125" s="504"/>
      <c r="N125" s="504"/>
      <c r="O125" s="504"/>
      <c r="P125" s="504"/>
      <c r="Q125" s="504"/>
      <c r="R125" s="504"/>
      <c r="S125" s="504"/>
      <c r="T125" s="504"/>
      <c r="U125" s="504"/>
      <c r="V125" s="504"/>
      <c r="W125" s="504"/>
      <c r="X125" s="504"/>
      <c r="Y125" s="504"/>
      <c r="Z125" s="504"/>
    </row>
    <row r="126" ht="12.0" customHeight="1">
      <c r="A126" s="488"/>
      <c r="B126" s="493" t="s">
        <v>456</v>
      </c>
      <c r="C126" s="490" t="s">
        <v>34</v>
      </c>
      <c r="D126" s="490"/>
      <c r="E126" s="491"/>
      <c r="F126" s="492"/>
      <c r="G126" s="504"/>
      <c r="H126" s="504"/>
      <c r="I126" s="504"/>
      <c r="J126" s="504"/>
      <c r="K126" s="504"/>
      <c r="L126" s="504"/>
      <c r="M126" s="504"/>
      <c r="N126" s="504"/>
      <c r="O126" s="504"/>
      <c r="P126" s="504"/>
      <c r="Q126" s="504"/>
      <c r="R126" s="504"/>
      <c r="S126" s="504"/>
      <c r="T126" s="504"/>
      <c r="U126" s="504"/>
      <c r="V126" s="504"/>
      <c r="W126" s="504"/>
      <c r="X126" s="504"/>
      <c r="Y126" s="504"/>
      <c r="Z126" s="504"/>
    </row>
    <row r="127" ht="12.0" customHeight="1">
      <c r="A127" s="488"/>
      <c r="B127" s="493" t="s">
        <v>445</v>
      </c>
      <c r="C127" s="490" t="s">
        <v>32</v>
      </c>
      <c r="D127" s="490"/>
      <c r="E127" s="491"/>
      <c r="F127" s="492"/>
      <c r="G127" s="504"/>
      <c r="H127" s="504"/>
      <c r="I127" s="504"/>
      <c r="J127" s="504"/>
      <c r="K127" s="504"/>
      <c r="L127" s="504"/>
      <c r="M127" s="504"/>
      <c r="N127" s="504"/>
      <c r="O127" s="504"/>
      <c r="P127" s="504"/>
      <c r="Q127" s="504"/>
      <c r="R127" s="504"/>
      <c r="S127" s="504"/>
      <c r="T127" s="504"/>
      <c r="U127" s="504"/>
      <c r="V127" s="504"/>
      <c r="W127" s="504"/>
      <c r="X127" s="504"/>
      <c r="Y127" s="504"/>
      <c r="Z127" s="504"/>
    </row>
    <row r="128" ht="12.0" customHeight="1">
      <c r="A128" s="494"/>
      <c r="B128" s="495" t="s">
        <v>713</v>
      </c>
      <c r="C128" s="496"/>
      <c r="D128" s="496"/>
      <c r="E128" s="497"/>
      <c r="F128" s="498"/>
      <c r="G128" s="504"/>
      <c r="H128" s="504"/>
      <c r="I128" s="504"/>
      <c r="J128" s="504"/>
      <c r="K128" s="504"/>
      <c r="L128" s="504"/>
      <c r="M128" s="504"/>
      <c r="N128" s="504"/>
      <c r="O128" s="504"/>
      <c r="P128" s="504"/>
      <c r="Q128" s="504"/>
      <c r="R128" s="504"/>
      <c r="S128" s="504"/>
      <c r="T128" s="504"/>
      <c r="U128" s="504"/>
      <c r="V128" s="504"/>
      <c r="W128" s="504"/>
      <c r="X128" s="504"/>
      <c r="Y128" s="504"/>
      <c r="Z128" s="504"/>
    </row>
    <row r="129" ht="12.0" customHeight="1">
      <c r="A129" s="499" t="s">
        <v>953</v>
      </c>
      <c r="B129" s="500" t="s">
        <v>458</v>
      </c>
      <c r="C129" s="501"/>
      <c r="D129" s="501"/>
      <c r="E129" s="502"/>
      <c r="F129" s="503"/>
      <c r="G129" s="504"/>
      <c r="H129" s="504"/>
      <c r="I129" s="504"/>
      <c r="J129" s="504"/>
      <c r="K129" s="504"/>
      <c r="L129" s="504"/>
      <c r="M129" s="504"/>
      <c r="N129" s="504"/>
      <c r="O129" s="504"/>
      <c r="P129" s="504"/>
      <c r="Q129" s="504"/>
      <c r="R129" s="504"/>
      <c r="S129" s="504"/>
      <c r="T129" s="504"/>
      <c r="U129" s="504"/>
      <c r="V129" s="504"/>
      <c r="W129" s="504"/>
      <c r="X129" s="504"/>
      <c r="Y129" s="504"/>
      <c r="Z129" s="504"/>
    </row>
    <row r="130" ht="12.0" customHeight="1">
      <c r="A130" s="488"/>
      <c r="B130" s="493" t="s">
        <v>954</v>
      </c>
      <c r="C130" s="490" t="s">
        <v>34</v>
      </c>
      <c r="D130" s="490"/>
      <c r="E130" s="491"/>
      <c r="F130" s="492"/>
      <c r="G130" s="504"/>
      <c r="H130" s="504"/>
      <c r="I130" s="504"/>
      <c r="J130" s="504"/>
      <c r="K130" s="504"/>
      <c r="L130" s="504"/>
      <c r="M130" s="504"/>
      <c r="N130" s="504"/>
      <c r="O130" s="504"/>
      <c r="P130" s="504"/>
      <c r="Q130" s="504"/>
      <c r="R130" s="504"/>
      <c r="S130" s="504"/>
      <c r="T130" s="504"/>
      <c r="U130" s="504"/>
      <c r="V130" s="504"/>
      <c r="W130" s="504"/>
      <c r="X130" s="504"/>
      <c r="Y130" s="504"/>
      <c r="Z130" s="504"/>
    </row>
    <row r="131" ht="12.0" customHeight="1">
      <c r="A131" s="488"/>
      <c r="B131" s="493" t="s">
        <v>450</v>
      </c>
      <c r="C131" s="490" t="s">
        <v>34</v>
      </c>
      <c r="D131" s="490"/>
      <c r="E131" s="491"/>
      <c r="F131" s="492"/>
      <c r="G131" s="504"/>
      <c r="H131" s="504"/>
      <c r="I131" s="504"/>
      <c r="J131" s="504"/>
      <c r="K131" s="504"/>
      <c r="L131" s="504"/>
      <c r="M131" s="504"/>
      <c r="N131" s="504"/>
      <c r="O131" s="504"/>
      <c r="P131" s="504"/>
      <c r="Q131" s="504"/>
      <c r="R131" s="504"/>
      <c r="S131" s="504"/>
      <c r="T131" s="504"/>
      <c r="U131" s="504"/>
      <c r="V131" s="504"/>
      <c r="W131" s="504"/>
      <c r="X131" s="504"/>
      <c r="Y131" s="504"/>
      <c r="Z131" s="504"/>
    </row>
    <row r="132" ht="12.0" customHeight="1">
      <c r="A132" s="488"/>
      <c r="B132" s="493" t="s">
        <v>466</v>
      </c>
      <c r="C132" s="490" t="s">
        <v>32</v>
      </c>
      <c r="D132" s="490"/>
      <c r="E132" s="491"/>
      <c r="F132" s="492"/>
      <c r="G132" s="504"/>
      <c r="H132" s="504"/>
      <c r="I132" s="504"/>
      <c r="J132" s="504"/>
      <c r="K132" s="504"/>
      <c r="L132" s="504"/>
      <c r="M132" s="504"/>
      <c r="N132" s="504"/>
      <c r="O132" s="504"/>
      <c r="P132" s="504"/>
      <c r="Q132" s="504"/>
      <c r="R132" s="504"/>
      <c r="S132" s="504"/>
      <c r="T132" s="504"/>
      <c r="U132" s="504"/>
      <c r="V132" s="504"/>
      <c r="W132" s="504"/>
      <c r="X132" s="504"/>
      <c r="Y132" s="504"/>
      <c r="Z132" s="504"/>
    </row>
    <row r="133" ht="12.0" customHeight="1">
      <c r="A133" s="494"/>
      <c r="B133" s="495" t="s">
        <v>713</v>
      </c>
      <c r="C133" s="496"/>
      <c r="D133" s="496"/>
      <c r="E133" s="497"/>
      <c r="F133" s="498"/>
      <c r="G133" s="504"/>
      <c r="H133" s="504"/>
      <c r="I133" s="504"/>
      <c r="J133" s="504"/>
      <c r="K133" s="504"/>
      <c r="L133" s="504"/>
      <c r="M133" s="504"/>
      <c r="N133" s="504"/>
      <c r="O133" s="504"/>
      <c r="P133" s="504"/>
      <c r="Q133" s="504"/>
      <c r="R133" s="504"/>
      <c r="S133" s="504"/>
      <c r="T133" s="504"/>
      <c r="U133" s="504"/>
      <c r="V133" s="504"/>
      <c r="W133" s="504"/>
      <c r="X133" s="504"/>
      <c r="Y133" s="504"/>
      <c r="Z133" s="504"/>
    </row>
    <row r="134" ht="12.0" customHeight="1">
      <c r="A134" s="499" t="s">
        <v>955</v>
      </c>
      <c r="B134" s="500" t="s">
        <v>468</v>
      </c>
      <c r="C134" s="501"/>
      <c r="D134" s="501"/>
      <c r="E134" s="502"/>
      <c r="F134" s="503"/>
      <c r="G134" s="504"/>
      <c r="H134" s="504"/>
      <c r="I134" s="504"/>
      <c r="J134" s="504"/>
      <c r="K134" s="504"/>
      <c r="L134" s="504"/>
      <c r="M134" s="504"/>
      <c r="N134" s="504"/>
      <c r="O134" s="504"/>
      <c r="P134" s="504"/>
      <c r="Q134" s="504"/>
      <c r="R134" s="504"/>
      <c r="S134" s="504"/>
      <c r="T134" s="504"/>
      <c r="U134" s="504"/>
      <c r="V134" s="504"/>
      <c r="W134" s="504"/>
      <c r="X134" s="504"/>
      <c r="Y134" s="504"/>
      <c r="Z134" s="504"/>
    </row>
    <row r="135" ht="12.0" customHeight="1">
      <c r="A135" s="488"/>
      <c r="B135" s="493" t="s">
        <v>956</v>
      </c>
      <c r="C135" s="490" t="s">
        <v>34</v>
      </c>
      <c r="D135" s="490"/>
      <c r="E135" s="491"/>
      <c r="F135" s="492"/>
      <c r="G135" s="504"/>
      <c r="H135" s="504"/>
      <c r="I135" s="504"/>
      <c r="J135" s="504"/>
      <c r="K135" s="504"/>
      <c r="L135" s="504"/>
      <c r="M135" s="504"/>
      <c r="N135" s="504"/>
      <c r="O135" s="504"/>
      <c r="P135" s="504"/>
      <c r="Q135" s="504"/>
      <c r="R135" s="504"/>
      <c r="S135" s="504"/>
      <c r="T135" s="504"/>
      <c r="U135" s="504"/>
      <c r="V135" s="504"/>
      <c r="W135" s="504"/>
      <c r="X135" s="504"/>
      <c r="Y135" s="504"/>
      <c r="Z135" s="504"/>
    </row>
    <row r="136" ht="12.0" customHeight="1">
      <c r="A136" s="488"/>
      <c r="B136" s="493" t="s">
        <v>957</v>
      </c>
      <c r="C136" s="490" t="s">
        <v>34</v>
      </c>
      <c r="D136" s="490"/>
      <c r="E136" s="491"/>
      <c r="F136" s="492"/>
      <c r="G136" s="504"/>
      <c r="H136" s="504"/>
      <c r="I136" s="504"/>
      <c r="J136" s="504"/>
      <c r="K136" s="504"/>
      <c r="L136" s="504"/>
      <c r="M136" s="504"/>
      <c r="N136" s="504"/>
      <c r="O136" s="504"/>
      <c r="P136" s="504"/>
      <c r="Q136" s="504"/>
      <c r="R136" s="504"/>
      <c r="S136" s="504"/>
      <c r="T136" s="504"/>
      <c r="U136" s="504"/>
      <c r="V136" s="504"/>
      <c r="W136" s="504"/>
      <c r="X136" s="504"/>
      <c r="Y136" s="504"/>
      <c r="Z136" s="504"/>
    </row>
    <row r="137" ht="12.0" customHeight="1">
      <c r="A137" s="488"/>
      <c r="B137" s="493" t="s">
        <v>958</v>
      </c>
      <c r="C137" s="490" t="s">
        <v>34</v>
      </c>
      <c r="D137" s="490"/>
      <c r="E137" s="491"/>
      <c r="F137" s="492"/>
      <c r="G137" s="504"/>
      <c r="H137" s="504"/>
      <c r="I137" s="504"/>
      <c r="J137" s="504"/>
      <c r="K137" s="504"/>
      <c r="L137" s="504"/>
      <c r="M137" s="504"/>
      <c r="N137" s="504"/>
      <c r="O137" s="504"/>
      <c r="P137" s="504"/>
      <c r="Q137" s="504"/>
      <c r="R137" s="504"/>
      <c r="S137" s="504"/>
      <c r="T137" s="504"/>
      <c r="U137" s="504"/>
      <c r="V137" s="504"/>
      <c r="W137" s="504"/>
      <c r="X137" s="504"/>
      <c r="Y137" s="504"/>
      <c r="Z137" s="504"/>
    </row>
    <row r="138" ht="12.0" customHeight="1">
      <c r="A138" s="488"/>
      <c r="B138" s="493" t="s">
        <v>959</v>
      </c>
      <c r="C138" s="490" t="s">
        <v>34</v>
      </c>
      <c r="D138" s="490"/>
      <c r="E138" s="491"/>
      <c r="F138" s="492"/>
      <c r="G138" s="504"/>
      <c r="H138" s="504"/>
      <c r="I138" s="504"/>
      <c r="J138" s="504"/>
      <c r="K138" s="504"/>
      <c r="L138" s="504"/>
      <c r="M138" s="504"/>
      <c r="N138" s="504"/>
      <c r="O138" s="504"/>
      <c r="P138" s="504"/>
      <c r="Q138" s="504"/>
      <c r="R138" s="504"/>
      <c r="S138" s="504"/>
      <c r="T138" s="504"/>
      <c r="U138" s="504"/>
      <c r="V138" s="504"/>
      <c r="W138" s="504"/>
      <c r="X138" s="504"/>
      <c r="Y138" s="504"/>
      <c r="Z138" s="504"/>
    </row>
    <row r="139" ht="12.0" customHeight="1">
      <c r="A139" s="488"/>
      <c r="B139" s="493" t="s">
        <v>534</v>
      </c>
      <c r="C139" s="490" t="s">
        <v>32</v>
      </c>
      <c r="D139" s="490"/>
      <c r="E139" s="491"/>
      <c r="F139" s="492"/>
      <c r="G139" s="504"/>
      <c r="H139" s="504"/>
      <c r="I139" s="504"/>
      <c r="J139" s="504"/>
      <c r="K139" s="504"/>
      <c r="L139" s="504"/>
      <c r="M139" s="504"/>
      <c r="N139" s="504"/>
      <c r="O139" s="504"/>
      <c r="P139" s="504"/>
      <c r="Q139" s="504"/>
      <c r="R139" s="504"/>
      <c r="S139" s="504"/>
      <c r="T139" s="504"/>
      <c r="U139" s="504"/>
      <c r="V139" s="504"/>
      <c r="W139" s="504"/>
      <c r="X139" s="504"/>
      <c r="Y139" s="504"/>
      <c r="Z139" s="504"/>
    </row>
    <row r="140" ht="12.0" customHeight="1">
      <c r="A140" s="494"/>
      <c r="B140" s="495" t="s">
        <v>713</v>
      </c>
      <c r="C140" s="496"/>
      <c r="D140" s="496"/>
      <c r="E140" s="497"/>
      <c r="F140" s="498"/>
      <c r="G140" s="504"/>
      <c r="H140" s="504"/>
      <c r="I140" s="504"/>
      <c r="J140" s="504"/>
      <c r="K140" s="504"/>
      <c r="L140" s="504"/>
      <c r="M140" s="504"/>
      <c r="N140" s="504"/>
      <c r="O140" s="504"/>
      <c r="P140" s="504"/>
      <c r="Q140" s="504"/>
      <c r="R140" s="504"/>
      <c r="S140" s="504"/>
      <c r="T140" s="504"/>
      <c r="U140" s="504"/>
      <c r="V140" s="504"/>
      <c r="W140" s="504"/>
      <c r="X140" s="504"/>
      <c r="Y140" s="504"/>
      <c r="Z140" s="504"/>
    </row>
    <row r="141" ht="12.0" customHeight="1">
      <c r="A141" s="499" t="s">
        <v>960</v>
      </c>
      <c r="B141" s="500" t="s">
        <v>486</v>
      </c>
      <c r="C141" s="501"/>
      <c r="D141" s="501"/>
      <c r="E141" s="502"/>
      <c r="F141" s="503"/>
      <c r="G141" s="504"/>
      <c r="H141" s="504"/>
      <c r="I141" s="504"/>
      <c r="J141" s="504"/>
      <c r="K141" s="504"/>
      <c r="L141" s="504"/>
      <c r="M141" s="504"/>
      <c r="N141" s="504"/>
      <c r="O141" s="504"/>
      <c r="P141" s="504"/>
      <c r="Q141" s="504"/>
      <c r="R141" s="504"/>
      <c r="S141" s="504"/>
      <c r="T141" s="504"/>
      <c r="U141" s="504"/>
      <c r="V141" s="504"/>
      <c r="W141" s="504"/>
      <c r="X141" s="504"/>
      <c r="Y141" s="504"/>
      <c r="Z141" s="504"/>
    </row>
    <row r="142" ht="12.0" customHeight="1">
      <c r="A142" s="488"/>
      <c r="B142" s="512" t="s">
        <v>508</v>
      </c>
      <c r="C142" s="508" t="s">
        <v>34</v>
      </c>
      <c r="D142" s="490"/>
      <c r="E142" s="491"/>
      <c r="F142" s="492"/>
      <c r="G142" s="504"/>
      <c r="H142" s="504"/>
      <c r="I142" s="504"/>
      <c r="J142" s="504"/>
      <c r="K142" s="504"/>
      <c r="L142" s="504"/>
      <c r="M142" s="504"/>
      <c r="N142" s="504"/>
      <c r="O142" s="504"/>
      <c r="P142" s="504"/>
      <c r="Q142" s="504"/>
      <c r="R142" s="504"/>
      <c r="S142" s="504"/>
      <c r="T142" s="504"/>
      <c r="U142" s="504"/>
      <c r="V142" s="504"/>
      <c r="W142" s="504"/>
      <c r="X142" s="504"/>
      <c r="Y142" s="504"/>
      <c r="Z142" s="504"/>
    </row>
    <row r="143" ht="12.0" customHeight="1">
      <c r="A143" s="488"/>
      <c r="B143" s="512" t="s">
        <v>509</v>
      </c>
      <c r="C143" s="508" t="s">
        <v>34</v>
      </c>
      <c r="D143" s="490"/>
      <c r="E143" s="491"/>
      <c r="F143" s="492"/>
      <c r="G143" s="504"/>
      <c r="H143" s="504"/>
      <c r="I143" s="504"/>
      <c r="J143" s="504"/>
      <c r="K143" s="504"/>
      <c r="L143" s="504"/>
      <c r="M143" s="504"/>
      <c r="N143" s="504"/>
      <c r="O143" s="504"/>
      <c r="P143" s="504"/>
      <c r="Q143" s="504"/>
      <c r="R143" s="504"/>
      <c r="S143" s="504"/>
      <c r="T143" s="504"/>
      <c r="U143" s="504"/>
      <c r="V143" s="504"/>
      <c r="W143" s="504"/>
      <c r="X143" s="504"/>
      <c r="Y143" s="504"/>
      <c r="Z143" s="504"/>
    </row>
    <row r="144" ht="12.0" customHeight="1">
      <c r="A144" s="488"/>
      <c r="B144" s="507" t="s">
        <v>510</v>
      </c>
      <c r="C144" s="508" t="s">
        <v>34</v>
      </c>
      <c r="D144" s="490"/>
      <c r="E144" s="491"/>
      <c r="F144" s="492"/>
      <c r="G144" s="504"/>
      <c r="H144" s="504"/>
      <c r="I144" s="504"/>
      <c r="J144" s="504"/>
      <c r="K144" s="504"/>
      <c r="L144" s="504"/>
      <c r="M144" s="504"/>
      <c r="N144" s="504"/>
      <c r="O144" s="504"/>
      <c r="P144" s="504"/>
      <c r="Q144" s="504"/>
      <c r="R144" s="504"/>
      <c r="S144" s="504"/>
      <c r="T144" s="504"/>
      <c r="U144" s="504"/>
      <c r="V144" s="504"/>
      <c r="W144" s="504"/>
      <c r="X144" s="504"/>
      <c r="Y144" s="504"/>
      <c r="Z144" s="504"/>
    </row>
    <row r="145" ht="12.0" customHeight="1">
      <c r="A145" s="488"/>
      <c r="B145" s="507" t="s">
        <v>511</v>
      </c>
      <c r="C145" s="508" t="s">
        <v>34</v>
      </c>
      <c r="D145" s="490"/>
      <c r="E145" s="491"/>
      <c r="F145" s="492"/>
      <c r="G145" s="504"/>
      <c r="H145" s="504"/>
      <c r="I145" s="504"/>
      <c r="J145" s="504"/>
      <c r="K145" s="504"/>
      <c r="L145" s="504"/>
      <c r="M145" s="504"/>
      <c r="N145" s="504"/>
      <c r="O145" s="504"/>
      <c r="P145" s="504"/>
      <c r="Q145" s="504"/>
      <c r="R145" s="504"/>
      <c r="S145" s="504"/>
      <c r="T145" s="504"/>
      <c r="U145" s="504"/>
      <c r="V145" s="504"/>
      <c r="W145" s="504"/>
      <c r="X145" s="504"/>
      <c r="Y145" s="504"/>
      <c r="Z145" s="504"/>
    </row>
    <row r="146" ht="12.0" customHeight="1">
      <c r="A146" s="488"/>
      <c r="B146" s="507" t="s">
        <v>512</v>
      </c>
      <c r="C146" s="508" t="s">
        <v>34</v>
      </c>
      <c r="D146" s="490"/>
      <c r="E146" s="491"/>
      <c r="F146" s="492"/>
      <c r="G146" s="504"/>
      <c r="H146" s="504"/>
      <c r="I146" s="504"/>
      <c r="J146" s="504"/>
      <c r="K146" s="504"/>
      <c r="L146" s="504"/>
      <c r="M146" s="504"/>
      <c r="N146" s="504"/>
      <c r="O146" s="504"/>
      <c r="P146" s="504"/>
      <c r="Q146" s="504"/>
      <c r="R146" s="504"/>
      <c r="S146" s="504"/>
      <c r="T146" s="504"/>
      <c r="U146" s="504"/>
      <c r="V146" s="504"/>
      <c r="W146" s="504"/>
      <c r="X146" s="504"/>
      <c r="Y146" s="504"/>
      <c r="Z146" s="504"/>
    </row>
    <row r="147" ht="12.0" customHeight="1">
      <c r="A147" s="488"/>
      <c r="B147" s="507" t="s">
        <v>513</v>
      </c>
      <c r="C147" s="508" t="s">
        <v>34</v>
      </c>
      <c r="D147" s="490"/>
      <c r="E147" s="491"/>
      <c r="F147" s="492"/>
      <c r="G147" s="504"/>
      <c r="H147" s="504"/>
      <c r="I147" s="504"/>
      <c r="J147" s="504"/>
      <c r="K147" s="504"/>
      <c r="L147" s="504"/>
      <c r="M147" s="504"/>
      <c r="N147" s="504"/>
      <c r="O147" s="504"/>
      <c r="P147" s="504"/>
      <c r="Q147" s="504"/>
      <c r="R147" s="504"/>
      <c r="S147" s="504"/>
      <c r="T147" s="504"/>
      <c r="U147" s="504"/>
      <c r="V147" s="504"/>
      <c r="W147" s="504"/>
      <c r="X147" s="504"/>
      <c r="Y147" s="504"/>
      <c r="Z147" s="504"/>
    </row>
    <row r="148" ht="12.0" customHeight="1">
      <c r="A148" s="488"/>
      <c r="B148" s="507" t="s">
        <v>514</v>
      </c>
      <c r="C148" s="508" t="s">
        <v>32</v>
      </c>
      <c r="D148" s="490"/>
      <c r="E148" s="491"/>
      <c r="F148" s="492"/>
      <c r="G148" s="504"/>
      <c r="H148" s="504"/>
      <c r="I148" s="504"/>
      <c r="J148" s="504"/>
      <c r="K148" s="504"/>
      <c r="L148" s="504"/>
      <c r="M148" s="504"/>
      <c r="N148" s="504"/>
      <c r="O148" s="504"/>
      <c r="P148" s="504"/>
      <c r="Q148" s="504"/>
      <c r="R148" s="504"/>
      <c r="S148" s="504"/>
      <c r="T148" s="504"/>
      <c r="U148" s="504"/>
      <c r="V148" s="504"/>
      <c r="W148" s="504"/>
      <c r="X148" s="504"/>
      <c r="Y148" s="504"/>
      <c r="Z148" s="504"/>
    </row>
    <row r="149" ht="12.0" customHeight="1">
      <c r="A149" s="488"/>
      <c r="B149" s="507" t="s">
        <v>515</v>
      </c>
      <c r="C149" s="508"/>
      <c r="D149" s="490"/>
      <c r="E149" s="491"/>
      <c r="F149" s="492"/>
      <c r="G149" s="504"/>
      <c r="H149" s="504"/>
      <c r="I149" s="504"/>
      <c r="J149" s="504"/>
      <c r="K149" s="504"/>
      <c r="L149" s="504"/>
      <c r="M149" s="504"/>
      <c r="N149" s="504"/>
      <c r="O149" s="504"/>
      <c r="P149" s="504"/>
      <c r="Q149" s="504"/>
      <c r="R149" s="504"/>
      <c r="S149" s="504"/>
      <c r="T149" s="504"/>
      <c r="U149" s="504"/>
      <c r="V149" s="504"/>
      <c r="W149" s="504"/>
      <c r="X149" s="504"/>
      <c r="Y149" s="504"/>
      <c r="Z149" s="504"/>
    </row>
    <row r="150" ht="12.0" customHeight="1">
      <c r="A150" s="488"/>
      <c r="B150" s="507" t="s">
        <v>516</v>
      </c>
      <c r="C150" s="508" t="s">
        <v>34</v>
      </c>
      <c r="D150" s="490"/>
      <c r="E150" s="491"/>
      <c r="F150" s="492"/>
      <c r="G150" s="504"/>
      <c r="H150" s="504"/>
      <c r="I150" s="504"/>
      <c r="J150" s="504"/>
      <c r="K150" s="504"/>
      <c r="L150" s="504"/>
      <c r="M150" s="504"/>
      <c r="N150" s="504"/>
      <c r="O150" s="504"/>
      <c r="P150" s="504"/>
      <c r="Q150" s="504"/>
      <c r="R150" s="504"/>
      <c r="S150" s="504"/>
      <c r="T150" s="504"/>
      <c r="U150" s="504"/>
      <c r="V150" s="504"/>
      <c r="W150" s="504"/>
      <c r="X150" s="504"/>
      <c r="Y150" s="504"/>
      <c r="Z150" s="504"/>
    </row>
    <row r="151" ht="12.0" customHeight="1">
      <c r="A151" s="488"/>
      <c r="B151" s="507" t="s">
        <v>517</v>
      </c>
      <c r="C151" s="508" t="s">
        <v>32</v>
      </c>
      <c r="D151" s="490"/>
      <c r="E151" s="491"/>
      <c r="F151" s="492"/>
      <c r="G151" s="504"/>
      <c r="H151" s="504"/>
      <c r="I151" s="504"/>
      <c r="J151" s="504"/>
      <c r="K151" s="504"/>
      <c r="L151" s="504"/>
      <c r="M151" s="504"/>
      <c r="N151" s="504"/>
      <c r="O151" s="504"/>
      <c r="P151" s="504"/>
      <c r="Q151" s="504"/>
      <c r="R151" s="504"/>
      <c r="S151" s="504"/>
      <c r="T151" s="504"/>
      <c r="U151" s="504"/>
      <c r="V151" s="504"/>
      <c r="W151" s="504"/>
      <c r="X151" s="504"/>
      <c r="Y151" s="504"/>
      <c r="Z151" s="504"/>
    </row>
    <row r="152" ht="12.0" customHeight="1">
      <c r="A152" s="494"/>
      <c r="B152" s="495" t="s">
        <v>713</v>
      </c>
      <c r="C152" s="496"/>
      <c r="D152" s="496"/>
      <c r="E152" s="497"/>
      <c r="F152" s="498"/>
      <c r="G152" s="504"/>
      <c r="H152" s="504"/>
      <c r="I152" s="504"/>
      <c r="J152" s="504"/>
      <c r="K152" s="504"/>
      <c r="L152" s="504"/>
      <c r="M152" s="504"/>
      <c r="N152" s="504"/>
      <c r="O152" s="504"/>
      <c r="P152" s="504"/>
      <c r="Q152" s="504"/>
      <c r="R152" s="504"/>
      <c r="S152" s="504"/>
      <c r="T152" s="504"/>
      <c r="U152" s="504"/>
      <c r="V152" s="504"/>
      <c r="W152" s="504"/>
      <c r="X152" s="504"/>
      <c r="Y152" s="504"/>
      <c r="Z152" s="504"/>
    </row>
    <row r="153" ht="12.0" customHeight="1">
      <c r="A153" s="499" t="s">
        <v>961</v>
      </c>
      <c r="B153" s="500" t="s">
        <v>825</v>
      </c>
      <c r="C153" s="501"/>
      <c r="D153" s="501"/>
      <c r="E153" s="502"/>
      <c r="F153" s="503"/>
      <c r="G153" s="504"/>
      <c r="H153" s="504"/>
      <c r="I153" s="504"/>
      <c r="J153" s="504"/>
      <c r="K153" s="504"/>
      <c r="L153" s="504"/>
      <c r="M153" s="504"/>
      <c r="N153" s="504"/>
      <c r="O153" s="504"/>
      <c r="P153" s="504"/>
      <c r="Q153" s="504"/>
      <c r="R153" s="504"/>
      <c r="S153" s="504"/>
      <c r="T153" s="504"/>
      <c r="U153" s="504"/>
      <c r="V153" s="504"/>
      <c r="W153" s="504"/>
      <c r="X153" s="504"/>
      <c r="Y153" s="504"/>
      <c r="Z153" s="504"/>
    </row>
    <row r="154" ht="12.0" customHeight="1">
      <c r="A154" s="488"/>
      <c r="B154" s="507" t="s">
        <v>539</v>
      </c>
      <c r="C154" s="508"/>
      <c r="D154" s="490"/>
      <c r="E154" s="491"/>
      <c r="F154" s="492"/>
      <c r="G154" s="504"/>
      <c r="H154" s="504"/>
      <c r="I154" s="504"/>
      <c r="J154" s="504"/>
      <c r="K154" s="504"/>
      <c r="L154" s="504"/>
      <c r="M154" s="504"/>
      <c r="N154" s="504"/>
      <c r="O154" s="504"/>
      <c r="P154" s="504"/>
      <c r="Q154" s="504"/>
      <c r="R154" s="504"/>
      <c r="S154" s="504"/>
      <c r="T154" s="504"/>
      <c r="U154" s="504"/>
      <c r="V154" s="504"/>
      <c r="W154" s="504"/>
      <c r="X154" s="504"/>
      <c r="Y154" s="504"/>
      <c r="Z154" s="504"/>
    </row>
    <row r="155" ht="12.0" customHeight="1">
      <c r="A155" s="488"/>
      <c r="B155" s="507" t="s">
        <v>544</v>
      </c>
      <c r="C155" s="508"/>
      <c r="D155" s="490"/>
      <c r="E155" s="491"/>
      <c r="F155" s="492"/>
      <c r="G155" s="504"/>
      <c r="H155" s="504"/>
      <c r="I155" s="504"/>
      <c r="J155" s="504"/>
      <c r="K155" s="504"/>
      <c r="L155" s="504"/>
      <c r="M155" s="504"/>
      <c r="N155" s="504"/>
      <c r="O155" s="504"/>
      <c r="P155" s="504"/>
      <c r="Q155" s="504"/>
      <c r="R155" s="504"/>
      <c r="S155" s="504"/>
      <c r="T155" s="504"/>
      <c r="U155" s="504"/>
      <c r="V155" s="504"/>
      <c r="W155" s="504"/>
      <c r="X155" s="504"/>
      <c r="Y155" s="504"/>
      <c r="Z155" s="504"/>
    </row>
    <row r="156" ht="12.0" customHeight="1">
      <c r="A156" s="488"/>
      <c r="B156" s="507" t="s">
        <v>545</v>
      </c>
      <c r="C156" s="508"/>
      <c r="D156" s="490"/>
      <c r="E156" s="491"/>
      <c r="F156" s="492"/>
      <c r="G156" s="504"/>
      <c r="H156" s="504"/>
      <c r="I156" s="504"/>
      <c r="J156" s="504"/>
      <c r="K156" s="504"/>
      <c r="L156" s="504"/>
      <c r="M156" s="504"/>
      <c r="N156" s="504"/>
      <c r="O156" s="504"/>
      <c r="P156" s="504"/>
      <c r="Q156" s="504"/>
      <c r="R156" s="504"/>
      <c r="S156" s="504"/>
      <c r="T156" s="504"/>
      <c r="U156" s="504"/>
      <c r="V156" s="504"/>
      <c r="W156" s="504"/>
      <c r="X156" s="504"/>
      <c r="Y156" s="504"/>
      <c r="Z156" s="504"/>
    </row>
    <row r="157" ht="12.0" customHeight="1">
      <c r="A157" s="488"/>
      <c r="B157" s="507" t="s">
        <v>534</v>
      </c>
      <c r="C157" s="508"/>
      <c r="D157" s="490"/>
      <c r="E157" s="491"/>
      <c r="F157" s="492"/>
      <c r="G157" s="504"/>
      <c r="H157" s="504"/>
      <c r="I157" s="504"/>
      <c r="J157" s="504"/>
      <c r="K157" s="504"/>
      <c r="L157" s="504"/>
      <c r="M157" s="504"/>
      <c r="N157" s="504"/>
      <c r="O157" s="504"/>
      <c r="P157" s="504"/>
      <c r="Q157" s="504"/>
      <c r="R157" s="504"/>
      <c r="S157" s="504"/>
      <c r="T157" s="504"/>
      <c r="U157" s="504"/>
      <c r="V157" s="504"/>
      <c r="W157" s="504"/>
      <c r="X157" s="504"/>
      <c r="Y157" s="504"/>
      <c r="Z157" s="504"/>
    </row>
    <row r="158" ht="12.0" customHeight="1">
      <c r="A158" s="494"/>
      <c r="B158" s="495" t="s">
        <v>713</v>
      </c>
      <c r="C158" s="496"/>
      <c r="D158" s="496"/>
      <c r="E158" s="497"/>
      <c r="F158" s="498"/>
      <c r="G158" s="504"/>
      <c r="H158" s="504"/>
      <c r="I158" s="504"/>
      <c r="J158" s="504"/>
      <c r="K158" s="504"/>
      <c r="L158" s="504"/>
      <c r="M158" s="504"/>
      <c r="N158" s="504"/>
      <c r="O158" s="504"/>
      <c r="P158" s="504"/>
      <c r="Q158" s="504"/>
      <c r="R158" s="504"/>
      <c r="S158" s="504"/>
      <c r="T158" s="504"/>
      <c r="U158" s="504"/>
      <c r="V158" s="504"/>
      <c r="W158" s="504"/>
      <c r="X158" s="504"/>
      <c r="Y158" s="504"/>
      <c r="Z158" s="504"/>
    </row>
    <row r="159" ht="12.0" customHeight="1">
      <c r="A159" s="513" t="s">
        <v>964</v>
      </c>
      <c r="B159" s="500" t="s">
        <v>580</v>
      </c>
      <c r="C159" s="501"/>
      <c r="D159" s="501"/>
      <c r="E159" s="502"/>
      <c r="F159" s="503"/>
      <c r="G159" s="504"/>
      <c r="H159" s="504"/>
      <c r="I159" s="504"/>
      <c r="J159" s="504"/>
      <c r="K159" s="504"/>
      <c r="L159" s="504"/>
      <c r="M159" s="504"/>
      <c r="N159" s="504"/>
      <c r="O159" s="504"/>
      <c r="P159" s="504"/>
      <c r="Q159" s="504"/>
      <c r="R159" s="504"/>
      <c r="S159" s="504"/>
      <c r="T159" s="504"/>
      <c r="U159" s="504"/>
      <c r="V159" s="504"/>
      <c r="W159" s="504"/>
      <c r="X159" s="504"/>
      <c r="Y159" s="504"/>
      <c r="Z159" s="504"/>
    </row>
    <row r="160" ht="11.25" customHeight="1">
      <c r="A160" s="514"/>
      <c r="B160" s="507" t="s">
        <v>584</v>
      </c>
      <c r="C160" s="508" t="s">
        <v>34</v>
      </c>
      <c r="D160" s="490"/>
      <c r="E160" s="491"/>
      <c r="F160" s="492"/>
      <c r="G160" s="504"/>
      <c r="H160" s="504"/>
      <c r="I160" s="504"/>
      <c r="J160" s="504"/>
      <c r="K160" s="504"/>
      <c r="L160" s="504"/>
      <c r="M160" s="504"/>
      <c r="N160" s="504"/>
      <c r="O160" s="504"/>
      <c r="P160" s="504"/>
      <c r="Q160" s="504"/>
      <c r="R160" s="504"/>
      <c r="S160" s="504"/>
      <c r="T160" s="504"/>
      <c r="U160" s="504"/>
      <c r="V160" s="504"/>
      <c r="W160" s="504"/>
      <c r="X160" s="504"/>
      <c r="Y160" s="504"/>
      <c r="Z160" s="504"/>
    </row>
    <row r="161" ht="11.25" customHeight="1">
      <c r="A161" s="514"/>
      <c r="B161" s="507" t="s">
        <v>585</v>
      </c>
      <c r="C161" s="508" t="s">
        <v>34</v>
      </c>
      <c r="D161" s="490"/>
      <c r="E161" s="491"/>
      <c r="F161" s="492"/>
      <c r="G161" s="504"/>
      <c r="H161" s="504"/>
      <c r="I161" s="504"/>
      <c r="J161" s="504"/>
      <c r="K161" s="504"/>
      <c r="L161" s="504"/>
      <c r="M161" s="504"/>
      <c r="N161" s="504"/>
      <c r="O161" s="504"/>
      <c r="P161" s="504"/>
      <c r="Q161" s="504"/>
      <c r="R161" s="504"/>
      <c r="S161" s="504"/>
      <c r="T161" s="504"/>
      <c r="U161" s="504"/>
      <c r="V161" s="504"/>
      <c r="W161" s="504"/>
      <c r="X161" s="504"/>
      <c r="Y161" s="504"/>
      <c r="Z161" s="504"/>
    </row>
    <row r="162" ht="11.25" customHeight="1">
      <c r="A162" s="514"/>
      <c r="B162" s="507" t="s">
        <v>586</v>
      </c>
      <c r="C162" s="508" t="s">
        <v>32</v>
      </c>
      <c r="D162" s="490"/>
      <c r="E162" s="491"/>
      <c r="F162" s="492"/>
      <c r="G162" s="504"/>
      <c r="H162" s="504"/>
      <c r="I162" s="504"/>
      <c r="J162" s="504"/>
      <c r="K162" s="504"/>
      <c r="L162" s="504"/>
      <c r="M162" s="504"/>
      <c r="N162" s="504"/>
      <c r="O162" s="504"/>
      <c r="P162" s="504"/>
      <c r="Q162" s="504"/>
      <c r="R162" s="504"/>
      <c r="S162" s="504"/>
      <c r="T162" s="504"/>
      <c r="U162" s="504"/>
      <c r="V162" s="504"/>
      <c r="W162" s="504"/>
      <c r="X162" s="504"/>
      <c r="Y162" s="504"/>
      <c r="Z162" s="504"/>
    </row>
    <row r="163" ht="11.25" customHeight="1">
      <c r="A163" s="514"/>
      <c r="B163" s="507" t="s">
        <v>587</v>
      </c>
      <c r="C163" s="508" t="s">
        <v>32</v>
      </c>
      <c r="D163" s="490"/>
      <c r="E163" s="491"/>
      <c r="F163" s="492"/>
      <c r="G163" s="504"/>
      <c r="H163" s="504"/>
      <c r="I163" s="504"/>
      <c r="J163" s="504"/>
      <c r="K163" s="504"/>
      <c r="L163" s="504"/>
      <c r="M163" s="504"/>
      <c r="N163" s="504"/>
      <c r="O163" s="504"/>
      <c r="P163" s="504"/>
      <c r="Q163" s="504"/>
      <c r="R163" s="504"/>
      <c r="S163" s="504"/>
      <c r="T163" s="504"/>
      <c r="U163" s="504"/>
      <c r="V163" s="504"/>
      <c r="W163" s="504"/>
      <c r="X163" s="504"/>
      <c r="Y163" s="504"/>
      <c r="Z163" s="504"/>
    </row>
    <row r="164" ht="12.0" customHeight="1">
      <c r="A164" s="515"/>
      <c r="B164" s="495" t="s">
        <v>713</v>
      </c>
      <c r="C164" s="496"/>
      <c r="D164" s="496"/>
      <c r="E164" s="497"/>
      <c r="F164" s="498"/>
      <c r="G164" s="504"/>
      <c r="H164" s="504"/>
      <c r="I164" s="504"/>
      <c r="J164" s="504"/>
      <c r="K164" s="504"/>
      <c r="L164" s="504"/>
      <c r="M164" s="504"/>
      <c r="N164" s="504"/>
      <c r="O164" s="504"/>
      <c r="P164" s="504"/>
      <c r="Q164" s="504"/>
      <c r="R164" s="504"/>
      <c r="S164" s="504"/>
      <c r="T164" s="504"/>
      <c r="U164" s="504"/>
      <c r="V164" s="504"/>
      <c r="W164" s="504"/>
      <c r="X164" s="504"/>
      <c r="Y164" s="504"/>
      <c r="Z164" s="504"/>
    </row>
    <row r="165" ht="12.0" customHeight="1">
      <c r="A165" s="499" t="s">
        <v>965</v>
      </c>
      <c r="B165" s="500" t="s">
        <v>611</v>
      </c>
      <c r="C165" s="501"/>
      <c r="D165" s="501"/>
      <c r="E165" s="502"/>
      <c r="F165" s="503"/>
      <c r="G165" s="504"/>
      <c r="H165" s="504"/>
      <c r="I165" s="504"/>
      <c r="J165" s="504"/>
      <c r="K165" s="504"/>
      <c r="L165" s="504"/>
      <c r="M165" s="504"/>
      <c r="N165" s="504"/>
      <c r="O165" s="504"/>
      <c r="P165" s="504"/>
      <c r="Q165" s="504"/>
      <c r="R165" s="504"/>
      <c r="S165" s="504"/>
      <c r="T165" s="504"/>
      <c r="U165" s="504"/>
      <c r="V165" s="504"/>
      <c r="W165" s="504"/>
      <c r="X165" s="504"/>
      <c r="Y165" s="504"/>
      <c r="Z165" s="504"/>
    </row>
    <row r="166" ht="12.0" customHeight="1">
      <c r="A166" s="488"/>
      <c r="B166" s="507" t="s">
        <v>625</v>
      </c>
      <c r="C166" s="508" t="s">
        <v>34</v>
      </c>
      <c r="D166" s="490"/>
      <c r="E166" s="491"/>
      <c r="F166" s="492"/>
      <c r="G166" s="504"/>
      <c r="H166" s="504"/>
      <c r="I166" s="504"/>
      <c r="J166" s="504"/>
      <c r="K166" s="504"/>
      <c r="L166" s="504"/>
      <c r="M166" s="504"/>
      <c r="N166" s="504"/>
      <c r="O166" s="504"/>
      <c r="P166" s="504"/>
      <c r="Q166" s="504"/>
      <c r="R166" s="504"/>
      <c r="S166" s="504"/>
      <c r="T166" s="504"/>
      <c r="U166" s="504"/>
      <c r="V166" s="504"/>
      <c r="W166" s="504"/>
      <c r="X166" s="504"/>
      <c r="Y166" s="504"/>
      <c r="Z166" s="504"/>
    </row>
    <row r="167" ht="12.0" customHeight="1">
      <c r="A167" s="488"/>
      <c r="B167" s="507" t="s">
        <v>626</v>
      </c>
      <c r="C167" s="508" t="s">
        <v>34</v>
      </c>
      <c r="D167" s="490"/>
      <c r="E167" s="491"/>
      <c r="F167" s="492"/>
      <c r="G167" s="504"/>
      <c r="H167" s="504"/>
      <c r="I167" s="504"/>
      <c r="J167" s="504"/>
      <c r="K167" s="504"/>
      <c r="L167" s="504"/>
      <c r="M167" s="504"/>
      <c r="N167" s="504"/>
      <c r="O167" s="504"/>
      <c r="P167" s="504"/>
      <c r="Q167" s="504"/>
      <c r="R167" s="504"/>
      <c r="S167" s="504"/>
      <c r="T167" s="504"/>
      <c r="U167" s="504"/>
      <c r="V167" s="504"/>
      <c r="W167" s="504"/>
      <c r="X167" s="504"/>
      <c r="Y167" s="504"/>
      <c r="Z167" s="504"/>
    </row>
    <row r="168" ht="12.0" customHeight="1">
      <c r="A168" s="488"/>
      <c r="B168" s="507" t="s">
        <v>627</v>
      </c>
      <c r="C168" s="508" t="s">
        <v>34</v>
      </c>
      <c r="D168" s="490"/>
      <c r="E168" s="491"/>
      <c r="F168" s="492"/>
      <c r="G168" s="504"/>
      <c r="H168" s="504"/>
      <c r="I168" s="504"/>
      <c r="J168" s="504"/>
      <c r="K168" s="504"/>
      <c r="L168" s="504"/>
      <c r="M168" s="504"/>
      <c r="N168" s="504"/>
      <c r="O168" s="504"/>
      <c r="P168" s="504"/>
      <c r="Q168" s="504"/>
      <c r="R168" s="504"/>
      <c r="S168" s="504"/>
      <c r="T168" s="504"/>
      <c r="U168" s="504"/>
      <c r="V168" s="504"/>
      <c r="W168" s="504"/>
      <c r="X168" s="504"/>
      <c r="Y168" s="504"/>
      <c r="Z168" s="504"/>
    </row>
    <row r="169" ht="12.0" customHeight="1">
      <c r="A169" s="488"/>
      <c r="B169" s="507" t="s">
        <v>628</v>
      </c>
      <c r="C169" s="508" t="s">
        <v>34</v>
      </c>
      <c r="D169" s="490"/>
      <c r="E169" s="491"/>
      <c r="F169" s="492"/>
      <c r="G169" s="504"/>
      <c r="H169" s="504"/>
      <c r="I169" s="504"/>
      <c r="J169" s="504"/>
      <c r="K169" s="504"/>
      <c r="L169" s="504"/>
      <c r="M169" s="504"/>
      <c r="N169" s="504"/>
      <c r="O169" s="504"/>
      <c r="P169" s="504"/>
      <c r="Q169" s="504"/>
      <c r="R169" s="504"/>
      <c r="S169" s="504"/>
      <c r="T169" s="504"/>
      <c r="U169" s="504"/>
      <c r="V169" s="504"/>
      <c r="W169" s="504"/>
      <c r="X169" s="504"/>
      <c r="Y169" s="504"/>
      <c r="Z169" s="504"/>
    </row>
    <row r="170" ht="12.0" customHeight="1">
      <c r="A170" s="488"/>
      <c r="B170" s="507" t="s">
        <v>629</v>
      </c>
      <c r="C170" s="508" t="s">
        <v>34</v>
      </c>
      <c r="D170" s="490"/>
      <c r="E170" s="491"/>
      <c r="F170" s="492"/>
      <c r="G170" s="504"/>
      <c r="H170" s="504"/>
      <c r="I170" s="504"/>
      <c r="J170" s="504"/>
      <c r="K170" s="504"/>
      <c r="L170" s="504"/>
      <c r="M170" s="504"/>
      <c r="N170" s="504"/>
      <c r="O170" s="504"/>
      <c r="P170" s="504"/>
      <c r="Q170" s="504"/>
      <c r="R170" s="504"/>
      <c r="S170" s="504"/>
      <c r="T170" s="504"/>
      <c r="U170" s="504"/>
      <c r="V170" s="504"/>
      <c r="W170" s="504"/>
      <c r="X170" s="504"/>
      <c r="Y170" s="504"/>
      <c r="Z170" s="504"/>
    </row>
    <row r="171" ht="12.0" customHeight="1">
      <c r="A171" s="488"/>
      <c r="B171" s="507" t="s">
        <v>630</v>
      </c>
      <c r="C171" s="508" t="s">
        <v>51</v>
      </c>
      <c r="D171" s="490"/>
      <c r="E171" s="491"/>
      <c r="F171" s="492"/>
      <c r="G171" s="504"/>
      <c r="H171" s="504"/>
      <c r="I171" s="504"/>
      <c r="J171" s="504"/>
      <c r="K171" s="504"/>
      <c r="L171" s="504"/>
      <c r="M171" s="504"/>
      <c r="N171" s="504"/>
      <c r="O171" s="504"/>
      <c r="P171" s="504"/>
      <c r="Q171" s="504"/>
      <c r="R171" s="504"/>
      <c r="S171" s="504"/>
      <c r="T171" s="504"/>
      <c r="U171" s="504"/>
      <c r="V171" s="504"/>
      <c r="W171" s="504"/>
      <c r="X171" s="504"/>
      <c r="Y171" s="504"/>
      <c r="Z171" s="504"/>
    </row>
    <row r="172" ht="12.0" customHeight="1">
      <c r="A172" s="488"/>
      <c r="B172" s="507" t="s">
        <v>587</v>
      </c>
      <c r="C172" s="508" t="s">
        <v>32</v>
      </c>
      <c r="D172" s="490"/>
      <c r="E172" s="491"/>
      <c r="F172" s="492"/>
      <c r="G172" s="504"/>
      <c r="H172" s="504"/>
      <c r="I172" s="504"/>
      <c r="J172" s="504"/>
      <c r="K172" s="504"/>
      <c r="L172" s="504"/>
      <c r="M172" s="504"/>
      <c r="N172" s="504"/>
      <c r="O172" s="504"/>
      <c r="P172" s="504"/>
      <c r="Q172" s="504"/>
      <c r="R172" s="504"/>
      <c r="S172" s="504"/>
      <c r="T172" s="504"/>
      <c r="U172" s="504"/>
      <c r="V172" s="504"/>
      <c r="W172" s="504"/>
      <c r="X172" s="504"/>
      <c r="Y172" s="504"/>
      <c r="Z172" s="504"/>
    </row>
    <row r="173" ht="12.0" customHeight="1">
      <c r="A173" s="494"/>
      <c r="B173" s="495" t="s">
        <v>713</v>
      </c>
      <c r="C173" s="496"/>
      <c r="D173" s="496"/>
      <c r="E173" s="497"/>
      <c r="F173" s="498"/>
      <c r="G173" s="504"/>
      <c r="H173" s="504"/>
      <c r="I173" s="504"/>
      <c r="J173" s="504"/>
      <c r="K173" s="504"/>
      <c r="L173" s="504"/>
      <c r="M173" s="504"/>
      <c r="N173" s="504"/>
      <c r="O173" s="504"/>
      <c r="P173" s="504"/>
      <c r="Q173" s="504"/>
      <c r="R173" s="504"/>
      <c r="S173" s="504"/>
      <c r="T173" s="504"/>
      <c r="U173" s="504"/>
      <c r="V173" s="504"/>
      <c r="W173" s="504"/>
      <c r="X173" s="504"/>
      <c r="Y173" s="504"/>
      <c r="Z173" s="504"/>
    </row>
    <row r="174" ht="12.0" customHeight="1">
      <c r="A174" s="499" t="s">
        <v>966</v>
      </c>
      <c r="B174" s="500" t="s">
        <v>661</v>
      </c>
      <c r="C174" s="501"/>
      <c r="D174" s="501"/>
      <c r="E174" s="502"/>
      <c r="F174" s="503"/>
      <c r="G174" s="504"/>
      <c r="H174" s="504"/>
      <c r="I174" s="504"/>
      <c r="J174" s="504"/>
      <c r="K174" s="504"/>
      <c r="L174" s="504"/>
      <c r="M174" s="504"/>
      <c r="N174" s="504"/>
      <c r="O174" s="504"/>
      <c r="P174" s="504"/>
      <c r="Q174" s="504"/>
      <c r="R174" s="504"/>
      <c r="S174" s="504"/>
      <c r="T174" s="504"/>
      <c r="U174" s="504"/>
      <c r="V174" s="504"/>
      <c r="W174" s="504"/>
      <c r="X174" s="504"/>
      <c r="Y174" s="504"/>
      <c r="Z174" s="504"/>
    </row>
    <row r="175" ht="12.0" customHeight="1">
      <c r="A175" s="523"/>
      <c r="B175" s="507" t="s">
        <v>672</v>
      </c>
      <c r="C175" s="508" t="s">
        <v>34</v>
      </c>
      <c r="D175" s="490"/>
      <c r="E175" s="491"/>
      <c r="F175" s="492"/>
      <c r="G175" s="504"/>
      <c r="H175" s="504"/>
      <c r="I175" s="504"/>
      <c r="J175" s="504"/>
      <c r="K175" s="504"/>
      <c r="L175" s="504"/>
      <c r="M175" s="504"/>
      <c r="N175" s="504"/>
      <c r="O175" s="504"/>
      <c r="P175" s="504"/>
      <c r="Q175" s="504"/>
      <c r="R175" s="504"/>
      <c r="S175" s="504"/>
      <c r="T175" s="504"/>
      <c r="U175" s="504"/>
      <c r="V175" s="504"/>
      <c r="W175" s="504"/>
      <c r="X175" s="504"/>
      <c r="Y175" s="504"/>
      <c r="Z175" s="504"/>
    </row>
    <row r="176" ht="12.0" customHeight="1">
      <c r="A176" s="523"/>
      <c r="B176" s="507" t="s">
        <v>512</v>
      </c>
      <c r="C176" s="508" t="s">
        <v>34</v>
      </c>
      <c r="D176" s="490"/>
      <c r="E176" s="491"/>
      <c r="F176" s="492"/>
      <c r="G176" s="504"/>
      <c r="H176" s="504"/>
      <c r="I176" s="504"/>
      <c r="J176" s="504"/>
      <c r="K176" s="504"/>
      <c r="L176" s="504"/>
      <c r="M176" s="504"/>
      <c r="N176" s="504"/>
      <c r="O176" s="504"/>
      <c r="P176" s="504"/>
      <c r="Q176" s="504"/>
      <c r="R176" s="504"/>
      <c r="S176" s="504"/>
      <c r="T176" s="504"/>
      <c r="U176" s="504"/>
      <c r="V176" s="504"/>
      <c r="W176" s="504"/>
      <c r="X176" s="504"/>
      <c r="Y176" s="504"/>
      <c r="Z176" s="504"/>
    </row>
    <row r="177" ht="12.0" customHeight="1">
      <c r="A177" s="523"/>
      <c r="B177" s="507" t="s">
        <v>673</v>
      </c>
      <c r="C177" s="508" t="s">
        <v>32</v>
      </c>
      <c r="D177" s="490"/>
      <c r="E177" s="491"/>
      <c r="F177" s="492"/>
      <c r="G177" s="504"/>
      <c r="H177" s="504"/>
      <c r="I177" s="504"/>
      <c r="J177" s="504"/>
      <c r="K177" s="504"/>
      <c r="L177" s="504"/>
      <c r="M177" s="504"/>
      <c r="N177" s="504"/>
      <c r="O177" s="504"/>
      <c r="P177" s="504"/>
      <c r="Q177" s="504"/>
      <c r="R177" s="504"/>
      <c r="S177" s="504"/>
      <c r="T177" s="504"/>
      <c r="U177" s="504"/>
      <c r="V177" s="504"/>
      <c r="W177" s="504"/>
      <c r="X177" s="504"/>
      <c r="Y177" s="504"/>
      <c r="Z177" s="504"/>
    </row>
    <row r="178" ht="12.0" customHeight="1">
      <c r="A178" s="523"/>
      <c r="B178" s="507" t="s">
        <v>534</v>
      </c>
      <c r="C178" s="508" t="s">
        <v>32</v>
      </c>
      <c r="D178" s="490"/>
      <c r="E178" s="491"/>
      <c r="F178" s="492"/>
      <c r="G178" s="504"/>
      <c r="H178" s="504"/>
      <c r="I178" s="504"/>
      <c r="J178" s="504"/>
      <c r="K178" s="504"/>
      <c r="L178" s="504"/>
      <c r="M178" s="504"/>
      <c r="N178" s="504"/>
      <c r="O178" s="504"/>
      <c r="P178" s="504"/>
      <c r="Q178" s="504"/>
      <c r="R178" s="504"/>
      <c r="S178" s="504"/>
      <c r="T178" s="504"/>
      <c r="U178" s="504"/>
      <c r="V178" s="504"/>
      <c r="W178" s="504"/>
      <c r="X178" s="504"/>
      <c r="Y178" s="504"/>
      <c r="Z178" s="504"/>
    </row>
    <row r="179" ht="12.0" customHeight="1">
      <c r="A179" s="523"/>
      <c r="B179" s="507" t="s">
        <v>674</v>
      </c>
      <c r="C179" s="508" t="s">
        <v>32</v>
      </c>
      <c r="D179" s="490"/>
      <c r="E179" s="491"/>
      <c r="F179" s="492"/>
      <c r="G179" s="504"/>
      <c r="H179" s="504"/>
      <c r="I179" s="504"/>
      <c r="J179" s="504"/>
      <c r="K179" s="504"/>
      <c r="L179" s="504"/>
      <c r="M179" s="504"/>
      <c r="N179" s="504"/>
      <c r="O179" s="504"/>
      <c r="P179" s="504"/>
      <c r="Q179" s="504"/>
      <c r="R179" s="504"/>
      <c r="S179" s="504"/>
      <c r="T179" s="504"/>
      <c r="U179" s="504"/>
      <c r="V179" s="504"/>
      <c r="W179" s="504"/>
      <c r="X179" s="504"/>
      <c r="Y179" s="504"/>
      <c r="Z179" s="504"/>
    </row>
    <row r="180" ht="12.0" customHeight="1">
      <c r="A180" s="524"/>
      <c r="B180" s="495" t="s">
        <v>713</v>
      </c>
      <c r="C180" s="496"/>
      <c r="D180" s="496"/>
      <c r="E180" s="497"/>
      <c r="F180" s="498"/>
      <c r="G180" s="504"/>
      <c r="H180" s="504"/>
      <c r="I180" s="504"/>
      <c r="J180" s="504"/>
      <c r="K180" s="504"/>
      <c r="L180" s="504"/>
      <c r="M180" s="504"/>
      <c r="N180" s="504"/>
      <c r="O180" s="504"/>
      <c r="P180" s="504"/>
      <c r="Q180" s="504"/>
      <c r="R180" s="504"/>
      <c r="S180" s="504"/>
      <c r="T180" s="504"/>
      <c r="U180" s="504"/>
      <c r="V180" s="504"/>
      <c r="W180" s="504"/>
      <c r="X180" s="504"/>
      <c r="Y180" s="504"/>
      <c r="Z180" s="504"/>
    </row>
    <row r="181" ht="12.0" customHeight="1">
      <c r="A181" s="480"/>
      <c r="B181" s="485"/>
      <c r="C181" s="525"/>
      <c r="D181" s="525"/>
      <c r="E181" s="526"/>
      <c r="F181" s="526"/>
      <c r="G181" s="474"/>
      <c r="H181" s="474"/>
      <c r="I181" s="474"/>
      <c r="J181" s="474"/>
      <c r="K181" s="474"/>
      <c r="L181" s="474"/>
      <c r="M181" s="474"/>
      <c r="N181" s="474"/>
      <c r="O181" s="474"/>
      <c r="P181" s="474"/>
      <c r="Q181" s="474"/>
      <c r="R181" s="474"/>
      <c r="S181" s="474"/>
      <c r="T181" s="474"/>
      <c r="U181" s="474"/>
      <c r="V181" s="474"/>
      <c r="W181" s="474"/>
      <c r="X181" s="474"/>
      <c r="Y181" s="474"/>
      <c r="Z181" s="474"/>
    </row>
    <row r="182" ht="15.75" customHeight="1">
      <c r="A182" s="597" t="s">
        <v>967</v>
      </c>
      <c r="B182" s="462"/>
      <c r="C182" s="462"/>
      <c r="D182" s="462"/>
      <c r="E182" s="462"/>
      <c r="F182" s="557"/>
      <c r="G182" s="504"/>
      <c r="H182" s="504"/>
      <c r="I182" s="504"/>
      <c r="J182" s="504"/>
      <c r="K182" s="504"/>
      <c r="L182" s="504"/>
      <c r="M182" s="504"/>
      <c r="N182" s="504"/>
      <c r="O182" s="504"/>
      <c r="P182" s="504"/>
      <c r="Q182" s="504"/>
      <c r="R182" s="504"/>
      <c r="S182" s="504"/>
      <c r="T182" s="504"/>
      <c r="U182" s="504"/>
      <c r="V182" s="504"/>
      <c r="W182" s="504"/>
      <c r="X182" s="504"/>
      <c r="Y182" s="504"/>
      <c r="Z182" s="504"/>
    </row>
    <row r="183" ht="12.0" customHeight="1">
      <c r="A183" s="499"/>
      <c r="B183" s="527" t="str">
        <f>B6</f>
        <v>Courants forts</v>
      </c>
      <c r="C183" s="501"/>
      <c r="D183" s="501"/>
      <c r="E183" s="502"/>
      <c r="F183" s="503"/>
      <c r="G183" s="504"/>
      <c r="H183" s="504"/>
      <c r="I183" s="504"/>
      <c r="J183" s="504"/>
      <c r="K183" s="504"/>
      <c r="L183" s="504"/>
      <c r="M183" s="504"/>
      <c r="N183" s="504"/>
      <c r="O183" s="504"/>
      <c r="P183" s="504"/>
      <c r="Q183" s="504"/>
      <c r="R183" s="504"/>
      <c r="S183" s="504"/>
      <c r="T183" s="504"/>
      <c r="U183" s="504"/>
      <c r="V183" s="504"/>
      <c r="W183" s="504"/>
      <c r="X183" s="504"/>
      <c r="Y183" s="504"/>
      <c r="Z183" s="504"/>
    </row>
    <row r="184" ht="12.0" customHeight="1">
      <c r="A184" s="488" t="str">
        <f t="shared" ref="A184:B184" si="1">A7</f>
        <v>1.3</v>
      </c>
      <c r="B184" s="528" t="str">
        <f t="shared" si="1"/>
        <v>Etudes, Plans, DOE</v>
      </c>
      <c r="C184" s="490"/>
      <c r="D184" s="490"/>
      <c r="E184" s="491"/>
      <c r="F184" s="492"/>
      <c r="G184" s="504"/>
      <c r="H184" s="504"/>
      <c r="I184" s="504"/>
      <c r="J184" s="504"/>
      <c r="K184" s="504"/>
      <c r="L184" s="504"/>
      <c r="M184" s="504"/>
      <c r="N184" s="504"/>
      <c r="O184" s="504"/>
      <c r="P184" s="504"/>
      <c r="Q184" s="504"/>
      <c r="R184" s="504"/>
      <c r="S184" s="504"/>
      <c r="T184" s="504"/>
      <c r="U184" s="504"/>
      <c r="V184" s="504"/>
      <c r="W184" s="504"/>
      <c r="X184" s="504"/>
      <c r="Y184" s="504"/>
      <c r="Z184" s="504"/>
    </row>
    <row r="185" ht="12.0" customHeight="1">
      <c r="A185" s="488" t="str">
        <f t="shared" ref="A185:B185" si="2">A11</f>
        <v>1.6</v>
      </c>
      <c r="B185" s="528" t="str">
        <f t="shared" si="2"/>
        <v>Essais, mise en service</v>
      </c>
      <c r="C185" s="490"/>
      <c r="D185" s="490"/>
      <c r="E185" s="491"/>
      <c r="F185" s="492"/>
      <c r="G185" s="504"/>
      <c r="H185" s="504"/>
      <c r="I185" s="504"/>
      <c r="J185" s="504"/>
      <c r="K185" s="504"/>
      <c r="L185" s="504"/>
      <c r="M185" s="504"/>
      <c r="N185" s="504"/>
      <c r="O185" s="504"/>
      <c r="P185" s="504"/>
      <c r="Q185" s="504"/>
      <c r="R185" s="504"/>
      <c r="S185" s="504"/>
      <c r="T185" s="504"/>
      <c r="U185" s="504"/>
      <c r="V185" s="504"/>
      <c r="W185" s="504"/>
      <c r="X185" s="504"/>
      <c r="Y185" s="504"/>
      <c r="Z185" s="504"/>
    </row>
    <row r="186" ht="12.0" customHeight="1">
      <c r="A186" s="488" t="str">
        <f t="shared" ref="A186:B186" si="3">A16</f>
        <v>2.2</v>
      </c>
      <c r="B186" s="528" t="str">
        <f t="shared" si="3"/>
        <v>Installation de chantier</v>
      </c>
      <c r="C186" s="490"/>
      <c r="D186" s="490"/>
      <c r="E186" s="491"/>
      <c r="F186" s="492"/>
      <c r="G186" s="504"/>
      <c r="H186" s="504"/>
      <c r="I186" s="504"/>
      <c r="J186" s="504"/>
      <c r="K186" s="504"/>
      <c r="L186" s="504"/>
      <c r="M186" s="504"/>
      <c r="N186" s="504"/>
      <c r="O186" s="504"/>
      <c r="P186" s="504"/>
      <c r="Q186" s="504"/>
      <c r="R186" s="504"/>
      <c r="S186" s="504"/>
      <c r="T186" s="504"/>
      <c r="U186" s="504"/>
      <c r="V186" s="504"/>
      <c r="W186" s="504"/>
      <c r="X186" s="504"/>
      <c r="Y186" s="504"/>
      <c r="Z186" s="504"/>
    </row>
    <row r="187" ht="12.0" customHeight="1">
      <c r="A187" s="488" t="str">
        <f t="shared" ref="A187:B187" si="4">A21</f>
        <v>2.4</v>
      </c>
      <c r="B187" s="528" t="str">
        <f t="shared" si="4"/>
        <v>Réseau de terre</v>
      </c>
      <c r="C187" s="490"/>
      <c r="D187" s="490"/>
      <c r="E187" s="491"/>
      <c r="F187" s="492"/>
      <c r="G187" s="504"/>
      <c r="H187" s="504"/>
      <c r="I187" s="504"/>
      <c r="J187" s="504"/>
      <c r="K187" s="504"/>
      <c r="L187" s="504"/>
      <c r="M187" s="504"/>
      <c r="N187" s="504"/>
      <c r="O187" s="504"/>
      <c r="P187" s="504"/>
      <c r="Q187" s="504"/>
      <c r="R187" s="504"/>
      <c r="S187" s="504"/>
      <c r="T187" s="504"/>
      <c r="U187" s="504"/>
      <c r="V187" s="504"/>
      <c r="W187" s="504"/>
      <c r="X187" s="504"/>
      <c r="Y187" s="504"/>
      <c r="Z187" s="504"/>
    </row>
    <row r="188" ht="12.0" customHeight="1">
      <c r="A188" s="488" t="str">
        <f t="shared" ref="A188:B188" si="5">A27</f>
        <v>2.5</v>
      </c>
      <c r="B188" s="528" t="str">
        <f t="shared" si="5"/>
        <v>Branchements</v>
      </c>
      <c r="C188" s="490"/>
      <c r="D188" s="490"/>
      <c r="E188" s="491"/>
      <c r="F188" s="492"/>
      <c r="G188" s="504"/>
      <c r="H188" s="504"/>
      <c r="I188" s="504"/>
      <c r="J188" s="504"/>
      <c r="K188" s="504"/>
      <c r="L188" s="504"/>
      <c r="M188" s="504"/>
      <c r="N188" s="504"/>
      <c r="O188" s="504"/>
      <c r="P188" s="504"/>
      <c r="Q188" s="504"/>
      <c r="R188" s="504"/>
      <c r="S188" s="504"/>
      <c r="T188" s="504"/>
      <c r="U188" s="504"/>
      <c r="V188" s="504"/>
      <c r="W188" s="504"/>
      <c r="X188" s="504"/>
      <c r="Y188" s="504"/>
      <c r="Z188" s="504"/>
    </row>
    <row r="189" ht="12.0" customHeight="1">
      <c r="A189" s="488" t="str">
        <f t="shared" ref="A189:B189" si="6">A35</f>
        <v>2.6</v>
      </c>
      <c r="B189" s="528" t="str">
        <f t="shared" si="6"/>
        <v>Protection contre les effets indirects de la foudre</v>
      </c>
      <c r="C189" s="490"/>
      <c r="D189" s="490"/>
      <c r="E189" s="491"/>
      <c r="F189" s="492"/>
      <c r="G189" s="504"/>
      <c r="H189" s="504"/>
      <c r="I189" s="504"/>
      <c r="J189" s="504"/>
      <c r="K189" s="504"/>
      <c r="L189" s="504"/>
      <c r="M189" s="504"/>
      <c r="N189" s="504"/>
      <c r="O189" s="504"/>
      <c r="P189" s="504"/>
      <c r="Q189" s="504"/>
      <c r="R189" s="504"/>
      <c r="S189" s="504"/>
      <c r="T189" s="504"/>
      <c r="U189" s="504"/>
      <c r="V189" s="504"/>
      <c r="W189" s="504"/>
      <c r="X189" s="504"/>
      <c r="Y189" s="504"/>
      <c r="Z189" s="504"/>
    </row>
    <row r="190" ht="12.0" customHeight="1">
      <c r="A190" s="488" t="str">
        <f t="shared" ref="A190:B190" si="7">A38</f>
        <v>2.7</v>
      </c>
      <c r="B190" s="528" t="str">
        <f t="shared" si="7"/>
        <v>Tableau général basse Tension (TGBT)</v>
      </c>
      <c r="C190" s="490"/>
      <c r="D190" s="490"/>
      <c r="E190" s="491"/>
      <c r="F190" s="492"/>
      <c r="G190" s="504"/>
      <c r="H190" s="504"/>
      <c r="I190" s="504"/>
      <c r="J190" s="504"/>
      <c r="K190" s="504"/>
      <c r="L190" s="504"/>
      <c r="M190" s="504"/>
      <c r="N190" s="504"/>
      <c r="O190" s="504"/>
      <c r="P190" s="504"/>
      <c r="Q190" s="504"/>
      <c r="R190" s="504"/>
      <c r="S190" s="504"/>
      <c r="T190" s="504"/>
      <c r="U190" s="504"/>
      <c r="V190" s="504"/>
      <c r="W190" s="504"/>
      <c r="X190" s="504"/>
      <c r="Y190" s="504"/>
      <c r="Z190" s="504"/>
    </row>
    <row r="191" ht="12.0" customHeight="1">
      <c r="A191" s="488" t="str">
        <f t="shared" ref="A191:B191" si="8">A41</f>
        <v>2.8</v>
      </c>
      <c r="B191" s="528" t="str">
        <f t="shared" si="8"/>
        <v>Tableaux divisionnaires de distribution (TD)</v>
      </c>
      <c r="C191" s="490"/>
      <c r="D191" s="490"/>
      <c r="E191" s="491"/>
      <c r="F191" s="492"/>
      <c r="G191" s="504"/>
      <c r="H191" s="504"/>
      <c r="I191" s="504"/>
      <c r="J191" s="504"/>
      <c r="K191" s="504"/>
      <c r="L191" s="504"/>
      <c r="M191" s="504"/>
      <c r="N191" s="504"/>
      <c r="O191" s="504"/>
      <c r="P191" s="504"/>
      <c r="Q191" s="504"/>
      <c r="R191" s="504"/>
      <c r="S191" s="504"/>
      <c r="T191" s="504"/>
      <c r="U191" s="504"/>
      <c r="V191" s="504"/>
      <c r="W191" s="504"/>
      <c r="X191" s="504"/>
      <c r="Y191" s="504"/>
      <c r="Z191" s="504"/>
    </row>
    <row r="192" ht="12.0" customHeight="1">
      <c r="A192" s="529" t="str">
        <f t="shared" ref="A192:B192" si="9">A47</f>
        <v>2.11</v>
      </c>
      <c r="B192" s="528" t="str">
        <f t="shared" si="9"/>
        <v>Distribution</v>
      </c>
      <c r="C192" s="490"/>
      <c r="D192" s="490"/>
      <c r="E192" s="491"/>
      <c r="F192" s="492"/>
      <c r="G192" s="504"/>
      <c r="H192" s="504"/>
      <c r="I192" s="504"/>
      <c r="J192" s="504"/>
      <c r="K192" s="504"/>
      <c r="L192" s="504"/>
      <c r="M192" s="504"/>
      <c r="N192" s="504"/>
      <c r="O192" s="504"/>
      <c r="P192" s="504"/>
      <c r="Q192" s="504"/>
      <c r="R192" s="504"/>
      <c r="S192" s="504"/>
      <c r="T192" s="504"/>
      <c r="U192" s="504"/>
      <c r="V192" s="504"/>
      <c r="W192" s="504"/>
      <c r="X192" s="504"/>
      <c r="Y192" s="504"/>
      <c r="Z192" s="504"/>
    </row>
    <row r="193" ht="12.0" customHeight="1">
      <c r="A193" s="529" t="str">
        <f t="shared" ref="A193:B193" si="10">A55</f>
        <v>2.12</v>
      </c>
      <c r="B193" s="528" t="str">
        <f t="shared" si="10"/>
        <v>Appareillage</v>
      </c>
      <c r="C193" s="490"/>
      <c r="D193" s="490"/>
      <c r="E193" s="491"/>
      <c r="F193" s="492"/>
      <c r="G193" s="504"/>
      <c r="H193" s="504"/>
      <c r="I193" s="504"/>
      <c r="J193" s="504"/>
      <c r="K193" s="504"/>
      <c r="L193" s="504"/>
      <c r="M193" s="504"/>
      <c r="N193" s="504"/>
      <c r="O193" s="504"/>
      <c r="P193" s="504"/>
      <c r="Q193" s="504"/>
      <c r="R193" s="504"/>
      <c r="S193" s="504"/>
      <c r="T193" s="504"/>
      <c r="U193" s="504"/>
      <c r="V193" s="504"/>
      <c r="W193" s="504"/>
      <c r="X193" s="504"/>
      <c r="Y193" s="504"/>
      <c r="Z193" s="504"/>
    </row>
    <row r="194" ht="12.0" customHeight="1">
      <c r="A194" s="488" t="str">
        <f t="shared" ref="A194:B194" si="11">A70</f>
        <v>2.13</v>
      </c>
      <c r="B194" s="528" t="str">
        <f t="shared" si="11"/>
        <v>Eclairage</v>
      </c>
      <c r="C194" s="490"/>
      <c r="D194" s="490"/>
      <c r="E194" s="491"/>
      <c r="F194" s="492"/>
      <c r="G194" s="504"/>
      <c r="H194" s="504"/>
      <c r="I194" s="504"/>
      <c r="J194" s="504"/>
      <c r="K194" s="504"/>
      <c r="L194" s="504"/>
      <c r="M194" s="504"/>
      <c r="N194" s="504"/>
      <c r="O194" s="504"/>
      <c r="P194" s="504"/>
      <c r="Q194" s="504"/>
      <c r="R194" s="504"/>
      <c r="S194" s="504"/>
      <c r="T194" s="504"/>
      <c r="U194" s="504"/>
      <c r="V194" s="504"/>
      <c r="W194" s="504"/>
      <c r="X194" s="504"/>
      <c r="Y194" s="504"/>
      <c r="Z194" s="504"/>
    </row>
    <row r="195" ht="12.0" customHeight="1">
      <c r="A195" s="488" t="str">
        <f t="shared" ref="A195:B195" si="12">A81</f>
        <v>2.15</v>
      </c>
      <c r="B195" s="528" t="str">
        <f t="shared" si="12"/>
        <v>Eclairage de sécurité</v>
      </c>
      <c r="C195" s="490"/>
      <c r="D195" s="490"/>
      <c r="E195" s="491"/>
      <c r="F195" s="492"/>
      <c r="G195" s="504"/>
      <c r="H195" s="504"/>
      <c r="I195" s="504"/>
      <c r="J195" s="504"/>
      <c r="K195" s="504"/>
      <c r="L195" s="504"/>
      <c r="M195" s="504"/>
      <c r="N195" s="504"/>
      <c r="O195" s="504"/>
      <c r="P195" s="504"/>
      <c r="Q195" s="504"/>
      <c r="R195" s="504"/>
      <c r="S195" s="504"/>
      <c r="T195" s="504"/>
      <c r="U195" s="504"/>
      <c r="V195" s="504"/>
      <c r="W195" s="504"/>
      <c r="X195" s="504"/>
      <c r="Y195" s="504"/>
      <c r="Z195" s="504"/>
    </row>
    <row r="196" ht="12.0" customHeight="1">
      <c r="A196" s="488" t="str">
        <f t="shared" ref="A196:B196" si="13">A88</f>
        <v>2.16</v>
      </c>
      <c r="B196" s="528" t="str">
        <f t="shared" si="13"/>
        <v>Alimentations spécifiques</v>
      </c>
      <c r="C196" s="490"/>
      <c r="D196" s="490"/>
      <c r="E196" s="491"/>
      <c r="F196" s="492"/>
      <c r="G196" s="504"/>
      <c r="H196" s="504"/>
      <c r="I196" s="504"/>
      <c r="J196" s="504"/>
      <c r="K196" s="504"/>
      <c r="L196" s="504"/>
      <c r="M196" s="504"/>
      <c r="N196" s="504"/>
      <c r="O196" s="504"/>
      <c r="P196" s="504"/>
      <c r="Q196" s="504"/>
      <c r="R196" s="504"/>
      <c r="S196" s="504"/>
      <c r="T196" s="504"/>
      <c r="U196" s="504"/>
      <c r="V196" s="504"/>
      <c r="W196" s="504"/>
      <c r="X196" s="504"/>
      <c r="Y196" s="504"/>
      <c r="Z196" s="504"/>
    </row>
    <row r="197" ht="12.0" customHeight="1">
      <c r="A197" s="529" t="str">
        <f t="shared" ref="A197:B197" si="14">A110</f>
        <v>2.18</v>
      </c>
      <c r="B197" s="528" t="str">
        <f t="shared" si="14"/>
        <v>Renvoi d'alarme sur Système GTC</v>
      </c>
      <c r="C197" s="490"/>
      <c r="D197" s="490"/>
      <c r="E197" s="491"/>
      <c r="F197" s="492"/>
      <c r="G197" s="504"/>
      <c r="H197" s="504"/>
      <c r="I197" s="504"/>
      <c r="J197" s="504"/>
      <c r="K197" s="504"/>
      <c r="L197" s="504"/>
      <c r="M197" s="504"/>
      <c r="N197" s="504"/>
      <c r="O197" s="504"/>
      <c r="P197" s="504"/>
      <c r="Q197" s="504"/>
      <c r="R197" s="504"/>
      <c r="S197" s="504"/>
      <c r="T197" s="504"/>
      <c r="U197" s="504"/>
      <c r="V197" s="504"/>
      <c r="W197" s="504"/>
      <c r="X197" s="504"/>
      <c r="Y197" s="504"/>
      <c r="Z197" s="504"/>
    </row>
    <row r="198" ht="12.0" customHeight="1">
      <c r="A198" s="488" t="str">
        <f t="shared" ref="A198:B198" si="15">A115</f>
        <v>3.1</v>
      </c>
      <c r="B198" s="528" t="str">
        <f t="shared" si="15"/>
        <v>précâblage VDI</v>
      </c>
      <c r="C198" s="490"/>
      <c r="D198" s="490"/>
      <c r="E198" s="491"/>
      <c r="F198" s="492"/>
      <c r="G198" s="504"/>
      <c r="H198" s="504"/>
      <c r="I198" s="504"/>
      <c r="J198" s="504"/>
      <c r="K198" s="504"/>
      <c r="L198" s="504"/>
      <c r="M198" s="504"/>
      <c r="N198" s="504"/>
      <c r="O198" s="504"/>
      <c r="P198" s="504"/>
      <c r="Q198" s="504"/>
      <c r="R198" s="504"/>
      <c r="S198" s="504"/>
      <c r="T198" s="504"/>
      <c r="U198" s="504"/>
      <c r="V198" s="504"/>
      <c r="W198" s="504"/>
      <c r="X198" s="504"/>
      <c r="Y198" s="504"/>
      <c r="Z198" s="504"/>
    </row>
    <row r="199" ht="12.0" customHeight="1">
      <c r="A199" s="488" t="str">
        <f t="shared" ref="A199:B199" si="16">A129</f>
        <v>3.2</v>
      </c>
      <c r="B199" s="528" t="str">
        <f t="shared" si="16"/>
        <v>Système wifi</v>
      </c>
      <c r="C199" s="490"/>
      <c r="D199" s="490"/>
      <c r="E199" s="491"/>
      <c r="F199" s="492"/>
      <c r="G199" s="504"/>
      <c r="H199" s="504"/>
      <c r="I199" s="504"/>
      <c r="J199" s="504"/>
      <c r="K199" s="504"/>
      <c r="L199" s="504"/>
      <c r="M199" s="504"/>
      <c r="N199" s="504"/>
      <c r="O199" s="504"/>
      <c r="P199" s="504"/>
      <c r="Q199" s="504"/>
      <c r="R199" s="504"/>
      <c r="S199" s="504"/>
      <c r="T199" s="504"/>
      <c r="U199" s="504"/>
      <c r="V199" s="504"/>
      <c r="W199" s="504"/>
      <c r="X199" s="504"/>
      <c r="Y199" s="504"/>
      <c r="Z199" s="504"/>
    </row>
    <row r="200" ht="12.0" customHeight="1">
      <c r="A200" s="488" t="str">
        <f t="shared" ref="A200:B200" si="17">A134</f>
        <v>3.3</v>
      </c>
      <c r="B200" s="528" t="str">
        <f t="shared" si="17"/>
        <v>Téléphonie</v>
      </c>
      <c r="C200" s="490"/>
      <c r="D200" s="490"/>
      <c r="E200" s="491"/>
      <c r="F200" s="492"/>
      <c r="G200" s="504"/>
      <c r="H200" s="504"/>
      <c r="I200" s="504"/>
      <c r="J200" s="504"/>
      <c r="K200" s="504"/>
      <c r="L200" s="504"/>
      <c r="M200" s="504"/>
      <c r="N200" s="504"/>
      <c r="O200" s="504"/>
      <c r="P200" s="504"/>
      <c r="Q200" s="504"/>
      <c r="R200" s="504"/>
      <c r="S200" s="504"/>
      <c r="T200" s="504"/>
      <c r="U200" s="504"/>
      <c r="V200" s="504"/>
      <c r="W200" s="504"/>
      <c r="X200" s="504"/>
      <c r="Y200" s="504"/>
      <c r="Z200" s="504"/>
    </row>
    <row r="201" ht="12.0" customHeight="1">
      <c r="A201" s="488" t="str">
        <f t="shared" ref="A201:B201" si="18">A141</f>
        <v>3.4</v>
      </c>
      <c r="B201" s="528" t="str">
        <f t="shared" si="18"/>
        <v>Système de sécurité incendie</v>
      </c>
      <c r="C201" s="490"/>
      <c r="D201" s="490"/>
      <c r="E201" s="491"/>
      <c r="F201" s="492"/>
      <c r="G201" s="504"/>
      <c r="H201" s="504"/>
      <c r="I201" s="504"/>
      <c r="J201" s="504"/>
      <c r="K201" s="504"/>
      <c r="L201" s="504"/>
      <c r="M201" s="504"/>
      <c r="N201" s="504"/>
      <c r="O201" s="504"/>
      <c r="P201" s="504"/>
      <c r="Q201" s="504"/>
      <c r="R201" s="504"/>
      <c r="S201" s="504"/>
      <c r="T201" s="504"/>
      <c r="U201" s="504"/>
      <c r="V201" s="504"/>
      <c r="W201" s="504"/>
      <c r="X201" s="504"/>
      <c r="Y201" s="504"/>
      <c r="Z201" s="504"/>
    </row>
    <row r="202" ht="12.0" customHeight="1">
      <c r="A202" s="488" t="str">
        <f t="shared" ref="A202:B202" si="19">A153</f>
        <v>3.5</v>
      </c>
      <c r="B202" s="528" t="str">
        <f t="shared" si="19"/>
        <v>Distribution de l'heure</v>
      </c>
      <c r="C202" s="490"/>
      <c r="D202" s="490"/>
      <c r="E202" s="491"/>
      <c r="F202" s="492"/>
      <c r="G202" s="504"/>
      <c r="H202" s="504"/>
      <c r="I202" s="504"/>
      <c r="J202" s="504"/>
      <c r="K202" s="504"/>
      <c r="L202" s="504"/>
      <c r="M202" s="504"/>
      <c r="N202" s="504"/>
      <c r="O202" s="504"/>
      <c r="P202" s="504"/>
      <c r="Q202" s="504"/>
      <c r="R202" s="504"/>
      <c r="S202" s="504"/>
      <c r="T202" s="504"/>
      <c r="U202" s="504"/>
      <c r="V202" s="504"/>
      <c r="W202" s="504"/>
      <c r="X202" s="504"/>
      <c r="Y202" s="504"/>
      <c r="Z202" s="504"/>
    </row>
    <row r="203" ht="12.0" customHeight="1">
      <c r="A203" s="488" t="str">
        <f t="shared" ref="A203:B203" si="20">A159</f>
        <v>3.6</v>
      </c>
      <c r="B203" s="528" t="str">
        <f t="shared" si="20"/>
        <v>Interphonie / Visiophonie</v>
      </c>
      <c r="C203" s="490"/>
      <c r="D203" s="490"/>
      <c r="E203" s="491"/>
      <c r="F203" s="492"/>
      <c r="G203" s="504"/>
      <c r="H203" s="504"/>
      <c r="I203" s="504"/>
      <c r="J203" s="504"/>
      <c r="K203" s="504"/>
      <c r="L203" s="504"/>
      <c r="M203" s="504"/>
      <c r="N203" s="504"/>
      <c r="O203" s="504"/>
      <c r="P203" s="504"/>
      <c r="Q203" s="504"/>
      <c r="R203" s="504"/>
      <c r="S203" s="504"/>
      <c r="T203" s="504"/>
      <c r="U203" s="504"/>
      <c r="V203" s="504"/>
      <c r="W203" s="504"/>
      <c r="X203" s="504"/>
      <c r="Y203" s="504"/>
      <c r="Z203" s="504"/>
    </row>
    <row r="204" ht="12.0" customHeight="1">
      <c r="A204" s="488" t="str">
        <f t="shared" ref="A204:B204" si="21">A165</f>
        <v>3.7</v>
      </c>
      <c r="B204" s="528" t="str">
        <f t="shared" si="21"/>
        <v>Système anti intrusion</v>
      </c>
      <c r="C204" s="490"/>
      <c r="D204" s="490"/>
      <c r="E204" s="491"/>
      <c r="F204" s="492"/>
      <c r="G204" s="504"/>
      <c r="H204" s="504"/>
      <c r="I204" s="504"/>
      <c r="J204" s="504"/>
      <c r="K204" s="504"/>
      <c r="L204" s="504"/>
      <c r="M204" s="504"/>
      <c r="N204" s="504"/>
      <c r="O204" s="504"/>
      <c r="P204" s="504"/>
      <c r="Q204" s="504"/>
      <c r="R204" s="504"/>
      <c r="S204" s="504"/>
      <c r="T204" s="504"/>
      <c r="U204" s="504"/>
      <c r="V204" s="504"/>
      <c r="W204" s="504"/>
      <c r="X204" s="504"/>
      <c r="Y204" s="504"/>
      <c r="Z204" s="504"/>
    </row>
    <row r="205" ht="12.0" customHeight="1">
      <c r="A205" s="488" t="str">
        <f t="shared" ref="A205:B205" si="22">A174</f>
        <v>3.8</v>
      </c>
      <c r="B205" s="528" t="str">
        <f t="shared" si="22"/>
        <v>Sonorisation</v>
      </c>
      <c r="C205" s="490"/>
      <c r="D205" s="490"/>
      <c r="E205" s="491"/>
      <c r="F205" s="492"/>
      <c r="G205" s="504"/>
      <c r="H205" s="504"/>
      <c r="I205" s="504"/>
      <c r="J205" s="504"/>
      <c r="K205" s="504"/>
      <c r="L205" s="504"/>
      <c r="M205" s="504"/>
      <c r="N205" s="504"/>
      <c r="O205" s="504"/>
      <c r="P205" s="504"/>
      <c r="Q205" s="504"/>
      <c r="R205" s="504"/>
      <c r="S205" s="504"/>
      <c r="T205" s="504"/>
      <c r="U205" s="504"/>
      <c r="V205" s="504"/>
      <c r="W205" s="504"/>
      <c r="X205" s="504"/>
      <c r="Y205" s="504"/>
      <c r="Z205" s="504"/>
    </row>
    <row r="206" ht="12.0" customHeight="1">
      <c r="A206" s="535"/>
      <c r="B206" s="536" t="s">
        <v>889</v>
      </c>
      <c r="C206" s="537"/>
      <c r="D206" s="537"/>
      <c r="E206" s="538"/>
      <c r="F206" s="539"/>
      <c r="G206" s="504"/>
      <c r="H206" s="504"/>
      <c r="I206" s="504"/>
      <c r="J206" s="504"/>
      <c r="K206" s="504"/>
      <c r="L206" s="504"/>
      <c r="M206" s="504"/>
      <c r="N206" s="504"/>
      <c r="O206" s="504"/>
      <c r="P206" s="504"/>
      <c r="Q206" s="504"/>
      <c r="R206" s="504"/>
      <c r="S206" s="504"/>
      <c r="T206" s="504"/>
      <c r="U206" s="504"/>
      <c r="V206" s="504"/>
      <c r="W206" s="504"/>
      <c r="X206" s="504"/>
      <c r="Y206" s="504"/>
      <c r="Z206" s="504"/>
    </row>
    <row r="207" ht="12.0" customHeight="1">
      <c r="A207" s="488"/>
      <c r="B207" s="540" t="s">
        <v>968</v>
      </c>
      <c r="C207" s="490"/>
      <c r="D207" s="490"/>
      <c r="E207" s="491"/>
      <c r="F207" s="492"/>
      <c r="G207" s="504"/>
      <c r="H207" s="504"/>
      <c r="I207" s="504"/>
      <c r="J207" s="504"/>
      <c r="K207" s="504"/>
      <c r="L207" s="504"/>
      <c r="M207" s="504"/>
      <c r="N207" s="504"/>
      <c r="O207" s="504"/>
      <c r="P207" s="504"/>
      <c r="Q207" s="504"/>
      <c r="R207" s="504"/>
      <c r="S207" s="504"/>
      <c r="T207" s="504"/>
      <c r="U207" s="504"/>
      <c r="V207" s="504"/>
      <c r="W207" s="504"/>
      <c r="X207" s="504"/>
      <c r="Y207" s="504"/>
      <c r="Z207" s="504"/>
    </row>
    <row r="208" ht="12.0" customHeight="1">
      <c r="A208" s="494"/>
      <c r="B208" s="541" t="s">
        <v>969</v>
      </c>
      <c r="C208" s="542"/>
      <c r="D208" s="542"/>
      <c r="E208" s="543"/>
      <c r="F208" s="544"/>
      <c r="G208" s="504"/>
      <c r="H208" s="504"/>
      <c r="I208" s="504"/>
      <c r="J208" s="504"/>
      <c r="K208" s="504"/>
      <c r="L208" s="504"/>
      <c r="M208" s="504"/>
      <c r="N208" s="504"/>
      <c r="O208" s="504"/>
      <c r="P208" s="504"/>
      <c r="Q208" s="504"/>
      <c r="R208" s="504"/>
      <c r="S208" s="504"/>
      <c r="T208" s="504"/>
      <c r="U208" s="504"/>
      <c r="V208" s="504"/>
      <c r="W208" s="504"/>
      <c r="X208" s="504"/>
      <c r="Y208" s="504"/>
      <c r="Z208" s="504"/>
    </row>
    <row r="209" ht="12.0" customHeight="1">
      <c r="A209" s="499">
        <v>3.0</v>
      </c>
      <c r="B209" s="545" t="s">
        <v>970</v>
      </c>
      <c r="C209" s="517"/>
      <c r="D209" s="517"/>
      <c r="E209" s="518"/>
      <c r="F209" s="519"/>
      <c r="G209" s="504"/>
      <c r="H209" s="504"/>
      <c r="I209" s="504"/>
      <c r="J209" s="504"/>
      <c r="K209" s="504"/>
      <c r="L209" s="504"/>
      <c r="M209" s="504"/>
      <c r="N209" s="504"/>
      <c r="O209" s="504"/>
      <c r="P209" s="504"/>
      <c r="Q209" s="504"/>
      <c r="R209" s="504"/>
      <c r="S209" s="504"/>
      <c r="T209" s="504"/>
      <c r="U209" s="504"/>
      <c r="V209" s="504"/>
      <c r="W209" s="504"/>
      <c r="X209" s="504"/>
      <c r="Y209" s="504"/>
      <c r="Z209" s="504"/>
    </row>
    <row r="210" ht="12.0" customHeight="1">
      <c r="A210" s="488"/>
      <c r="B210" s="493"/>
      <c r="C210" s="509"/>
      <c r="D210" s="509"/>
      <c r="E210" s="510"/>
      <c r="F210" s="511"/>
      <c r="G210" s="504"/>
      <c r="H210" s="504"/>
      <c r="I210" s="504"/>
      <c r="J210" s="504"/>
      <c r="K210" s="504"/>
      <c r="L210" s="504"/>
      <c r="M210" s="504"/>
      <c r="N210" s="504"/>
      <c r="O210" s="504"/>
      <c r="P210" s="504"/>
      <c r="Q210" s="504"/>
      <c r="R210" s="504"/>
      <c r="S210" s="504"/>
      <c r="T210" s="504"/>
      <c r="U210" s="504"/>
      <c r="V210" s="504"/>
      <c r="W210" s="504"/>
      <c r="X210" s="504"/>
      <c r="Y210" s="504"/>
      <c r="Z210" s="504"/>
    </row>
    <row r="211" ht="12.0" customHeight="1">
      <c r="A211" s="494"/>
      <c r="B211" s="495" t="s">
        <v>713</v>
      </c>
      <c r="C211" s="496"/>
      <c r="D211" s="496"/>
      <c r="E211" s="497"/>
      <c r="F211" s="498"/>
      <c r="G211" s="504"/>
      <c r="H211" s="504"/>
      <c r="I211" s="504"/>
      <c r="J211" s="504"/>
      <c r="K211" s="504"/>
      <c r="L211" s="504"/>
      <c r="M211" s="504"/>
      <c r="N211" s="504"/>
      <c r="O211" s="504"/>
      <c r="P211" s="504"/>
      <c r="Q211" s="504"/>
      <c r="R211" s="504"/>
      <c r="S211" s="504"/>
      <c r="T211" s="504"/>
      <c r="U211" s="504"/>
      <c r="V211" s="504"/>
      <c r="W211" s="504"/>
      <c r="X211" s="504"/>
      <c r="Y211" s="504"/>
      <c r="Z211" s="504"/>
    </row>
    <row r="212" ht="12.0" customHeight="1">
      <c r="A212" s="480"/>
      <c r="B212" s="485"/>
      <c r="C212" s="525"/>
      <c r="D212" s="525"/>
      <c r="E212" s="526"/>
      <c r="F212" s="526"/>
      <c r="G212" s="474"/>
      <c r="H212" s="474"/>
      <c r="I212" s="474"/>
      <c r="J212" s="474"/>
      <c r="K212" s="474"/>
      <c r="L212" s="474"/>
      <c r="M212" s="474"/>
      <c r="N212" s="474"/>
      <c r="O212" s="474"/>
      <c r="P212" s="474"/>
      <c r="Q212" s="474"/>
      <c r="R212" s="474"/>
      <c r="S212" s="474"/>
      <c r="T212" s="474"/>
      <c r="U212" s="474"/>
      <c r="V212" s="474"/>
      <c r="W212" s="474"/>
      <c r="X212" s="474"/>
      <c r="Y212" s="474"/>
      <c r="Z212" s="474"/>
    </row>
    <row r="213" ht="12.0" customHeight="1">
      <c r="A213" s="480"/>
      <c r="B213" s="485"/>
      <c r="C213" s="525"/>
      <c r="D213" s="525"/>
      <c r="E213" s="526"/>
      <c r="F213" s="526"/>
      <c r="G213" s="474"/>
      <c r="H213" s="474"/>
      <c r="I213" s="474"/>
      <c r="J213" s="474"/>
      <c r="K213" s="474"/>
      <c r="L213" s="474"/>
      <c r="M213" s="474"/>
      <c r="N213" s="474"/>
      <c r="O213" s="474"/>
      <c r="P213" s="474"/>
      <c r="Q213" s="474"/>
      <c r="R213" s="474"/>
      <c r="S213" s="474"/>
      <c r="T213" s="474"/>
      <c r="U213" s="474"/>
      <c r="V213" s="474"/>
      <c r="W213" s="474"/>
      <c r="X213" s="474"/>
      <c r="Y213" s="474"/>
      <c r="Z213" s="474"/>
    </row>
    <row r="214" ht="12.0" customHeight="1">
      <c r="A214" s="480"/>
      <c r="B214" s="485"/>
      <c r="C214" s="525"/>
      <c r="D214" s="525"/>
      <c r="E214" s="526"/>
      <c r="F214" s="526"/>
      <c r="G214" s="474"/>
      <c r="H214" s="474"/>
      <c r="I214" s="474"/>
      <c r="J214" s="474"/>
      <c r="K214" s="474"/>
      <c r="L214" s="474"/>
      <c r="M214" s="474"/>
      <c r="N214" s="474"/>
      <c r="O214" s="474"/>
      <c r="P214" s="474"/>
      <c r="Q214" s="474"/>
      <c r="R214" s="474"/>
      <c r="S214" s="474"/>
      <c r="T214" s="474"/>
      <c r="U214" s="474"/>
      <c r="V214" s="474"/>
      <c r="W214" s="474"/>
      <c r="X214" s="474"/>
      <c r="Y214" s="474"/>
      <c r="Z214" s="474"/>
    </row>
    <row r="215" ht="12.0" customHeight="1">
      <c r="A215" s="480"/>
      <c r="B215" s="485"/>
      <c r="C215" s="525"/>
      <c r="D215" s="525"/>
      <c r="E215" s="526"/>
      <c r="F215" s="526"/>
      <c r="G215" s="474"/>
      <c r="H215" s="474"/>
      <c r="I215" s="474"/>
      <c r="J215" s="474"/>
      <c r="K215" s="474"/>
      <c r="L215" s="474"/>
      <c r="M215" s="474"/>
      <c r="N215" s="474"/>
      <c r="O215" s="474"/>
      <c r="P215" s="474"/>
      <c r="Q215" s="474"/>
      <c r="R215" s="474"/>
      <c r="S215" s="474"/>
      <c r="T215" s="474"/>
      <c r="U215" s="474"/>
      <c r="V215" s="474"/>
      <c r="W215" s="474"/>
      <c r="X215" s="474"/>
      <c r="Y215" s="474"/>
      <c r="Z215" s="474"/>
    </row>
    <row r="216" ht="12.0" customHeight="1">
      <c r="A216" s="480"/>
      <c r="B216" s="485"/>
      <c r="C216" s="525"/>
      <c r="D216" s="525"/>
      <c r="E216" s="526"/>
      <c r="F216" s="526"/>
      <c r="G216" s="474"/>
      <c r="H216" s="474"/>
      <c r="I216" s="474"/>
      <c r="J216" s="474"/>
      <c r="K216" s="474"/>
      <c r="L216" s="474"/>
      <c r="M216" s="474"/>
      <c r="N216" s="474"/>
      <c r="O216" s="474"/>
      <c r="P216" s="474"/>
      <c r="Q216" s="474"/>
      <c r="R216" s="474"/>
      <c r="S216" s="474"/>
      <c r="T216" s="474"/>
      <c r="U216" s="474"/>
      <c r="V216" s="474"/>
      <c r="W216" s="474"/>
      <c r="X216" s="474"/>
      <c r="Y216" s="474"/>
      <c r="Z216" s="474"/>
    </row>
    <row r="217" ht="12.0" customHeight="1">
      <c r="A217" s="480"/>
      <c r="B217" s="485"/>
      <c r="C217" s="525"/>
      <c r="D217" s="525"/>
      <c r="E217" s="526"/>
      <c r="F217" s="526"/>
      <c r="G217" s="474"/>
      <c r="H217" s="474"/>
      <c r="I217" s="474"/>
      <c r="J217" s="474"/>
      <c r="K217" s="474"/>
      <c r="L217" s="474"/>
      <c r="M217" s="474"/>
      <c r="N217" s="474"/>
      <c r="O217" s="474"/>
      <c r="P217" s="474"/>
      <c r="Q217" s="474"/>
      <c r="R217" s="474"/>
      <c r="S217" s="474"/>
      <c r="T217" s="474"/>
      <c r="U217" s="474"/>
      <c r="V217" s="474"/>
      <c r="W217" s="474"/>
      <c r="X217" s="474"/>
      <c r="Y217" s="474"/>
      <c r="Z217" s="474"/>
    </row>
    <row r="218" ht="12.0" customHeight="1">
      <c r="A218" s="480"/>
      <c r="B218" s="485"/>
      <c r="C218" s="525"/>
      <c r="D218" s="525"/>
      <c r="E218" s="526"/>
      <c r="F218" s="526"/>
      <c r="G218" s="474"/>
      <c r="H218" s="474"/>
      <c r="I218" s="474"/>
      <c r="J218" s="474"/>
      <c r="K218" s="474"/>
      <c r="L218" s="474"/>
      <c r="M218" s="474"/>
      <c r="N218" s="474"/>
      <c r="O218" s="474"/>
      <c r="P218" s="474"/>
      <c r="Q218" s="474"/>
      <c r="R218" s="474"/>
      <c r="S218" s="474"/>
      <c r="T218" s="474"/>
      <c r="U218" s="474"/>
      <c r="V218" s="474"/>
      <c r="W218" s="474"/>
      <c r="X218" s="474"/>
      <c r="Y218" s="474"/>
      <c r="Z218" s="474"/>
    </row>
    <row r="219" ht="12.0" customHeight="1">
      <c r="A219" s="480"/>
      <c r="B219" s="485"/>
      <c r="C219" s="525"/>
      <c r="D219" s="525"/>
      <c r="E219" s="526"/>
      <c r="F219" s="526"/>
      <c r="G219" s="474"/>
      <c r="H219" s="474"/>
      <c r="I219" s="474"/>
      <c r="J219" s="474"/>
      <c r="K219" s="474"/>
      <c r="L219" s="474"/>
      <c r="M219" s="474"/>
      <c r="N219" s="474"/>
      <c r="O219" s="474"/>
      <c r="P219" s="474"/>
      <c r="Q219" s="474"/>
      <c r="R219" s="474"/>
      <c r="S219" s="474"/>
      <c r="T219" s="474"/>
      <c r="U219" s="474"/>
      <c r="V219" s="474"/>
      <c r="W219" s="474"/>
      <c r="X219" s="474"/>
      <c r="Y219" s="474"/>
      <c r="Z219" s="474"/>
    </row>
    <row r="220" ht="12.0" customHeight="1">
      <c r="A220" s="480"/>
      <c r="B220" s="485"/>
      <c r="C220" s="525"/>
      <c r="D220" s="525"/>
      <c r="E220" s="526"/>
      <c r="F220" s="526"/>
      <c r="G220" s="474"/>
      <c r="H220" s="474"/>
      <c r="I220" s="474"/>
      <c r="J220" s="474"/>
      <c r="K220" s="474"/>
      <c r="L220" s="474"/>
      <c r="M220" s="474"/>
      <c r="N220" s="474"/>
      <c r="O220" s="474"/>
      <c r="P220" s="474"/>
      <c r="Q220" s="474"/>
      <c r="R220" s="474"/>
      <c r="S220" s="474"/>
      <c r="T220" s="474"/>
      <c r="U220" s="474"/>
      <c r="V220" s="474"/>
      <c r="W220" s="474"/>
      <c r="X220" s="474"/>
      <c r="Y220" s="474"/>
      <c r="Z220" s="474"/>
    </row>
    <row r="221" ht="12.0" customHeight="1">
      <c r="A221" s="480"/>
      <c r="B221" s="485"/>
      <c r="C221" s="525"/>
      <c r="D221" s="525"/>
      <c r="E221" s="526"/>
      <c r="F221" s="526"/>
      <c r="G221" s="474"/>
      <c r="H221" s="474"/>
      <c r="I221" s="474"/>
      <c r="J221" s="474"/>
      <c r="K221" s="474"/>
      <c r="L221" s="474"/>
      <c r="M221" s="474"/>
      <c r="N221" s="474"/>
      <c r="O221" s="474"/>
      <c r="P221" s="474"/>
      <c r="Q221" s="474"/>
      <c r="R221" s="474"/>
      <c r="S221" s="474"/>
      <c r="T221" s="474"/>
      <c r="U221" s="474"/>
      <c r="V221" s="474"/>
      <c r="W221" s="474"/>
      <c r="X221" s="474"/>
      <c r="Y221" s="474"/>
      <c r="Z221" s="474"/>
    </row>
    <row r="222" ht="12.0" customHeight="1">
      <c r="A222" s="480"/>
      <c r="B222" s="485"/>
      <c r="C222" s="525"/>
      <c r="D222" s="525"/>
      <c r="E222" s="526"/>
      <c r="F222" s="526"/>
      <c r="G222" s="474"/>
      <c r="H222" s="474"/>
      <c r="I222" s="474"/>
      <c r="J222" s="474"/>
      <c r="K222" s="474"/>
      <c r="L222" s="474"/>
      <c r="M222" s="474"/>
      <c r="N222" s="474"/>
      <c r="O222" s="474"/>
      <c r="P222" s="474"/>
      <c r="Q222" s="474"/>
      <c r="R222" s="474"/>
      <c r="S222" s="474"/>
      <c r="T222" s="474"/>
      <c r="U222" s="474"/>
      <c r="V222" s="474"/>
      <c r="W222" s="474"/>
      <c r="X222" s="474"/>
      <c r="Y222" s="474"/>
      <c r="Z222" s="474"/>
    </row>
    <row r="223" ht="12.0" customHeight="1">
      <c r="A223" s="480"/>
      <c r="B223" s="485"/>
      <c r="C223" s="525"/>
      <c r="D223" s="525"/>
      <c r="E223" s="526"/>
      <c r="F223" s="526"/>
      <c r="G223" s="474"/>
      <c r="H223" s="474"/>
      <c r="I223" s="474"/>
      <c r="J223" s="474"/>
      <c r="K223" s="474"/>
      <c r="L223" s="474"/>
      <c r="M223" s="474"/>
      <c r="N223" s="474"/>
      <c r="O223" s="474"/>
      <c r="P223" s="474"/>
      <c r="Q223" s="474"/>
      <c r="R223" s="474"/>
      <c r="S223" s="474"/>
      <c r="T223" s="474"/>
      <c r="U223" s="474"/>
      <c r="V223" s="474"/>
      <c r="W223" s="474"/>
      <c r="X223" s="474"/>
      <c r="Y223" s="474"/>
      <c r="Z223" s="474"/>
    </row>
    <row r="224" ht="12.0" customHeight="1">
      <c r="A224" s="480"/>
      <c r="B224" s="485"/>
      <c r="C224" s="525"/>
      <c r="D224" s="525"/>
      <c r="E224" s="526"/>
      <c r="F224" s="526"/>
      <c r="G224" s="474"/>
      <c r="H224" s="474"/>
      <c r="I224" s="474"/>
      <c r="J224" s="474"/>
      <c r="K224" s="474"/>
      <c r="L224" s="474"/>
      <c r="M224" s="474"/>
      <c r="N224" s="474"/>
      <c r="O224" s="474"/>
      <c r="P224" s="474"/>
      <c r="Q224" s="474"/>
      <c r="R224" s="474"/>
      <c r="S224" s="474"/>
      <c r="T224" s="474"/>
      <c r="U224" s="474"/>
      <c r="V224" s="474"/>
      <c r="W224" s="474"/>
      <c r="X224" s="474"/>
      <c r="Y224" s="474"/>
      <c r="Z224" s="474"/>
    </row>
    <row r="225" ht="12.0" customHeight="1">
      <c r="A225" s="480"/>
      <c r="B225" s="485"/>
      <c r="C225" s="525"/>
      <c r="D225" s="525"/>
      <c r="E225" s="526"/>
      <c r="F225" s="526"/>
      <c r="G225" s="474"/>
      <c r="H225" s="474"/>
      <c r="I225" s="474"/>
      <c r="J225" s="474"/>
      <c r="K225" s="474"/>
      <c r="L225" s="474"/>
      <c r="M225" s="474"/>
      <c r="N225" s="474"/>
      <c r="O225" s="474"/>
      <c r="P225" s="474"/>
      <c r="Q225" s="474"/>
      <c r="R225" s="474"/>
      <c r="S225" s="474"/>
      <c r="T225" s="474"/>
      <c r="U225" s="474"/>
      <c r="V225" s="474"/>
      <c r="W225" s="474"/>
      <c r="X225" s="474"/>
      <c r="Y225" s="474"/>
      <c r="Z225" s="474"/>
    </row>
    <row r="226" ht="12.0" customHeight="1">
      <c r="A226" s="480"/>
      <c r="B226" s="485"/>
      <c r="C226" s="525"/>
      <c r="D226" s="525"/>
      <c r="E226" s="526"/>
      <c r="F226" s="526"/>
      <c r="G226" s="474"/>
      <c r="H226" s="474"/>
      <c r="I226" s="474"/>
      <c r="J226" s="474"/>
      <c r="K226" s="474"/>
      <c r="L226" s="474"/>
      <c r="M226" s="474"/>
      <c r="N226" s="474"/>
      <c r="O226" s="474"/>
      <c r="P226" s="474"/>
      <c r="Q226" s="474"/>
      <c r="R226" s="474"/>
      <c r="S226" s="474"/>
      <c r="T226" s="474"/>
      <c r="U226" s="474"/>
      <c r="V226" s="474"/>
      <c r="W226" s="474"/>
      <c r="X226" s="474"/>
      <c r="Y226" s="474"/>
      <c r="Z226" s="474"/>
    </row>
    <row r="227" ht="12.0" customHeight="1">
      <c r="A227" s="480"/>
      <c r="B227" s="485"/>
      <c r="C227" s="525"/>
      <c r="D227" s="525"/>
      <c r="E227" s="526"/>
      <c r="F227" s="526"/>
      <c r="G227" s="474"/>
      <c r="H227" s="474"/>
      <c r="I227" s="474"/>
      <c r="J227" s="474"/>
      <c r="K227" s="474"/>
      <c r="L227" s="474"/>
      <c r="M227" s="474"/>
      <c r="N227" s="474"/>
      <c r="O227" s="474"/>
      <c r="P227" s="474"/>
      <c r="Q227" s="474"/>
      <c r="R227" s="474"/>
      <c r="S227" s="474"/>
      <c r="T227" s="474"/>
      <c r="U227" s="474"/>
      <c r="V227" s="474"/>
      <c r="W227" s="474"/>
      <c r="X227" s="474"/>
      <c r="Y227" s="474"/>
      <c r="Z227" s="474"/>
    </row>
    <row r="228" ht="12.0" customHeight="1">
      <c r="A228" s="480"/>
      <c r="B228" s="485"/>
      <c r="C228" s="525"/>
      <c r="D228" s="525"/>
      <c r="E228" s="526"/>
      <c r="F228" s="526"/>
      <c r="G228" s="474"/>
      <c r="H228" s="474"/>
      <c r="I228" s="474"/>
      <c r="J228" s="474"/>
      <c r="K228" s="474"/>
      <c r="L228" s="474"/>
      <c r="M228" s="474"/>
      <c r="N228" s="474"/>
      <c r="O228" s="474"/>
      <c r="P228" s="474"/>
      <c r="Q228" s="474"/>
      <c r="R228" s="474"/>
      <c r="S228" s="474"/>
      <c r="T228" s="474"/>
      <c r="U228" s="474"/>
      <c r="V228" s="474"/>
      <c r="W228" s="474"/>
      <c r="X228" s="474"/>
      <c r="Y228" s="474"/>
      <c r="Z228" s="474"/>
    </row>
    <row r="229" ht="12.0" customHeight="1">
      <c r="A229" s="480"/>
      <c r="B229" s="485"/>
      <c r="C229" s="525"/>
      <c r="D229" s="525"/>
      <c r="E229" s="526"/>
      <c r="F229" s="526"/>
      <c r="G229" s="474"/>
      <c r="H229" s="474"/>
      <c r="I229" s="474"/>
      <c r="J229" s="474"/>
      <c r="K229" s="474"/>
      <c r="L229" s="474"/>
      <c r="M229" s="474"/>
      <c r="N229" s="474"/>
      <c r="O229" s="474"/>
      <c r="P229" s="474"/>
      <c r="Q229" s="474"/>
      <c r="R229" s="474"/>
      <c r="S229" s="474"/>
      <c r="T229" s="474"/>
      <c r="U229" s="474"/>
      <c r="V229" s="474"/>
      <c r="W229" s="474"/>
      <c r="X229" s="474"/>
      <c r="Y229" s="474"/>
      <c r="Z229" s="474"/>
    </row>
    <row r="230" ht="12.0" customHeight="1">
      <c r="A230" s="480"/>
      <c r="B230" s="485"/>
      <c r="C230" s="525"/>
      <c r="D230" s="525"/>
      <c r="E230" s="526"/>
      <c r="F230" s="526"/>
      <c r="G230" s="474"/>
      <c r="H230" s="474"/>
      <c r="I230" s="474"/>
      <c r="J230" s="474"/>
      <c r="K230" s="474"/>
      <c r="L230" s="474"/>
      <c r="M230" s="474"/>
      <c r="N230" s="474"/>
      <c r="O230" s="474"/>
      <c r="P230" s="474"/>
      <c r="Q230" s="474"/>
      <c r="R230" s="474"/>
      <c r="S230" s="474"/>
      <c r="T230" s="474"/>
      <c r="U230" s="474"/>
      <c r="V230" s="474"/>
      <c r="W230" s="474"/>
      <c r="X230" s="474"/>
      <c r="Y230" s="474"/>
      <c r="Z230" s="474"/>
    </row>
    <row r="231" ht="12.0" customHeight="1">
      <c r="A231" s="480"/>
      <c r="B231" s="485"/>
      <c r="C231" s="525"/>
      <c r="D231" s="525"/>
      <c r="E231" s="526"/>
      <c r="F231" s="526"/>
      <c r="G231" s="474"/>
      <c r="H231" s="474"/>
      <c r="I231" s="474"/>
      <c r="J231" s="474"/>
      <c r="K231" s="474"/>
      <c r="L231" s="474"/>
      <c r="M231" s="474"/>
      <c r="N231" s="474"/>
      <c r="O231" s="474"/>
      <c r="P231" s="474"/>
      <c r="Q231" s="474"/>
      <c r="R231" s="474"/>
      <c r="S231" s="474"/>
      <c r="T231" s="474"/>
      <c r="U231" s="474"/>
      <c r="V231" s="474"/>
      <c r="W231" s="474"/>
      <c r="X231" s="474"/>
      <c r="Y231" s="474"/>
      <c r="Z231" s="474"/>
    </row>
    <row r="232" ht="12.0" customHeight="1">
      <c r="A232" s="480"/>
      <c r="B232" s="485"/>
      <c r="C232" s="525"/>
      <c r="D232" s="525"/>
      <c r="E232" s="526"/>
      <c r="F232" s="526"/>
      <c r="G232" s="474"/>
      <c r="H232" s="474"/>
      <c r="I232" s="474"/>
      <c r="J232" s="474"/>
      <c r="K232" s="474"/>
      <c r="L232" s="474"/>
      <c r="M232" s="474"/>
      <c r="N232" s="474"/>
      <c r="O232" s="474"/>
      <c r="P232" s="474"/>
      <c r="Q232" s="474"/>
      <c r="R232" s="474"/>
      <c r="S232" s="474"/>
      <c r="T232" s="474"/>
      <c r="U232" s="474"/>
      <c r="V232" s="474"/>
      <c r="W232" s="474"/>
      <c r="X232" s="474"/>
      <c r="Y232" s="474"/>
      <c r="Z232" s="474"/>
    </row>
    <row r="233" ht="12.0" customHeight="1">
      <c r="A233" s="480"/>
      <c r="B233" s="485"/>
      <c r="C233" s="525"/>
      <c r="D233" s="525"/>
      <c r="E233" s="526"/>
      <c r="F233" s="526"/>
      <c r="G233" s="474"/>
      <c r="H233" s="474"/>
      <c r="I233" s="474"/>
      <c r="J233" s="474"/>
      <c r="K233" s="474"/>
      <c r="L233" s="474"/>
      <c r="M233" s="474"/>
      <c r="N233" s="474"/>
      <c r="O233" s="474"/>
      <c r="P233" s="474"/>
      <c r="Q233" s="474"/>
      <c r="R233" s="474"/>
      <c r="S233" s="474"/>
      <c r="T233" s="474"/>
      <c r="U233" s="474"/>
      <c r="V233" s="474"/>
      <c r="W233" s="474"/>
      <c r="X233" s="474"/>
      <c r="Y233" s="474"/>
      <c r="Z233" s="474"/>
    </row>
    <row r="234" ht="12.0" customHeight="1">
      <c r="A234" s="480"/>
      <c r="B234" s="485"/>
      <c r="C234" s="525"/>
      <c r="D234" s="525"/>
      <c r="E234" s="526"/>
      <c r="F234" s="526"/>
      <c r="G234" s="474"/>
      <c r="H234" s="474"/>
      <c r="I234" s="474"/>
      <c r="J234" s="474"/>
      <c r="K234" s="474"/>
      <c r="L234" s="474"/>
      <c r="M234" s="474"/>
      <c r="N234" s="474"/>
      <c r="O234" s="474"/>
      <c r="P234" s="474"/>
      <c r="Q234" s="474"/>
      <c r="R234" s="474"/>
      <c r="S234" s="474"/>
      <c r="T234" s="474"/>
      <c r="U234" s="474"/>
      <c r="V234" s="474"/>
      <c r="W234" s="474"/>
      <c r="X234" s="474"/>
      <c r="Y234" s="474"/>
      <c r="Z234" s="474"/>
    </row>
    <row r="235" ht="12.0" customHeight="1">
      <c r="A235" s="480"/>
      <c r="B235" s="485"/>
      <c r="C235" s="525"/>
      <c r="D235" s="525"/>
      <c r="E235" s="526"/>
      <c r="F235" s="526"/>
      <c r="G235" s="474"/>
      <c r="H235" s="474"/>
      <c r="I235" s="474"/>
      <c r="J235" s="474"/>
      <c r="K235" s="474"/>
      <c r="L235" s="474"/>
      <c r="M235" s="474"/>
      <c r="N235" s="474"/>
      <c r="O235" s="474"/>
      <c r="P235" s="474"/>
      <c r="Q235" s="474"/>
      <c r="R235" s="474"/>
      <c r="S235" s="474"/>
      <c r="T235" s="474"/>
      <c r="U235" s="474"/>
      <c r="V235" s="474"/>
      <c r="W235" s="474"/>
      <c r="X235" s="474"/>
      <c r="Y235" s="474"/>
      <c r="Z235" s="474"/>
    </row>
    <row r="236" ht="12.0" customHeight="1">
      <c r="A236" s="480"/>
      <c r="B236" s="485"/>
      <c r="C236" s="525"/>
      <c r="D236" s="525"/>
      <c r="E236" s="526"/>
      <c r="F236" s="526"/>
      <c r="G236" s="474"/>
      <c r="H236" s="474"/>
      <c r="I236" s="474"/>
      <c r="J236" s="474"/>
      <c r="K236" s="474"/>
      <c r="L236" s="474"/>
      <c r="M236" s="474"/>
      <c r="N236" s="474"/>
      <c r="O236" s="474"/>
      <c r="P236" s="474"/>
      <c r="Q236" s="474"/>
      <c r="R236" s="474"/>
      <c r="S236" s="474"/>
      <c r="T236" s="474"/>
      <c r="U236" s="474"/>
      <c r="V236" s="474"/>
      <c r="W236" s="474"/>
      <c r="X236" s="474"/>
      <c r="Y236" s="474"/>
      <c r="Z236" s="474"/>
    </row>
    <row r="237" ht="12.0" customHeight="1">
      <c r="A237" s="480"/>
      <c r="B237" s="485"/>
      <c r="C237" s="525"/>
      <c r="D237" s="525"/>
      <c r="E237" s="526"/>
      <c r="F237" s="526"/>
      <c r="G237" s="474"/>
      <c r="H237" s="474"/>
      <c r="I237" s="474"/>
      <c r="J237" s="474"/>
      <c r="K237" s="474"/>
      <c r="L237" s="474"/>
      <c r="M237" s="474"/>
      <c r="N237" s="474"/>
      <c r="O237" s="474"/>
      <c r="P237" s="474"/>
      <c r="Q237" s="474"/>
      <c r="R237" s="474"/>
      <c r="S237" s="474"/>
      <c r="T237" s="474"/>
      <c r="U237" s="474"/>
      <c r="V237" s="474"/>
      <c r="W237" s="474"/>
      <c r="X237" s="474"/>
      <c r="Y237" s="474"/>
      <c r="Z237" s="474"/>
    </row>
    <row r="238" ht="12.0" customHeight="1">
      <c r="A238" s="480"/>
      <c r="B238" s="485"/>
      <c r="C238" s="525"/>
      <c r="D238" s="525"/>
      <c r="E238" s="526"/>
      <c r="F238" s="526"/>
      <c r="G238" s="474"/>
      <c r="H238" s="474"/>
      <c r="I238" s="474"/>
      <c r="J238" s="474"/>
      <c r="K238" s="474"/>
      <c r="L238" s="474"/>
      <c r="M238" s="474"/>
      <c r="N238" s="474"/>
      <c r="O238" s="474"/>
      <c r="P238" s="474"/>
      <c r="Q238" s="474"/>
      <c r="R238" s="474"/>
      <c r="S238" s="474"/>
      <c r="T238" s="474"/>
      <c r="U238" s="474"/>
      <c r="V238" s="474"/>
      <c r="W238" s="474"/>
      <c r="X238" s="474"/>
      <c r="Y238" s="474"/>
      <c r="Z238" s="474"/>
    </row>
    <row r="239" ht="12.0" customHeight="1">
      <c r="A239" s="480"/>
      <c r="B239" s="485"/>
      <c r="C239" s="525"/>
      <c r="D239" s="525"/>
      <c r="E239" s="526"/>
      <c r="F239" s="526"/>
      <c r="G239" s="474"/>
      <c r="H239" s="474"/>
      <c r="I239" s="474"/>
      <c r="J239" s="474"/>
      <c r="K239" s="474"/>
      <c r="L239" s="474"/>
      <c r="M239" s="474"/>
      <c r="N239" s="474"/>
      <c r="O239" s="474"/>
      <c r="P239" s="474"/>
      <c r="Q239" s="474"/>
      <c r="R239" s="474"/>
      <c r="S239" s="474"/>
      <c r="T239" s="474"/>
      <c r="U239" s="474"/>
      <c r="V239" s="474"/>
      <c r="W239" s="474"/>
      <c r="X239" s="474"/>
      <c r="Y239" s="474"/>
      <c r="Z239" s="474"/>
    </row>
    <row r="240" ht="12.0" customHeight="1">
      <c r="A240" s="480"/>
      <c r="B240" s="485"/>
      <c r="C240" s="525"/>
      <c r="D240" s="525"/>
      <c r="E240" s="526"/>
      <c r="F240" s="526"/>
      <c r="G240" s="474"/>
      <c r="H240" s="474"/>
      <c r="I240" s="474"/>
      <c r="J240" s="474"/>
      <c r="K240" s="474"/>
      <c r="L240" s="474"/>
      <c r="M240" s="474"/>
      <c r="N240" s="474"/>
      <c r="O240" s="474"/>
      <c r="P240" s="474"/>
      <c r="Q240" s="474"/>
      <c r="R240" s="474"/>
      <c r="S240" s="474"/>
      <c r="T240" s="474"/>
      <c r="U240" s="474"/>
      <c r="V240" s="474"/>
      <c r="W240" s="474"/>
      <c r="X240" s="474"/>
      <c r="Y240" s="474"/>
      <c r="Z240" s="474"/>
    </row>
    <row r="241" ht="12.0" customHeight="1">
      <c r="A241" s="480"/>
      <c r="B241" s="485"/>
      <c r="C241" s="525"/>
      <c r="D241" s="525"/>
      <c r="E241" s="526"/>
      <c r="F241" s="526"/>
      <c r="G241" s="474"/>
      <c r="H241" s="474"/>
      <c r="I241" s="474"/>
      <c r="J241" s="474"/>
      <c r="K241" s="474"/>
      <c r="L241" s="474"/>
      <c r="M241" s="474"/>
      <c r="N241" s="474"/>
      <c r="O241" s="474"/>
      <c r="P241" s="474"/>
      <c r="Q241" s="474"/>
      <c r="R241" s="474"/>
      <c r="S241" s="474"/>
      <c r="T241" s="474"/>
      <c r="U241" s="474"/>
      <c r="V241" s="474"/>
      <c r="W241" s="474"/>
      <c r="X241" s="474"/>
      <c r="Y241" s="474"/>
      <c r="Z241" s="474"/>
    </row>
    <row r="242" ht="12.0" customHeight="1">
      <c r="A242" s="480"/>
      <c r="B242" s="485"/>
      <c r="C242" s="525"/>
      <c r="D242" s="525"/>
      <c r="E242" s="526"/>
      <c r="F242" s="526"/>
      <c r="G242" s="474"/>
      <c r="H242" s="474"/>
      <c r="I242" s="474"/>
      <c r="J242" s="474"/>
      <c r="K242" s="474"/>
      <c r="L242" s="474"/>
      <c r="M242" s="474"/>
      <c r="N242" s="474"/>
      <c r="O242" s="474"/>
      <c r="P242" s="474"/>
      <c r="Q242" s="474"/>
      <c r="R242" s="474"/>
      <c r="S242" s="474"/>
      <c r="T242" s="474"/>
      <c r="U242" s="474"/>
      <c r="V242" s="474"/>
      <c r="W242" s="474"/>
      <c r="X242" s="474"/>
      <c r="Y242" s="474"/>
      <c r="Z242" s="474"/>
    </row>
    <row r="243" ht="12.0" customHeight="1">
      <c r="A243" s="480"/>
      <c r="B243" s="485"/>
      <c r="C243" s="525"/>
      <c r="D243" s="525"/>
      <c r="E243" s="526"/>
      <c r="F243" s="526"/>
      <c r="G243" s="474"/>
      <c r="H243" s="474"/>
      <c r="I243" s="474"/>
      <c r="J243" s="474"/>
      <c r="K243" s="474"/>
      <c r="L243" s="474"/>
      <c r="M243" s="474"/>
      <c r="N243" s="474"/>
      <c r="O243" s="474"/>
      <c r="P243" s="474"/>
      <c r="Q243" s="474"/>
      <c r="R243" s="474"/>
      <c r="S243" s="474"/>
      <c r="T243" s="474"/>
      <c r="U243" s="474"/>
      <c r="V243" s="474"/>
      <c r="W243" s="474"/>
      <c r="X243" s="474"/>
      <c r="Y243" s="474"/>
      <c r="Z243" s="474"/>
    </row>
    <row r="244" ht="12.0" customHeight="1">
      <c r="A244" s="480"/>
      <c r="B244" s="485"/>
      <c r="C244" s="525"/>
      <c r="D244" s="525"/>
      <c r="E244" s="526"/>
      <c r="F244" s="526"/>
      <c r="G244" s="474"/>
      <c r="H244" s="474"/>
      <c r="I244" s="474"/>
      <c r="J244" s="474"/>
      <c r="K244" s="474"/>
      <c r="L244" s="474"/>
      <c r="M244" s="474"/>
      <c r="N244" s="474"/>
      <c r="O244" s="474"/>
      <c r="P244" s="474"/>
      <c r="Q244" s="474"/>
      <c r="R244" s="474"/>
      <c r="S244" s="474"/>
      <c r="T244" s="474"/>
      <c r="U244" s="474"/>
      <c r="V244" s="474"/>
      <c r="W244" s="474"/>
      <c r="X244" s="474"/>
      <c r="Y244" s="474"/>
      <c r="Z244" s="474"/>
    </row>
    <row r="245" ht="12.0" customHeight="1">
      <c r="A245" s="480"/>
      <c r="B245" s="485"/>
      <c r="C245" s="525"/>
      <c r="D245" s="525"/>
      <c r="E245" s="526"/>
      <c r="F245" s="526"/>
      <c r="G245" s="474"/>
      <c r="H245" s="474"/>
      <c r="I245" s="474"/>
      <c r="J245" s="474"/>
      <c r="K245" s="474"/>
      <c r="L245" s="474"/>
      <c r="M245" s="474"/>
      <c r="N245" s="474"/>
      <c r="O245" s="474"/>
      <c r="P245" s="474"/>
      <c r="Q245" s="474"/>
      <c r="R245" s="474"/>
      <c r="S245" s="474"/>
      <c r="T245" s="474"/>
      <c r="U245" s="474"/>
      <c r="V245" s="474"/>
      <c r="W245" s="474"/>
      <c r="X245" s="474"/>
      <c r="Y245" s="474"/>
      <c r="Z245" s="474"/>
    </row>
    <row r="246" ht="12.0" customHeight="1">
      <c r="A246" s="480"/>
      <c r="B246" s="485"/>
      <c r="C246" s="525"/>
      <c r="D246" s="525"/>
      <c r="E246" s="526"/>
      <c r="F246" s="526"/>
      <c r="G246" s="474"/>
      <c r="H246" s="474"/>
      <c r="I246" s="474"/>
      <c r="J246" s="474"/>
      <c r="K246" s="474"/>
      <c r="L246" s="474"/>
      <c r="M246" s="474"/>
      <c r="N246" s="474"/>
      <c r="O246" s="474"/>
      <c r="P246" s="474"/>
      <c r="Q246" s="474"/>
      <c r="R246" s="474"/>
      <c r="S246" s="474"/>
      <c r="T246" s="474"/>
      <c r="U246" s="474"/>
      <c r="V246" s="474"/>
      <c r="W246" s="474"/>
      <c r="X246" s="474"/>
      <c r="Y246" s="474"/>
      <c r="Z246" s="474"/>
    </row>
    <row r="247" ht="12.0" customHeight="1">
      <c r="A247" s="480"/>
      <c r="B247" s="485"/>
      <c r="C247" s="525"/>
      <c r="D247" s="525"/>
      <c r="E247" s="526"/>
      <c r="F247" s="526"/>
      <c r="G247" s="474"/>
      <c r="H247" s="474"/>
      <c r="I247" s="474"/>
      <c r="J247" s="474"/>
      <c r="K247" s="474"/>
      <c r="L247" s="474"/>
      <c r="M247" s="474"/>
      <c r="N247" s="474"/>
      <c r="O247" s="474"/>
      <c r="P247" s="474"/>
      <c r="Q247" s="474"/>
      <c r="R247" s="474"/>
      <c r="S247" s="474"/>
      <c r="T247" s="474"/>
      <c r="U247" s="474"/>
      <c r="V247" s="474"/>
      <c r="W247" s="474"/>
      <c r="X247" s="474"/>
      <c r="Y247" s="474"/>
      <c r="Z247" s="474"/>
    </row>
    <row r="248" ht="12.0" customHeight="1">
      <c r="A248" s="480"/>
      <c r="B248" s="485"/>
      <c r="C248" s="525"/>
      <c r="D248" s="525"/>
      <c r="E248" s="526"/>
      <c r="F248" s="526"/>
      <c r="G248" s="474"/>
      <c r="H248" s="474"/>
      <c r="I248" s="474"/>
      <c r="J248" s="474"/>
      <c r="K248" s="474"/>
      <c r="L248" s="474"/>
      <c r="M248" s="474"/>
      <c r="N248" s="474"/>
      <c r="O248" s="474"/>
      <c r="P248" s="474"/>
      <c r="Q248" s="474"/>
      <c r="R248" s="474"/>
      <c r="S248" s="474"/>
      <c r="T248" s="474"/>
      <c r="U248" s="474"/>
      <c r="V248" s="474"/>
      <c r="W248" s="474"/>
      <c r="X248" s="474"/>
      <c r="Y248" s="474"/>
      <c r="Z248" s="474"/>
    </row>
    <row r="249" ht="12.0" customHeight="1">
      <c r="A249" s="480"/>
      <c r="B249" s="485"/>
      <c r="C249" s="525"/>
      <c r="D249" s="525"/>
      <c r="E249" s="526"/>
      <c r="F249" s="526"/>
      <c r="G249" s="474"/>
      <c r="H249" s="474"/>
      <c r="I249" s="474"/>
      <c r="J249" s="474"/>
      <c r="K249" s="474"/>
      <c r="L249" s="474"/>
      <c r="M249" s="474"/>
      <c r="N249" s="474"/>
      <c r="O249" s="474"/>
      <c r="P249" s="474"/>
      <c r="Q249" s="474"/>
      <c r="R249" s="474"/>
      <c r="S249" s="474"/>
      <c r="T249" s="474"/>
      <c r="U249" s="474"/>
      <c r="V249" s="474"/>
      <c r="W249" s="474"/>
      <c r="X249" s="474"/>
      <c r="Y249" s="474"/>
      <c r="Z249" s="474"/>
    </row>
    <row r="250" ht="12.0" customHeight="1">
      <c r="A250" s="480"/>
      <c r="B250" s="485"/>
      <c r="C250" s="525"/>
      <c r="D250" s="525"/>
      <c r="E250" s="526"/>
      <c r="F250" s="526"/>
      <c r="G250" s="474"/>
      <c r="H250" s="474"/>
      <c r="I250" s="474"/>
      <c r="J250" s="474"/>
      <c r="K250" s="474"/>
      <c r="L250" s="474"/>
      <c r="M250" s="474"/>
      <c r="N250" s="474"/>
      <c r="O250" s="474"/>
      <c r="P250" s="474"/>
      <c r="Q250" s="474"/>
      <c r="R250" s="474"/>
      <c r="S250" s="474"/>
      <c r="T250" s="474"/>
      <c r="U250" s="474"/>
      <c r="V250" s="474"/>
      <c r="W250" s="474"/>
      <c r="X250" s="474"/>
      <c r="Y250" s="474"/>
      <c r="Z250" s="474"/>
    </row>
    <row r="251" ht="12.0" customHeight="1">
      <c r="A251" s="480"/>
      <c r="B251" s="485"/>
      <c r="C251" s="525"/>
      <c r="D251" s="525"/>
      <c r="E251" s="526"/>
      <c r="F251" s="526"/>
      <c r="G251" s="474"/>
      <c r="H251" s="474"/>
      <c r="I251" s="474"/>
      <c r="J251" s="474"/>
      <c r="K251" s="474"/>
      <c r="L251" s="474"/>
      <c r="M251" s="474"/>
      <c r="N251" s="474"/>
      <c r="O251" s="474"/>
      <c r="P251" s="474"/>
      <c r="Q251" s="474"/>
      <c r="R251" s="474"/>
      <c r="S251" s="474"/>
      <c r="T251" s="474"/>
      <c r="U251" s="474"/>
      <c r="V251" s="474"/>
      <c r="W251" s="474"/>
      <c r="X251" s="474"/>
      <c r="Y251" s="474"/>
      <c r="Z251" s="474"/>
    </row>
    <row r="252" ht="12.0" customHeight="1">
      <c r="A252" s="480"/>
      <c r="B252" s="485"/>
      <c r="C252" s="525"/>
      <c r="D252" s="525"/>
      <c r="E252" s="526"/>
      <c r="F252" s="526"/>
      <c r="G252" s="474"/>
      <c r="H252" s="474"/>
      <c r="I252" s="474"/>
      <c r="J252" s="474"/>
      <c r="K252" s="474"/>
      <c r="L252" s="474"/>
      <c r="M252" s="474"/>
      <c r="N252" s="474"/>
      <c r="O252" s="474"/>
      <c r="P252" s="474"/>
      <c r="Q252" s="474"/>
      <c r="R252" s="474"/>
      <c r="S252" s="474"/>
      <c r="T252" s="474"/>
      <c r="U252" s="474"/>
      <c r="V252" s="474"/>
      <c r="W252" s="474"/>
      <c r="X252" s="474"/>
      <c r="Y252" s="474"/>
      <c r="Z252" s="474"/>
    </row>
    <row r="253" ht="12.0" customHeight="1">
      <c r="A253" s="480"/>
      <c r="B253" s="485"/>
      <c r="C253" s="525"/>
      <c r="D253" s="525"/>
      <c r="E253" s="526"/>
      <c r="F253" s="526"/>
      <c r="G253" s="474"/>
      <c r="H253" s="474"/>
      <c r="I253" s="474"/>
      <c r="J253" s="474"/>
      <c r="K253" s="474"/>
      <c r="L253" s="474"/>
      <c r="M253" s="474"/>
      <c r="N253" s="474"/>
      <c r="O253" s="474"/>
      <c r="P253" s="474"/>
      <c r="Q253" s="474"/>
      <c r="R253" s="474"/>
      <c r="S253" s="474"/>
      <c r="T253" s="474"/>
      <c r="U253" s="474"/>
      <c r="V253" s="474"/>
      <c r="W253" s="474"/>
      <c r="X253" s="474"/>
      <c r="Y253" s="474"/>
      <c r="Z253" s="474"/>
    </row>
    <row r="254" ht="12.0" customHeight="1">
      <c r="A254" s="480"/>
      <c r="B254" s="485"/>
      <c r="C254" s="525"/>
      <c r="D254" s="525"/>
      <c r="E254" s="526"/>
      <c r="F254" s="526"/>
      <c r="G254" s="474"/>
      <c r="H254" s="474"/>
      <c r="I254" s="474"/>
      <c r="J254" s="474"/>
      <c r="K254" s="474"/>
      <c r="L254" s="474"/>
      <c r="M254" s="474"/>
      <c r="N254" s="474"/>
      <c r="O254" s="474"/>
      <c r="P254" s="474"/>
      <c r="Q254" s="474"/>
      <c r="R254" s="474"/>
      <c r="S254" s="474"/>
      <c r="T254" s="474"/>
      <c r="U254" s="474"/>
      <c r="V254" s="474"/>
      <c r="W254" s="474"/>
      <c r="X254" s="474"/>
      <c r="Y254" s="474"/>
      <c r="Z254" s="474"/>
    </row>
    <row r="255" ht="12.0" customHeight="1">
      <c r="A255" s="480"/>
      <c r="B255" s="485"/>
      <c r="C255" s="525"/>
      <c r="D255" s="525"/>
      <c r="E255" s="526"/>
      <c r="F255" s="526"/>
      <c r="G255" s="474"/>
      <c r="H255" s="474"/>
      <c r="I255" s="474"/>
      <c r="J255" s="474"/>
      <c r="K255" s="474"/>
      <c r="L255" s="474"/>
      <c r="M255" s="474"/>
      <c r="N255" s="474"/>
      <c r="O255" s="474"/>
      <c r="P255" s="474"/>
      <c r="Q255" s="474"/>
      <c r="R255" s="474"/>
      <c r="S255" s="474"/>
      <c r="T255" s="474"/>
      <c r="U255" s="474"/>
      <c r="V255" s="474"/>
      <c r="W255" s="474"/>
      <c r="X255" s="474"/>
      <c r="Y255" s="474"/>
      <c r="Z255" s="474"/>
    </row>
    <row r="256" ht="12.0" customHeight="1">
      <c r="A256" s="480"/>
      <c r="B256" s="485"/>
      <c r="C256" s="525"/>
      <c r="D256" s="525"/>
      <c r="E256" s="526"/>
      <c r="F256" s="526"/>
      <c r="G256" s="474"/>
      <c r="H256" s="474"/>
      <c r="I256" s="474"/>
      <c r="J256" s="474"/>
      <c r="K256" s="474"/>
      <c r="L256" s="474"/>
      <c r="M256" s="474"/>
      <c r="N256" s="474"/>
      <c r="O256" s="474"/>
      <c r="P256" s="474"/>
      <c r="Q256" s="474"/>
      <c r="R256" s="474"/>
      <c r="S256" s="474"/>
      <c r="T256" s="474"/>
      <c r="U256" s="474"/>
      <c r="V256" s="474"/>
      <c r="W256" s="474"/>
      <c r="X256" s="474"/>
      <c r="Y256" s="474"/>
      <c r="Z256" s="474"/>
    </row>
    <row r="257" ht="12.0" customHeight="1">
      <c r="A257" s="480"/>
      <c r="B257" s="485"/>
      <c r="C257" s="525"/>
      <c r="D257" s="525"/>
      <c r="E257" s="526"/>
      <c r="F257" s="526"/>
      <c r="G257" s="474"/>
      <c r="H257" s="474"/>
      <c r="I257" s="474"/>
      <c r="J257" s="474"/>
      <c r="K257" s="474"/>
      <c r="L257" s="474"/>
      <c r="M257" s="474"/>
      <c r="N257" s="474"/>
      <c r="O257" s="474"/>
      <c r="P257" s="474"/>
      <c r="Q257" s="474"/>
      <c r="R257" s="474"/>
      <c r="S257" s="474"/>
      <c r="T257" s="474"/>
      <c r="U257" s="474"/>
      <c r="V257" s="474"/>
      <c r="W257" s="474"/>
      <c r="X257" s="474"/>
      <c r="Y257" s="474"/>
      <c r="Z257" s="474"/>
    </row>
    <row r="258" ht="12.0" customHeight="1">
      <c r="A258" s="480"/>
      <c r="B258" s="485"/>
      <c r="C258" s="525"/>
      <c r="D258" s="525"/>
      <c r="E258" s="526"/>
      <c r="F258" s="526"/>
      <c r="G258" s="474"/>
      <c r="H258" s="474"/>
      <c r="I258" s="474"/>
      <c r="J258" s="474"/>
      <c r="K258" s="474"/>
      <c r="L258" s="474"/>
      <c r="M258" s="474"/>
      <c r="N258" s="474"/>
      <c r="O258" s="474"/>
      <c r="P258" s="474"/>
      <c r="Q258" s="474"/>
      <c r="R258" s="474"/>
      <c r="S258" s="474"/>
      <c r="T258" s="474"/>
      <c r="U258" s="474"/>
      <c r="V258" s="474"/>
      <c r="W258" s="474"/>
      <c r="X258" s="474"/>
      <c r="Y258" s="474"/>
      <c r="Z258" s="474"/>
    </row>
    <row r="259" ht="12.0" customHeight="1">
      <c r="A259" s="480"/>
      <c r="B259" s="485"/>
      <c r="C259" s="525"/>
      <c r="D259" s="525"/>
      <c r="E259" s="526"/>
      <c r="F259" s="526"/>
      <c r="G259" s="474"/>
      <c r="H259" s="474"/>
      <c r="I259" s="474"/>
      <c r="J259" s="474"/>
      <c r="K259" s="474"/>
      <c r="L259" s="474"/>
      <c r="M259" s="474"/>
      <c r="N259" s="474"/>
      <c r="O259" s="474"/>
      <c r="P259" s="474"/>
      <c r="Q259" s="474"/>
      <c r="R259" s="474"/>
      <c r="S259" s="474"/>
      <c r="T259" s="474"/>
      <c r="U259" s="474"/>
      <c r="V259" s="474"/>
      <c r="W259" s="474"/>
      <c r="X259" s="474"/>
      <c r="Y259" s="474"/>
      <c r="Z259" s="474"/>
    </row>
    <row r="260" ht="12.0" customHeight="1">
      <c r="A260" s="480"/>
      <c r="B260" s="485"/>
      <c r="C260" s="525"/>
      <c r="D260" s="525"/>
      <c r="E260" s="526"/>
      <c r="F260" s="526"/>
      <c r="G260" s="474"/>
      <c r="H260" s="474"/>
      <c r="I260" s="474"/>
      <c r="J260" s="474"/>
      <c r="K260" s="474"/>
      <c r="L260" s="474"/>
      <c r="M260" s="474"/>
      <c r="N260" s="474"/>
      <c r="O260" s="474"/>
      <c r="P260" s="474"/>
      <c r="Q260" s="474"/>
      <c r="R260" s="474"/>
      <c r="S260" s="474"/>
      <c r="T260" s="474"/>
      <c r="U260" s="474"/>
      <c r="V260" s="474"/>
      <c r="W260" s="474"/>
      <c r="X260" s="474"/>
      <c r="Y260" s="474"/>
      <c r="Z260" s="474"/>
    </row>
    <row r="261" ht="12.0" customHeight="1">
      <c r="A261" s="480"/>
      <c r="B261" s="485"/>
      <c r="C261" s="525"/>
      <c r="D261" s="525"/>
      <c r="E261" s="526"/>
      <c r="F261" s="526"/>
      <c r="G261" s="474"/>
      <c r="H261" s="474"/>
      <c r="I261" s="474"/>
      <c r="J261" s="474"/>
      <c r="K261" s="474"/>
      <c r="L261" s="474"/>
      <c r="M261" s="474"/>
      <c r="N261" s="474"/>
      <c r="O261" s="474"/>
      <c r="P261" s="474"/>
      <c r="Q261" s="474"/>
      <c r="R261" s="474"/>
      <c r="S261" s="474"/>
      <c r="T261" s="474"/>
      <c r="U261" s="474"/>
      <c r="V261" s="474"/>
      <c r="W261" s="474"/>
      <c r="X261" s="474"/>
      <c r="Y261" s="474"/>
      <c r="Z261" s="474"/>
    </row>
    <row r="262" ht="12.0" customHeight="1">
      <c r="A262" s="480"/>
      <c r="B262" s="485"/>
      <c r="C262" s="525"/>
      <c r="D262" s="525"/>
      <c r="E262" s="526"/>
      <c r="F262" s="526"/>
      <c r="G262" s="474"/>
      <c r="H262" s="474"/>
      <c r="I262" s="474"/>
      <c r="J262" s="474"/>
      <c r="K262" s="474"/>
      <c r="L262" s="474"/>
      <c r="M262" s="474"/>
      <c r="N262" s="474"/>
      <c r="O262" s="474"/>
      <c r="P262" s="474"/>
      <c r="Q262" s="474"/>
      <c r="R262" s="474"/>
      <c r="S262" s="474"/>
      <c r="T262" s="474"/>
      <c r="U262" s="474"/>
      <c r="V262" s="474"/>
      <c r="W262" s="474"/>
      <c r="X262" s="474"/>
      <c r="Y262" s="474"/>
      <c r="Z262" s="474"/>
    </row>
    <row r="263" ht="12.0" customHeight="1">
      <c r="A263" s="480"/>
      <c r="B263" s="485"/>
      <c r="C263" s="525"/>
      <c r="D263" s="525"/>
      <c r="E263" s="526"/>
      <c r="F263" s="526"/>
      <c r="G263" s="474"/>
      <c r="H263" s="474"/>
      <c r="I263" s="474"/>
      <c r="J263" s="474"/>
      <c r="K263" s="474"/>
      <c r="L263" s="474"/>
      <c r="M263" s="474"/>
      <c r="N263" s="474"/>
      <c r="O263" s="474"/>
      <c r="P263" s="474"/>
      <c r="Q263" s="474"/>
      <c r="R263" s="474"/>
      <c r="S263" s="474"/>
      <c r="T263" s="474"/>
      <c r="U263" s="474"/>
      <c r="V263" s="474"/>
      <c r="W263" s="474"/>
      <c r="X263" s="474"/>
      <c r="Y263" s="474"/>
      <c r="Z263" s="474"/>
    </row>
    <row r="264" ht="12.0" customHeight="1">
      <c r="A264" s="480"/>
      <c r="B264" s="485"/>
      <c r="C264" s="525"/>
      <c r="D264" s="525"/>
      <c r="E264" s="526"/>
      <c r="F264" s="526"/>
      <c r="G264" s="474"/>
      <c r="H264" s="474"/>
      <c r="I264" s="474"/>
      <c r="J264" s="474"/>
      <c r="K264" s="474"/>
      <c r="L264" s="474"/>
      <c r="M264" s="474"/>
      <c r="N264" s="474"/>
      <c r="O264" s="474"/>
      <c r="P264" s="474"/>
      <c r="Q264" s="474"/>
      <c r="R264" s="474"/>
      <c r="S264" s="474"/>
      <c r="T264" s="474"/>
      <c r="U264" s="474"/>
      <c r="V264" s="474"/>
      <c r="W264" s="474"/>
      <c r="X264" s="474"/>
      <c r="Y264" s="474"/>
      <c r="Z264" s="474"/>
    </row>
    <row r="265" ht="12.0" customHeight="1">
      <c r="A265" s="480"/>
      <c r="B265" s="485"/>
      <c r="C265" s="525"/>
      <c r="D265" s="525"/>
      <c r="E265" s="526"/>
      <c r="F265" s="526"/>
      <c r="G265" s="474"/>
      <c r="H265" s="474"/>
      <c r="I265" s="474"/>
      <c r="J265" s="474"/>
      <c r="K265" s="474"/>
      <c r="L265" s="474"/>
      <c r="M265" s="474"/>
      <c r="N265" s="474"/>
      <c r="O265" s="474"/>
      <c r="P265" s="474"/>
      <c r="Q265" s="474"/>
      <c r="R265" s="474"/>
      <c r="S265" s="474"/>
      <c r="T265" s="474"/>
      <c r="U265" s="474"/>
      <c r="V265" s="474"/>
      <c r="W265" s="474"/>
      <c r="X265" s="474"/>
      <c r="Y265" s="474"/>
      <c r="Z265" s="474"/>
    </row>
    <row r="266" ht="12.0" customHeight="1">
      <c r="A266" s="480"/>
      <c r="B266" s="485"/>
      <c r="C266" s="525"/>
      <c r="D266" s="525"/>
      <c r="E266" s="526"/>
      <c r="F266" s="526"/>
      <c r="G266" s="474"/>
      <c r="H266" s="474"/>
      <c r="I266" s="474"/>
      <c r="J266" s="474"/>
      <c r="K266" s="474"/>
      <c r="L266" s="474"/>
      <c r="M266" s="474"/>
      <c r="N266" s="474"/>
      <c r="O266" s="474"/>
      <c r="P266" s="474"/>
      <c r="Q266" s="474"/>
      <c r="R266" s="474"/>
      <c r="S266" s="474"/>
      <c r="T266" s="474"/>
      <c r="U266" s="474"/>
      <c r="V266" s="474"/>
      <c r="W266" s="474"/>
      <c r="X266" s="474"/>
      <c r="Y266" s="474"/>
      <c r="Z266" s="474"/>
    </row>
    <row r="267" ht="12.0" customHeight="1">
      <c r="A267" s="480"/>
      <c r="B267" s="485"/>
      <c r="C267" s="525"/>
      <c r="D267" s="525"/>
      <c r="E267" s="526"/>
      <c r="F267" s="526"/>
      <c r="G267" s="474"/>
      <c r="H267" s="474"/>
      <c r="I267" s="474"/>
      <c r="J267" s="474"/>
      <c r="K267" s="474"/>
      <c r="L267" s="474"/>
      <c r="M267" s="474"/>
      <c r="N267" s="474"/>
      <c r="O267" s="474"/>
      <c r="P267" s="474"/>
      <c r="Q267" s="474"/>
      <c r="R267" s="474"/>
      <c r="S267" s="474"/>
      <c r="T267" s="474"/>
      <c r="U267" s="474"/>
      <c r="V267" s="474"/>
      <c r="W267" s="474"/>
      <c r="X267" s="474"/>
      <c r="Y267" s="474"/>
      <c r="Z267" s="474"/>
    </row>
    <row r="268" ht="12.0" customHeight="1">
      <c r="A268" s="480"/>
      <c r="B268" s="485"/>
      <c r="C268" s="525"/>
      <c r="D268" s="525"/>
      <c r="E268" s="526"/>
      <c r="F268" s="526"/>
      <c r="G268" s="474"/>
      <c r="H268" s="474"/>
      <c r="I268" s="474"/>
      <c r="J268" s="474"/>
      <c r="K268" s="474"/>
      <c r="L268" s="474"/>
      <c r="M268" s="474"/>
      <c r="N268" s="474"/>
      <c r="O268" s="474"/>
      <c r="P268" s="474"/>
      <c r="Q268" s="474"/>
      <c r="R268" s="474"/>
      <c r="S268" s="474"/>
      <c r="T268" s="474"/>
      <c r="U268" s="474"/>
      <c r="V268" s="474"/>
      <c r="W268" s="474"/>
      <c r="X268" s="474"/>
      <c r="Y268" s="474"/>
      <c r="Z268" s="474"/>
    </row>
    <row r="269" ht="12.0" customHeight="1">
      <c r="A269" s="480"/>
      <c r="B269" s="485"/>
      <c r="C269" s="525"/>
      <c r="D269" s="525"/>
      <c r="E269" s="526"/>
      <c r="F269" s="526"/>
      <c r="G269" s="474"/>
      <c r="H269" s="474"/>
      <c r="I269" s="474"/>
      <c r="J269" s="474"/>
      <c r="K269" s="474"/>
      <c r="L269" s="474"/>
      <c r="M269" s="474"/>
      <c r="N269" s="474"/>
      <c r="O269" s="474"/>
      <c r="P269" s="474"/>
      <c r="Q269" s="474"/>
      <c r="R269" s="474"/>
      <c r="S269" s="474"/>
      <c r="T269" s="474"/>
      <c r="U269" s="474"/>
      <c r="V269" s="474"/>
      <c r="W269" s="474"/>
      <c r="X269" s="474"/>
      <c r="Y269" s="474"/>
      <c r="Z269" s="474"/>
    </row>
    <row r="270" ht="12.0" customHeight="1">
      <c r="A270" s="480"/>
      <c r="B270" s="485"/>
      <c r="C270" s="525"/>
      <c r="D270" s="525"/>
      <c r="E270" s="526"/>
      <c r="F270" s="526"/>
      <c r="G270" s="474"/>
      <c r="H270" s="474"/>
      <c r="I270" s="474"/>
      <c r="J270" s="474"/>
      <c r="K270" s="474"/>
      <c r="L270" s="474"/>
      <c r="M270" s="474"/>
      <c r="N270" s="474"/>
      <c r="O270" s="474"/>
      <c r="P270" s="474"/>
      <c r="Q270" s="474"/>
      <c r="R270" s="474"/>
      <c r="S270" s="474"/>
      <c r="T270" s="474"/>
      <c r="U270" s="474"/>
      <c r="V270" s="474"/>
      <c r="W270" s="474"/>
      <c r="X270" s="474"/>
      <c r="Y270" s="474"/>
      <c r="Z270" s="474"/>
    </row>
    <row r="271" ht="12.0" customHeight="1">
      <c r="A271" s="480"/>
      <c r="B271" s="485"/>
      <c r="C271" s="525"/>
      <c r="D271" s="525"/>
      <c r="E271" s="526"/>
      <c r="F271" s="526"/>
      <c r="G271" s="474"/>
      <c r="H271" s="474"/>
      <c r="I271" s="474"/>
      <c r="J271" s="474"/>
      <c r="K271" s="474"/>
      <c r="L271" s="474"/>
      <c r="M271" s="474"/>
      <c r="N271" s="474"/>
      <c r="O271" s="474"/>
      <c r="P271" s="474"/>
      <c r="Q271" s="474"/>
      <c r="R271" s="474"/>
      <c r="S271" s="474"/>
      <c r="T271" s="474"/>
      <c r="U271" s="474"/>
      <c r="V271" s="474"/>
      <c r="W271" s="474"/>
      <c r="X271" s="474"/>
      <c r="Y271" s="474"/>
      <c r="Z271" s="474"/>
    </row>
    <row r="272" ht="12.0" customHeight="1">
      <c r="A272" s="480"/>
      <c r="B272" s="485"/>
      <c r="C272" s="525"/>
      <c r="D272" s="525"/>
      <c r="E272" s="526"/>
      <c r="F272" s="526"/>
      <c r="G272" s="474"/>
      <c r="H272" s="474"/>
      <c r="I272" s="474"/>
      <c r="J272" s="474"/>
      <c r="K272" s="474"/>
      <c r="L272" s="474"/>
      <c r="M272" s="474"/>
      <c r="N272" s="474"/>
      <c r="O272" s="474"/>
      <c r="P272" s="474"/>
      <c r="Q272" s="474"/>
      <c r="R272" s="474"/>
      <c r="S272" s="474"/>
      <c r="T272" s="474"/>
      <c r="U272" s="474"/>
      <c r="V272" s="474"/>
      <c r="W272" s="474"/>
      <c r="X272" s="474"/>
      <c r="Y272" s="474"/>
      <c r="Z272" s="474"/>
    </row>
    <row r="273" ht="12.0" customHeight="1">
      <c r="A273" s="480"/>
      <c r="B273" s="485"/>
      <c r="C273" s="525"/>
      <c r="D273" s="525"/>
      <c r="E273" s="526"/>
      <c r="F273" s="526"/>
      <c r="G273" s="474"/>
      <c r="H273" s="474"/>
      <c r="I273" s="474"/>
      <c r="J273" s="474"/>
      <c r="K273" s="474"/>
      <c r="L273" s="474"/>
      <c r="M273" s="474"/>
      <c r="N273" s="474"/>
      <c r="O273" s="474"/>
      <c r="P273" s="474"/>
      <c r="Q273" s="474"/>
      <c r="R273" s="474"/>
      <c r="S273" s="474"/>
      <c r="T273" s="474"/>
      <c r="U273" s="474"/>
      <c r="V273" s="474"/>
      <c r="W273" s="474"/>
      <c r="X273" s="474"/>
      <c r="Y273" s="474"/>
      <c r="Z273" s="474"/>
    </row>
    <row r="274" ht="12.0" customHeight="1">
      <c r="A274" s="480"/>
      <c r="B274" s="485"/>
      <c r="C274" s="525"/>
      <c r="D274" s="525"/>
      <c r="E274" s="526"/>
      <c r="F274" s="526"/>
      <c r="G274" s="474"/>
      <c r="H274" s="474"/>
      <c r="I274" s="474"/>
      <c r="J274" s="474"/>
      <c r="K274" s="474"/>
      <c r="L274" s="474"/>
      <c r="M274" s="474"/>
      <c r="N274" s="474"/>
      <c r="O274" s="474"/>
      <c r="P274" s="474"/>
      <c r="Q274" s="474"/>
      <c r="R274" s="474"/>
      <c r="S274" s="474"/>
      <c r="T274" s="474"/>
      <c r="U274" s="474"/>
      <c r="V274" s="474"/>
      <c r="W274" s="474"/>
      <c r="X274" s="474"/>
      <c r="Y274" s="474"/>
      <c r="Z274" s="474"/>
    </row>
    <row r="275" ht="12.0" customHeight="1">
      <c r="A275" s="480"/>
      <c r="B275" s="485"/>
      <c r="C275" s="525"/>
      <c r="D275" s="525"/>
      <c r="E275" s="526"/>
      <c r="F275" s="526"/>
      <c r="G275" s="474"/>
      <c r="H275" s="474"/>
      <c r="I275" s="474"/>
      <c r="J275" s="474"/>
      <c r="K275" s="474"/>
      <c r="L275" s="474"/>
      <c r="M275" s="474"/>
      <c r="N275" s="474"/>
      <c r="O275" s="474"/>
      <c r="P275" s="474"/>
      <c r="Q275" s="474"/>
      <c r="R275" s="474"/>
      <c r="S275" s="474"/>
      <c r="T275" s="474"/>
      <c r="U275" s="474"/>
      <c r="V275" s="474"/>
      <c r="W275" s="474"/>
      <c r="X275" s="474"/>
      <c r="Y275" s="474"/>
      <c r="Z275" s="474"/>
    </row>
    <row r="276" ht="12.0" customHeight="1">
      <c r="A276" s="480"/>
      <c r="B276" s="485"/>
      <c r="C276" s="525"/>
      <c r="D276" s="525"/>
      <c r="E276" s="526"/>
      <c r="F276" s="526"/>
      <c r="G276" s="474"/>
      <c r="H276" s="474"/>
      <c r="I276" s="474"/>
      <c r="J276" s="474"/>
      <c r="K276" s="474"/>
      <c r="L276" s="474"/>
      <c r="M276" s="474"/>
      <c r="N276" s="474"/>
      <c r="O276" s="474"/>
      <c r="P276" s="474"/>
      <c r="Q276" s="474"/>
      <c r="R276" s="474"/>
      <c r="S276" s="474"/>
      <c r="T276" s="474"/>
      <c r="U276" s="474"/>
      <c r="V276" s="474"/>
      <c r="W276" s="474"/>
      <c r="X276" s="474"/>
      <c r="Y276" s="474"/>
      <c r="Z276" s="474"/>
    </row>
    <row r="277" ht="12.0" customHeight="1">
      <c r="A277" s="480"/>
      <c r="B277" s="485"/>
      <c r="C277" s="525"/>
      <c r="D277" s="525"/>
      <c r="E277" s="526"/>
      <c r="F277" s="526"/>
      <c r="G277" s="474"/>
      <c r="H277" s="474"/>
      <c r="I277" s="474"/>
      <c r="J277" s="474"/>
      <c r="K277" s="474"/>
      <c r="L277" s="474"/>
      <c r="M277" s="474"/>
      <c r="N277" s="474"/>
      <c r="O277" s="474"/>
      <c r="P277" s="474"/>
      <c r="Q277" s="474"/>
      <c r="R277" s="474"/>
      <c r="S277" s="474"/>
      <c r="T277" s="474"/>
      <c r="U277" s="474"/>
      <c r="V277" s="474"/>
      <c r="W277" s="474"/>
      <c r="X277" s="474"/>
      <c r="Y277" s="474"/>
      <c r="Z277" s="474"/>
    </row>
    <row r="278" ht="12.0" customHeight="1">
      <c r="A278" s="480"/>
      <c r="B278" s="485"/>
      <c r="C278" s="525"/>
      <c r="D278" s="525"/>
      <c r="E278" s="526"/>
      <c r="F278" s="526"/>
      <c r="G278" s="474"/>
      <c r="H278" s="474"/>
      <c r="I278" s="474"/>
      <c r="J278" s="474"/>
      <c r="K278" s="474"/>
      <c r="L278" s="474"/>
      <c r="M278" s="474"/>
      <c r="N278" s="474"/>
      <c r="O278" s="474"/>
      <c r="P278" s="474"/>
      <c r="Q278" s="474"/>
      <c r="R278" s="474"/>
      <c r="S278" s="474"/>
      <c r="T278" s="474"/>
      <c r="U278" s="474"/>
      <c r="V278" s="474"/>
      <c r="W278" s="474"/>
      <c r="X278" s="474"/>
      <c r="Y278" s="474"/>
      <c r="Z278" s="474"/>
    </row>
    <row r="279" ht="12.0" customHeight="1">
      <c r="A279" s="480"/>
      <c r="B279" s="485"/>
      <c r="C279" s="525"/>
      <c r="D279" s="525"/>
      <c r="E279" s="526"/>
      <c r="F279" s="526"/>
      <c r="G279" s="474"/>
      <c r="H279" s="474"/>
      <c r="I279" s="474"/>
      <c r="J279" s="474"/>
      <c r="K279" s="474"/>
      <c r="L279" s="474"/>
      <c r="M279" s="474"/>
      <c r="N279" s="474"/>
      <c r="O279" s="474"/>
      <c r="P279" s="474"/>
      <c r="Q279" s="474"/>
      <c r="R279" s="474"/>
      <c r="S279" s="474"/>
      <c r="T279" s="474"/>
      <c r="U279" s="474"/>
      <c r="V279" s="474"/>
      <c r="W279" s="474"/>
      <c r="X279" s="474"/>
      <c r="Y279" s="474"/>
      <c r="Z279" s="474"/>
    </row>
    <row r="280" ht="12.0" customHeight="1">
      <c r="A280" s="480"/>
      <c r="B280" s="485"/>
      <c r="C280" s="525"/>
      <c r="D280" s="525"/>
      <c r="E280" s="526"/>
      <c r="F280" s="526"/>
      <c r="G280" s="474"/>
      <c r="H280" s="474"/>
      <c r="I280" s="474"/>
      <c r="J280" s="474"/>
      <c r="K280" s="474"/>
      <c r="L280" s="474"/>
      <c r="M280" s="474"/>
      <c r="N280" s="474"/>
      <c r="O280" s="474"/>
      <c r="P280" s="474"/>
      <c r="Q280" s="474"/>
      <c r="R280" s="474"/>
      <c r="S280" s="474"/>
      <c r="T280" s="474"/>
      <c r="U280" s="474"/>
      <c r="V280" s="474"/>
      <c r="W280" s="474"/>
      <c r="X280" s="474"/>
      <c r="Y280" s="474"/>
      <c r="Z280" s="474"/>
    </row>
    <row r="281" ht="12.0" customHeight="1">
      <c r="A281" s="480"/>
      <c r="B281" s="485"/>
      <c r="C281" s="525"/>
      <c r="D281" s="525"/>
      <c r="E281" s="526"/>
      <c r="F281" s="526"/>
      <c r="G281" s="474"/>
      <c r="H281" s="474"/>
      <c r="I281" s="474"/>
      <c r="J281" s="474"/>
      <c r="K281" s="474"/>
      <c r="L281" s="474"/>
      <c r="M281" s="474"/>
      <c r="N281" s="474"/>
      <c r="O281" s="474"/>
      <c r="P281" s="474"/>
      <c r="Q281" s="474"/>
      <c r="R281" s="474"/>
      <c r="S281" s="474"/>
      <c r="T281" s="474"/>
      <c r="U281" s="474"/>
      <c r="V281" s="474"/>
      <c r="W281" s="474"/>
      <c r="X281" s="474"/>
      <c r="Y281" s="474"/>
      <c r="Z281" s="474"/>
    </row>
    <row r="282" ht="12.0" customHeight="1">
      <c r="A282" s="480"/>
      <c r="B282" s="485"/>
      <c r="C282" s="525"/>
      <c r="D282" s="525"/>
      <c r="E282" s="526"/>
      <c r="F282" s="526"/>
      <c r="G282" s="474"/>
      <c r="H282" s="474"/>
      <c r="I282" s="474"/>
      <c r="J282" s="474"/>
      <c r="K282" s="474"/>
      <c r="L282" s="474"/>
      <c r="M282" s="474"/>
      <c r="N282" s="474"/>
      <c r="O282" s="474"/>
      <c r="P282" s="474"/>
      <c r="Q282" s="474"/>
      <c r="R282" s="474"/>
      <c r="S282" s="474"/>
      <c r="T282" s="474"/>
      <c r="U282" s="474"/>
      <c r="V282" s="474"/>
      <c r="W282" s="474"/>
      <c r="X282" s="474"/>
      <c r="Y282" s="474"/>
      <c r="Z282" s="474"/>
    </row>
    <row r="283" ht="12.0" customHeight="1">
      <c r="A283" s="480"/>
      <c r="B283" s="485"/>
      <c r="C283" s="525"/>
      <c r="D283" s="525"/>
      <c r="E283" s="526"/>
      <c r="F283" s="526"/>
      <c r="G283" s="474"/>
      <c r="H283" s="474"/>
      <c r="I283" s="474"/>
      <c r="J283" s="474"/>
      <c r="K283" s="474"/>
      <c r="L283" s="474"/>
      <c r="M283" s="474"/>
      <c r="N283" s="474"/>
      <c r="O283" s="474"/>
      <c r="P283" s="474"/>
      <c r="Q283" s="474"/>
      <c r="R283" s="474"/>
      <c r="S283" s="474"/>
      <c r="T283" s="474"/>
      <c r="U283" s="474"/>
      <c r="V283" s="474"/>
      <c r="W283" s="474"/>
      <c r="X283" s="474"/>
      <c r="Y283" s="474"/>
      <c r="Z283" s="474"/>
    </row>
    <row r="284" ht="12.0" customHeight="1">
      <c r="A284" s="480"/>
      <c r="B284" s="485"/>
      <c r="C284" s="525"/>
      <c r="D284" s="525"/>
      <c r="E284" s="526"/>
      <c r="F284" s="526"/>
      <c r="G284" s="474"/>
      <c r="H284" s="474"/>
      <c r="I284" s="474"/>
      <c r="J284" s="474"/>
      <c r="K284" s="474"/>
      <c r="L284" s="474"/>
      <c r="M284" s="474"/>
      <c r="N284" s="474"/>
      <c r="O284" s="474"/>
      <c r="P284" s="474"/>
      <c r="Q284" s="474"/>
      <c r="R284" s="474"/>
      <c r="S284" s="474"/>
      <c r="T284" s="474"/>
      <c r="U284" s="474"/>
      <c r="V284" s="474"/>
      <c r="W284" s="474"/>
      <c r="X284" s="474"/>
      <c r="Y284" s="474"/>
      <c r="Z284" s="474"/>
    </row>
    <row r="285" ht="12.0" customHeight="1">
      <c r="A285" s="480"/>
      <c r="B285" s="485"/>
      <c r="C285" s="525"/>
      <c r="D285" s="525"/>
      <c r="E285" s="526"/>
      <c r="F285" s="526"/>
      <c r="G285" s="474"/>
      <c r="H285" s="474"/>
      <c r="I285" s="474"/>
      <c r="J285" s="474"/>
      <c r="K285" s="474"/>
      <c r="L285" s="474"/>
      <c r="M285" s="474"/>
      <c r="N285" s="474"/>
      <c r="O285" s="474"/>
      <c r="P285" s="474"/>
      <c r="Q285" s="474"/>
      <c r="R285" s="474"/>
      <c r="S285" s="474"/>
      <c r="T285" s="474"/>
      <c r="U285" s="474"/>
      <c r="V285" s="474"/>
      <c r="W285" s="474"/>
      <c r="X285" s="474"/>
      <c r="Y285" s="474"/>
      <c r="Z285" s="474"/>
    </row>
    <row r="286" ht="12.0" customHeight="1">
      <c r="A286" s="480"/>
      <c r="B286" s="485"/>
      <c r="C286" s="525"/>
      <c r="D286" s="525"/>
      <c r="E286" s="526"/>
      <c r="F286" s="526"/>
      <c r="G286" s="474"/>
      <c r="H286" s="474"/>
      <c r="I286" s="474"/>
      <c r="J286" s="474"/>
      <c r="K286" s="474"/>
      <c r="L286" s="474"/>
      <c r="M286" s="474"/>
      <c r="N286" s="474"/>
      <c r="O286" s="474"/>
      <c r="P286" s="474"/>
      <c r="Q286" s="474"/>
      <c r="R286" s="474"/>
      <c r="S286" s="474"/>
      <c r="T286" s="474"/>
      <c r="U286" s="474"/>
      <c r="V286" s="474"/>
      <c r="W286" s="474"/>
      <c r="X286" s="474"/>
      <c r="Y286" s="474"/>
      <c r="Z286" s="474"/>
    </row>
    <row r="287" ht="12.0" customHeight="1">
      <c r="A287" s="480"/>
      <c r="B287" s="485"/>
      <c r="C287" s="525"/>
      <c r="D287" s="525"/>
      <c r="E287" s="526"/>
      <c r="F287" s="526"/>
      <c r="G287" s="474"/>
      <c r="H287" s="474"/>
      <c r="I287" s="474"/>
      <c r="J287" s="474"/>
      <c r="K287" s="474"/>
      <c r="L287" s="474"/>
      <c r="M287" s="474"/>
      <c r="N287" s="474"/>
      <c r="O287" s="474"/>
      <c r="P287" s="474"/>
      <c r="Q287" s="474"/>
      <c r="R287" s="474"/>
      <c r="S287" s="474"/>
      <c r="T287" s="474"/>
      <c r="U287" s="474"/>
      <c r="V287" s="474"/>
      <c r="W287" s="474"/>
      <c r="X287" s="474"/>
      <c r="Y287" s="474"/>
      <c r="Z287" s="474"/>
    </row>
    <row r="288" ht="12.0" customHeight="1">
      <c r="A288" s="480"/>
      <c r="B288" s="485"/>
      <c r="C288" s="525"/>
      <c r="D288" s="525"/>
      <c r="E288" s="526"/>
      <c r="F288" s="526"/>
      <c r="G288" s="474"/>
      <c r="H288" s="474"/>
      <c r="I288" s="474"/>
      <c r="J288" s="474"/>
      <c r="K288" s="474"/>
      <c r="L288" s="474"/>
      <c r="M288" s="474"/>
      <c r="N288" s="474"/>
      <c r="O288" s="474"/>
      <c r="P288" s="474"/>
      <c r="Q288" s="474"/>
      <c r="R288" s="474"/>
      <c r="S288" s="474"/>
      <c r="T288" s="474"/>
      <c r="U288" s="474"/>
      <c r="V288" s="474"/>
      <c r="W288" s="474"/>
      <c r="X288" s="474"/>
      <c r="Y288" s="474"/>
      <c r="Z288" s="474"/>
    </row>
    <row r="289" ht="12.0" customHeight="1">
      <c r="A289" s="480"/>
      <c r="B289" s="485"/>
      <c r="C289" s="525"/>
      <c r="D289" s="525"/>
      <c r="E289" s="526"/>
      <c r="F289" s="526"/>
      <c r="G289" s="474"/>
      <c r="H289" s="474"/>
      <c r="I289" s="474"/>
      <c r="J289" s="474"/>
      <c r="K289" s="474"/>
      <c r="L289" s="474"/>
      <c r="M289" s="474"/>
      <c r="N289" s="474"/>
      <c r="O289" s="474"/>
      <c r="P289" s="474"/>
      <c r="Q289" s="474"/>
      <c r="R289" s="474"/>
      <c r="S289" s="474"/>
      <c r="T289" s="474"/>
      <c r="U289" s="474"/>
      <c r="V289" s="474"/>
      <c r="W289" s="474"/>
      <c r="X289" s="474"/>
      <c r="Y289" s="474"/>
      <c r="Z289" s="474"/>
    </row>
    <row r="290" ht="12.0" customHeight="1">
      <c r="A290" s="480"/>
      <c r="B290" s="485"/>
      <c r="C290" s="525"/>
      <c r="D290" s="525"/>
      <c r="E290" s="526"/>
      <c r="F290" s="526"/>
      <c r="G290" s="474"/>
      <c r="H290" s="474"/>
      <c r="I290" s="474"/>
      <c r="J290" s="474"/>
      <c r="K290" s="474"/>
      <c r="L290" s="474"/>
      <c r="M290" s="474"/>
      <c r="N290" s="474"/>
      <c r="O290" s="474"/>
      <c r="P290" s="474"/>
      <c r="Q290" s="474"/>
      <c r="R290" s="474"/>
      <c r="S290" s="474"/>
      <c r="T290" s="474"/>
      <c r="U290" s="474"/>
      <c r="V290" s="474"/>
      <c r="W290" s="474"/>
      <c r="X290" s="474"/>
      <c r="Y290" s="474"/>
      <c r="Z290" s="474"/>
    </row>
    <row r="291" ht="12.0" customHeight="1">
      <c r="A291" s="480"/>
      <c r="B291" s="485"/>
      <c r="C291" s="525"/>
      <c r="D291" s="525"/>
      <c r="E291" s="526"/>
      <c r="F291" s="526"/>
      <c r="G291" s="474"/>
      <c r="H291" s="474"/>
      <c r="I291" s="474"/>
      <c r="J291" s="474"/>
      <c r="K291" s="474"/>
      <c r="L291" s="474"/>
      <c r="M291" s="474"/>
      <c r="N291" s="474"/>
      <c r="O291" s="474"/>
      <c r="P291" s="474"/>
      <c r="Q291" s="474"/>
      <c r="R291" s="474"/>
      <c r="S291" s="474"/>
      <c r="T291" s="474"/>
      <c r="U291" s="474"/>
      <c r="V291" s="474"/>
      <c r="W291" s="474"/>
      <c r="X291" s="474"/>
      <c r="Y291" s="474"/>
      <c r="Z291" s="474"/>
    </row>
    <row r="292" ht="12.0" customHeight="1">
      <c r="A292" s="480"/>
      <c r="B292" s="485"/>
      <c r="C292" s="525"/>
      <c r="D292" s="525"/>
      <c r="E292" s="526"/>
      <c r="F292" s="526"/>
      <c r="G292" s="474"/>
      <c r="H292" s="474"/>
      <c r="I292" s="474"/>
      <c r="J292" s="474"/>
      <c r="K292" s="474"/>
      <c r="L292" s="474"/>
      <c r="M292" s="474"/>
      <c r="N292" s="474"/>
      <c r="O292" s="474"/>
      <c r="P292" s="474"/>
      <c r="Q292" s="474"/>
      <c r="R292" s="474"/>
      <c r="S292" s="474"/>
      <c r="T292" s="474"/>
      <c r="U292" s="474"/>
      <c r="V292" s="474"/>
      <c r="W292" s="474"/>
      <c r="X292" s="474"/>
      <c r="Y292" s="474"/>
      <c r="Z292" s="474"/>
    </row>
    <row r="293" ht="12.0" customHeight="1">
      <c r="A293" s="480"/>
      <c r="B293" s="485"/>
      <c r="C293" s="525"/>
      <c r="D293" s="525"/>
      <c r="E293" s="526"/>
      <c r="F293" s="526"/>
      <c r="G293" s="474"/>
      <c r="H293" s="474"/>
      <c r="I293" s="474"/>
      <c r="J293" s="474"/>
      <c r="K293" s="474"/>
      <c r="L293" s="474"/>
      <c r="M293" s="474"/>
      <c r="N293" s="474"/>
      <c r="O293" s="474"/>
      <c r="P293" s="474"/>
      <c r="Q293" s="474"/>
      <c r="R293" s="474"/>
      <c r="S293" s="474"/>
      <c r="T293" s="474"/>
      <c r="U293" s="474"/>
      <c r="V293" s="474"/>
      <c r="W293" s="474"/>
      <c r="X293" s="474"/>
      <c r="Y293" s="474"/>
      <c r="Z293" s="474"/>
    </row>
    <row r="294" ht="12.0" customHeight="1">
      <c r="A294" s="480"/>
      <c r="B294" s="485"/>
      <c r="C294" s="525"/>
      <c r="D294" s="525"/>
      <c r="E294" s="526"/>
      <c r="F294" s="526"/>
      <c r="G294" s="474"/>
      <c r="H294" s="474"/>
      <c r="I294" s="474"/>
      <c r="J294" s="474"/>
      <c r="K294" s="474"/>
      <c r="L294" s="474"/>
      <c r="M294" s="474"/>
      <c r="N294" s="474"/>
      <c r="O294" s="474"/>
      <c r="P294" s="474"/>
      <c r="Q294" s="474"/>
      <c r="R294" s="474"/>
      <c r="S294" s="474"/>
      <c r="T294" s="474"/>
      <c r="U294" s="474"/>
      <c r="V294" s="474"/>
      <c r="W294" s="474"/>
      <c r="X294" s="474"/>
      <c r="Y294" s="474"/>
      <c r="Z294" s="474"/>
    </row>
    <row r="295" ht="12.0" customHeight="1">
      <c r="A295" s="480"/>
      <c r="B295" s="485"/>
      <c r="C295" s="525"/>
      <c r="D295" s="525"/>
      <c r="E295" s="526"/>
      <c r="F295" s="526"/>
      <c r="G295" s="474"/>
      <c r="H295" s="474"/>
      <c r="I295" s="474"/>
      <c r="J295" s="474"/>
      <c r="K295" s="474"/>
      <c r="L295" s="474"/>
      <c r="M295" s="474"/>
      <c r="N295" s="474"/>
      <c r="O295" s="474"/>
      <c r="P295" s="474"/>
      <c r="Q295" s="474"/>
      <c r="R295" s="474"/>
      <c r="S295" s="474"/>
      <c r="T295" s="474"/>
      <c r="U295" s="474"/>
      <c r="V295" s="474"/>
      <c r="W295" s="474"/>
      <c r="X295" s="474"/>
      <c r="Y295" s="474"/>
      <c r="Z295" s="474"/>
    </row>
    <row r="296" ht="12.0" customHeight="1">
      <c r="A296" s="480"/>
      <c r="B296" s="485"/>
      <c r="C296" s="525"/>
      <c r="D296" s="525"/>
      <c r="E296" s="526"/>
      <c r="F296" s="526"/>
      <c r="G296" s="474"/>
      <c r="H296" s="474"/>
      <c r="I296" s="474"/>
      <c r="J296" s="474"/>
      <c r="K296" s="474"/>
      <c r="L296" s="474"/>
      <c r="M296" s="474"/>
      <c r="N296" s="474"/>
      <c r="O296" s="474"/>
      <c r="P296" s="474"/>
      <c r="Q296" s="474"/>
      <c r="R296" s="474"/>
      <c r="S296" s="474"/>
      <c r="T296" s="474"/>
      <c r="U296" s="474"/>
      <c r="V296" s="474"/>
      <c r="W296" s="474"/>
      <c r="X296" s="474"/>
      <c r="Y296" s="474"/>
      <c r="Z296" s="474"/>
    </row>
    <row r="297" ht="12.0" customHeight="1">
      <c r="A297" s="480"/>
      <c r="B297" s="485"/>
      <c r="C297" s="525"/>
      <c r="D297" s="525"/>
      <c r="E297" s="526"/>
      <c r="F297" s="526"/>
      <c r="G297" s="474"/>
      <c r="H297" s="474"/>
      <c r="I297" s="474"/>
      <c r="J297" s="474"/>
      <c r="K297" s="474"/>
      <c r="L297" s="474"/>
      <c r="M297" s="474"/>
      <c r="N297" s="474"/>
      <c r="O297" s="474"/>
      <c r="P297" s="474"/>
      <c r="Q297" s="474"/>
      <c r="R297" s="474"/>
      <c r="S297" s="474"/>
      <c r="T297" s="474"/>
      <c r="U297" s="474"/>
      <c r="V297" s="474"/>
      <c r="W297" s="474"/>
      <c r="X297" s="474"/>
      <c r="Y297" s="474"/>
      <c r="Z297" s="474"/>
    </row>
    <row r="298" ht="12.0" customHeight="1">
      <c r="A298" s="480"/>
      <c r="B298" s="485"/>
      <c r="C298" s="525"/>
      <c r="D298" s="525"/>
      <c r="E298" s="526"/>
      <c r="F298" s="526"/>
      <c r="G298" s="474"/>
      <c r="H298" s="474"/>
      <c r="I298" s="474"/>
      <c r="J298" s="474"/>
      <c r="K298" s="474"/>
      <c r="L298" s="474"/>
      <c r="M298" s="474"/>
      <c r="N298" s="474"/>
      <c r="O298" s="474"/>
      <c r="P298" s="474"/>
      <c r="Q298" s="474"/>
      <c r="R298" s="474"/>
      <c r="S298" s="474"/>
      <c r="T298" s="474"/>
      <c r="U298" s="474"/>
      <c r="V298" s="474"/>
      <c r="W298" s="474"/>
      <c r="X298" s="474"/>
      <c r="Y298" s="474"/>
      <c r="Z298" s="474"/>
    </row>
    <row r="299" ht="12.0" customHeight="1">
      <c r="A299" s="480"/>
      <c r="B299" s="485"/>
      <c r="C299" s="525"/>
      <c r="D299" s="525"/>
      <c r="E299" s="526"/>
      <c r="F299" s="526"/>
      <c r="G299" s="474"/>
      <c r="H299" s="474"/>
      <c r="I299" s="474"/>
      <c r="J299" s="474"/>
      <c r="K299" s="474"/>
      <c r="L299" s="474"/>
      <c r="M299" s="474"/>
      <c r="N299" s="474"/>
      <c r="O299" s="474"/>
      <c r="P299" s="474"/>
      <c r="Q299" s="474"/>
      <c r="R299" s="474"/>
      <c r="S299" s="474"/>
      <c r="T299" s="474"/>
      <c r="U299" s="474"/>
      <c r="V299" s="474"/>
      <c r="W299" s="474"/>
      <c r="X299" s="474"/>
      <c r="Y299" s="474"/>
      <c r="Z299" s="474"/>
    </row>
    <row r="300" ht="12.0" customHeight="1">
      <c r="A300" s="480"/>
      <c r="B300" s="485"/>
      <c r="C300" s="525"/>
      <c r="D300" s="525"/>
      <c r="E300" s="526"/>
      <c r="F300" s="526"/>
      <c r="G300" s="474"/>
      <c r="H300" s="474"/>
      <c r="I300" s="474"/>
      <c r="J300" s="474"/>
      <c r="K300" s="474"/>
      <c r="L300" s="474"/>
      <c r="M300" s="474"/>
      <c r="N300" s="474"/>
      <c r="O300" s="474"/>
      <c r="P300" s="474"/>
      <c r="Q300" s="474"/>
      <c r="R300" s="474"/>
      <c r="S300" s="474"/>
      <c r="T300" s="474"/>
      <c r="U300" s="474"/>
      <c r="V300" s="474"/>
      <c r="W300" s="474"/>
      <c r="X300" s="474"/>
      <c r="Y300" s="474"/>
      <c r="Z300" s="474"/>
    </row>
    <row r="301" ht="12.0" customHeight="1">
      <c r="A301" s="480"/>
      <c r="B301" s="485"/>
      <c r="C301" s="525"/>
      <c r="D301" s="525"/>
      <c r="E301" s="526"/>
      <c r="F301" s="526"/>
      <c r="G301" s="474"/>
      <c r="H301" s="474"/>
      <c r="I301" s="474"/>
      <c r="J301" s="474"/>
      <c r="K301" s="474"/>
      <c r="L301" s="474"/>
      <c r="M301" s="474"/>
      <c r="N301" s="474"/>
      <c r="O301" s="474"/>
      <c r="P301" s="474"/>
      <c r="Q301" s="474"/>
      <c r="R301" s="474"/>
      <c r="S301" s="474"/>
      <c r="T301" s="474"/>
      <c r="U301" s="474"/>
      <c r="V301" s="474"/>
      <c r="W301" s="474"/>
      <c r="X301" s="474"/>
      <c r="Y301" s="474"/>
      <c r="Z301" s="474"/>
    </row>
    <row r="302" ht="12.0" customHeight="1">
      <c r="A302" s="480"/>
      <c r="B302" s="485"/>
      <c r="C302" s="525"/>
      <c r="D302" s="525"/>
      <c r="E302" s="526"/>
      <c r="F302" s="526"/>
      <c r="G302" s="474"/>
      <c r="H302" s="474"/>
      <c r="I302" s="474"/>
      <c r="J302" s="474"/>
      <c r="K302" s="474"/>
      <c r="L302" s="474"/>
      <c r="M302" s="474"/>
      <c r="N302" s="474"/>
      <c r="O302" s="474"/>
      <c r="P302" s="474"/>
      <c r="Q302" s="474"/>
      <c r="R302" s="474"/>
      <c r="S302" s="474"/>
      <c r="T302" s="474"/>
      <c r="U302" s="474"/>
      <c r="V302" s="474"/>
      <c r="W302" s="474"/>
      <c r="X302" s="474"/>
      <c r="Y302" s="474"/>
      <c r="Z302" s="474"/>
    </row>
    <row r="303" ht="12.0" customHeight="1">
      <c r="A303" s="480"/>
      <c r="B303" s="485"/>
      <c r="C303" s="525"/>
      <c r="D303" s="525"/>
      <c r="E303" s="526"/>
      <c r="F303" s="526"/>
      <c r="G303" s="474"/>
      <c r="H303" s="474"/>
      <c r="I303" s="474"/>
      <c r="J303" s="474"/>
      <c r="K303" s="474"/>
      <c r="L303" s="474"/>
      <c r="M303" s="474"/>
      <c r="N303" s="474"/>
      <c r="O303" s="474"/>
      <c r="P303" s="474"/>
      <c r="Q303" s="474"/>
      <c r="R303" s="474"/>
      <c r="S303" s="474"/>
      <c r="T303" s="474"/>
      <c r="U303" s="474"/>
      <c r="V303" s="474"/>
      <c r="W303" s="474"/>
      <c r="X303" s="474"/>
      <c r="Y303" s="474"/>
      <c r="Z303" s="474"/>
    </row>
    <row r="304" ht="12.0" customHeight="1">
      <c r="A304" s="480"/>
      <c r="B304" s="485"/>
      <c r="C304" s="525"/>
      <c r="D304" s="525"/>
      <c r="E304" s="526"/>
      <c r="F304" s="526"/>
      <c r="G304" s="474"/>
      <c r="H304" s="474"/>
      <c r="I304" s="474"/>
      <c r="J304" s="474"/>
      <c r="K304" s="474"/>
      <c r="L304" s="474"/>
      <c r="M304" s="474"/>
      <c r="N304" s="474"/>
      <c r="O304" s="474"/>
      <c r="P304" s="474"/>
      <c r="Q304" s="474"/>
      <c r="R304" s="474"/>
      <c r="S304" s="474"/>
      <c r="T304" s="474"/>
      <c r="U304" s="474"/>
      <c r="V304" s="474"/>
      <c r="W304" s="474"/>
      <c r="X304" s="474"/>
      <c r="Y304" s="474"/>
      <c r="Z304" s="474"/>
    </row>
    <row r="305" ht="12.0" customHeight="1">
      <c r="A305" s="480"/>
      <c r="B305" s="485"/>
      <c r="C305" s="525"/>
      <c r="D305" s="525"/>
      <c r="E305" s="526"/>
      <c r="F305" s="526"/>
      <c r="G305" s="474"/>
      <c r="H305" s="474"/>
      <c r="I305" s="474"/>
      <c r="J305" s="474"/>
      <c r="K305" s="474"/>
      <c r="L305" s="474"/>
      <c r="M305" s="474"/>
      <c r="N305" s="474"/>
      <c r="O305" s="474"/>
      <c r="P305" s="474"/>
      <c r="Q305" s="474"/>
      <c r="R305" s="474"/>
      <c r="S305" s="474"/>
      <c r="T305" s="474"/>
      <c r="U305" s="474"/>
      <c r="V305" s="474"/>
      <c r="W305" s="474"/>
      <c r="X305" s="474"/>
      <c r="Y305" s="474"/>
      <c r="Z305" s="474"/>
    </row>
    <row r="306" ht="12.0" customHeight="1">
      <c r="A306" s="480"/>
      <c r="B306" s="485"/>
      <c r="C306" s="525"/>
      <c r="D306" s="525"/>
      <c r="E306" s="526"/>
      <c r="F306" s="526"/>
      <c r="G306" s="474"/>
      <c r="H306" s="474"/>
      <c r="I306" s="474"/>
      <c r="J306" s="474"/>
      <c r="K306" s="474"/>
      <c r="L306" s="474"/>
      <c r="M306" s="474"/>
      <c r="N306" s="474"/>
      <c r="O306" s="474"/>
      <c r="P306" s="474"/>
      <c r="Q306" s="474"/>
      <c r="R306" s="474"/>
      <c r="S306" s="474"/>
      <c r="T306" s="474"/>
      <c r="U306" s="474"/>
      <c r="V306" s="474"/>
      <c r="W306" s="474"/>
      <c r="X306" s="474"/>
      <c r="Y306" s="474"/>
      <c r="Z306" s="474"/>
    </row>
    <row r="307" ht="12.0" customHeight="1">
      <c r="A307" s="480"/>
      <c r="B307" s="485"/>
      <c r="C307" s="525"/>
      <c r="D307" s="525"/>
      <c r="E307" s="526"/>
      <c r="F307" s="526"/>
      <c r="G307" s="474"/>
      <c r="H307" s="474"/>
      <c r="I307" s="474"/>
      <c r="J307" s="474"/>
      <c r="K307" s="474"/>
      <c r="L307" s="474"/>
      <c r="M307" s="474"/>
      <c r="N307" s="474"/>
      <c r="O307" s="474"/>
      <c r="P307" s="474"/>
      <c r="Q307" s="474"/>
      <c r="R307" s="474"/>
      <c r="S307" s="474"/>
      <c r="T307" s="474"/>
      <c r="U307" s="474"/>
      <c r="V307" s="474"/>
      <c r="W307" s="474"/>
      <c r="X307" s="474"/>
      <c r="Y307" s="474"/>
      <c r="Z307" s="474"/>
    </row>
    <row r="308" ht="12.0" customHeight="1">
      <c r="A308" s="480"/>
      <c r="B308" s="485"/>
      <c r="C308" s="525"/>
      <c r="D308" s="525"/>
      <c r="E308" s="526"/>
      <c r="F308" s="526"/>
      <c r="G308" s="474"/>
      <c r="H308" s="474"/>
      <c r="I308" s="474"/>
      <c r="J308" s="474"/>
      <c r="K308" s="474"/>
      <c r="L308" s="474"/>
      <c r="M308" s="474"/>
      <c r="N308" s="474"/>
      <c r="O308" s="474"/>
      <c r="P308" s="474"/>
      <c r="Q308" s="474"/>
      <c r="R308" s="474"/>
      <c r="S308" s="474"/>
      <c r="T308" s="474"/>
      <c r="U308" s="474"/>
      <c r="V308" s="474"/>
      <c r="W308" s="474"/>
      <c r="X308" s="474"/>
      <c r="Y308" s="474"/>
      <c r="Z308" s="474"/>
    </row>
    <row r="309" ht="12.0" customHeight="1">
      <c r="A309" s="480"/>
      <c r="B309" s="485"/>
      <c r="C309" s="525"/>
      <c r="D309" s="525"/>
      <c r="E309" s="526"/>
      <c r="F309" s="526"/>
      <c r="G309" s="474"/>
      <c r="H309" s="474"/>
      <c r="I309" s="474"/>
      <c r="J309" s="474"/>
      <c r="K309" s="474"/>
      <c r="L309" s="474"/>
      <c r="M309" s="474"/>
      <c r="N309" s="474"/>
      <c r="O309" s="474"/>
      <c r="P309" s="474"/>
      <c r="Q309" s="474"/>
      <c r="R309" s="474"/>
      <c r="S309" s="474"/>
      <c r="T309" s="474"/>
      <c r="U309" s="474"/>
      <c r="V309" s="474"/>
      <c r="W309" s="474"/>
      <c r="X309" s="474"/>
      <c r="Y309" s="474"/>
      <c r="Z309" s="474"/>
    </row>
    <row r="310" ht="12.0" customHeight="1">
      <c r="A310" s="480"/>
      <c r="B310" s="485"/>
      <c r="C310" s="525"/>
      <c r="D310" s="525"/>
      <c r="E310" s="526"/>
      <c r="F310" s="526"/>
      <c r="G310" s="474"/>
      <c r="H310" s="474"/>
      <c r="I310" s="474"/>
      <c r="J310" s="474"/>
      <c r="K310" s="474"/>
      <c r="L310" s="474"/>
      <c r="M310" s="474"/>
      <c r="N310" s="474"/>
      <c r="O310" s="474"/>
      <c r="P310" s="474"/>
      <c r="Q310" s="474"/>
      <c r="R310" s="474"/>
      <c r="S310" s="474"/>
      <c r="T310" s="474"/>
      <c r="U310" s="474"/>
      <c r="V310" s="474"/>
      <c r="W310" s="474"/>
      <c r="X310" s="474"/>
      <c r="Y310" s="474"/>
      <c r="Z310" s="474"/>
    </row>
    <row r="311" ht="12.0" customHeight="1">
      <c r="A311" s="480"/>
      <c r="B311" s="485"/>
      <c r="C311" s="525"/>
      <c r="D311" s="525"/>
      <c r="E311" s="526"/>
      <c r="F311" s="526"/>
      <c r="G311" s="474"/>
      <c r="H311" s="474"/>
      <c r="I311" s="474"/>
      <c r="J311" s="474"/>
      <c r="K311" s="474"/>
      <c r="L311" s="474"/>
      <c r="M311" s="474"/>
      <c r="N311" s="474"/>
      <c r="O311" s="474"/>
      <c r="P311" s="474"/>
      <c r="Q311" s="474"/>
      <c r="R311" s="474"/>
      <c r="S311" s="474"/>
      <c r="T311" s="474"/>
      <c r="U311" s="474"/>
      <c r="V311" s="474"/>
      <c r="W311" s="474"/>
      <c r="X311" s="474"/>
      <c r="Y311" s="474"/>
      <c r="Z311" s="474"/>
    </row>
    <row r="312" ht="12.0" customHeight="1">
      <c r="A312" s="480"/>
      <c r="B312" s="485"/>
      <c r="C312" s="525"/>
      <c r="D312" s="525"/>
      <c r="E312" s="526"/>
      <c r="F312" s="526"/>
      <c r="G312" s="474"/>
      <c r="H312" s="474"/>
      <c r="I312" s="474"/>
      <c r="J312" s="474"/>
      <c r="K312" s="474"/>
      <c r="L312" s="474"/>
      <c r="M312" s="474"/>
      <c r="N312" s="474"/>
      <c r="O312" s="474"/>
      <c r="P312" s="474"/>
      <c r="Q312" s="474"/>
      <c r="R312" s="474"/>
      <c r="S312" s="474"/>
      <c r="T312" s="474"/>
      <c r="U312" s="474"/>
      <c r="V312" s="474"/>
      <c r="W312" s="474"/>
      <c r="X312" s="474"/>
      <c r="Y312" s="474"/>
      <c r="Z312" s="474"/>
    </row>
    <row r="313" ht="12.0" customHeight="1">
      <c r="A313" s="480"/>
      <c r="B313" s="485"/>
      <c r="C313" s="525"/>
      <c r="D313" s="525"/>
      <c r="E313" s="526"/>
      <c r="F313" s="526"/>
      <c r="G313" s="474"/>
      <c r="H313" s="474"/>
      <c r="I313" s="474"/>
      <c r="J313" s="474"/>
      <c r="K313" s="474"/>
      <c r="L313" s="474"/>
      <c r="M313" s="474"/>
      <c r="N313" s="474"/>
      <c r="O313" s="474"/>
      <c r="P313" s="474"/>
      <c r="Q313" s="474"/>
      <c r="R313" s="474"/>
      <c r="S313" s="474"/>
      <c r="T313" s="474"/>
      <c r="U313" s="474"/>
      <c r="V313" s="474"/>
      <c r="W313" s="474"/>
      <c r="X313" s="474"/>
      <c r="Y313" s="474"/>
      <c r="Z313" s="474"/>
    </row>
    <row r="314" ht="12.0" customHeight="1">
      <c r="A314" s="480"/>
      <c r="B314" s="485"/>
      <c r="C314" s="525"/>
      <c r="D314" s="525"/>
      <c r="E314" s="526"/>
      <c r="F314" s="526"/>
      <c r="G314" s="474"/>
      <c r="H314" s="474"/>
      <c r="I314" s="474"/>
      <c r="J314" s="474"/>
      <c r="K314" s="474"/>
      <c r="L314" s="474"/>
      <c r="M314" s="474"/>
      <c r="N314" s="474"/>
      <c r="O314" s="474"/>
      <c r="P314" s="474"/>
      <c r="Q314" s="474"/>
      <c r="R314" s="474"/>
      <c r="S314" s="474"/>
      <c r="T314" s="474"/>
      <c r="U314" s="474"/>
      <c r="V314" s="474"/>
      <c r="W314" s="474"/>
      <c r="X314" s="474"/>
      <c r="Y314" s="474"/>
      <c r="Z314" s="474"/>
    </row>
    <row r="315" ht="12.0" customHeight="1">
      <c r="A315" s="480"/>
      <c r="B315" s="485"/>
      <c r="C315" s="525"/>
      <c r="D315" s="525"/>
      <c r="E315" s="526"/>
      <c r="F315" s="526"/>
      <c r="G315" s="474"/>
      <c r="H315" s="474"/>
      <c r="I315" s="474"/>
      <c r="J315" s="474"/>
      <c r="K315" s="474"/>
      <c r="L315" s="474"/>
      <c r="M315" s="474"/>
      <c r="N315" s="474"/>
      <c r="O315" s="474"/>
      <c r="P315" s="474"/>
      <c r="Q315" s="474"/>
      <c r="R315" s="474"/>
      <c r="S315" s="474"/>
      <c r="T315" s="474"/>
      <c r="U315" s="474"/>
      <c r="V315" s="474"/>
      <c r="W315" s="474"/>
      <c r="X315" s="474"/>
      <c r="Y315" s="474"/>
      <c r="Z315" s="474"/>
    </row>
    <row r="316" ht="12.0" customHeight="1">
      <c r="A316" s="480"/>
      <c r="B316" s="485"/>
      <c r="C316" s="525"/>
      <c r="D316" s="525"/>
      <c r="E316" s="526"/>
      <c r="F316" s="526"/>
      <c r="G316" s="474"/>
      <c r="H316" s="474"/>
      <c r="I316" s="474"/>
      <c r="J316" s="474"/>
      <c r="K316" s="474"/>
      <c r="L316" s="474"/>
      <c r="M316" s="474"/>
      <c r="N316" s="474"/>
      <c r="O316" s="474"/>
      <c r="P316" s="474"/>
      <c r="Q316" s="474"/>
      <c r="R316" s="474"/>
      <c r="S316" s="474"/>
      <c r="T316" s="474"/>
      <c r="U316" s="474"/>
      <c r="V316" s="474"/>
      <c r="W316" s="474"/>
      <c r="X316" s="474"/>
      <c r="Y316" s="474"/>
      <c r="Z316" s="474"/>
    </row>
    <row r="317" ht="12.0" customHeight="1">
      <c r="A317" s="480"/>
      <c r="B317" s="485"/>
      <c r="C317" s="525"/>
      <c r="D317" s="525"/>
      <c r="E317" s="526"/>
      <c r="F317" s="526"/>
      <c r="G317" s="474"/>
      <c r="H317" s="474"/>
      <c r="I317" s="474"/>
      <c r="J317" s="474"/>
      <c r="K317" s="474"/>
      <c r="L317" s="474"/>
      <c r="M317" s="474"/>
      <c r="N317" s="474"/>
      <c r="O317" s="474"/>
      <c r="P317" s="474"/>
      <c r="Q317" s="474"/>
      <c r="R317" s="474"/>
      <c r="S317" s="474"/>
      <c r="T317" s="474"/>
      <c r="U317" s="474"/>
      <c r="V317" s="474"/>
      <c r="W317" s="474"/>
      <c r="X317" s="474"/>
      <c r="Y317" s="474"/>
      <c r="Z317" s="474"/>
    </row>
    <row r="318" ht="12.0" customHeight="1">
      <c r="A318" s="480"/>
      <c r="B318" s="485"/>
      <c r="C318" s="525"/>
      <c r="D318" s="525"/>
      <c r="E318" s="526"/>
      <c r="F318" s="526"/>
      <c r="G318" s="474"/>
      <c r="H318" s="474"/>
      <c r="I318" s="474"/>
      <c r="J318" s="474"/>
      <c r="K318" s="474"/>
      <c r="L318" s="474"/>
      <c r="M318" s="474"/>
      <c r="N318" s="474"/>
      <c r="O318" s="474"/>
      <c r="P318" s="474"/>
      <c r="Q318" s="474"/>
      <c r="R318" s="474"/>
      <c r="S318" s="474"/>
      <c r="T318" s="474"/>
      <c r="U318" s="474"/>
      <c r="V318" s="474"/>
      <c r="W318" s="474"/>
      <c r="X318" s="474"/>
      <c r="Y318" s="474"/>
      <c r="Z318" s="474"/>
    </row>
    <row r="319" ht="12.0" customHeight="1">
      <c r="A319" s="480"/>
      <c r="B319" s="485"/>
      <c r="C319" s="525"/>
      <c r="D319" s="525"/>
      <c r="E319" s="526"/>
      <c r="F319" s="526"/>
      <c r="G319" s="474"/>
      <c r="H319" s="474"/>
      <c r="I319" s="474"/>
      <c r="J319" s="474"/>
      <c r="K319" s="474"/>
      <c r="L319" s="474"/>
      <c r="M319" s="474"/>
      <c r="N319" s="474"/>
      <c r="O319" s="474"/>
      <c r="P319" s="474"/>
      <c r="Q319" s="474"/>
      <c r="R319" s="474"/>
      <c r="S319" s="474"/>
      <c r="T319" s="474"/>
      <c r="U319" s="474"/>
      <c r="V319" s="474"/>
      <c r="W319" s="474"/>
      <c r="X319" s="474"/>
      <c r="Y319" s="474"/>
      <c r="Z319" s="474"/>
    </row>
    <row r="320" ht="12.0" customHeight="1">
      <c r="A320" s="480"/>
      <c r="B320" s="485"/>
      <c r="C320" s="525"/>
      <c r="D320" s="525"/>
      <c r="E320" s="526"/>
      <c r="F320" s="526"/>
      <c r="G320" s="474"/>
      <c r="H320" s="474"/>
      <c r="I320" s="474"/>
      <c r="J320" s="474"/>
      <c r="K320" s="474"/>
      <c r="L320" s="474"/>
      <c r="M320" s="474"/>
      <c r="N320" s="474"/>
      <c r="O320" s="474"/>
      <c r="P320" s="474"/>
      <c r="Q320" s="474"/>
      <c r="R320" s="474"/>
      <c r="S320" s="474"/>
      <c r="T320" s="474"/>
      <c r="U320" s="474"/>
      <c r="V320" s="474"/>
      <c r="W320" s="474"/>
      <c r="X320" s="474"/>
      <c r="Y320" s="474"/>
      <c r="Z320" s="474"/>
    </row>
    <row r="321" ht="12.0" customHeight="1">
      <c r="A321" s="480"/>
      <c r="B321" s="485"/>
      <c r="C321" s="525"/>
      <c r="D321" s="525"/>
      <c r="E321" s="526"/>
      <c r="F321" s="526"/>
      <c r="G321" s="474"/>
      <c r="H321" s="474"/>
      <c r="I321" s="474"/>
      <c r="J321" s="474"/>
      <c r="K321" s="474"/>
      <c r="L321" s="474"/>
      <c r="M321" s="474"/>
      <c r="N321" s="474"/>
      <c r="O321" s="474"/>
      <c r="P321" s="474"/>
      <c r="Q321" s="474"/>
      <c r="R321" s="474"/>
      <c r="S321" s="474"/>
      <c r="T321" s="474"/>
      <c r="U321" s="474"/>
      <c r="V321" s="474"/>
      <c r="W321" s="474"/>
      <c r="X321" s="474"/>
      <c r="Y321" s="474"/>
      <c r="Z321" s="474"/>
    </row>
    <row r="322" ht="12.0" customHeight="1">
      <c r="A322" s="480"/>
      <c r="B322" s="485"/>
      <c r="C322" s="525"/>
      <c r="D322" s="525"/>
      <c r="E322" s="526"/>
      <c r="F322" s="526"/>
      <c r="G322" s="474"/>
      <c r="H322" s="474"/>
      <c r="I322" s="474"/>
      <c r="J322" s="474"/>
      <c r="K322" s="474"/>
      <c r="L322" s="474"/>
      <c r="M322" s="474"/>
      <c r="N322" s="474"/>
      <c r="O322" s="474"/>
      <c r="P322" s="474"/>
      <c r="Q322" s="474"/>
      <c r="R322" s="474"/>
      <c r="S322" s="474"/>
      <c r="T322" s="474"/>
      <c r="U322" s="474"/>
      <c r="V322" s="474"/>
      <c r="W322" s="474"/>
      <c r="X322" s="474"/>
      <c r="Y322" s="474"/>
      <c r="Z322" s="474"/>
    </row>
    <row r="323" ht="12.0" customHeight="1">
      <c r="A323" s="480"/>
      <c r="B323" s="485"/>
      <c r="C323" s="525"/>
      <c r="D323" s="525"/>
      <c r="E323" s="526"/>
      <c r="F323" s="526"/>
      <c r="G323" s="474"/>
      <c r="H323" s="474"/>
      <c r="I323" s="474"/>
      <c r="J323" s="474"/>
      <c r="K323" s="474"/>
      <c r="L323" s="474"/>
      <c r="M323" s="474"/>
      <c r="N323" s="474"/>
      <c r="O323" s="474"/>
      <c r="P323" s="474"/>
      <c r="Q323" s="474"/>
      <c r="R323" s="474"/>
      <c r="S323" s="474"/>
      <c r="T323" s="474"/>
      <c r="U323" s="474"/>
      <c r="V323" s="474"/>
      <c r="W323" s="474"/>
      <c r="X323" s="474"/>
      <c r="Y323" s="474"/>
      <c r="Z323" s="474"/>
    </row>
    <row r="324" ht="12.0" customHeight="1">
      <c r="A324" s="480"/>
      <c r="B324" s="485"/>
      <c r="C324" s="525"/>
      <c r="D324" s="525"/>
      <c r="E324" s="526"/>
      <c r="F324" s="526"/>
      <c r="G324" s="474"/>
      <c r="H324" s="474"/>
      <c r="I324" s="474"/>
      <c r="J324" s="474"/>
      <c r="K324" s="474"/>
      <c r="L324" s="474"/>
      <c r="M324" s="474"/>
      <c r="N324" s="474"/>
      <c r="O324" s="474"/>
      <c r="P324" s="474"/>
      <c r="Q324" s="474"/>
      <c r="R324" s="474"/>
      <c r="S324" s="474"/>
      <c r="T324" s="474"/>
      <c r="U324" s="474"/>
      <c r="V324" s="474"/>
      <c r="W324" s="474"/>
      <c r="X324" s="474"/>
      <c r="Y324" s="474"/>
      <c r="Z324" s="474"/>
    </row>
    <row r="325" ht="12.0" customHeight="1">
      <c r="A325" s="480"/>
      <c r="B325" s="485"/>
      <c r="C325" s="525"/>
      <c r="D325" s="525"/>
      <c r="E325" s="526"/>
      <c r="F325" s="526"/>
      <c r="G325" s="474"/>
      <c r="H325" s="474"/>
      <c r="I325" s="474"/>
      <c r="J325" s="474"/>
      <c r="K325" s="474"/>
      <c r="L325" s="474"/>
      <c r="M325" s="474"/>
      <c r="N325" s="474"/>
      <c r="O325" s="474"/>
      <c r="P325" s="474"/>
      <c r="Q325" s="474"/>
      <c r="R325" s="474"/>
      <c r="S325" s="474"/>
      <c r="T325" s="474"/>
      <c r="U325" s="474"/>
      <c r="V325" s="474"/>
      <c r="W325" s="474"/>
      <c r="X325" s="474"/>
      <c r="Y325" s="474"/>
      <c r="Z325" s="474"/>
    </row>
    <row r="326" ht="12.0" customHeight="1">
      <c r="A326" s="480"/>
      <c r="B326" s="485"/>
      <c r="C326" s="525"/>
      <c r="D326" s="525"/>
      <c r="E326" s="526"/>
      <c r="F326" s="526"/>
      <c r="G326" s="474"/>
      <c r="H326" s="474"/>
      <c r="I326" s="474"/>
      <c r="J326" s="474"/>
      <c r="K326" s="474"/>
      <c r="L326" s="474"/>
      <c r="M326" s="474"/>
      <c r="N326" s="474"/>
      <c r="O326" s="474"/>
      <c r="P326" s="474"/>
      <c r="Q326" s="474"/>
      <c r="R326" s="474"/>
      <c r="S326" s="474"/>
      <c r="T326" s="474"/>
      <c r="U326" s="474"/>
      <c r="V326" s="474"/>
      <c r="W326" s="474"/>
      <c r="X326" s="474"/>
      <c r="Y326" s="474"/>
      <c r="Z326" s="474"/>
    </row>
    <row r="327" ht="12.0" customHeight="1">
      <c r="A327" s="480"/>
      <c r="B327" s="485"/>
      <c r="C327" s="525"/>
      <c r="D327" s="525"/>
      <c r="E327" s="526"/>
      <c r="F327" s="526"/>
      <c r="G327" s="474"/>
      <c r="H327" s="474"/>
      <c r="I327" s="474"/>
      <c r="J327" s="474"/>
      <c r="K327" s="474"/>
      <c r="L327" s="474"/>
      <c r="M327" s="474"/>
      <c r="N327" s="474"/>
      <c r="O327" s="474"/>
      <c r="P327" s="474"/>
      <c r="Q327" s="474"/>
      <c r="R327" s="474"/>
      <c r="S327" s="474"/>
      <c r="T327" s="474"/>
      <c r="U327" s="474"/>
      <c r="V327" s="474"/>
      <c r="W327" s="474"/>
      <c r="X327" s="474"/>
      <c r="Y327" s="474"/>
      <c r="Z327" s="474"/>
    </row>
    <row r="328" ht="12.0" customHeight="1">
      <c r="A328" s="480"/>
      <c r="B328" s="485"/>
      <c r="C328" s="525"/>
      <c r="D328" s="525"/>
      <c r="E328" s="526"/>
      <c r="F328" s="526"/>
      <c r="G328" s="474"/>
      <c r="H328" s="474"/>
      <c r="I328" s="474"/>
      <c r="J328" s="474"/>
      <c r="K328" s="474"/>
      <c r="L328" s="474"/>
      <c r="M328" s="474"/>
      <c r="N328" s="474"/>
      <c r="O328" s="474"/>
      <c r="P328" s="474"/>
      <c r="Q328" s="474"/>
      <c r="R328" s="474"/>
      <c r="S328" s="474"/>
      <c r="T328" s="474"/>
      <c r="U328" s="474"/>
      <c r="V328" s="474"/>
      <c r="W328" s="474"/>
      <c r="X328" s="474"/>
      <c r="Y328" s="474"/>
      <c r="Z328" s="474"/>
    </row>
    <row r="329" ht="12.0" customHeight="1">
      <c r="A329" s="480"/>
      <c r="B329" s="485"/>
      <c r="C329" s="525"/>
      <c r="D329" s="525"/>
      <c r="E329" s="526"/>
      <c r="F329" s="526"/>
      <c r="G329" s="474"/>
      <c r="H329" s="474"/>
      <c r="I329" s="474"/>
      <c r="J329" s="474"/>
      <c r="K329" s="474"/>
      <c r="L329" s="474"/>
      <c r="M329" s="474"/>
      <c r="N329" s="474"/>
      <c r="O329" s="474"/>
      <c r="P329" s="474"/>
      <c r="Q329" s="474"/>
      <c r="R329" s="474"/>
      <c r="S329" s="474"/>
      <c r="T329" s="474"/>
      <c r="U329" s="474"/>
      <c r="V329" s="474"/>
      <c r="W329" s="474"/>
      <c r="X329" s="474"/>
      <c r="Y329" s="474"/>
      <c r="Z329" s="474"/>
    </row>
    <row r="330" ht="12.0" customHeight="1">
      <c r="A330" s="480"/>
      <c r="B330" s="485"/>
      <c r="C330" s="525"/>
      <c r="D330" s="525"/>
      <c r="E330" s="526"/>
      <c r="F330" s="526"/>
      <c r="G330" s="474"/>
      <c r="H330" s="474"/>
      <c r="I330" s="474"/>
      <c r="J330" s="474"/>
      <c r="K330" s="474"/>
      <c r="L330" s="474"/>
      <c r="M330" s="474"/>
      <c r="N330" s="474"/>
      <c r="O330" s="474"/>
      <c r="P330" s="474"/>
      <c r="Q330" s="474"/>
      <c r="R330" s="474"/>
      <c r="S330" s="474"/>
      <c r="T330" s="474"/>
      <c r="U330" s="474"/>
      <c r="V330" s="474"/>
      <c r="W330" s="474"/>
      <c r="X330" s="474"/>
      <c r="Y330" s="474"/>
      <c r="Z330" s="474"/>
    </row>
    <row r="331" ht="12.0" customHeight="1">
      <c r="A331" s="480"/>
      <c r="B331" s="485"/>
      <c r="C331" s="525"/>
      <c r="D331" s="525"/>
      <c r="E331" s="526"/>
      <c r="F331" s="526"/>
      <c r="G331" s="474"/>
      <c r="H331" s="474"/>
      <c r="I331" s="474"/>
      <c r="J331" s="474"/>
      <c r="K331" s="474"/>
      <c r="L331" s="474"/>
      <c r="M331" s="474"/>
      <c r="N331" s="474"/>
      <c r="O331" s="474"/>
      <c r="P331" s="474"/>
      <c r="Q331" s="474"/>
      <c r="R331" s="474"/>
      <c r="S331" s="474"/>
      <c r="T331" s="474"/>
      <c r="U331" s="474"/>
      <c r="V331" s="474"/>
      <c r="W331" s="474"/>
      <c r="X331" s="474"/>
      <c r="Y331" s="474"/>
      <c r="Z331" s="474"/>
    </row>
    <row r="332" ht="12.0" customHeight="1">
      <c r="A332" s="480"/>
      <c r="B332" s="485"/>
      <c r="C332" s="525"/>
      <c r="D332" s="525"/>
      <c r="E332" s="526"/>
      <c r="F332" s="526"/>
      <c r="G332" s="474"/>
      <c r="H332" s="474"/>
      <c r="I332" s="474"/>
      <c r="J332" s="474"/>
      <c r="K332" s="474"/>
      <c r="L332" s="474"/>
      <c r="M332" s="474"/>
      <c r="N332" s="474"/>
      <c r="O332" s="474"/>
      <c r="P332" s="474"/>
      <c r="Q332" s="474"/>
      <c r="R332" s="474"/>
      <c r="S332" s="474"/>
      <c r="T332" s="474"/>
      <c r="U332" s="474"/>
      <c r="V332" s="474"/>
      <c r="W332" s="474"/>
      <c r="X332" s="474"/>
      <c r="Y332" s="474"/>
      <c r="Z332" s="474"/>
    </row>
    <row r="333" ht="12.0" customHeight="1">
      <c r="A333" s="480"/>
      <c r="B333" s="485"/>
      <c r="C333" s="525"/>
      <c r="D333" s="525"/>
      <c r="E333" s="526"/>
      <c r="F333" s="526"/>
      <c r="G333" s="474"/>
      <c r="H333" s="474"/>
      <c r="I333" s="474"/>
      <c r="J333" s="474"/>
      <c r="K333" s="474"/>
      <c r="L333" s="474"/>
      <c r="M333" s="474"/>
      <c r="N333" s="474"/>
      <c r="O333" s="474"/>
      <c r="P333" s="474"/>
      <c r="Q333" s="474"/>
      <c r="R333" s="474"/>
      <c r="S333" s="474"/>
      <c r="T333" s="474"/>
      <c r="U333" s="474"/>
      <c r="V333" s="474"/>
      <c r="W333" s="474"/>
      <c r="X333" s="474"/>
      <c r="Y333" s="474"/>
      <c r="Z333" s="474"/>
    </row>
    <row r="334" ht="12.0" customHeight="1">
      <c r="A334" s="480"/>
      <c r="B334" s="485"/>
      <c r="C334" s="525"/>
      <c r="D334" s="525"/>
      <c r="E334" s="526"/>
      <c r="F334" s="526"/>
      <c r="G334" s="474"/>
      <c r="H334" s="474"/>
      <c r="I334" s="474"/>
      <c r="J334" s="474"/>
      <c r="K334" s="474"/>
      <c r="L334" s="474"/>
      <c r="M334" s="474"/>
      <c r="N334" s="474"/>
      <c r="O334" s="474"/>
      <c r="P334" s="474"/>
      <c r="Q334" s="474"/>
      <c r="R334" s="474"/>
      <c r="S334" s="474"/>
      <c r="T334" s="474"/>
      <c r="U334" s="474"/>
      <c r="V334" s="474"/>
      <c r="W334" s="474"/>
      <c r="X334" s="474"/>
      <c r="Y334" s="474"/>
      <c r="Z334" s="474"/>
    </row>
    <row r="335" ht="12.0" customHeight="1">
      <c r="A335" s="480"/>
      <c r="B335" s="485"/>
      <c r="C335" s="525"/>
      <c r="D335" s="525"/>
      <c r="E335" s="526"/>
      <c r="F335" s="526"/>
      <c r="G335" s="474"/>
      <c r="H335" s="474"/>
      <c r="I335" s="474"/>
      <c r="J335" s="474"/>
      <c r="K335" s="474"/>
      <c r="L335" s="474"/>
      <c r="M335" s="474"/>
      <c r="N335" s="474"/>
      <c r="O335" s="474"/>
      <c r="P335" s="474"/>
      <c r="Q335" s="474"/>
      <c r="R335" s="474"/>
      <c r="S335" s="474"/>
      <c r="T335" s="474"/>
      <c r="U335" s="474"/>
      <c r="V335" s="474"/>
      <c r="W335" s="474"/>
      <c r="X335" s="474"/>
      <c r="Y335" s="474"/>
      <c r="Z335" s="474"/>
    </row>
    <row r="336" ht="12.0" customHeight="1">
      <c r="A336" s="480"/>
      <c r="B336" s="485"/>
      <c r="C336" s="525"/>
      <c r="D336" s="525"/>
      <c r="E336" s="526"/>
      <c r="F336" s="526"/>
      <c r="G336" s="474"/>
      <c r="H336" s="474"/>
      <c r="I336" s="474"/>
      <c r="J336" s="474"/>
      <c r="K336" s="474"/>
      <c r="L336" s="474"/>
      <c r="M336" s="474"/>
      <c r="N336" s="474"/>
      <c r="O336" s="474"/>
      <c r="P336" s="474"/>
      <c r="Q336" s="474"/>
      <c r="R336" s="474"/>
      <c r="S336" s="474"/>
      <c r="T336" s="474"/>
      <c r="U336" s="474"/>
      <c r="V336" s="474"/>
      <c r="W336" s="474"/>
      <c r="X336" s="474"/>
      <c r="Y336" s="474"/>
      <c r="Z336" s="474"/>
    </row>
    <row r="337" ht="12.0" customHeight="1">
      <c r="A337" s="480"/>
      <c r="B337" s="485"/>
      <c r="C337" s="525"/>
      <c r="D337" s="525"/>
      <c r="E337" s="526"/>
      <c r="F337" s="526"/>
      <c r="G337" s="474"/>
      <c r="H337" s="474"/>
      <c r="I337" s="474"/>
      <c r="J337" s="474"/>
      <c r="K337" s="474"/>
      <c r="L337" s="474"/>
      <c r="M337" s="474"/>
      <c r="N337" s="474"/>
      <c r="O337" s="474"/>
      <c r="P337" s="474"/>
      <c r="Q337" s="474"/>
      <c r="R337" s="474"/>
      <c r="S337" s="474"/>
      <c r="T337" s="474"/>
      <c r="U337" s="474"/>
      <c r="V337" s="474"/>
      <c r="W337" s="474"/>
      <c r="X337" s="474"/>
      <c r="Y337" s="474"/>
      <c r="Z337" s="474"/>
    </row>
    <row r="338" ht="12.0" customHeight="1">
      <c r="A338" s="480"/>
      <c r="B338" s="485"/>
      <c r="C338" s="525"/>
      <c r="D338" s="525"/>
      <c r="E338" s="526"/>
      <c r="F338" s="526"/>
      <c r="G338" s="474"/>
      <c r="H338" s="474"/>
      <c r="I338" s="474"/>
      <c r="J338" s="474"/>
      <c r="K338" s="474"/>
      <c r="L338" s="474"/>
      <c r="M338" s="474"/>
      <c r="N338" s="474"/>
      <c r="O338" s="474"/>
      <c r="P338" s="474"/>
      <c r="Q338" s="474"/>
      <c r="R338" s="474"/>
      <c r="S338" s="474"/>
      <c r="T338" s="474"/>
      <c r="U338" s="474"/>
      <c r="V338" s="474"/>
      <c r="W338" s="474"/>
      <c r="X338" s="474"/>
      <c r="Y338" s="474"/>
      <c r="Z338" s="474"/>
    </row>
    <row r="339" ht="12.0" customHeight="1">
      <c r="A339" s="480"/>
      <c r="B339" s="485"/>
      <c r="C339" s="525"/>
      <c r="D339" s="525"/>
      <c r="E339" s="526"/>
      <c r="F339" s="526"/>
      <c r="G339" s="474"/>
      <c r="H339" s="474"/>
      <c r="I339" s="474"/>
      <c r="J339" s="474"/>
      <c r="K339" s="474"/>
      <c r="L339" s="474"/>
      <c r="M339" s="474"/>
      <c r="N339" s="474"/>
      <c r="O339" s="474"/>
      <c r="P339" s="474"/>
      <c r="Q339" s="474"/>
      <c r="R339" s="474"/>
      <c r="S339" s="474"/>
      <c r="T339" s="474"/>
      <c r="U339" s="474"/>
      <c r="V339" s="474"/>
      <c r="W339" s="474"/>
      <c r="X339" s="474"/>
      <c r="Y339" s="474"/>
      <c r="Z339" s="474"/>
    </row>
    <row r="340" ht="12.0" customHeight="1">
      <c r="A340" s="480"/>
      <c r="B340" s="485"/>
      <c r="C340" s="525"/>
      <c r="D340" s="525"/>
      <c r="E340" s="526"/>
      <c r="F340" s="526"/>
      <c r="G340" s="474"/>
      <c r="H340" s="474"/>
      <c r="I340" s="474"/>
      <c r="J340" s="474"/>
      <c r="K340" s="474"/>
      <c r="L340" s="474"/>
      <c r="M340" s="474"/>
      <c r="N340" s="474"/>
      <c r="O340" s="474"/>
      <c r="P340" s="474"/>
      <c r="Q340" s="474"/>
      <c r="R340" s="474"/>
      <c r="S340" s="474"/>
      <c r="T340" s="474"/>
      <c r="U340" s="474"/>
      <c r="V340" s="474"/>
      <c r="W340" s="474"/>
      <c r="X340" s="474"/>
      <c r="Y340" s="474"/>
      <c r="Z340" s="474"/>
    </row>
    <row r="341" ht="12.0" customHeight="1">
      <c r="A341" s="480"/>
      <c r="B341" s="485"/>
      <c r="C341" s="525"/>
      <c r="D341" s="525"/>
      <c r="E341" s="526"/>
      <c r="F341" s="526"/>
      <c r="G341" s="474"/>
      <c r="H341" s="474"/>
      <c r="I341" s="474"/>
      <c r="J341" s="474"/>
      <c r="K341" s="474"/>
      <c r="L341" s="474"/>
      <c r="M341" s="474"/>
      <c r="N341" s="474"/>
      <c r="O341" s="474"/>
      <c r="P341" s="474"/>
      <c r="Q341" s="474"/>
      <c r="R341" s="474"/>
      <c r="S341" s="474"/>
      <c r="T341" s="474"/>
      <c r="U341" s="474"/>
      <c r="V341" s="474"/>
      <c r="W341" s="474"/>
      <c r="X341" s="474"/>
      <c r="Y341" s="474"/>
      <c r="Z341" s="474"/>
    </row>
    <row r="342" ht="12.0" customHeight="1">
      <c r="A342" s="480"/>
      <c r="B342" s="485"/>
      <c r="C342" s="525"/>
      <c r="D342" s="525"/>
      <c r="E342" s="526"/>
      <c r="F342" s="526"/>
      <c r="G342" s="474"/>
      <c r="H342" s="474"/>
      <c r="I342" s="474"/>
      <c r="J342" s="474"/>
      <c r="K342" s="474"/>
      <c r="L342" s="474"/>
      <c r="M342" s="474"/>
      <c r="N342" s="474"/>
      <c r="O342" s="474"/>
      <c r="P342" s="474"/>
      <c r="Q342" s="474"/>
      <c r="R342" s="474"/>
      <c r="S342" s="474"/>
      <c r="T342" s="474"/>
      <c r="U342" s="474"/>
      <c r="V342" s="474"/>
      <c r="W342" s="474"/>
      <c r="X342" s="474"/>
      <c r="Y342" s="474"/>
      <c r="Z342" s="474"/>
    </row>
    <row r="343" ht="12.0" customHeight="1">
      <c r="A343" s="480"/>
      <c r="B343" s="485"/>
      <c r="C343" s="525"/>
      <c r="D343" s="525"/>
      <c r="E343" s="526"/>
      <c r="F343" s="526"/>
      <c r="G343" s="474"/>
      <c r="H343" s="474"/>
      <c r="I343" s="474"/>
      <c r="J343" s="474"/>
      <c r="K343" s="474"/>
      <c r="L343" s="474"/>
      <c r="M343" s="474"/>
      <c r="N343" s="474"/>
      <c r="O343" s="474"/>
      <c r="P343" s="474"/>
      <c r="Q343" s="474"/>
      <c r="R343" s="474"/>
      <c r="S343" s="474"/>
      <c r="T343" s="474"/>
      <c r="U343" s="474"/>
      <c r="V343" s="474"/>
      <c r="W343" s="474"/>
      <c r="X343" s="474"/>
      <c r="Y343" s="474"/>
      <c r="Z343" s="474"/>
    </row>
    <row r="344" ht="12.0" customHeight="1">
      <c r="A344" s="480"/>
      <c r="B344" s="485"/>
      <c r="C344" s="525"/>
      <c r="D344" s="525"/>
      <c r="E344" s="526"/>
      <c r="F344" s="526"/>
      <c r="G344" s="474"/>
      <c r="H344" s="474"/>
      <c r="I344" s="474"/>
      <c r="J344" s="474"/>
      <c r="K344" s="474"/>
      <c r="L344" s="474"/>
      <c r="M344" s="474"/>
      <c r="N344" s="474"/>
      <c r="O344" s="474"/>
      <c r="P344" s="474"/>
      <c r="Q344" s="474"/>
      <c r="R344" s="474"/>
      <c r="S344" s="474"/>
      <c r="T344" s="474"/>
      <c r="U344" s="474"/>
      <c r="V344" s="474"/>
      <c r="W344" s="474"/>
      <c r="X344" s="474"/>
      <c r="Y344" s="474"/>
      <c r="Z344" s="474"/>
    </row>
    <row r="345" ht="12.0" customHeight="1">
      <c r="A345" s="480"/>
      <c r="B345" s="485"/>
      <c r="C345" s="525"/>
      <c r="D345" s="525"/>
      <c r="E345" s="526"/>
      <c r="F345" s="526"/>
      <c r="G345" s="474"/>
      <c r="H345" s="474"/>
      <c r="I345" s="474"/>
      <c r="J345" s="474"/>
      <c r="K345" s="474"/>
      <c r="L345" s="474"/>
      <c r="M345" s="474"/>
      <c r="N345" s="474"/>
      <c r="O345" s="474"/>
      <c r="P345" s="474"/>
      <c r="Q345" s="474"/>
      <c r="R345" s="474"/>
      <c r="S345" s="474"/>
      <c r="T345" s="474"/>
      <c r="U345" s="474"/>
      <c r="V345" s="474"/>
      <c r="W345" s="474"/>
      <c r="X345" s="474"/>
      <c r="Y345" s="474"/>
      <c r="Z345" s="474"/>
    </row>
    <row r="346" ht="12.0" customHeight="1">
      <c r="A346" s="480"/>
      <c r="B346" s="485"/>
      <c r="C346" s="525"/>
      <c r="D346" s="525"/>
      <c r="E346" s="526"/>
      <c r="F346" s="526"/>
      <c r="G346" s="474"/>
      <c r="H346" s="474"/>
      <c r="I346" s="474"/>
      <c r="J346" s="474"/>
      <c r="K346" s="474"/>
      <c r="L346" s="474"/>
      <c r="M346" s="474"/>
      <c r="N346" s="474"/>
      <c r="O346" s="474"/>
      <c r="P346" s="474"/>
      <c r="Q346" s="474"/>
      <c r="R346" s="474"/>
      <c r="S346" s="474"/>
      <c r="T346" s="474"/>
      <c r="U346" s="474"/>
      <c r="V346" s="474"/>
      <c r="W346" s="474"/>
      <c r="X346" s="474"/>
      <c r="Y346" s="474"/>
      <c r="Z346" s="474"/>
    </row>
    <row r="347" ht="12.0" customHeight="1">
      <c r="A347" s="480"/>
      <c r="B347" s="485"/>
      <c r="C347" s="525"/>
      <c r="D347" s="525"/>
      <c r="E347" s="526"/>
      <c r="F347" s="526"/>
      <c r="G347" s="474"/>
      <c r="H347" s="474"/>
      <c r="I347" s="474"/>
      <c r="J347" s="474"/>
      <c r="K347" s="474"/>
      <c r="L347" s="474"/>
      <c r="M347" s="474"/>
      <c r="N347" s="474"/>
      <c r="O347" s="474"/>
      <c r="P347" s="474"/>
      <c r="Q347" s="474"/>
      <c r="R347" s="474"/>
      <c r="S347" s="474"/>
      <c r="T347" s="474"/>
      <c r="U347" s="474"/>
      <c r="V347" s="474"/>
      <c r="W347" s="474"/>
      <c r="X347" s="474"/>
      <c r="Y347" s="474"/>
      <c r="Z347" s="474"/>
    </row>
    <row r="348" ht="12.0" customHeight="1">
      <c r="A348" s="480"/>
      <c r="B348" s="485"/>
      <c r="C348" s="525"/>
      <c r="D348" s="525"/>
      <c r="E348" s="526"/>
      <c r="F348" s="526"/>
      <c r="G348" s="474"/>
      <c r="H348" s="474"/>
      <c r="I348" s="474"/>
      <c r="J348" s="474"/>
      <c r="K348" s="474"/>
      <c r="L348" s="474"/>
      <c r="M348" s="474"/>
      <c r="N348" s="474"/>
      <c r="O348" s="474"/>
      <c r="P348" s="474"/>
      <c r="Q348" s="474"/>
      <c r="R348" s="474"/>
      <c r="S348" s="474"/>
      <c r="T348" s="474"/>
      <c r="U348" s="474"/>
      <c r="V348" s="474"/>
      <c r="W348" s="474"/>
      <c r="X348" s="474"/>
      <c r="Y348" s="474"/>
      <c r="Z348" s="474"/>
    </row>
    <row r="349" ht="12.0" customHeight="1">
      <c r="A349" s="480"/>
      <c r="B349" s="485"/>
      <c r="C349" s="525"/>
      <c r="D349" s="525"/>
      <c r="E349" s="526"/>
      <c r="F349" s="526"/>
      <c r="G349" s="474"/>
      <c r="H349" s="474"/>
      <c r="I349" s="474"/>
      <c r="J349" s="474"/>
      <c r="K349" s="474"/>
      <c r="L349" s="474"/>
      <c r="M349" s="474"/>
      <c r="N349" s="474"/>
      <c r="O349" s="474"/>
      <c r="P349" s="474"/>
      <c r="Q349" s="474"/>
      <c r="R349" s="474"/>
      <c r="S349" s="474"/>
      <c r="T349" s="474"/>
      <c r="U349" s="474"/>
      <c r="V349" s="474"/>
      <c r="W349" s="474"/>
      <c r="X349" s="474"/>
      <c r="Y349" s="474"/>
      <c r="Z349" s="474"/>
    </row>
    <row r="350" ht="12.0" customHeight="1">
      <c r="A350" s="480"/>
      <c r="B350" s="485"/>
      <c r="C350" s="525"/>
      <c r="D350" s="525"/>
      <c r="E350" s="526"/>
      <c r="F350" s="526"/>
      <c r="G350" s="474"/>
      <c r="H350" s="474"/>
      <c r="I350" s="474"/>
      <c r="J350" s="474"/>
      <c r="K350" s="474"/>
      <c r="L350" s="474"/>
      <c r="M350" s="474"/>
      <c r="N350" s="474"/>
      <c r="O350" s="474"/>
      <c r="P350" s="474"/>
      <c r="Q350" s="474"/>
      <c r="R350" s="474"/>
      <c r="S350" s="474"/>
      <c r="T350" s="474"/>
      <c r="U350" s="474"/>
      <c r="V350" s="474"/>
      <c r="W350" s="474"/>
      <c r="X350" s="474"/>
      <c r="Y350" s="474"/>
      <c r="Z350" s="474"/>
    </row>
    <row r="351" ht="12.0" customHeight="1">
      <c r="A351" s="480"/>
      <c r="B351" s="485"/>
      <c r="C351" s="525"/>
      <c r="D351" s="525"/>
      <c r="E351" s="526"/>
      <c r="F351" s="526"/>
      <c r="G351" s="474"/>
      <c r="H351" s="474"/>
      <c r="I351" s="474"/>
      <c r="J351" s="474"/>
      <c r="K351" s="474"/>
      <c r="L351" s="474"/>
      <c r="M351" s="474"/>
      <c r="N351" s="474"/>
      <c r="O351" s="474"/>
      <c r="P351" s="474"/>
      <c r="Q351" s="474"/>
      <c r="R351" s="474"/>
      <c r="S351" s="474"/>
      <c r="T351" s="474"/>
      <c r="U351" s="474"/>
      <c r="V351" s="474"/>
      <c r="W351" s="474"/>
      <c r="X351" s="474"/>
      <c r="Y351" s="474"/>
      <c r="Z351" s="474"/>
    </row>
    <row r="352" ht="12.0" customHeight="1">
      <c r="A352" s="480"/>
      <c r="B352" s="485"/>
      <c r="C352" s="525"/>
      <c r="D352" s="525"/>
      <c r="E352" s="526"/>
      <c r="F352" s="526"/>
      <c r="G352" s="474"/>
      <c r="H352" s="474"/>
      <c r="I352" s="474"/>
      <c r="J352" s="474"/>
      <c r="K352" s="474"/>
      <c r="L352" s="474"/>
      <c r="M352" s="474"/>
      <c r="N352" s="474"/>
      <c r="O352" s="474"/>
      <c r="P352" s="474"/>
      <c r="Q352" s="474"/>
      <c r="R352" s="474"/>
      <c r="S352" s="474"/>
      <c r="T352" s="474"/>
      <c r="U352" s="474"/>
      <c r="V352" s="474"/>
      <c r="W352" s="474"/>
      <c r="X352" s="474"/>
      <c r="Y352" s="474"/>
      <c r="Z352" s="474"/>
    </row>
    <row r="353" ht="12.0" customHeight="1">
      <c r="A353" s="480"/>
      <c r="B353" s="485"/>
      <c r="C353" s="525"/>
      <c r="D353" s="525"/>
      <c r="E353" s="526"/>
      <c r="F353" s="526"/>
      <c r="G353" s="474"/>
      <c r="H353" s="474"/>
      <c r="I353" s="474"/>
      <c r="J353" s="474"/>
      <c r="K353" s="474"/>
      <c r="L353" s="474"/>
      <c r="M353" s="474"/>
      <c r="N353" s="474"/>
      <c r="O353" s="474"/>
      <c r="P353" s="474"/>
      <c r="Q353" s="474"/>
      <c r="R353" s="474"/>
      <c r="S353" s="474"/>
      <c r="T353" s="474"/>
      <c r="U353" s="474"/>
      <c r="V353" s="474"/>
      <c r="W353" s="474"/>
      <c r="X353" s="474"/>
      <c r="Y353" s="474"/>
      <c r="Z353" s="474"/>
    </row>
    <row r="354" ht="12.0" customHeight="1">
      <c r="A354" s="480"/>
      <c r="B354" s="485"/>
      <c r="C354" s="525"/>
      <c r="D354" s="525"/>
      <c r="E354" s="526"/>
      <c r="F354" s="526"/>
      <c r="G354" s="474"/>
      <c r="H354" s="474"/>
      <c r="I354" s="474"/>
      <c r="J354" s="474"/>
      <c r="K354" s="474"/>
      <c r="L354" s="474"/>
      <c r="M354" s="474"/>
      <c r="N354" s="474"/>
      <c r="O354" s="474"/>
      <c r="P354" s="474"/>
      <c r="Q354" s="474"/>
      <c r="R354" s="474"/>
      <c r="S354" s="474"/>
      <c r="T354" s="474"/>
      <c r="U354" s="474"/>
      <c r="V354" s="474"/>
      <c r="W354" s="474"/>
      <c r="X354" s="474"/>
      <c r="Y354" s="474"/>
      <c r="Z354" s="474"/>
    </row>
    <row r="355" ht="12.0" customHeight="1">
      <c r="A355" s="480"/>
      <c r="B355" s="485"/>
      <c r="C355" s="525"/>
      <c r="D355" s="525"/>
      <c r="E355" s="526"/>
      <c r="F355" s="526"/>
      <c r="G355" s="474"/>
      <c r="H355" s="474"/>
      <c r="I355" s="474"/>
      <c r="J355" s="474"/>
      <c r="K355" s="474"/>
      <c r="L355" s="474"/>
      <c r="M355" s="474"/>
      <c r="N355" s="474"/>
      <c r="O355" s="474"/>
      <c r="P355" s="474"/>
      <c r="Q355" s="474"/>
      <c r="R355" s="474"/>
      <c r="S355" s="474"/>
      <c r="T355" s="474"/>
      <c r="U355" s="474"/>
      <c r="V355" s="474"/>
      <c r="W355" s="474"/>
      <c r="X355" s="474"/>
      <c r="Y355" s="474"/>
      <c r="Z355" s="474"/>
    </row>
    <row r="356" ht="12.0" customHeight="1">
      <c r="A356" s="480"/>
      <c r="B356" s="485"/>
      <c r="C356" s="525"/>
      <c r="D356" s="525"/>
      <c r="E356" s="526"/>
      <c r="F356" s="526"/>
      <c r="G356" s="474"/>
      <c r="H356" s="474"/>
      <c r="I356" s="474"/>
      <c r="J356" s="474"/>
      <c r="K356" s="474"/>
      <c r="L356" s="474"/>
      <c r="M356" s="474"/>
      <c r="N356" s="474"/>
      <c r="O356" s="474"/>
      <c r="P356" s="474"/>
      <c r="Q356" s="474"/>
      <c r="R356" s="474"/>
      <c r="S356" s="474"/>
      <c r="T356" s="474"/>
      <c r="U356" s="474"/>
      <c r="V356" s="474"/>
      <c r="W356" s="474"/>
      <c r="X356" s="474"/>
      <c r="Y356" s="474"/>
      <c r="Z356" s="474"/>
    </row>
    <row r="357" ht="12.0" customHeight="1">
      <c r="A357" s="480"/>
      <c r="B357" s="485"/>
      <c r="C357" s="525"/>
      <c r="D357" s="525"/>
      <c r="E357" s="526"/>
      <c r="F357" s="526"/>
      <c r="G357" s="474"/>
      <c r="H357" s="474"/>
      <c r="I357" s="474"/>
      <c r="J357" s="474"/>
      <c r="K357" s="474"/>
      <c r="L357" s="474"/>
      <c r="M357" s="474"/>
      <c r="N357" s="474"/>
      <c r="O357" s="474"/>
      <c r="P357" s="474"/>
      <c r="Q357" s="474"/>
      <c r="R357" s="474"/>
      <c r="S357" s="474"/>
      <c r="T357" s="474"/>
      <c r="U357" s="474"/>
      <c r="V357" s="474"/>
      <c r="W357" s="474"/>
      <c r="X357" s="474"/>
      <c r="Y357" s="474"/>
      <c r="Z357" s="474"/>
    </row>
    <row r="358" ht="12.0" customHeight="1">
      <c r="A358" s="480"/>
      <c r="B358" s="485"/>
      <c r="C358" s="525"/>
      <c r="D358" s="525"/>
      <c r="E358" s="526"/>
      <c r="F358" s="526"/>
      <c r="G358" s="474"/>
      <c r="H358" s="474"/>
      <c r="I358" s="474"/>
      <c r="J358" s="474"/>
      <c r="K358" s="474"/>
      <c r="L358" s="474"/>
      <c r="M358" s="474"/>
      <c r="N358" s="474"/>
      <c r="O358" s="474"/>
      <c r="P358" s="474"/>
      <c r="Q358" s="474"/>
      <c r="R358" s="474"/>
      <c r="S358" s="474"/>
      <c r="T358" s="474"/>
      <c r="U358" s="474"/>
      <c r="V358" s="474"/>
      <c r="W358" s="474"/>
      <c r="X358" s="474"/>
      <c r="Y358" s="474"/>
      <c r="Z358" s="474"/>
    </row>
    <row r="359" ht="12.0" customHeight="1">
      <c r="A359" s="480"/>
      <c r="B359" s="485"/>
      <c r="C359" s="525"/>
      <c r="D359" s="525"/>
      <c r="E359" s="526"/>
      <c r="F359" s="526"/>
      <c r="G359" s="474"/>
      <c r="H359" s="474"/>
      <c r="I359" s="474"/>
      <c r="J359" s="474"/>
      <c r="K359" s="474"/>
      <c r="L359" s="474"/>
      <c r="M359" s="474"/>
      <c r="N359" s="474"/>
      <c r="O359" s="474"/>
      <c r="P359" s="474"/>
      <c r="Q359" s="474"/>
      <c r="R359" s="474"/>
      <c r="S359" s="474"/>
      <c r="T359" s="474"/>
      <c r="U359" s="474"/>
      <c r="V359" s="474"/>
      <c r="W359" s="474"/>
      <c r="X359" s="474"/>
      <c r="Y359" s="474"/>
      <c r="Z359" s="474"/>
    </row>
    <row r="360" ht="12.0" customHeight="1">
      <c r="A360" s="480"/>
      <c r="B360" s="485"/>
      <c r="C360" s="525"/>
      <c r="D360" s="525"/>
      <c r="E360" s="526"/>
      <c r="F360" s="526"/>
      <c r="G360" s="474"/>
      <c r="H360" s="474"/>
      <c r="I360" s="474"/>
      <c r="J360" s="474"/>
      <c r="K360" s="474"/>
      <c r="L360" s="474"/>
      <c r="M360" s="474"/>
      <c r="N360" s="474"/>
      <c r="O360" s="474"/>
      <c r="P360" s="474"/>
      <c r="Q360" s="474"/>
      <c r="R360" s="474"/>
      <c r="S360" s="474"/>
      <c r="T360" s="474"/>
      <c r="U360" s="474"/>
      <c r="V360" s="474"/>
      <c r="W360" s="474"/>
      <c r="X360" s="474"/>
      <c r="Y360" s="474"/>
      <c r="Z360" s="474"/>
    </row>
    <row r="361" ht="12.0" customHeight="1">
      <c r="A361" s="480"/>
      <c r="B361" s="485"/>
      <c r="C361" s="525"/>
      <c r="D361" s="525"/>
      <c r="E361" s="526"/>
      <c r="F361" s="526"/>
      <c r="G361" s="474"/>
      <c r="H361" s="474"/>
      <c r="I361" s="474"/>
      <c r="J361" s="474"/>
      <c r="K361" s="474"/>
      <c r="L361" s="474"/>
      <c r="M361" s="474"/>
      <c r="N361" s="474"/>
      <c r="O361" s="474"/>
      <c r="P361" s="474"/>
      <c r="Q361" s="474"/>
      <c r="R361" s="474"/>
      <c r="S361" s="474"/>
      <c r="T361" s="474"/>
      <c r="U361" s="474"/>
      <c r="V361" s="474"/>
      <c r="W361" s="474"/>
      <c r="X361" s="474"/>
      <c r="Y361" s="474"/>
      <c r="Z361" s="474"/>
    </row>
    <row r="362" ht="12.0" customHeight="1">
      <c r="A362" s="480"/>
      <c r="B362" s="485"/>
      <c r="C362" s="525"/>
      <c r="D362" s="525"/>
      <c r="E362" s="526"/>
      <c r="F362" s="526"/>
      <c r="G362" s="474"/>
      <c r="H362" s="474"/>
      <c r="I362" s="474"/>
      <c r="J362" s="474"/>
      <c r="K362" s="474"/>
      <c r="L362" s="474"/>
      <c r="M362" s="474"/>
      <c r="N362" s="474"/>
      <c r="O362" s="474"/>
      <c r="P362" s="474"/>
      <c r="Q362" s="474"/>
      <c r="R362" s="474"/>
      <c r="S362" s="474"/>
      <c r="T362" s="474"/>
      <c r="U362" s="474"/>
      <c r="V362" s="474"/>
      <c r="W362" s="474"/>
      <c r="X362" s="474"/>
      <c r="Y362" s="474"/>
      <c r="Z362" s="474"/>
    </row>
    <row r="363" ht="12.0" customHeight="1">
      <c r="A363" s="480"/>
      <c r="B363" s="485"/>
      <c r="C363" s="525"/>
      <c r="D363" s="525"/>
      <c r="E363" s="526"/>
      <c r="F363" s="526"/>
      <c r="G363" s="474"/>
      <c r="H363" s="474"/>
      <c r="I363" s="474"/>
      <c r="J363" s="474"/>
      <c r="K363" s="474"/>
      <c r="L363" s="474"/>
      <c r="M363" s="474"/>
      <c r="N363" s="474"/>
      <c r="O363" s="474"/>
      <c r="P363" s="474"/>
      <c r="Q363" s="474"/>
      <c r="R363" s="474"/>
      <c r="S363" s="474"/>
      <c r="T363" s="474"/>
      <c r="U363" s="474"/>
      <c r="V363" s="474"/>
      <c r="W363" s="474"/>
      <c r="X363" s="474"/>
      <c r="Y363" s="474"/>
      <c r="Z363" s="474"/>
    </row>
    <row r="364" ht="12.0" customHeight="1">
      <c r="A364" s="480"/>
      <c r="B364" s="485"/>
      <c r="C364" s="525"/>
      <c r="D364" s="525"/>
      <c r="E364" s="526"/>
      <c r="F364" s="526"/>
      <c r="G364" s="474"/>
      <c r="H364" s="474"/>
      <c r="I364" s="474"/>
      <c r="J364" s="474"/>
      <c r="K364" s="474"/>
      <c r="L364" s="474"/>
      <c r="M364" s="474"/>
      <c r="N364" s="474"/>
      <c r="O364" s="474"/>
      <c r="P364" s="474"/>
      <c r="Q364" s="474"/>
      <c r="R364" s="474"/>
      <c r="S364" s="474"/>
      <c r="T364" s="474"/>
      <c r="U364" s="474"/>
      <c r="V364" s="474"/>
      <c r="W364" s="474"/>
      <c r="X364" s="474"/>
      <c r="Y364" s="474"/>
      <c r="Z364" s="474"/>
    </row>
    <row r="365" ht="12.0" customHeight="1">
      <c r="A365" s="480"/>
      <c r="B365" s="485"/>
      <c r="C365" s="525"/>
      <c r="D365" s="525"/>
      <c r="E365" s="526"/>
      <c r="F365" s="526"/>
      <c r="G365" s="474"/>
      <c r="H365" s="474"/>
      <c r="I365" s="474"/>
      <c r="J365" s="474"/>
      <c r="K365" s="474"/>
      <c r="L365" s="474"/>
      <c r="M365" s="474"/>
      <c r="N365" s="474"/>
      <c r="O365" s="474"/>
      <c r="P365" s="474"/>
      <c r="Q365" s="474"/>
      <c r="R365" s="474"/>
      <c r="S365" s="474"/>
      <c r="T365" s="474"/>
      <c r="U365" s="474"/>
      <c r="V365" s="474"/>
      <c r="W365" s="474"/>
      <c r="X365" s="474"/>
      <c r="Y365" s="474"/>
      <c r="Z365" s="474"/>
    </row>
    <row r="366" ht="12.0" customHeight="1">
      <c r="A366" s="480"/>
      <c r="B366" s="485"/>
      <c r="C366" s="525"/>
      <c r="D366" s="525"/>
      <c r="E366" s="526"/>
      <c r="F366" s="526"/>
      <c r="G366" s="474"/>
      <c r="H366" s="474"/>
      <c r="I366" s="474"/>
      <c r="J366" s="474"/>
      <c r="K366" s="474"/>
      <c r="L366" s="474"/>
      <c r="M366" s="474"/>
      <c r="N366" s="474"/>
      <c r="O366" s="474"/>
      <c r="P366" s="474"/>
      <c r="Q366" s="474"/>
      <c r="R366" s="474"/>
      <c r="S366" s="474"/>
      <c r="T366" s="474"/>
      <c r="U366" s="474"/>
      <c r="V366" s="474"/>
      <c r="W366" s="474"/>
      <c r="X366" s="474"/>
      <c r="Y366" s="474"/>
      <c r="Z366" s="474"/>
    </row>
    <row r="367" ht="12.0" customHeight="1">
      <c r="A367" s="480"/>
      <c r="B367" s="485"/>
      <c r="C367" s="525"/>
      <c r="D367" s="525"/>
      <c r="E367" s="526"/>
      <c r="F367" s="526"/>
      <c r="G367" s="474"/>
      <c r="H367" s="474"/>
      <c r="I367" s="474"/>
      <c r="J367" s="474"/>
      <c r="K367" s="474"/>
      <c r="L367" s="474"/>
      <c r="M367" s="474"/>
      <c r="N367" s="474"/>
      <c r="O367" s="474"/>
      <c r="P367" s="474"/>
      <c r="Q367" s="474"/>
      <c r="R367" s="474"/>
      <c r="S367" s="474"/>
      <c r="T367" s="474"/>
      <c r="U367" s="474"/>
      <c r="V367" s="474"/>
      <c r="W367" s="474"/>
      <c r="X367" s="474"/>
      <c r="Y367" s="474"/>
      <c r="Z367" s="474"/>
    </row>
    <row r="368" ht="12.0" customHeight="1">
      <c r="A368" s="480"/>
      <c r="B368" s="485"/>
      <c r="C368" s="525"/>
      <c r="D368" s="525"/>
      <c r="E368" s="526"/>
      <c r="F368" s="526"/>
      <c r="G368" s="474"/>
      <c r="H368" s="474"/>
      <c r="I368" s="474"/>
      <c r="J368" s="474"/>
      <c r="K368" s="474"/>
      <c r="L368" s="474"/>
      <c r="M368" s="474"/>
      <c r="N368" s="474"/>
      <c r="O368" s="474"/>
      <c r="P368" s="474"/>
      <c r="Q368" s="474"/>
      <c r="R368" s="474"/>
      <c r="S368" s="474"/>
      <c r="T368" s="474"/>
      <c r="U368" s="474"/>
      <c r="V368" s="474"/>
      <c r="W368" s="474"/>
      <c r="X368" s="474"/>
      <c r="Y368" s="474"/>
      <c r="Z368" s="474"/>
    </row>
    <row r="369" ht="12.0" customHeight="1">
      <c r="A369" s="480"/>
      <c r="B369" s="485"/>
      <c r="C369" s="525"/>
      <c r="D369" s="525"/>
      <c r="E369" s="526"/>
      <c r="F369" s="526"/>
      <c r="G369" s="474"/>
      <c r="H369" s="474"/>
      <c r="I369" s="474"/>
      <c r="J369" s="474"/>
      <c r="K369" s="474"/>
      <c r="L369" s="474"/>
      <c r="M369" s="474"/>
      <c r="N369" s="474"/>
      <c r="O369" s="474"/>
      <c r="P369" s="474"/>
      <c r="Q369" s="474"/>
      <c r="R369" s="474"/>
      <c r="S369" s="474"/>
      <c r="T369" s="474"/>
      <c r="U369" s="474"/>
      <c r="V369" s="474"/>
      <c r="W369" s="474"/>
      <c r="X369" s="474"/>
      <c r="Y369" s="474"/>
      <c r="Z369" s="474"/>
    </row>
    <row r="370" ht="12.0" customHeight="1">
      <c r="A370" s="480"/>
      <c r="B370" s="485"/>
      <c r="C370" s="525"/>
      <c r="D370" s="525"/>
      <c r="E370" s="526"/>
      <c r="F370" s="526"/>
      <c r="G370" s="474"/>
      <c r="H370" s="474"/>
      <c r="I370" s="474"/>
      <c r="J370" s="474"/>
      <c r="K370" s="474"/>
      <c r="L370" s="474"/>
      <c r="M370" s="474"/>
      <c r="N370" s="474"/>
      <c r="O370" s="474"/>
      <c r="P370" s="474"/>
      <c r="Q370" s="474"/>
      <c r="R370" s="474"/>
      <c r="S370" s="474"/>
      <c r="T370" s="474"/>
      <c r="U370" s="474"/>
      <c r="V370" s="474"/>
      <c r="W370" s="474"/>
      <c r="X370" s="474"/>
      <c r="Y370" s="474"/>
      <c r="Z370" s="474"/>
    </row>
    <row r="371" ht="12.0" customHeight="1">
      <c r="A371" s="480"/>
      <c r="B371" s="485"/>
      <c r="C371" s="525"/>
      <c r="D371" s="525"/>
      <c r="E371" s="526"/>
      <c r="F371" s="526"/>
      <c r="G371" s="474"/>
      <c r="H371" s="474"/>
      <c r="I371" s="474"/>
      <c r="J371" s="474"/>
      <c r="K371" s="474"/>
      <c r="L371" s="474"/>
      <c r="M371" s="474"/>
      <c r="N371" s="474"/>
      <c r="O371" s="474"/>
      <c r="P371" s="474"/>
      <c r="Q371" s="474"/>
      <c r="R371" s="474"/>
      <c r="S371" s="474"/>
      <c r="T371" s="474"/>
      <c r="U371" s="474"/>
      <c r="V371" s="474"/>
      <c r="W371" s="474"/>
      <c r="X371" s="474"/>
      <c r="Y371" s="474"/>
      <c r="Z371" s="474"/>
    </row>
    <row r="372" ht="12.0" customHeight="1">
      <c r="A372" s="480"/>
      <c r="B372" s="485"/>
      <c r="C372" s="525"/>
      <c r="D372" s="525"/>
      <c r="E372" s="526"/>
      <c r="F372" s="526"/>
      <c r="G372" s="474"/>
      <c r="H372" s="474"/>
      <c r="I372" s="474"/>
      <c r="J372" s="474"/>
      <c r="K372" s="474"/>
      <c r="L372" s="474"/>
      <c r="M372" s="474"/>
      <c r="N372" s="474"/>
      <c r="O372" s="474"/>
      <c r="P372" s="474"/>
      <c r="Q372" s="474"/>
      <c r="R372" s="474"/>
      <c r="S372" s="474"/>
      <c r="T372" s="474"/>
      <c r="U372" s="474"/>
      <c r="V372" s="474"/>
      <c r="W372" s="474"/>
      <c r="X372" s="474"/>
      <c r="Y372" s="474"/>
      <c r="Z372" s="474"/>
    </row>
    <row r="373" ht="12.0" customHeight="1">
      <c r="A373" s="480"/>
      <c r="B373" s="485"/>
      <c r="C373" s="525"/>
      <c r="D373" s="525"/>
      <c r="E373" s="526"/>
      <c r="F373" s="526"/>
      <c r="G373" s="474"/>
      <c r="H373" s="474"/>
      <c r="I373" s="474"/>
      <c r="J373" s="474"/>
      <c r="K373" s="474"/>
      <c r="L373" s="474"/>
      <c r="M373" s="474"/>
      <c r="N373" s="474"/>
      <c r="O373" s="474"/>
      <c r="P373" s="474"/>
      <c r="Q373" s="474"/>
      <c r="R373" s="474"/>
      <c r="S373" s="474"/>
      <c r="T373" s="474"/>
      <c r="U373" s="474"/>
      <c r="V373" s="474"/>
      <c r="W373" s="474"/>
      <c r="X373" s="474"/>
      <c r="Y373" s="474"/>
      <c r="Z373" s="474"/>
    </row>
    <row r="374" ht="12.0" customHeight="1">
      <c r="A374" s="480"/>
      <c r="B374" s="485"/>
      <c r="C374" s="525"/>
      <c r="D374" s="525"/>
      <c r="E374" s="526"/>
      <c r="F374" s="526"/>
      <c r="G374" s="474"/>
      <c r="H374" s="474"/>
      <c r="I374" s="474"/>
      <c r="J374" s="474"/>
      <c r="K374" s="474"/>
      <c r="L374" s="474"/>
      <c r="M374" s="474"/>
      <c r="N374" s="474"/>
      <c r="O374" s="474"/>
      <c r="P374" s="474"/>
      <c r="Q374" s="474"/>
      <c r="R374" s="474"/>
      <c r="S374" s="474"/>
      <c r="T374" s="474"/>
      <c r="U374" s="474"/>
      <c r="V374" s="474"/>
      <c r="W374" s="474"/>
      <c r="X374" s="474"/>
      <c r="Y374" s="474"/>
      <c r="Z374" s="474"/>
    </row>
    <row r="375" ht="12.0" customHeight="1">
      <c r="A375" s="480"/>
      <c r="B375" s="485"/>
      <c r="C375" s="525"/>
      <c r="D375" s="525"/>
      <c r="E375" s="526"/>
      <c r="F375" s="526"/>
      <c r="G375" s="474"/>
      <c r="H375" s="474"/>
      <c r="I375" s="474"/>
      <c r="J375" s="474"/>
      <c r="K375" s="474"/>
      <c r="L375" s="474"/>
      <c r="M375" s="474"/>
      <c r="N375" s="474"/>
      <c r="O375" s="474"/>
      <c r="P375" s="474"/>
      <c r="Q375" s="474"/>
      <c r="R375" s="474"/>
      <c r="S375" s="474"/>
      <c r="T375" s="474"/>
      <c r="U375" s="474"/>
      <c r="V375" s="474"/>
      <c r="W375" s="474"/>
      <c r="X375" s="474"/>
      <c r="Y375" s="474"/>
      <c r="Z375" s="474"/>
    </row>
    <row r="376" ht="12.0" customHeight="1">
      <c r="A376" s="480"/>
      <c r="B376" s="485"/>
      <c r="C376" s="525"/>
      <c r="D376" s="525"/>
      <c r="E376" s="526"/>
      <c r="F376" s="526"/>
      <c r="G376" s="474"/>
      <c r="H376" s="474"/>
      <c r="I376" s="474"/>
      <c r="J376" s="474"/>
      <c r="K376" s="474"/>
      <c r="L376" s="474"/>
      <c r="M376" s="474"/>
      <c r="N376" s="474"/>
      <c r="O376" s="474"/>
      <c r="P376" s="474"/>
      <c r="Q376" s="474"/>
      <c r="R376" s="474"/>
      <c r="S376" s="474"/>
      <c r="T376" s="474"/>
      <c r="U376" s="474"/>
      <c r="V376" s="474"/>
      <c r="W376" s="474"/>
      <c r="X376" s="474"/>
      <c r="Y376" s="474"/>
      <c r="Z376" s="474"/>
    </row>
    <row r="377" ht="12.0" customHeight="1">
      <c r="A377" s="480"/>
      <c r="B377" s="485"/>
      <c r="C377" s="525"/>
      <c r="D377" s="525"/>
      <c r="E377" s="526"/>
      <c r="F377" s="526"/>
      <c r="G377" s="474"/>
      <c r="H377" s="474"/>
      <c r="I377" s="474"/>
      <c r="J377" s="474"/>
      <c r="K377" s="474"/>
      <c r="L377" s="474"/>
      <c r="M377" s="474"/>
      <c r="N377" s="474"/>
      <c r="O377" s="474"/>
      <c r="P377" s="474"/>
      <c r="Q377" s="474"/>
      <c r="R377" s="474"/>
      <c r="S377" s="474"/>
      <c r="T377" s="474"/>
      <c r="U377" s="474"/>
      <c r="V377" s="474"/>
      <c r="W377" s="474"/>
      <c r="X377" s="474"/>
      <c r="Y377" s="474"/>
      <c r="Z377" s="474"/>
    </row>
    <row r="378" ht="12.0" customHeight="1">
      <c r="A378" s="480"/>
      <c r="B378" s="485"/>
      <c r="C378" s="525"/>
      <c r="D378" s="525"/>
      <c r="E378" s="526"/>
      <c r="F378" s="526"/>
      <c r="G378" s="474"/>
      <c r="H378" s="474"/>
      <c r="I378" s="474"/>
      <c r="J378" s="474"/>
      <c r="K378" s="474"/>
      <c r="L378" s="474"/>
      <c r="M378" s="474"/>
      <c r="N378" s="474"/>
      <c r="O378" s="474"/>
      <c r="P378" s="474"/>
      <c r="Q378" s="474"/>
      <c r="R378" s="474"/>
      <c r="S378" s="474"/>
      <c r="T378" s="474"/>
      <c r="U378" s="474"/>
      <c r="V378" s="474"/>
      <c r="W378" s="474"/>
      <c r="X378" s="474"/>
      <c r="Y378" s="474"/>
      <c r="Z378" s="474"/>
    </row>
    <row r="379" ht="12.0" customHeight="1">
      <c r="A379" s="480"/>
      <c r="B379" s="485"/>
      <c r="C379" s="525"/>
      <c r="D379" s="525"/>
      <c r="E379" s="526"/>
      <c r="F379" s="526"/>
      <c r="G379" s="474"/>
      <c r="H379" s="474"/>
      <c r="I379" s="474"/>
      <c r="J379" s="474"/>
      <c r="K379" s="474"/>
      <c r="L379" s="474"/>
      <c r="M379" s="474"/>
      <c r="N379" s="474"/>
      <c r="O379" s="474"/>
      <c r="P379" s="474"/>
      <c r="Q379" s="474"/>
      <c r="R379" s="474"/>
      <c r="S379" s="474"/>
      <c r="T379" s="474"/>
      <c r="U379" s="474"/>
      <c r="V379" s="474"/>
      <c r="W379" s="474"/>
      <c r="X379" s="474"/>
      <c r="Y379" s="474"/>
      <c r="Z379" s="474"/>
    </row>
    <row r="380" ht="12.0" customHeight="1">
      <c r="A380" s="480"/>
      <c r="B380" s="485"/>
      <c r="C380" s="525"/>
      <c r="D380" s="525"/>
      <c r="E380" s="526"/>
      <c r="F380" s="526"/>
      <c r="G380" s="474"/>
      <c r="H380" s="474"/>
      <c r="I380" s="474"/>
      <c r="J380" s="474"/>
      <c r="K380" s="474"/>
      <c r="L380" s="474"/>
      <c r="M380" s="474"/>
      <c r="N380" s="474"/>
      <c r="O380" s="474"/>
      <c r="P380" s="474"/>
      <c r="Q380" s="474"/>
      <c r="R380" s="474"/>
      <c r="S380" s="474"/>
      <c r="T380" s="474"/>
      <c r="U380" s="474"/>
      <c r="V380" s="474"/>
      <c r="W380" s="474"/>
      <c r="X380" s="474"/>
      <c r="Y380" s="474"/>
      <c r="Z380" s="474"/>
    </row>
    <row r="381" ht="12.0" customHeight="1">
      <c r="A381" s="480"/>
      <c r="B381" s="485"/>
      <c r="C381" s="525"/>
      <c r="D381" s="525"/>
      <c r="E381" s="526"/>
      <c r="F381" s="526"/>
      <c r="G381" s="474"/>
      <c r="H381" s="474"/>
      <c r="I381" s="474"/>
      <c r="J381" s="474"/>
      <c r="K381" s="474"/>
      <c r="L381" s="474"/>
      <c r="M381" s="474"/>
      <c r="N381" s="474"/>
      <c r="O381" s="474"/>
      <c r="P381" s="474"/>
      <c r="Q381" s="474"/>
      <c r="R381" s="474"/>
      <c r="S381" s="474"/>
      <c r="T381" s="474"/>
      <c r="U381" s="474"/>
      <c r="V381" s="474"/>
      <c r="W381" s="474"/>
      <c r="X381" s="474"/>
      <c r="Y381" s="474"/>
      <c r="Z381" s="474"/>
    </row>
    <row r="382" ht="12.0" customHeight="1">
      <c r="A382" s="480"/>
      <c r="B382" s="485"/>
      <c r="C382" s="525"/>
      <c r="D382" s="525"/>
      <c r="E382" s="526"/>
      <c r="F382" s="526"/>
      <c r="G382" s="474"/>
      <c r="H382" s="474"/>
      <c r="I382" s="474"/>
      <c r="J382" s="474"/>
      <c r="K382" s="474"/>
      <c r="L382" s="474"/>
      <c r="M382" s="474"/>
      <c r="N382" s="474"/>
      <c r="O382" s="474"/>
      <c r="P382" s="474"/>
      <c r="Q382" s="474"/>
      <c r="R382" s="474"/>
      <c r="S382" s="474"/>
      <c r="T382" s="474"/>
      <c r="U382" s="474"/>
      <c r="V382" s="474"/>
      <c r="W382" s="474"/>
      <c r="X382" s="474"/>
      <c r="Y382" s="474"/>
      <c r="Z382" s="474"/>
    </row>
    <row r="383" ht="12.0" customHeight="1">
      <c r="A383" s="480"/>
      <c r="B383" s="485"/>
      <c r="C383" s="525"/>
      <c r="D383" s="525"/>
      <c r="E383" s="526"/>
      <c r="F383" s="526"/>
      <c r="G383" s="474"/>
      <c r="H383" s="474"/>
      <c r="I383" s="474"/>
      <c r="J383" s="474"/>
      <c r="K383" s="474"/>
      <c r="L383" s="474"/>
      <c r="M383" s="474"/>
      <c r="N383" s="474"/>
      <c r="O383" s="474"/>
      <c r="P383" s="474"/>
      <c r="Q383" s="474"/>
      <c r="R383" s="474"/>
      <c r="S383" s="474"/>
      <c r="T383" s="474"/>
      <c r="U383" s="474"/>
      <c r="V383" s="474"/>
      <c r="W383" s="474"/>
      <c r="X383" s="474"/>
      <c r="Y383" s="474"/>
      <c r="Z383" s="474"/>
    </row>
    <row r="384" ht="12.0" customHeight="1">
      <c r="A384" s="480"/>
      <c r="B384" s="485"/>
      <c r="C384" s="525"/>
      <c r="D384" s="525"/>
      <c r="E384" s="526"/>
      <c r="F384" s="526"/>
      <c r="G384" s="474"/>
      <c r="H384" s="474"/>
      <c r="I384" s="474"/>
      <c r="J384" s="474"/>
      <c r="K384" s="474"/>
      <c r="L384" s="474"/>
      <c r="M384" s="474"/>
      <c r="N384" s="474"/>
      <c r="O384" s="474"/>
      <c r="P384" s="474"/>
      <c r="Q384" s="474"/>
      <c r="R384" s="474"/>
      <c r="S384" s="474"/>
      <c r="T384" s="474"/>
      <c r="U384" s="474"/>
      <c r="V384" s="474"/>
      <c r="W384" s="474"/>
      <c r="X384" s="474"/>
      <c r="Y384" s="474"/>
      <c r="Z384" s="474"/>
    </row>
    <row r="385" ht="12.0" customHeight="1">
      <c r="A385" s="480"/>
      <c r="B385" s="485"/>
      <c r="C385" s="525"/>
      <c r="D385" s="525"/>
      <c r="E385" s="526"/>
      <c r="F385" s="526"/>
      <c r="G385" s="474"/>
      <c r="H385" s="474"/>
      <c r="I385" s="474"/>
      <c r="J385" s="474"/>
      <c r="K385" s="474"/>
      <c r="L385" s="474"/>
      <c r="M385" s="474"/>
      <c r="N385" s="474"/>
      <c r="O385" s="474"/>
      <c r="P385" s="474"/>
      <c r="Q385" s="474"/>
      <c r="R385" s="474"/>
      <c r="S385" s="474"/>
      <c r="T385" s="474"/>
      <c r="U385" s="474"/>
      <c r="V385" s="474"/>
      <c r="W385" s="474"/>
      <c r="X385" s="474"/>
      <c r="Y385" s="474"/>
      <c r="Z385" s="474"/>
    </row>
    <row r="386" ht="12.0" customHeight="1">
      <c r="A386" s="480"/>
      <c r="B386" s="485"/>
      <c r="C386" s="525"/>
      <c r="D386" s="525"/>
      <c r="E386" s="526"/>
      <c r="F386" s="526"/>
      <c r="G386" s="474"/>
      <c r="H386" s="474"/>
      <c r="I386" s="474"/>
      <c r="J386" s="474"/>
      <c r="K386" s="474"/>
      <c r="L386" s="474"/>
      <c r="M386" s="474"/>
      <c r="N386" s="474"/>
      <c r="O386" s="474"/>
      <c r="P386" s="474"/>
      <c r="Q386" s="474"/>
      <c r="R386" s="474"/>
      <c r="S386" s="474"/>
      <c r="T386" s="474"/>
      <c r="U386" s="474"/>
      <c r="V386" s="474"/>
      <c r="W386" s="474"/>
      <c r="X386" s="474"/>
      <c r="Y386" s="474"/>
      <c r="Z386" s="474"/>
    </row>
    <row r="387" ht="12.0" customHeight="1">
      <c r="A387" s="480"/>
      <c r="B387" s="485"/>
      <c r="C387" s="525"/>
      <c r="D387" s="525"/>
      <c r="E387" s="526"/>
      <c r="F387" s="526"/>
      <c r="G387" s="474"/>
      <c r="H387" s="474"/>
      <c r="I387" s="474"/>
      <c r="J387" s="474"/>
      <c r="K387" s="474"/>
      <c r="L387" s="474"/>
      <c r="M387" s="474"/>
      <c r="N387" s="474"/>
      <c r="O387" s="474"/>
      <c r="P387" s="474"/>
      <c r="Q387" s="474"/>
      <c r="R387" s="474"/>
      <c r="S387" s="474"/>
      <c r="T387" s="474"/>
      <c r="U387" s="474"/>
      <c r="V387" s="474"/>
      <c r="W387" s="474"/>
      <c r="X387" s="474"/>
      <c r="Y387" s="474"/>
      <c r="Z387" s="474"/>
    </row>
    <row r="388" ht="12.0" customHeight="1">
      <c r="A388" s="480"/>
      <c r="B388" s="485"/>
      <c r="C388" s="525"/>
      <c r="D388" s="525"/>
      <c r="E388" s="526"/>
      <c r="F388" s="526"/>
      <c r="G388" s="474"/>
      <c r="H388" s="474"/>
      <c r="I388" s="474"/>
      <c r="J388" s="474"/>
      <c r="K388" s="474"/>
      <c r="L388" s="474"/>
      <c r="M388" s="474"/>
      <c r="N388" s="474"/>
      <c r="O388" s="474"/>
      <c r="P388" s="474"/>
      <c r="Q388" s="474"/>
      <c r="R388" s="474"/>
      <c r="S388" s="474"/>
      <c r="T388" s="474"/>
      <c r="U388" s="474"/>
      <c r="V388" s="474"/>
      <c r="W388" s="474"/>
      <c r="X388" s="474"/>
      <c r="Y388" s="474"/>
      <c r="Z388" s="474"/>
    </row>
    <row r="389" ht="12.0" customHeight="1">
      <c r="A389" s="480"/>
      <c r="B389" s="485"/>
      <c r="C389" s="525"/>
      <c r="D389" s="525"/>
      <c r="E389" s="526"/>
      <c r="F389" s="526"/>
      <c r="G389" s="474"/>
      <c r="H389" s="474"/>
      <c r="I389" s="474"/>
      <c r="J389" s="474"/>
      <c r="K389" s="474"/>
      <c r="L389" s="474"/>
      <c r="M389" s="474"/>
      <c r="N389" s="474"/>
      <c r="O389" s="474"/>
      <c r="P389" s="474"/>
      <c r="Q389" s="474"/>
      <c r="R389" s="474"/>
      <c r="S389" s="474"/>
      <c r="T389" s="474"/>
      <c r="U389" s="474"/>
      <c r="V389" s="474"/>
      <c r="W389" s="474"/>
      <c r="X389" s="474"/>
      <c r="Y389" s="474"/>
      <c r="Z389" s="474"/>
    </row>
    <row r="390" ht="12.0" customHeight="1">
      <c r="A390" s="480"/>
      <c r="B390" s="485"/>
      <c r="C390" s="525"/>
      <c r="D390" s="525"/>
      <c r="E390" s="526"/>
      <c r="F390" s="526"/>
      <c r="G390" s="474"/>
      <c r="H390" s="474"/>
      <c r="I390" s="474"/>
      <c r="J390" s="474"/>
      <c r="K390" s="474"/>
      <c r="L390" s="474"/>
      <c r="M390" s="474"/>
      <c r="N390" s="474"/>
      <c r="O390" s="474"/>
      <c r="P390" s="474"/>
      <c r="Q390" s="474"/>
      <c r="R390" s="474"/>
      <c r="S390" s="474"/>
      <c r="T390" s="474"/>
      <c r="U390" s="474"/>
      <c r="V390" s="474"/>
      <c r="W390" s="474"/>
      <c r="X390" s="474"/>
      <c r="Y390" s="474"/>
      <c r="Z390" s="474"/>
    </row>
    <row r="391" ht="12.0" customHeight="1">
      <c r="A391" s="480"/>
      <c r="B391" s="485"/>
      <c r="C391" s="525"/>
      <c r="D391" s="525"/>
      <c r="E391" s="526"/>
      <c r="F391" s="526"/>
      <c r="G391" s="474"/>
      <c r="H391" s="474"/>
      <c r="I391" s="474"/>
      <c r="J391" s="474"/>
      <c r="K391" s="474"/>
      <c r="L391" s="474"/>
      <c r="M391" s="474"/>
      <c r="N391" s="474"/>
      <c r="O391" s="474"/>
      <c r="P391" s="474"/>
      <c r="Q391" s="474"/>
      <c r="R391" s="474"/>
      <c r="S391" s="474"/>
      <c r="T391" s="474"/>
      <c r="U391" s="474"/>
      <c r="V391" s="474"/>
      <c r="W391" s="474"/>
      <c r="X391" s="474"/>
      <c r="Y391" s="474"/>
      <c r="Z391" s="474"/>
    </row>
    <row r="392" ht="12.0" customHeight="1">
      <c r="A392" s="480"/>
      <c r="B392" s="485"/>
      <c r="C392" s="525"/>
      <c r="D392" s="525"/>
      <c r="E392" s="526"/>
      <c r="F392" s="526"/>
      <c r="G392" s="474"/>
      <c r="H392" s="474"/>
      <c r="I392" s="474"/>
      <c r="J392" s="474"/>
      <c r="K392" s="474"/>
      <c r="L392" s="474"/>
      <c r="M392" s="474"/>
      <c r="N392" s="474"/>
      <c r="O392" s="474"/>
      <c r="P392" s="474"/>
      <c r="Q392" s="474"/>
      <c r="R392" s="474"/>
      <c r="S392" s="474"/>
      <c r="T392" s="474"/>
      <c r="U392" s="474"/>
      <c r="V392" s="474"/>
      <c r="W392" s="474"/>
      <c r="X392" s="474"/>
      <c r="Y392" s="474"/>
      <c r="Z392" s="474"/>
    </row>
    <row r="393" ht="12.0" customHeight="1">
      <c r="A393" s="480"/>
      <c r="B393" s="485"/>
      <c r="C393" s="525"/>
      <c r="D393" s="525"/>
      <c r="E393" s="526"/>
      <c r="F393" s="526"/>
      <c r="G393" s="474"/>
      <c r="H393" s="474"/>
      <c r="I393" s="474"/>
      <c r="J393" s="474"/>
      <c r="K393" s="474"/>
      <c r="L393" s="474"/>
      <c r="M393" s="474"/>
      <c r="N393" s="474"/>
      <c r="O393" s="474"/>
      <c r="P393" s="474"/>
      <c r="Q393" s="474"/>
      <c r="R393" s="474"/>
      <c r="S393" s="474"/>
      <c r="T393" s="474"/>
      <c r="U393" s="474"/>
      <c r="V393" s="474"/>
      <c r="W393" s="474"/>
      <c r="X393" s="474"/>
      <c r="Y393" s="474"/>
      <c r="Z393" s="474"/>
    </row>
    <row r="394" ht="12.0" customHeight="1">
      <c r="A394" s="480"/>
      <c r="B394" s="485"/>
      <c r="C394" s="525"/>
      <c r="D394" s="525"/>
      <c r="E394" s="526"/>
      <c r="F394" s="526"/>
      <c r="G394" s="474"/>
      <c r="H394" s="474"/>
      <c r="I394" s="474"/>
      <c r="J394" s="474"/>
      <c r="K394" s="474"/>
      <c r="L394" s="474"/>
      <c r="M394" s="474"/>
      <c r="N394" s="474"/>
      <c r="O394" s="474"/>
      <c r="P394" s="474"/>
      <c r="Q394" s="474"/>
      <c r="R394" s="474"/>
      <c r="S394" s="474"/>
      <c r="T394" s="474"/>
      <c r="U394" s="474"/>
      <c r="V394" s="474"/>
      <c r="W394" s="474"/>
      <c r="X394" s="474"/>
      <c r="Y394" s="474"/>
      <c r="Z394" s="474"/>
    </row>
    <row r="395" ht="12.0" customHeight="1">
      <c r="A395" s="480"/>
      <c r="B395" s="485"/>
      <c r="C395" s="525"/>
      <c r="D395" s="525"/>
      <c r="E395" s="526"/>
      <c r="F395" s="526"/>
      <c r="G395" s="474"/>
      <c r="H395" s="474"/>
      <c r="I395" s="474"/>
      <c r="J395" s="474"/>
      <c r="K395" s="474"/>
      <c r="L395" s="474"/>
      <c r="M395" s="474"/>
      <c r="N395" s="474"/>
      <c r="O395" s="474"/>
      <c r="P395" s="474"/>
      <c r="Q395" s="474"/>
      <c r="R395" s="474"/>
      <c r="S395" s="474"/>
      <c r="T395" s="474"/>
      <c r="U395" s="474"/>
      <c r="V395" s="474"/>
      <c r="W395" s="474"/>
      <c r="X395" s="474"/>
      <c r="Y395" s="474"/>
      <c r="Z395" s="474"/>
    </row>
    <row r="396" ht="12.0" customHeight="1">
      <c r="A396" s="480"/>
      <c r="B396" s="485"/>
      <c r="C396" s="525"/>
      <c r="D396" s="525"/>
      <c r="E396" s="526"/>
      <c r="F396" s="526"/>
      <c r="G396" s="474"/>
      <c r="H396" s="474"/>
      <c r="I396" s="474"/>
      <c r="J396" s="474"/>
      <c r="K396" s="474"/>
      <c r="L396" s="474"/>
      <c r="M396" s="474"/>
      <c r="N396" s="474"/>
      <c r="O396" s="474"/>
      <c r="P396" s="474"/>
      <c r="Q396" s="474"/>
      <c r="R396" s="474"/>
      <c r="S396" s="474"/>
      <c r="T396" s="474"/>
      <c r="U396" s="474"/>
      <c r="V396" s="474"/>
      <c r="W396" s="474"/>
      <c r="X396" s="474"/>
      <c r="Y396" s="474"/>
      <c r="Z396" s="474"/>
    </row>
    <row r="397" ht="12.0" customHeight="1">
      <c r="A397" s="480"/>
      <c r="B397" s="485"/>
      <c r="C397" s="525"/>
      <c r="D397" s="525"/>
      <c r="E397" s="526"/>
      <c r="F397" s="526"/>
      <c r="G397" s="474"/>
      <c r="H397" s="474"/>
      <c r="I397" s="474"/>
      <c r="J397" s="474"/>
      <c r="K397" s="474"/>
      <c r="L397" s="474"/>
      <c r="M397" s="474"/>
      <c r="N397" s="474"/>
      <c r="O397" s="474"/>
      <c r="P397" s="474"/>
      <c r="Q397" s="474"/>
      <c r="R397" s="474"/>
      <c r="S397" s="474"/>
      <c r="T397" s="474"/>
      <c r="U397" s="474"/>
      <c r="V397" s="474"/>
      <c r="W397" s="474"/>
      <c r="X397" s="474"/>
      <c r="Y397" s="474"/>
      <c r="Z397" s="474"/>
    </row>
    <row r="398" ht="12.0" customHeight="1">
      <c r="A398" s="480"/>
      <c r="B398" s="485"/>
      <c r="C398" s="525"/>
      <c r="D398" s="525"/>
      <c r="E398" s="526"/>
      <c r="F398" s="526"/>
      <c r="G398" s="474"/>
      <c r="H398" s="474"/>
      <c r="I398" s="474"/>
      <c r="J398" s="474"/>
      <c r="K398" s="474"/>
      <c r="L398" s="474"/>
      <c r="M398" s="474"/>
      <c r="N398" s="474"/>
      <c r="O398" s="474"/>
      <c r="P398" s="474"/>
      <c r="Q398" s="474"/>
      <c r="R398" s="474"/>
      <c r="S398" s="474"/>
      <c r="T398" s="474"/>
      <c r="U398" s="474"/>
      <c r="V398" s="474"/>
      <c r="W398" s="474"/>
      <c r="X398" s="474"/>
      <c r="Y398" s="474"/>
      <c r="Z398" s="474"/>
    </row>
    <row r="399" ht="12.0" customHeight="1">
      <c r="A399" s="480"/>
      <c r="B399" s="485"/>
      <c r="C399" s="525"/>
      <c r="D399" s="525"/>
      <c r="E399" s="526"/>
      <c r="F399" s="526"/>
      <c r="G399" s="474"/>
      <c r="H399" s="474"/>
      <c r="I399" s="474"/>
      <c r="J399" s="474"/>
      <c r="K399" s="474"/>
      <c r="L399" s="474"/>
      <c r="M399" s="474"/>
      <c r="N399" s="474"/>
      <c r="O399" s="474"/>
      <c r="P399" s="474"/>
      <c r="Q399" s="474"/>
      <c r="R399" s="474"/>
      <c r="S399" s="474"/>
      <c r="T399" s="474"/>
      <c r="U399" s="474"/>
      <c r="V399" s="474"/>
      <c r="W399" s="474"/>
      <c r="X399" s="474"/>
      <c r="Y399" s="474"/>
      <c r="Z399" s="474"/>
    </row>
    <row r="400" ht="12.0" customHeight="1">
      <c r="A400" s="480"/>
      <c r="B400" s="485"/>
      <c r="C400" s="525"/>
      <c r="D400" s="525"/>
      <c r="E400" s="526"/>
      <c r="F400" s="526"/>
      <c r="G400" s="474"/>
      <c r="H400" s="474"/>
      <c r="I400" s="474"/>
      <c r="J400" s="474"/>
      <c r="K400" s="474"/>
      <c r="L400" s="474"/>
      <c r="M400" s="474"/>
      <c r="N400" s="474"/>
      <c r="O400" s="474"/>
      <c r="P400" s="474"/>
      <c r="Q400" s="474"/>
      <c r="R400" s="474"/>
      <c r="S400" s="474"/>
      <c r="T400" s="474"/>
      <c r="U400" s="474"/>
      <c r="V400" s="474"/>
      <c r="W400" s="474"/>
      <c r="X400" s="474"/>
      <c r="Y400" s="474"/>
      <c r="Z400" s="474"/>
    </row>
    <row r="401" ht="12.0" customHeight="1">
      <c r="A401" s="480"/>
      <c r="B401" s="485"/>
      <c r="C401" s="525"/>
      <c r="D401" s="525"/>
      <c r="E401" s="526"/>
      <c r="F401" s="526"/>
      <c r="G401" s="474"/>
      <c r="H401" s="474"/>
      <c r="I401" s="474"/>
      <c r="J401" s="474"/>
      <c r="K401" s="474"/>
      <c r="L401" s="474"/>
      <c r="M401" s="474"/>
      <c r="N401" s="474"/>
      <c r="O401" s="474"/>
      <c r="P401" s="474"/>
      <c r="Q401" s="474"/>
      <c r="R401" s="474"/>
      <c r="S401" s="474"/>
      <c r="T401" s="474"/>
      <c r="U401" s="474"/>
      <c r="V401" s="474"/>
      <c r="W401" s="474"/>
      <c r="X401" s="474"/>
      <c r="Y401" s="474"/>
      <c r="Z401" s="474"/>
    </row>
    <row r="402" ht="12.0" customHeight="1">
      <c r="A402" s="480"/>
      <c r="B402" s="485"/>
      <c r="C402" s="525"/>
      <c r="D402" s="525"/>
      <c r="E402" s="526"/>
      <c r="F402" s="526"/>
      <c r="G402" s="474"/>
      <c r="H402" s="474"/>
      <c r="I402" s="474"/>
      <c r="J402" s="474"/>
      <c r="K402" s="474"/>
      <c r="L402" s="474"/>
      <c r="M402" s="474"/>
      <c r="N402" s="474"/>
      <c r="O402" s="474"/>
      <c r="P402" s="474"/>
      <c r="Q402" s="474"/>
      <c r="R402" s="474"/>
      <c r="S402" s="474"/>
      <c r="T402" s="474"/>
      <c r="U402" s="474"/>
      <c r="V402" s="474"/>
      <c r="W402" s="474"/>
      <c r="X402" s="474"/>
      <c r="Y402" s="474"/>
      <c r="Z402" s="474"/>
    </row>
    <row r="403" ht="12.0" customHeight="1">
      <c r="A403" s="480"/>
      <c r="B403" s="485"/>
      <c r="C403" s="525"/>
      <c r="D403" s="525"/>
      <c r="E403" s="526"/>
      <c r="F403" s="526"/>
      <c r="G403" s="474"/>
      <c r="H403" s="474"/>
      <c r="I403" s="474"/>
      <c r="J403" s="474"/>
      <c r="K403" s="474"/>
      <c r="L403" s="474"/>
      <c r="M403" s="474"/>
      <c r="N403" s="474"/>
      <c r="O403" s="474"/>
      <c r="P403" s="474"/>
      <c r="Q403" s="474"/>
      <c r="R403" s="474"/>
      <c r="S403" s="474"/>
      <c r="T403" s="474"/>
      <c r="U403" s="474"/>
      <c r="V403" s="474"/>
      <c r="W403" s="474"/>
      <c r="X403" s="474"/>
      <c r="Y403" s="474"/>
      <c r="Z403" s="474"/>
    </row>
    <row r="404" ht="12.0" customHeight="1">
      <c r="A404" s="480"/>
      <c r="B404" s="485"/>
      <c r="C404" s="525"/>
      <c r="D404" s="525"/>
      <c r="E404" s="526"/>
      <c r="F404" s="526"/>
      <c r="G404" s="474"/>
      <c r="H404" s="474"/>
      <c r="I404" s="474"/>
      <c r="J404" s="474"/>
      <c r="K404" s="474"/>
      <c r="L404" s="474"/>
      <c r="M404" s="474"/>
      <c r="N404" s="474"/>
      <c r="O404" s="474"/>
      <c r="P404" s="474"/>
      <c r="Q404" s="474"/>
      <c r="R404" s="474"/>
      <c r="S404" s="474"/>
      <c r="T404" s="474"/>
      <c r="U404" s="474"/>
      <c r="V404" s="474"/>
      <c r="W404" s="474"/>
      <c r="X404" s="474"/>
      <c r="Y404" s="474"/>
      <c r="Z404" s="474"/>
    </row>
    <row r="405" ht="12.0" customHeight="1">
      <c r="A405" s="480"/>
      <c r="B405" s="485"/>
      <c r="C405" s="525"/>
      <c r="D405" s="525"/>
      <c r="E405" s="526"/>
      <c r="F405" s="526"/>
      <c r="G405" s="474"/>
      <c r="H405" s="474"/>
      <c r="I405" s="474"/>
      <c r="J405" s="474"/>
      <c r="K405" s="474"/>
      <c r="L405" s="474"/>
      <c r="M405" s="474"/>
      <c r="N405" s="474"/>
      <c r="O405" s="474"/>
      <c r="P405" s="474"/>
      <c r="Q405" s="474"/>
      <c r="R405" s="474"/>
      <c r="S405" s="474"/>
      <c r="T405" s="474"/>
      <c r="U405" s="474"/>
      <c r="V405" s="474"/>
      <c r="W405" s="474"/>
      <c r="X405" s="474"/>
      <c r="Y405" s="474"/>
      <c r="Z405" s="474"/>
    </row>
    <row r="406" ht="12.0" customHeight="1">
      <c r="A406" s="480"/>
      <c r="B406" s="485"/>
      <c r="C406" s="525"/>
      <c r="D406" s="525"/>
      <c r="E406" s="526"/>
      <c r="F406" s="526"/>
      <c r="G406" s="474"/>
      <c r="H406" s="474"/>
      <c r="I406" s="474"/>
      <c r="J406" s="474"/>
      <c r="K406" s="474"/>
      <c r="L406" s="474"/>
      <c r="M406" s="474"/>
      <c r="N406" s="474"/>
      <c r="O406" s="474"/>
      <c r="P406" s="474"/>
      <c r="Q406" s="474"/>
      <c r="R406" s="474"/>
      <c r="S406" s="474"/>
      <c r="T406" s="474"/>
      <c r="U406" s="474"/>
      <c r="V406" s="474"/>
      <c r="W406" s="474"/>
      <c r="X406" s="474"/>
      <c r="Y406" s="474"/>
      <c r="Z406" s="474"/>
    </row>
    <row r="407" ht="12.0" customHeight="1">
      <c r="A407" s="480"/>
      <c r="B407" s="485"/>
      <c r="C407" s="525"/>
      <c r="D407" s="525"/>
      <c r="E407" s="526"/>
      <c r="F407" s="526"/>
      <c r="G407" s="474"/>
      <c r="H407" s="474"/>
      <c r="I407" s="474"/>
      <c r="J407" s="474"/>
      <c r="K407" s="474"/>
      <c r="L407" s="474"/>
      <c r="M407" s="474"/>
      <c r="N407" s="474"/>
      <c r="O407" s="474"/>
      <c r="P407" s="474"/>
      <c r="Q407" s="474"/>
      <c r="R407" s="474"/>
      <c r="S407" s="474"/>
      <c r="T407" s="474"/>
      <c r="U407" s="474"/>
      <c r="V407" s="474"/>
      <c r="W407" s="474"/>
      <c r="X407" s="474"/>
      <c r="Y407" s="474"/>
      <c r="Z407" s="474"/>
    </row>
    <row r="408" ht="12.0" customHeight="1">
      <c r="A408" s="480"/>
      <c r="B408" s="485"/>
      <c r="C408" s="525"/>
      <c r="D408" s="525"/>
      <c r="E408" s="526"/>
      <c r="F408" s="526"/>
      <c r="G408" s="474"/>
      <c r="H408" s="474"/>
      <c r="I408" s="474"/>
      <c r="J408" s="474"/>
      <c r="K408" s="474"/>
      <c r="L408" s="474"/>
      <c r="M408" s="474"/>
      <c r="N408" s="474"/>
      <c r="O408" s="474"/>
      <c r="P408" s="474"/>
      <c r="Q408" s="474"/>
      <c r="R408" s="474"/>
      <c r="S408" s="474"/>
      <c r="T408" s="474"/>
      <c r="U408" s="474"/>
      <c r="V408" s="474"/>
      <c r="W408" s="474"/>
      <c r="X408" s="474"/>
      <c r="Y408" s="474"/>
      <c r="Z408" s="474"/>
    </row>
    <row r="409" ht="12.0" customHeight="1">
      <c r="A409" s="480"/>
      <c r="B409" s="485"/>
      <c r="C409" s="525"/>
      <c r="D409" s="525"/>
      <c r="E409" s="526"/>
      <c r="F409" s="526"/>
      <c r="G409" s="474"/>
      <c r="H409" s="474"/>
      <c r="I409" s="474"/>
      <c r="J409" s="474"/>
      <c r="K409" s="474"/>
      <c r="L409" s="474"/>
      <c r="M409" s="474"/>
      <c r="N409" s="474"/>
      <c r="O409" s="474"/>
      <c r="P409" s="474"/>
      <c r="Q409" s="474"/>
      <c r="R409" s="474"/>
      <c r="S409" s="474"/>
      <c r="T409" s="474"/>
      <c r="U409" s="474"/>
      <c r="V409" s="474"/>
      <c r="W409" s="474"/>
      <c r="X409" s="474"/>
      <c r="Y409" s="474"/>
      <c r="Z409" s="474"/>
    </row>
    <row r="410" ht="12.0" customHeight="1">
      <c r="A410" s="480"/>
      <c r="B410" s="485"/>
      <c r="C410" s="525"/>
      <c r="D410" s="525"/>
      <c r="E410" s="526"/>
      <c r="F410" s="526"/>
      <c r="G410" s="474"/>
      <c r="H410" s="474"/>
      <c r="I410" s="474"/>
      <c r="J410" s="474"/>
      <c r="K410" s="474"/>
      <c r="L410" s="474"/>
      <c r="M410" s="474"/>
      <c r="N410" s="474"/>
      <c r="O410" s="474"/>
      <c r="P410" s="474"/>
      <c r="Q410" s="474"/>
      <c r="R410" s="474"/>
      <c r="S410" s="474"/>
      <c r="T410" s="474"/>
      <c r="U410" s="474"/>
      <c r="V410" s="474"/>
      <c r="W410" s="474"/>
      <c r="X410" s="474"/>
      <c r="Y410" s="474"/>
      <c r="Z410" s="474"/>
    </row>
    <row r="411" ht="12.0" customHeight="1">
      <c r="A411" s="480"/>
      <c r="B411" s="485"/>
      <c r="C411" s="525"/>
      <c r="D411" s="525"/>
      <c r="E411" s="526"/>
      <c r="F411" s="526"/>
      <c r="G411" s="474"/>
      <c r="H411" s="474"/>
      <c r="I411" s="474"/>
      <c r="J411" s="474"/>
      <c r="K411" s="474"/>
      <c r="L411" s="474"/>
      <c r="M411" s="474"/>
      <c r="N411" s="474"/>
      <c r="O411" s="474"/>
      <c r="P411" s="474"/>
      <c r="Q411" s="474"/>
      <c r="R411" s="474"/>
      <c r="S411" s="474"/>
      <c r="T411" s="474"/>
      <c r="U411" s="474"/>
      <c r="V411" s="474"/>
      <c r="W411" s="474"/>
      <c r="X411" s="474"/>
      <c r="Y411" s="474"/>
      <c r="Z411" s="474"/>
    </row>
    <row r="412" ht="12.0" customHeight="1">
      <c r="A412" s="480"/>
      <c r="B412" s="485"/>
      <c r="C412" s="525"/>
      <c r="D412" s="525"/>
      <c r="E412" s="526"/>
      <c r="F412" s="526"/>
      <c r="G412" s="474"/>
      <c r="H412" s="474"/>
      <c r="I412" s="474"/>
      <c r="J412" s="474"/>
      <c r="K412" s="474"/>
      <c r="L412" s="474"/>
      <c r="M412" s="474"/>
      <c r="N412" s="474"/>
      <c r="O412" s="474"/>
      <c r="P412" s="474"/>
      <c r="Q412" s="474"/>
      <c r="R412" s="474"/>
      <c r="S412" s="474"/>
      <c r="T412" s="474"/>
      <c r="U412" s="474"/>
      <c r="V412" s="474"/>
      <c r="W412" s="474"/>
      <c r="X412" s="474"/>
      <c r="Y412" s="474"/>
      <c r="Z412" s="474"/>
    </row>
    <row r="413" ht="12.0" customHeight="1">
      <c r="A413" s="480"/>
      <c r="B413" s="485"/>
      <c r="C413" s="525"/>
      <c r="D413" s="525"/>
      <c r="E413" s="526"/>
      <c r="F413" s="526"/>
      <c r="G413" s="474"/>
      <c r="H413" s="474"/>
      <c r="I413" s="474"/>
      <c r="J413" s="474"/>
      <c r="K413" s="474"/>
      <c r="L413" s="474"/>
      <c r="M413" s="474"/>
      <c r="N413" s="474"/>
      <c r="O413" s="474"/>
      <c r="P413" s="474"/>
      <c r="Q413" s="474"/>
      <c r="R413" s="474"/>
      <c r="S413" s="474"/>
      <c r="T413" s="474"/>
      <c r="U413" s="474"/>
      <c r="V413" s="474"/>
      <c r="W413" s="474"/>
      <c r="X413" s="474"/>
      <c r="Y413" s="474"/>
      <c r="Z413" s="474"/>
    </row>
    <row r="414" ht="12.0" customHeight="1">
      <c r="A414" s="480"/>
      <c r="B414" s="485"/>
      <c r="C414" s="525"/>
      <c r="D414" s="525"/>
      <c r="E414" s="526"/>
      <c r="F414" s="526"/>
      <c r="G414" s="474"/>
      <c r="H414" s="474"/>
      <c r="I414" s="474"/>
      <c r="J414" s="474"/>
      <c r="K414" s="474"/>
      <c r="L414" s="474"/>
      <c r="M414" s="474"/>
      <c r="N414" s="474"/>
      <c r="O414" s="474"/>
      <c r="P414" s="474"/>
      <c r="Q414" s="474"/>
      <c r="R414" s="474"/>
      <c r="S414" s="474"/>
      <c r="T414" s="474"/>
      <c r="U414" s="474"/>
      <c r="V414" s="474"/>
      <c r="W414" s="474"/>
      <c r="X414" s="474"/>
      <c r="Y414" s="474"/>
      <c r="Z414" s="474"/>
    </row>
    <row r="415" ht="12.0" customHeight="1">
      <c r="A415" s="480"/>
      <c r="B415" s="485"/>
      <c r="C415" s="525"/>
      <c r="D415" s="525"/>
      <c r="E415" s="526"/>
      <c r="F415" s="526"/>
      <c r="G415" s="474"/>
      <c r="H415" s="474"/>
      <c r="I415" s="474"/>
      <c r="J415" s="474"/>
      <c r="K415" s="474"/>
      <c r="L415" s="474"/>
      <c r="M415" s="474"/>
      <c r="N415" s="474"/>
      <c r="O415" s="474"/>
      <c r="P415" s="474"/>
      <c r="Q415" s="474"/>
      <c r="R415" s="474"/>
      <c r="S415" s="474"/>
      <c r="T415" s="474"/>
      <c r="U415" s="474"/>
      <c r="V415" s="474"/>
      <c r="W415" s="474"/>
      <c r="X415" s="474"/>
      <c r="Y415" s="474"/>
      <c r="Z415" s="474"/>
    </row>
    <row r="416" ht="12.0" customHeight="1">
      <c r="A416" s="480"/>
      <c r="B416" s="485"/>
      <c r="C416" s="525"/>
      <c r="D416" s="525"/>
      <c r="E416" s="526"/>
      <c r="F416" s="526"/>
      <c r="G416" s="474"/>
      <c r="H416" s="474"/>
      <c r="I416" s="474"/>
      <c r="J416" s="474"/>
      <c r="K416" s="474"/>
      <c r="L416" s="474"/>
      <c r="M416" s="474"/>
      <c r="N416" s="474"/>
      <c r="O416" s="474"/>
      <c r="P416" s="474"/>
      <c r="Q416" s="474"/>
      <c r="R416" s="474"/>
      <c r="S416" s="474"/>
      <c r="T416" s="474"/>
      <c r="U416" s="474"/>
      <c r="V416" s="474"/>
      <c r="W416" s="474"/>
      <c r="X416" s="474"/>
      <c r="Y416" s="474"/>
      <c r="Z416" s="474"/>
    </row>
    <row r="417" ht="12.0" customHeight="1">
      <c r="A417" s="480"/>
      <c r="B417" s="485"/>
      <c r="C417" s="525"/>
      <c r="D417" s="525"/>
      <c r="E417" s="526"/>
      <c r="F417" s="526"/>
      <c r="G417" s="474"/>
      <c r="H417" s="474"/>
      <c r="I417" s="474"/>
      <c r="J417" s="474"/>
      <c r="K417" s="474"/>
      <c r="L417" s="474"/>
      <c r="M417" s="474"/>
      <c r="N417" s="474"/>
      <c r="O417" s="474"/>
      <c r="P417" s="474"/>
      <c r="Q417" s="474"/>
      <c r="R417" s="474"/>
      <c r="S417" s="474"/>
      <c r="T417" s="474"/>
      <c r="U417" s="474"/>
      <c r="V417" s="474"/>
      <c r="W417" s="474"/>
      <c r="X417" s="474"/>
      <c r="Y417" s="474"/>
      <c r="Z417" s="474"/>
    </row>
    <row r="418" ht="12.0" customHeight="1">
      <c r="A418" s="480"/>
      <c r="B418" s="485"/>
      <c r="C418" s="525"/>
      <c r="D418" s="525"/>
      <c r="E418" s="526"/>
      <c r="F418" s="526"/>
      <c r="G418" s="474"/>
      <c r="H418" s="474"/>
      <c r="I418" s="474"/>
      <c r="J418" s="474"/>
      <c r="K418" s="474"/>
      <c r="L418" s="474"/>
      <c r="M418" s="474"/>
      <c r="N418" s="474"/>
      <c r="O418" s="474"/>
      <c r="P418" s="474"/>
      <c r="Q418" s="474"/>
      <c r="R418" s="474"/>
      <c r="S418" s="474"/>
      <c r="T418" s="474"/>
      <c r="U418" s="474"/>
      <c r="V418" s="474"/>
      <c r="W418" s="474"/>
      <c r="X418" s="474"/>
      <c r="Y418" s="474"/>
      <c r="Z418" s="474"/>
    </row>
    <row r="419" ht="12.0" customHeight="1">
      <c r="A419" s="480"/>
      <c r="B419" s="485"/>
      <c r="C419" s="525"/>
      <c r="D419" s="525"/>
      <c r="E419" s="526"/>
      <c r="F419" s="526"/>
      <c r="G419" s="474"/>
      <c r="H419" s="474"/>
      <c r="I419" s="474"/>
      <c r="J419" s="474"/>
      <c r="K419" s="474"/>
      <c r="L419" s="474"/>
      <c r="M419" s="474"/>
      <c r="N419" s="474"/>
      <c r="O419" s="474"/>
      <c r="P419" s="474"/>
      <c r="Q419" s="474"/>
      <c r="R419" s="474"/>
      <c r="S419" s="474"/>
      <c r="T419" s="474"/>
      <c r="U419" s="474"/>
      <c r="V419" s="474"/>
      <c r="W419" s="474"/>
      <c r="X419" s="474"/>
      <c r="Y419" s="474"/>
      <c r="Z419" s="474"/>
    </row>
    <row r="420" ht="12.0" customHeight="1">
      <c r="A420" s="480"/>
      <c r="B420" s="485"/>
      <c r="C420" s="525"/>
      <c r="D420" s="525"/>
      <c r="E420" s="526"/>
      <c r="F420" s="526"/>
      <c r="G420" s="474"/>
      <c r="H420" s="474"/>
      <c r="I420" s="474"/>
      <c r="J420" s="474"/>
      <c r="K420" s="474"/>
      <c r="L420" s="474"/>
      <c r="M420" s="474"/>
      <c r="N420" s="474"/>
      <c r="O420" s="474"/>
      <c r="P420" s="474"/>
      <c r="Q420" s="474"/>
      <c r="R420" s="474"/>
      <c r="S420" s="474"/>
      <c r="T420" s="474"/>
      <c r="U420" s="474"/>
      <c r="V420" s="474"/>
      <c r="W420" s="474"/>
      <c r="X420" s="474"/>
      <c r="Y420" s="474"/>
      <c r="Z420" s="474"/>
    </row>
    <row r="421" ht="12.0" customHeight="1">
      <c r="A421" s="480"/>
      <c r="B421" s="485"/>
      <c r="C421" s="525"/>
      <c r="D421" s="525"/>
      <c r="E421" s="526"/>
      <c r="F421" s="526"/>
      <c r="G421" s="474"/>
      <c r="H421" s="474"/>
      <c r="I421" s="474"/>
      <c r="J421" s="474"/>
      <c r="K421" s="474"/>
      <c r="L421" s="474"/>
      <c r="M421" s="474"/>
      <c r="N421" s="474"/>
      <c r="O421" s="474"/>
      <c r="P421" s="474"/>
      <c r="Q421" s="474"/>
      <c r="R421" s="474"/>
      <c r="S421" s="474"/>
      <c r="T421" s="474"/>
      <c r="U421" s="474"/>
      <c r="V421" s="474"/>
      <c r="W421" s="474"/>
      <c r="X421" s="474"/>
      <c r="Y421" s="474"/>
      <c r="Z421" s="474"/>
    </row>
    <row r="422" ht="12.0" customHeight="1">
      <c r="A422" s="480"/>
      <c r="B422" s="485"/>
      <c r="C422" s="525"/>
      <c r="D422" s="525"/>
      <c r="E422" s="526"/>
      <c r="F422" s="526"/>
      <c r="G422" s="474"/>
      <c r="H422" s="474"/>
      <c r="I422" s="474"/>
      <c r="J422" s="474"/>
      <c r="K422" s="474"/>
      <c r="L422" s="474"/>
      <c r="M422" s="474"/>
      <c r="N422" s="474"/>
      <c r="O422" s="474"/>
      <c r="P422" s="474"/>
      <c r="Q422" s="474"/>
      <c r="R422" s="474"/>
      <c r="S422" s="474"/>
      <c r="T422" s="474"/>
      <c r="U422" s="474"/>
      <c r="V422" s="474"/>
      <c r="W422" s="474"/>
      <c r="X422" s="474"/>
      <c r="Y422" s="474"/>
      <c r="Z422" s="474"/>
    </row>
    <row r="423" ht="12.0" customHeight="1">
      <c r="A423" s="480"/>
      <c r="B423" s="485"/>
      <c r="C423" s="525"/>
      <c r="D423" s="525"/>
      <c r="E423" s="526"/>
      <c r="F423" s="526"/>
      <c r="G423" s="474"/>
      <c r="H423" s="474"/>
      <c r="I423" s="474"/>
      <c r="J423" s="474"/>
      <c r="K423" s="474"/>
      <c r="L423" s="474"/>
      <c r="M423" s="474"/>
      <c r="N423" s="474"/>
      <c r="O423" s="474"/>
      <c r="P423" s="474"/>
      <c r="Q423" s="474"/>
      <c r="R423" s="474"/>
      <c r="S423" s="474"/>
      <c r="T423" s="474"/>
      <c r="U423" s="474"/>
      <c r="V423" s="474"/>
      <c r="W423" s="474"/>
      <c r="X423" s="474"/>
      <c r="Y423" s="474"/>
      <c r="Z423" s="474"/>
    </row>
    <row r="424" ht="12.0" customHeight="1">
      <c r="A424" s="480"/>
      <c r="B424" s="485"/>
      <c r="C424" s="525"/>
      <c r="D424" s="525"/>
      <c r="E424" s="526"/>
      <c r="F424" s="526"/>
      <c r="G424" s="474"/>
      <c r="H424" s="474"/>
      <c r="I424" s="474"/>
      <c r="J424" s="474"/>
      <c r="K424" s="474"/>
      <c r="L424" s="474"/>
      <c r="M424" s="474"/>
      <c r="N424" s="474"/>
      <c r="O424" s="474"/>
      <c r="P424" s="474"/>
      <c r="Q424" s="474"/>
      <c r="R424" s="474"/>
      <c r="S424" s="474"/>
      <c r="T424" s="474"/>
      <c r="U424" s="474"/>
      <c r="V424" s="474"/>
      <c r="W424" s="474"/>
      <c r="X424" s="474"/>
      <c r="Y424" s="474"/>
      <c r="Z424" s="474"/>
    </row>
    <row r="425" ht="12.0" customHeight="1">
      <c r="A425" s="480"/>
      <c r="B425" s="485"/>
      <c r="C425" s="525"/>
      <c r="D425" s="525"/>
      <c r="E425" s="526"/>
      <c r="F425" s="526"/>
      <c r="G425" s="474"/>
      <c r="H425" s="474"/>
      <c r="I425" s="474"/>
      <c r="J425" s="474"/>
      <c r="K425" s="474"/>
      <c r="L425" s="474"/>
      <c r="M425" s="474"/>
      <c r="N425" s="474"/>
      <c r="O425" s="474"/>
      <c r="P425" s="474"/>
      <c r="Q425" s="474"/>
      <c r="R425" s="474"/>
      <c r="S425" s="474"/>
      <c r="T425" s="474"/>
      <c r="U425" s="474"/>
      <c r="V425" s="474"/>
      <c r="W425" s="474"/>
      <c r="X425" s="474"/>
      <c r="Y425" s="474"/>
      <c r="Z425" s="474"/>
    </row>
    <row r="426" ht="12.0" customHeight="1">
      <c r="A426" s="480"/>
      <c r="B426" s="485"/>
      <c r="C426" s="525"/>
      <c r="D426" s="525"/>
      <c r="E426" s="526"/>
      <c r="F426" s="526"/>
      <c r="G426" s="474"/>
      <c r="H426" s="474"/>
      <c r="I426" s="474"/>
      <c r="J426" s="474"/>
      <c r="K426" s="474"/>
      <c r="L426" s="474"/>
      <c r="M426" s="474"/>
      <c r="N426" s="474"/>
      <c r="O426" s="474"/>
      <c r="P426" s="474"/>
      <c r="Q426" s="474"/>
      <c r="R426" s="474"/>
      <c r="S426" s="474"/>
      <c r="T426" s="474"/>
      <c r="U426" s="474"/>
      <c r="V426" s="474"/>
      <c r="W426" s="474"/>
      <c r="X426" s="474"/>
      <c r="Y426" s="474"/>
      <c r="Z426" s="474"/>
    </row>
    <row r="427" ht="12.0" customHeight="1">
      <c r="A427" s="480"/>
      <c r="B427" s="485"/>
      <c r="C427" s="525"/>
      <c r="D427" s="525"/>
      <c r="E427" s="526"/>
      <c r="F427" s="526"/>
      <c r="G427" s="474"/>
      <c r="H427" s="474"/>
      <c r="I427" s="474"/>
      <c r="J427" s="474"/>
      <c r="K427" s="474"/>
      <c r="L427" s="474"/>
      <c r="M427" s="474"/>
      <c r="N427" s="474"/>
      <c r="O427" s="474"/>
      <c r="P427" s="474"/>
      <c r="Q427" s="474"/>
      <c r="R427" s="474"/>
      <c r="S427" s="474"/>
      <c r="T427" s="474"/>
      <c r="U427" s="474"/>
      <c r="V427" s="474"/>
      <c r="W427" s="474"/>
      <c r="X427" s="474"/>
      <c r="Y427" s="474"/>
      <c r="Z427" s="474"/>
    </row>
    <row r="428" ht="12.0" customHeight="1">
      <c r="A428" s="480"/>
      <c r="B428" s="485"/>
      <c r="C428" s="525"/>
      <c r="D428" s="525"/>
      <c r="E428" s="526"/>
      <c r="F428" s="526"/>
      <c r="G428" s="474"/>
      <c r="H428" s="474"/>
      <c r="I428" s="474"/>
      <c r="J428" s="474"/>
      <c r="K428" s="474"/>
      <c r="L428" s="474"/>
      <c r="M428" s="474"/>
      <c r="N428" s="474"/>
      <c r="O428" s="474"/>
      <c r="P428" s="474"/>
      <c r="Q428" s="474"/>
      <c r="R428" s="474"/>
      <c r="S428" s="474"/>
      <c r="T428" s="474"/>
      <c r="U428" s="474"/>
      <c r="V428" s="474"/>
      <c r="W428" s="474"/>
      <c r="X428" s="474"/>
      <c r="Y428" s="474"/>
      <c r="Z428" s="474"/>
    </row>
    <row r="429" ht="12.0" customHeight="1">
      <c r="A429" s="480"/>
      <c r="B429" s="485"/>
      <c r="C429" s="525"/>
      <c r="D429" s="525"/>
      <c r="E429" s="526"/>
      <c r="F429" s="526"/>
      <c r="G429" s="474"/>
      <c r="H429" s="474"/>
      <c r="I429" s="474"/>
      <c r="J429" s="474"/>
      <c r="K429" s="474"/>
      <c r="L429" s="474"/>
      <c r="M429" s="474"/>
      <c r="N429" s="474"/>
      <c r="O429" s="474"/>
      <c r="P429" s="474"/>
      <c r="Q429" s="474"/>
      <c r="R429" s="474"/>
      <c r="S429" s="474"/>
      <c r="T429" s="474"/>
      <c r="U429" s="474"/>
      <c r="V429" s="474"/>
      <c r="W429" s="474"/>
      <c r="X429" s="474"/>
      <c r="Y429" s="474"/>
      <c r="Z429" s="474"/>
    </row>
    <row r="430" ht="12.0" customHeight="1">
      <c r="A430" s="480"/>
      <c r="B430" s="485"/>
      <c r="C430" s="525"/>
      <c r="D430" s="525"/>
      <c r="E430" s="526"/>
      <c r="F430" s="526"/>
      <c r="G430" s="474"/>
      <c r="H430" s="474"/>
      <c r="I430" s="474"/>
      <c r="J430" s="474"/>
      <c r="K430" s="474"/>
      <c r="L430" s="474"/>
      <c r="M430" s="474"/>
      <c r="N430" s="474"/>
      <c r="O430" s="474"/>
      <c r="P430" s="474"/>
      <c r="Q430" s="474"/>
      <c r="R430" s="474"/>
      <c r="S430" s="474"/>
      <c r="T430" s="474"/>
      <c r="U430" s="474"/>
      <c r="V430" s="474"/>
      <c r="W430" s="474"/>
      <c r="X430" s="474"/>
      <c r="Y430" s="474"/>
      <c r="Z430" s="474"/>
    </row>
    <row r="431" ht="12.0" customHeight="1">
      <c r="A431" s="480"/>
      <c r="B431" s="485"/>
      <c r="C431" s="525"/>
      <c r="D431" s="525"/>
      <c r="E431" s="526"/>
      <c r="F431" s="526"/>
      <c r="G431" s="474"/>
      <c r="H431" s="474"/>
      <c r="I431" s="474"/>
      <c r="J431" s="474"/>
      <c r="K431" s="474"/>
      <c r="L431" s="474"/>
      <c r="M431" s="474"/>
      <c r="N431" s="474"/>
      <c r="O431" s="474"/>
      <c r="P431" s="474"/>
      <c r="Q431" s="474"/>
      <c r="R431" s="474"/>
      <c r="S431" s="474"/>
      <c r="T431" s="474"/>
      <c r="U431" s="474"/>
      <c r="V431" s="474"/>
      <c r="W431" s="474"/>
      <c r="X431" s="474"/>
      <c r="Y431" s="474"/>
      <c r="Z431" s="474"/>
    </row>
    <row r="432" ht="12.0" customHeight="1">
      <c r="A432" s="480"/>
      <c r="B432" s="485"/>
      <c r="C432" s="525"/>
      <c r="D432" s="525"/>
      <c r="E432" s="526"/>
      <c r="F432" s="526"/>
      <c r="G432" s="474"/>
      <c r="H432" s="474"/>
      <c r="I432" s="474"/>
      <c r="J432" s="474"/>
      <c r="K432" s="474"/>
      <c r="L432" s="474"/>
      <c r="M432" s="474"/>
      <c r="N432" s="474"/>
      <c r="O432" s="474"/>
      <c r="P432" s="474"/>
      <c r="Q432" s="474"/>
      <c r="R432" s="474"/>
      <c r="S432" s="474"/>
      <c r="T432" s="474"/>
      <c r="U432" s="474"/>
      <c r="V432" s="474"/>
      <c r="W432" s="474"/>
      <c r="X432" s="474"/>
      <c r="Y432" s="474"/>
      <c r="Z432" s="474"/>
    </row>
    <row r="433" ht="12.0" customHeight="1">
      <c r="A433" s="480"/>
      <c r="B433" s="485"/>
      <c r="C433" s="525"/>
      <c r="D433" s="525"/>
      <c r="E433" s="526"/>
      <c r="F433" s="526"/>
      <c r="G433" s="474"/>
      <c r="H433" s="474"/>
      <c r="I433" s="474"/>
      <c r="J433" s="474"/>
      <c r="K433" s="474"/>
      <c r="L433" s="474"/>
      <c r="M433" s="474"/>
      <c r="N433" s="474"/>
      <c r="O433" s="474"/>
      <c r="P433" s="474"/>
      <c r="Q433" s="474"/>
      <c r="R433" s="474"/>
      <c r="S433" s="474"/>
      <c r="T433" s="474"/>
      <c r="U433" s="474"/>
      <c r="V433" s="474"/>
      <c r="W433" s="474"/>
      <c r="X433" s="474"/>
      <c r="Y433" s="474"/>
      <c r="Z433" s="474"/>
    </row>
    <row r="434" ht="12.0" customHeight="1">
      <c r="A434" s="480"/>
      <c r="B434" s="485"/>
      <c r="C434" s="525"/>
      <c r="D434" s="525"/>
      <c r="E434" s="526"/>
      <c r="F434" s="526"/>
      <c r="G434" s="474"/>
      <c r="H434" s="474"/>
      <c r="I434" s="474"/>
      <c r="J434" s="474"/>
      <c r="K434" s="474"/>
      <c r="L434" s="474"/>
      <c r="M434" s="474"/>
      <c r="N434" s="474"/>
      <c r="O434" s="474"/>
      <c r="P434" s="474"/>
      <c r="Q434" s="474"/>
      <c r="R434" s="474"/>
      <c r="S434" s="474"/>
      <c r="T434" s="474"/>
      <c r="U434" s="474"/>
      <c r="V434" s="474"/>
      <c r="W434" s="474"/>
      <c r="X434" s="474"/>
      <c r="Y434" s="474"/>
      <c r="Z434" s="474"/>
    </row>
    <row r="435" ht="12.0" customHeight="1">
      <c r="A435" s="480"/>
      <c r="B435" s="485"/>
      <c r="C435" s="525"/>
      <c r="D435" s="525"/>
      <c r="E435" s="526"/>
      <c r="F435" s="526"/>
      <c r="G435" s="474"/>
      <c r="H435" s="474"/>
      <c r="I435" s="474"/>
      <c r="J435" s="474"/>
      <c r="K435" s="474"/>
      <c r="L435" s="474"/>
      <c r="M435" s="474"/>
      <c r="N435" s="474"/>
      <c r="O435" s="474"/>
      <c r="P435" s="474"/>
      <c r="Q435" s="474"/>
      <c r="R435" s="474"/>
      <c r="S435" s="474"/>
      <c r="T435" s="474"/>
      <c r="U435" s="474"/>
      <c r="V435" s="474"/>
      <c r="W435" s="474"/>
      <c r="X435" s="474"/>
      <c r="Y435" s="474"/>
      <c r="Z435" s="474"/>
    </row>
    <row r="436" ht="12.0" customHeight="1">
      <c r="A436" s="480"/>
      <c r="B436" s="485"/>
      <c r="C436" s="525"/>
      <c r="D436" s="525"/>
      <c r="E436" s="526"/>
      <c r="F436" s="526"/>
      <c r="G436" s="474"/>
      <c r="H436" s="474"/>
      <c r="I436" s="474"/>
      <c r="J436" s="474"/>
      <c r="K436" s="474"/>
      <c r="L436" s="474"/>
      <c r="M436" s="474"/>
      <c r="N436" s="474"/>
      <c r="O436" s="474"/>
      <c r="P436" s="474"/>
      <c r="Q436" s="474"/>
      <c r="R436" s="474"/>
      <c r="S436" s="474"/>
      <c r="T436" s="474"/>
      <c r="U436" s="474"/>
      <c r="V436" s="474"/>
      <c r="W436" s="474"/>
      <c r="X436" s="474"/>
      <c r="Y436" s="474"/>
      <c r="Z436" s="474"/>
    </row>
    <row r="437" ht="12.0" customHeight="1">
      <c r="A437" s="480"/>
      <c r="B437" s="485"/>
      <c r="C437" s="525"/>
      <c r="D437" s="525"/>
      <c r="E437" s="526"/>
      <c r="F437" s="526"/>
      <c r="G437" s="474"/>
      <c r="H437" s="474"/>
      <c r="I437" s="474"/>
      <c r="J437" s="474"/>
      <c r="K437" s="474"/>
      <c r="L437" s="474"/>
      <c r="M437" s="474"/>
      <c r="N437" s="474"/>
      <c r="O437" s="474"/>
      <c r="P437" s="474"/>
      <c r="Q437" s="474"/>
      <c r="R437" s="474"/>
      <c r="S437" s="474"/>
      <c r="T437" s="474"/>
      <c r="U437" s="474"/>
      <c r="V437" s="474"/>
      <c r="W437" s="474"/>
      <c r="X437" s="474"/>
      <c r="Y437" s="474"/>
      <c r="Z437" s="474"/>
    </row>
    <row r="438" ht="12.0" customHeight="1">
      <c r="A438" s="480"/>
      <c r="B438" s="485"/>
      <c r="C438" s="525"/>
      <c r="D438" s="525"/>
      <c r="E438" s="526"/>
      <c r="F438" s="526"/>
      <c r="G438" s="474"/>
      <c r="H438" s="474"/>
      <c r="I438" s="474"/>
      <c r="J438" s="474"/>
      <c r="K438" s="474"/>
      <c r="L438" s="474"/>
      <c r="M438" s="474"/>
      <c r="N438" s="474"/>
      <c r="O438" s="474"/>
      <c r="P438" s="474"/>
      <c r="Q438" s="474"/>
      <c r="R438" s="474"/>
      <c r="S438" s="474"/>
      <c r="T438" s="474"/>
      <c r="U438" s="474"/>
      <c r="V438" s="474"/>
      <c r="W438" s="474"/>
      <c r="X438" s="474"/>
      <c r="Y438" s="474"/>
      <c r="Z438" s="474"/>
    </row>
    <row r="439" ht="12.0" customHeight="1">
      <c r="A439" s="480"/>
      <c r="B439" s="485"/>
      <c r="C439" s="525"/>
      <c r="D439" s="525"/>
      <c r="E439" s="526"/>
      <c r="F439" s="526"/>
      <c r="G439" s="474"/>
      <c r="H439" s="474"/>
      <c r="I439" s="474"/>
      <c r="J439" s="474"/>
      <c r="K439" s="474"/>
      <c r="L439" s="474"/>
      <c r="M439" s="474"/>
      <c r="N439" s="474"/>
      <c r="O439" s="474"/>
      <c r="P439" s="474"/>
      <c r="Q439" s="474"/>
      <c r="R439" s="474"/>
      <c r="S439" s="474"/>
      <c r="T439" s="474"/>
      <c r="U439" s="474"/>
      <c r="V439" s="474"/>
      <c r="W439" s="474"/>
      <c r="X439" s="474"/>
      <c r="Y439" s="474"/>
      <c r="Z439" s="474"/>
    </row>
    <row r="440" ht="12.0" customHeight="1">
      <c r="A440" s="480"/>
      <c r="B440" s="485"/>
      <c r="C440" s="525"/>
      <c r="D440" s="525"/>
      <c r="E440" s="526"/>
      <c r="F440" s="526"/>
      <c r="G440" s="474"/>
      <c r="H440" s="474"/>
      <c r="I440" s="474"/>
      <c r="J440" s="474"/>
      <c r="K440" s="474"/>
      <c r="L440" s="474"/>
      <c r="M440" s="474"/>
      <c r="N440" s="474"/>
      <c r="O440" s="474"/>
      <c r="P440" s="474"/>
      <c r="Q440" s="474"/>
      <c r="R440" s="474"/>
      <c r="S440" s="474"/>
      <c r="T440" s="474"/>
      <c r="U440" s="474"/>
      <c r="V440" s="474"/>
      <c r="W440" s="474"/>
      <c r="X440" s="474"/>
      <c r="Y440" s="474"/>
      <c r="Z440" s="474"/>
    </row>
    <row r="441" ht="12.0" customHeight="1">
      <c r="A441" s="480"/>
      <c r="B441" s="485"/>
      <c r="C441" s="525"/>
      <c r="D441" s="525"/>
      <c r="E441" s="526"/>
      <c r="F441" s="526"/>
      <c r="G441" s="474"/>
      <c r="H441" s="474"/>
      <c r="I441" s="474"/>
      <c r="J441" s="474"/>
      <c r="K441" s="474"/>
      <c r="L441" s="474"/>
      <c r="M441" s="474"/>
      <c r="N441" s="474"/>
      <c r="O441" s="474"/>
      <c r="P441" s="474"/>
      <c r="Q441" s="474"/>
      <c r="R441" s="474"/>
      <c r="S441" s="474"/>
      <c r="T441" s="474"/>
      <c r="U441" s="474"/>
      <c r="V441" s="474"/>
      <c r="W441" s="474"/>
      <c r="X441" s="474"/>
      <c r="Y441" s="474"/>
      <c r="Z441" s="474"/>
    </row>
    <row r="442" ht="12.0" customHeight="1">
      <c r="A442" s="480"/>
      <c r="B442" s="485"/>
      <c r="C442" s="525"/>
      <c r="D442" s="525"/>
      <c r="E442" s="526"/>
      <c r="F442" s="526"/>
      <c r="G442" s="474"/>
      <c r="H442" s="474"/>
      <c r="I442" s="474"/>
      <c r="J442" s="474"/>
      <c r="K442" s="474"/>
      <c r="L442" s="474"/>
      <c r="M442" s="474"/>
      <c r="N442" s="474"/>
      <c r="O442" s="474"/>
      <c r="P442" s="474"/>
      <c r="Q442" s="474"/>
      <c r="R442" s="474"/>
      <c r="S442" s="474"/>
      <c r="T442" s="474"/>
      <c r="U442" s="474"/>
      <c r="V442" s="474"/>
      <c r="W442" s="474"/>
      <c r="X442" s="474"/>
      <c r="Y442" s="474"/>
      <c r="Z442" s="474"/>
    </row>
    <row r="443" ht="12.0" customHeight="1">
      <c r="A443" s="480"/>
      <c r="B443" s="485"/>
      <c r="C443" s="525"/>
      <c r="D443" s="525"/>
      <c r="E443" s="526"/>
      <c r="F443" s="526"/>
      <c r="G443" s="474"/>
      <c r="H443" s="474"/>
      <c r="I443" s="474"/>
      <c r="J443" s="474"/>
      <c r="K443" s="474"/>
      <c r="L443" s="474"/>
      <c r="M443" s="474"/>
      <c r="N443" s="474"/>
      <c r="O443" s="474"/>
      <c r="P443" s="474"/>
      <c r="Q443" s="474"/>
      <c r="R443" s="474"/>
      <c r="S443" s="474"/>
      <c r="T443" s="474"/>
      <c r="U443" s="474"/>
      <c r="V443" s="474"/>
      <c r="W443" s="474"/>
      <c r="X443" s="474"/>
      <c r="Y443" s="474"/>
      <c r="Z443" s="474"/>
    </row>
    <row r="444" ht="12.0" customHeight="1">
      <c r="A444" s="480"/>
      <c r="B444" s="485"/>
      <c r="C444" s="525"/>
      <c r="D444" s="525"/>
      <c r="E444" s="526"/>
      <c r="F444" s="526"/>
      <c r="G444" s="474"/>
      <c r="H444" s="474"/>
      <c r="I444" s="474"/>
      <c r="J444" s="474"/>
      <c r="K444" s="474"/>
      <c r="L444" s="474"/>
      <c r="M444" s="474"/>
      <c r="N444" s="474"/>
      <c r="O444" s="474"/>
      <c r="P444" s="474"/>
      <c r="Q444" s="474"/>
      <c r="R444" s="474"/>
      <c r="S444" s="474"/>
      <c r="T444" s="474"/>
      <c r="U444" s="474"/>
      <c r="V444" s="474"/>
      <c r="W444" s="474"/>
      <c r="X444" s="474"/>
      <c r="Y444" s="474"/>
      <c r="Z444" s="474"/>
    </row>
    <row r="445" ht="12.0" customHeight="1">
      <c r="A445" s="480"/>
      <c r="B445" s="485"/>
      <c r="C445" s="525"/>
      <c r="D445" s="525"/>
      <c r="E445" s="526"/>
      <c r="F445" s="526"/>
      <c r="G445" s="474"/>
      <c r="H445" s="474"/>
      <c r="I445" s="474"/>
      <c r="J445" s="474"/>
      <c r="K445" s="474"/>
      <c r="L445" s="474"/>
      <c r="M445" s="474"/>
      <c r="N445" s="474"/>
      <c r="O445" s="474"/>
      <c r="P445" s="474"/>
      <c r="Q445" s="474"/>
      <c r="R445" s="474"/>
      <c r="S445" s="474"/>
      <c r="T445" s="474"/>
      <c r="U445" s="474"/>
      <c r="V445" s="474"/>
      <c r="W445" s="474"/>
      <c r="X445" s="474"/>
      <c r="Y445" s="474"/>
      <c r="Z445" s="474"/>
    </row>
    <row r="446" ht="12.0" customHeight="1">
      <c r="A446" s="480"/>
      <c r="B446" s="485"/>
      <c r="C446" s="525"/>
      <c r="D446" s="525"/>
      <c r="E446" s="526"/>
      <c r="F446" s="526"/>
      <c r="G446" s="474"/>
      <c r="H446" s="474"/>
      <c r="I446" s="474"/>
      <c r="J446" s="474"/>
      <c r="K446" s="474"/>
      <c r="L446" s="474"/>
      <c r="M446" s="474"/>
      <c r="N446" s="474"/>
      <c r="O446" s="474"/>
      <c r="P446" s="474"/>
      <c r="Q446" s="474"/>
      <c r="R446" s="474"/>
      <c r="S446" s="474"/>
      <c r="T446" s="474"/>
      <c r="U446" s="474"/>
      <c r="V446" s="474"/>
      <c r="W446" s="474"/>
      <c r="X446" s="474"/>
      <c r="Y446" s="474"/>
      <c r="Z446" s="474"/>
    </row>
    <row r="447" ht="12.0" customHeight="1">
      <c r="A447" s="480"/>
      <c r="B447" s="485"/>
      <c r="C447" s="525"/>
      <c r="D447" s="525"/>
      <c r="E447" s="526"/>
      <c r="F447" s="526"/>
      <c r="G447" s="474"/>
      <c r="H447" s="474"/>
      <c r="I447" s="474"/>
      <c r="J447" s="474"/>
      <c r="K447" s="474"/>
      <c r="L447" s="474"/>
      <c r="M447" s="474"/>
      <c r="N447" s="474"/>
      <c r="O447" s="474"/>
      <c r="P447" s="474"/>
      <c r="Q447" s="474"/>
      <c r="R447" s="474"/>
      <c r="S447" s="474"/>
      <c r="T447" s="474"/>
      <c r="U447" s="474"/>
      <c r="V447" s="474"/>
      <c r="W447" s="474"/>
      <c r="X447" s="474"/>
      <c r="Y447" s="474"/>
      <c r="Z447" s="474"/>
    </row>
    <row r="448" ht="12.0" customHeight="1">
      <c r="A448" s="480"/>
      <c r="B448" s="485"/>
      <c r="C448" s="525"/>
      <c r="D448" s="525"/>
      <c r="E448" s="526"/>
      <c r="F448" s="526"/>
      <c r="G448" s="474"/>
      <c r="H448" s="474"/>
      <c r="I448" s="474"/>
      <c r="J448" s="474"/>
      <c r="K448" s="474"/>
      <c r="L448" s="474"/>
      <c r="M448" s="474"/>
      <c r="N448" s="474"/>
      <c r="O448" s="474"/>
      <c r="P448" s="474"/>
      <c r="Q448" s="474"/>
      <c r="R448" s="474"/>
      <c r="S448" s="474"/>
      <c r="T448" s="474"/>
      <c r="U448" s="474"/>
      <c r="V448" s="474"/>
      <c r="W448" s="474"/>
      <c r="X448" s="474"/>
      <c r="Y448" s="474"/>
      <c r="Z448" s="474"/>
    </row>
    <row r="449" ht="12.0" customHeight="1">
      <c r="A449" s="480"/>
      <c r="B449" s="485"/>
      <c r="C449" s="525"/>
      <c r="D449" s="525"/>
      <c r="E449" s="526"/>
      <c r="F449" s="526"/>
      <c r="G449" s="474"/>
      <c r="H449" s="474"/>
      <c r="I449" s="474"/>
      <c r="J449" s="474"/>
      <c r="K449" s="474"/>
      <c r="L449" s="474"/>
      <c r="M449" s="474"/>
      <c r="N449" s="474"/>
      <c r="O449" s="474"/>
      <c r="P449" s="474"/>
      <c r="Q449" s="474"/>
      <c r="R449" s="474"/>
      <c r="S449" s="474"/>
      <c r="T449" s="474"/>
      <c r="U449" s="474"/>
      <c r="V449" s="474"/>
      <c r="W449" s="474"/>
      <c r="X449" s="474"/>
      <c r="Y449" s="474"/>
      <c r="Z449" s="474"/>
    </row>
    <row r="450" ht="12.0" customHeight="1">
      <c r="A450" s="480"/>
      <c r="B450" s="485"/>
      <c r="C450" s="525"/>
      <c r="D450" s="525"/>
      <c r="E450" s="526"/>
      <c r="F450" s="526"/>
      <c r="G450" s="474"/>
      <c r="H450" s="474"/>
      <c r="I450" s="474"/>
      <c r="J450" s="474"/>
      <c r="K450" s="474"/>
      <c r="L450" s="474"/>
      <c r="M450" s="474"/>
      <c r="N450" s="474"/>
      <c r="O450" s="474"/>
      <c r="P450" s="474"/>
      <c r="Q450" s="474"/>
      <c r="R450" s="474"/>
      <c r="S450" s="474"/>
      <c r="T450" s="474"/>
      <c r="U450" s="474"/>
      <c r="V450" s="474"/>
      <c r="W450" s="474"/>
      <c r="X450" s="474"/>
      <c r="Y450" s="474"/>
      <c r="Z450" s="474"/>
    </row>
    <row r="451" ht="12.0" customHeight="1">
      <c r="A451" s="480"/>
      <c r="B451" s="485"/>
      <c r="C451" s="525"/>
      <c r="D451" s="525"/>
      <c r="E451" s="526"/>
      <c r="F451" s="526"/>
      <c r="G451" s="474"/>
      <c r="H451" s="474"/>
      <c r="I451" s="474"/>
      <c r="J451" s="474"/>
      <c r="K451" s="474"/>
      <c r="L451" s="474"/>
      <c r="M451" s="474"/>
      <c r="N451" s="474"/>
      <c r="O451" s="474"/>
      <c r="P451" s="474"/>
      <c r="Q451" s="474"/>
      <c r="R451" s="474"/>
      <c r="S451" s="474"/>
      <c r="T451" s="474"/>
      <c r="U451" s="474"/>
      <c r="V451" s="474"/>
      <c r="W451" s="474"/>
      <c r="X451" s="474"/>
      <c r="Y451" s="474"/>
      <c r="Z451" s="474"/>
    </row>
    <row r="452" ht="12.0" customHeight="1">
      <c r="A452" s="480"/>
      <c r="B452" s="485"/>
      <c r="C452" s="525"/>
      <c r="D452" s="525"/>
      <c r="E452" s="526"/>
      <c r="F452" s="526"/>
      <c r="G452" s="474"/>
      <c r="H452" s="474"/>
      <c r="I452" s="474"/>
      <c r="J452" s="474"/>
      <c r="K452" s="474"/>
      <c r="L452" s="474"/>
      <c r="M452" s="474"/>
      <c r="N452" s="474"/>
      <c r="O452" s="474"/>
      <c r="P452" s="474"/>
      <c r="Q452" s="474"/>
      <c r="R452" s="474"/>
      <c r="S452" s="474"/>
      <c r="T452" s="474"/>
      <c r="U452" s="474"/>
      <c r="V452" s="474"/>
      <c r="W452" s="474"/>
      <c r="X452" s="474"/>
      <c r="Y452" s="474"/>
      <c r="Z452" s="474"/>
    </row>
    <row r="453" ht="12.0" customHeight="1">
      <c r="A453" s="480"/>
      <c r="B453" s="485"/>
      <c r="C453" s="525"/>
      <c r="D453" s="525"/>
      <c r="E453" s="526"/>
      <c r="F453" s="526"/>
      <c r="G453" s="474"/>
      <c r="H453" s="474"/>
      <c r="I453" s="474"/>
      <c r="J453" s="474"/>
      <c r="K453" s="474"/>
      <c r="L453" s="474"/>
      <c r="M453" s="474"/>
      <c r="N453" s="474"/>
      <c r="O453" s="474"/>
      <c r="P453" s="474"/>
      <c r="Q453" s="474"/>
      <c r="R453" s="474"/>
      <c r="S453" s="474"/>
      <c r="T453" s="474"/>
      <c r="U453" s="474"/>
      <c r="V453" s="474"/>
      <c r="W453" s="474"/>
      <c r="X453" s="474"/>
      <c r="Y453" s="474"/>
      <c r="Z453" s="474"/>
    </row>
    <row r="454" ht="12.0" customHeight="1">
      <c r="A454" s="480"/>
      <c r="B454" s="485"/>
      <c r="C454" s="525"/>
      <c r="D454" s="525"/>
      <c r="E454" s="526"/>
      <c r="F454" s="526"/>
      <c r="G454" s="474"/>
      <c r="H454" s="474"/>
      <c r="I454" s="474"/>
      <c r="J454" s="474"/>
      <c r="K454" s="474"/>
      <c r="L454" s="474"/>
      <c r="M454" s="474"/>
      <c r="N454" s="474"/>
      <c r="O454" s="474"/>
      <c r="P454" s="474"/>
      <c r="Q454" s="474"/>
      <c r="R454" s="474"/>
      <c r="S454" s="474"/>
      <c r="T454" s="474"/>
      <c r="U454" s="474"/>
      <c r="V454" s="474"/>
      <c r="W454" s="474"/>
      <c r="X454" s="474"/>
      <c r="Y454" s="474"/>
      <c r="Z454" s="474"/>
    </row>
    <row r="455" ht="12.0" customHeight="1">
      <c r="A455" s="480"/>
      <c r="B455" s="485"/>
      <c r="C455" s="525"/>
      <c r="D455" s="525"/>
      <c r="E455" s="526"/>
      <c r="F455" s="526"/>
      <c r="G455" s="474"/>
      <c r="H455" s="474"/>
      <c r="I455" s="474"/>
      <c r="J455" s="474"/>
      <c r="K455" s="474"/>
      <c r="L455" s="474"/>
      <c r="M455" s="474"/>
      <c r="N455" s="474"/>
      <c r="O455" s="474"/>
      <c r="P455" s="474"/>
      <c r="Q455" s="474"/>
      <c r="R455" s="474"/>
      <c r="S455" s="474"/>
      <c r="T455" s="474"/>
      <c r="U455" s="474"/>
      <c r="V455" s="474"/>
      <c r="W455" s="474"/>
      <c r="X455" s="474"/>
      <c r="Y455" s="474"/>
      <c r="Z455" s="474"/>
    </row>
    <row r="456" ht="12.0" customHeight="1">
      <c r="A456" s="480"/>
      <c r="B456" s="485"/>
      <c r="C456" s="525"/>
      <c r="D456" s="525"/>
      <c r="E456" s="526"/>
      <c r="F456" s="526"/>
      <c r="G456" s="474"/>
      <c r="H456" s="474"/>
      <c r="I456" s="474"/>
      <c r="J456" s="474"/>
      <c r="K456" s="474"/>
      <c r="L456" s="474"/>
      <c r="M456" s="474"/>
      <c r="N456" s="474"/>
      <c r="O456" s="474"/>
      <c r="P456" s="474"/>
      <c r="Q456" s="474"/>
      <c r="R456" s="474"/>
      <c r="S456" s="474"/>
      <c r="T456" s="474"/>
      <c r="U456" s="474"/>
      <c r="V456" s="474"/>
      <c r="W456" s="474"/>
      <c r="X456" s="474"/>
      <c r="Y456" s="474"/>
      <c r="Z456" s="474"/>
    </row>
    <row r="457" ht="12.0" customHeight="1">
      <c r="A457" s="480"/>
      <c r="B457" s="485"/>
      <c r="C457" s="525"/>
      <c r="D457" s="525"/>
      <c r="E457" s="526"/>
      <c r="F457" s="526"/>
      <c r="G457" s="474"/>
      <c r="H457" s="474"/>
      <c r="I457" s="474"/>
      <c r="J457" s="474"/>
      <c r="K457" s="474"/>
      <c r="L457" s="474"/>
      <c r="M457" s="474"/>
      <c r="N457" s="474"/>
      <c r="O457" s="474"/>
      <c r="P457" s="474"/>
      <c r="Q457" s="474"/>
      <c r="R457" s="474"/>
      <c r="S457" s="474"/>
      <c r="T457" s="474"/>
      <c r="U457" s="474"/>
      <c r="V457" s="474"/>
      <c r="W457" s="474"/>
      <c r="X457" s="474"/>
      <c r="Y457" s="474"/>
      <c r="Z457" s="474"/>
    </row>
    <row r="458" ht="12.0" customHeight="1">
      <c r="A458" s="480"/>
      <c r="B458" s="485"/>
      <c r="C458" s="525"/>
      <c r="D458" s="525"/>
      <c r="E458" s="526"/>
      <c r="F458" s="526"/>
      <c r="G458" s="474"/>
      <c r="H458" s="474"/>
      <c r="I458" s="474"/>
      <c r="J458" s="474"/>
      <c r="K458" s="474"/>
      <c r="L458" s="474"/>
      <c r="M458" s="474"/>
      <c r="N458" s="474"/>
      <c r="O458" s="474"/>
      <c r="P458" s="474"/>
      <c r="Q458" s="474"/>
      <c r="R458" s="474"/>
      <c r="S458" s="474"/>
      <c r="T458" s="474"/>
      <c r="U458" s="474"/>
      <c r="V458" s="474"/>
      <c r="W458" s="474"/>
      <c r="X458" s="474"/>
      <c r="Y458" s="474"/>
      <c r="Z458" s="474"/>
    </row>
    <row r="459" ht="12.0" customHeight="1">
      <c r="A459" s="480"/>
      <c r="B459" s="485"/>
      <c r="C459" s="525"/>
      <c r="D459" s="525"/>
      <c r="E459" s="526"/>
      <c r="F459" s="526"/>
      <c r="G459" s="474"/>
      <c r="H459" s="474"/>
      <c r="I459" s="474"/>
      <c r="J459" s="474"/>
      <c r="K459" s="474"/>
      <c r="L459" s="474"/>
      <c r="M459" s="474"/>
      <c r="N459" s="474"/>
      <c r="O459" s="474"/>
      <c r="P459" s="474"/>
      <c r="Q459" s="474"/>
      <c r="R459" s="474"/>
      <c r="S459" s="474"/>
      <c r="T459" s="474"/>
      <c r="U459" s="474"/>
      <c r="V459" s="474"/>
      <c r="W459" s="474"/>
      <c r="X459" s="474"/>
      <c r="Y459" s="474"/>
      <c r="Z459" s="474"/>
    </row>
    <row r="460" ht="12.0" customHeight="1">
      <c r="A460" s="480"/>
      <c r="B460" s="485"/>
      <c r="C460" s="525"/>
      <c r="D460" s="525"/>
      <c r="E460" s="526"/>
      <c r="F460" s="526"/>
      <c r="G460" s="474"/>
      <c r="H460" s="474"/>
      <c r="I460" s="474"/>
      <c r="J460" s="474"/>
      <c r="K460" s="474"/>
      <c r="L460" s="474"/>
      <c r="M460" s="474"/>
      <c r="N460" s="474"/>
      <c r="O460" s="474"/>
      <c r="P460" s="474"/>
      <c r="Q460" s="474"/>
      <c r="R460" s="474"/>
      <c r="S460" s="474"/>
      <c r="T460" s="474"/>
      <c r="U460" s="474"/>
      <c r="V460" s="474"/>
      <c r="W460" s="474"/>
      <c r="X460" s="474"/>
      <c r="Y460" s="474"/>
      <c r="Z460" s="474"/>
    </row>
    <row r="461" ht="12.0" customHeight="1">
      <c r="A461" s="480"/>
      <c r="B461" s="485"/>
      <c r="C461" s="525"/>
      <c r="D461" s="525"/>
      <c r="E461" s="526"/>
      <c r="F461" s="526"/>
      <c r="G461" s="474"/>
      <c r="H461" s="474"/>
      <c r="I461" s="474"/>
      <c r="J461" s="474"/>
      <c r="K461" s="474"/>
      <c r="L461" s="474"/>
      <c r="M461" s="474"/>
      <c r="N461" s="474"/>
      <c r="O461" s="474"/>
      <c r="P461" s="474"/>
      <c r="Q461" s="474"/>
      <c r="R461" s="474"/>
      <c r="S461" s="474"/>
      <c r="T461" s="474"/>
      <c r="U461" s="474"/>
      <c r="V461" s="474"/>
      <c r="W461" s="474"/>
      <c r="X461" s="474"/>
      <c r="Y461" s="474"/>
      <c r="Z461" s="474"/>
    </row>
    <row r="462" ht="12.0" customHeight="1">
      <c r="A462" s="480"/>
      <c r="B462" s="485"/>
      <c r="C462" s="525"/>
      <c r="D462" s="525"/>
      <c r="E462" s="526"/>
      <c r="F462" s="526"/>
      <c r="G462" s="474"/>
      <c r="H462" s="474"/>
      <c r="I462" s="474"/>
      <c r="J462" s="474"/>
      <c r="K462" s="474"/>
      <c r="L462" s="474"/>
      <c r="M462" s="474"/>
      <c r="N462" s="474"/>
      <c r="O462" s="474"/>
      <c r="P462" s="474"/>
      <c r="Q462" s="474"/>
      <c r="R462" s="474"/>
      <c r="S462" s="474"/>
      <c r="T462" s="474"/>
      <c r="U462" s="474"/>
      <c r="V462" s="474"/>
      <c r="W462" s="474"/>
      <c r="X462" s="474"/>
      <c r="Y462" s="474"/>
      <c r="Z462" s="474"/>
    </row>
    <row r="463" ht="12.0" customHeight="1">
      <c r="A463" s="480"/>
      <c r="B463" s="485"/>
      <c r="C463" s="525"/>
      <c r="D463" s="525"/>
      <c r="E463" s="526"/>
      <c r="F463" s="526"/>
      <c r="G463" s="474"/>
      <c r="H463" s="474"/>
      <c r="I463" s="474"/>
      <c r="J463" s="474"/>
      <c r="K463" s="474"/>
      <c r="L463" s="474"/>
      <c r="M463" s="474"/>
      <c r="N463" s="474"/>
      <c r="O463" s="474"/>
      <c r="P463" s="474"/>
      <c r="Q463" s="474"/>
      <c r="R463" s="474"/>
      <c r="S463" s="474"/>
      <c r="T463" s="474"/>
      <c r="U463" s="474"/>
      <c r="V463" s="474"/>
      <c r="W463" s="474"/>
      <c r="X463" s="474"/>
      <c r="Y463" s="474"/>
      <c r="Z463" s="474"/>
    </row>
    <row r="464" ht="12.0" customHeight="1">
      <c r="A464" s="480"/>
      <c r="B464" s="485"/>
      <c r="C464" s="525"/>
      <c r="D464" s="525"/>
      <c r="E464" s="526"/>
      <c r="F464" s="526"/>
      <c r="G464" s="474"/>
      <c r="H464" s="474"/>
      <c r="I464" s="474"/>
      <c r="J464" s="474"/>
      <c r="K464" s="474"/>
      <c r="L464" s="474"/>
      <c r="M464" s="474"/>
      <c r="N464" s="474"/>
      <c r="O464" s="474"/>
      <c r="P464" s="474"/>
      <c r="Q464" s="474"/>
      <c r="R464" s="474"/>
      <c r="S464" s="474"/>
      <c r="T464" s="474"/>
      <c r="U464" s="474"/>
      <c r="V464" s="474"/>
      <c r="W464" s="474"/>
      <c r="X464" s="474"/>
      <c r="Y464" s="474"/>
      <c r="Z464" s="474"/>
    </row>
    <row r="465" ht="12.0" customHeight="1">
      <c r="A465" s="480"/>
      <c r="B465" s="485"/>
      <c r="C465" s="525"/>
      <c r="D465" s="525"/>
      <c r="E465" s="526"/>
      <c r="F465" s="526"/>
      <c r="G465" s="474"/>
      <c r="H465" s="474"/>
      <c r="I465" s="474"/>
      <c r="J465" s="474"/>
      <c r="K465" s="474"/>
      <c r="L465" s="474"/>
      <c r="M465" s="474"/>
      <c r="N465" s="474"/>
      <c r="O465" s="474"/>
      <c r="P465" s="474"/>
      <c r="Q465" s="474"/>
      <c r="R465" s="474"/>
      <c r="S465" s="474"/>
      <c r="T465" s="474"/>
      <c r="U465" s="474"/>
      <c r="V465" s="474"/>
      <c r="W465" s="474"/>
      <c r="X465" s="474"/>
      <c r="Y465" s="474"/>
      <c r="Z465" s="474"/>
    </row>
    <row r="466" ht="12.0" customHeight="1">
      <c r="A466" s="480"/>
      <c r="B466" s="485"/>
      <c r="C466" s="525"/>
      <c r="D466" s="525"/>
      <c r="E466" s="526"/>
      <c r="F466" s="526"/>
      <c r="G466" s="474"/>
      <c r="H466" s="474"/>
      <c r="I466" s="474"/>
      <c r="J466" s="474"/>
      <c r="K466" s="474"/>
      <c r="L466" s="474"/>
      <c r="M466" s="474"/>
      <c r="N466" s="474"/>
      <c r="O466" s="474"/>
      <c r="P466" s="474"/>
      <c r="Q466" s="474"/>
      <c r="R466" s="474"/>
      <c r="S466" s="474"/>
      <c r="T466" s="474"/>
      <c r="U466" s="474"/>
      <c r="V466" s="474"/>
      <c r="W466" s="474"/>
      <c r="X466" s="474"/>
      <c r="Y466" s="474"/>
      <c r="Z466" s="474"/>
    </row>
    <row r="467" ht="12.0" customHeight="1">
      <c r="A467" s="480"/>
      <c r="B467" s="485"/>
      <c r="C467" s="525"/>
      <c r="D467" s="525"/>
      <c r="E467" s="526"/>
      <c r="F467" s="526"/>
      <c r="G467" s="474"/>
      <c r="H467" s="474"/>
      <c r="I467" s="474"/>
      <c r="J467" s="474"/>
      <c r="K467" s="474"/>
      <c r="L467" s="474"/>
      <c r="M467" s="474"/>
      <c r="N467" s="474"/>
      <c r="O467" s="474"/>
      <c r="P467" s="474"/>
      <c r="Q467" s="474"/>
      <c r="R467" s="474"/>
      <c r="S467" s="474"/>
      <c r="T467" s="474"/>
      <c r="U467" s="474"/>
      <c r="V467" s="474"/>
      <c r="W467" s="474"/>
      <c r="X467" s="474"/>
      <c r="Y467" s="474"/>
      <c r="Z467" s="474"/>
    </row>
    <row r="468" ht="12.0" customHeight="1">
      <c r="A468" s="480"/>
      <c r="B468" s="485"/>
      <c r="C468" s="525"/>
      <c r="D468" s="525"/>
      <c r="E468" s="526"/>
      <c r="F468" s="526"/>
      <c r="G468" s="474"/>
      <c r="H468" s="474"/>
      <c r="I468" s="474"/>
      <c r="J468" s="474"/>
      <c r="K468" s="474"/>
      <c r="L468" s="474"/>
      <c r="M468" s="474"/>
      <c r="N468" s="474"/>
      <c r="O468" s="474"/>
      <c r="P468" s="474"/>
      <c r="Q468" s="474"/>
      <c r="R468" s="474"/>
      <c r="S468" s="474"/>
      <c r="T468" s="474"/>
      <c r="U468" s="474"/>
      <c r="V468" s="474"/>
      <c r="W468" s="474"/>
      <c r="X468" s="474"/>
      <c r="Y468" s="474"/>
      <c r="Z468" s="474"/>
    </row>
    <row r="469" ht="12.0" customHeight="1">
      <c r="A469" s="480"/>
      <c r="B469" s="485"/>
      <c r="C469" s="525"/>
      <c r="D469" s="525"/>
      <c r="E469" s="526"/>
      <c r="F469" s="526"/>
      <c r="G469" s="474"/>
      <c r="H469" s="474"/>
      <c r="I469" s="474"/>
      <c r="J469" s="474"/>
      <c r="K469" s="474"/>
      <c r="L469" s="474"/>
      <c r="M469" s="474"/>
      <c r="N469" s="474"/>
      <c r="O469" s="474"/>
      <c r="P469" s="474"/>
      <c r="Q469" s="474"/>
      <c r="R469" s="474"/>
      <c r="S469" s="474"/>
      <c r="T469" s="474"/>
      <c r="U469" s="474"/>
      <c r="V469" s="474"/>
      <c r="W469" s="474"/>
      <c r="X469" s="474"/>
      <c r="Y469" s="474"/>
      <c r="Z469" s="474"/>
    </row>
    <row r="470" ht="12.0" customHeight="1">
      <c r="A470" s="480"/>
      <c r="B470" s="485"/>
      <c r="C470" s="525"/>
      <c r="D470" s="525"/>
      <c r="E470" s="526"/>
      <c r="F470" s="526"/>
      <c r="G470" s="474"/>
      <c r="H470" s="474"/>
      <c r="I470" s="474"/>
      <c r="J470" s="474"/>
      <c r="K470" s="474"/>
      <c r="L470" s="474"/>
      <c r="M470" s="474"/>
      <c r="N470" s="474"/>
      <c r="O470" s="474"/>
      <c r="P470" s="474"/>
      <c r="Q470" s="474"/>
      <c r="R470" s="474"/>
      <c r="S470" s="474"/>
      <c r="T470" s="474"/>
      <c r="U470" s="474"/>
      <c r="V470" s="474"/>
      <c r="W470" s="474"/>
      <c r="X470" s="474"/>
      <c r="Y470" s="474"/>
      <c r="Z470" s="474"/>
    </row>
    <row r="471" ht="12.0" customHeight="1">
      <c r="A471" s="480"/>
      <c r="B471" s="485"/>
      <c r="C471" s="525"/>
      <c r="D471" s="525"/>
      <c r="E471" s="526"/>
      <c r="F471" s="526"/>
      <c r="G471" s="474"/>
      <c r="H471" s="474"/>
      <c r="I471" s="474"/>
      <c r="J471" s="474"/>
      <c r="K471" s="474"/>
      <c r="L471" s="474"/>
      <c r="M471" s="474"/>
      <c r="N471" s="474"/>
      <c r="O471" s="474"/>
      <c r="P471" s="474"/>
      <c r="Q471" s="474"/>
      <c r="R471" s="474"/>
      <c r="S471" s="474"/>
      <c r="T471" s="474"/>
      <c r="U471" s="474"/>
      <c r="V471" s="474"/>
      <c r="W471" s="474"/>
      <c r="X471" s="474"/>
      <c r="Y471" s="474"/>
      <c r="Z471" s="474"/>
    </row>
    <row r="472" ht="12.0" customHeight="1">
      <c r="A472" s="480"/>
      <c r="B472" s="485"/>
      <c r="C472" s="525"/>
      <c r="D472" s="525"/>
      <c r="E472" s="526"/>
      <c r="F472" s="526"/>
      <c r="G472" s="474"/>
      <c r="H472" s="474"/>
      <c r="I472" s="474"/>
      <c r="J472" s="474"/>
      <c r="K472" s="474"/>
      <c r="L472" s="474"/>
      <c r="M472" s="474"/>
      <c r="N472" s="474"/>
      <c r="O472" s="474"/>
      <c r="P472" s="474"/>
      <c r="Q472" s="474"/>
      <c r="R472" s="474"/>
      <c r="S472" s="474"/>
      <c r="T472" s="474"/>
      <c r="U472" s="474"/>
      <c r="V472" s="474"/>
      <c r="W472" s="474"/>
      <c r="X472" s="474"/>
      <c r="Y472" s="474"/>
      <c r="Z472" s="474"/>
    </row>
    <row r="473" ht="12.0" customHeight="1">
      <c r="A473" s="480"/>
      <c r="B473" s="485"/>
      <c r="C473" s="525"/>
      <c r="D473" s="525"/>
      <c r="E473" s="526"/>
      <c r="F473" s="526"/>
      <c r="G473" s="474"/>
      <c r="H473" s="474"/>
      <c r="I473" s="474"/>
      <c r="J473" s="474"/>
      <c r="K473" s="474"/>
      <c r="L473" s="474"/>
      <c r="M473" s="474"/>
      <c r="N473" s="474"/>
      <c r="O473" s="474"/>
      <c r="P473" s="474"/>
      <c r="Q473" s="474"/>
      <c r="R473" s="474"/>
      <c r="S473" s="474"/>
      <c r="T473" s="474"/>
      <c r="U473" s="474"/>
      <c r="V473" s="474"/>
      <c r="W473" s="474"/>
      <c r="X473" s="474"/>
      <c r="Y473" s="474"/>
      <c r="Z473" s="474"/>
    </row>
    <row r="474" ht="12.0" customHeight="1">
      <c r="A474" s="480"/>
      <c r="B474" s="485"/>
      <c r="C474" s="525"/>
      <c r="D474" s="525"/>
      <c r="E474" s="526"/>
      <c r="F474" s="526"/>
      <c r="G474" s="474"/>
      <c r="H474" s="474"/>
      <c r="I474" s="474"/>
      <c r="J474" s="474"/>
      <c r="K474" s="474"/>
      <c r="L474" s="474"/>
      <c r="M474" s="474"/>
      <c r="N474" s="474"/>
      <c r="O474" s="474"/>
      <c r="P474" s="474"/>
      <c r="Q474" s="474"/>
      <c r="R474" s="474"/>
      <c r="S474" s="474"/>
      <c r="T474" s="474"/>
      <c r="U474" s="474"/>
      <c r="V474" s="474"/>
      <c r="W474" s="474"/>
      <c r="X474" s="474"/>
      <c r="Y474" s="474"/>
      <c r="Z474" s="474"/>
    </row>
    <row r="475" ht="12.0" customHeight="1">
      <c r="A475" s="480"/>
      <c r="B475" s="485"/>
      <c r="C475" s="525"/>
      <c r="D475" s="525"/>
      <c r="E475" s="526"/>
      <c r="F475" s="526"/>
      <c r="G475" s="474"/>
      <c r="H475" s="474"/>
      <c r="I475" s="474"/>
      <c r="J475" s="474"/>
      <c r="K475" s="474"/>
      <c r="L475" s="474"/>
      <c r="M475" s="474"/>
      <c r="N475" s="474"/>
      <c r="O475" s="474"/>
      <c r="P475" s="474"/>
      <c r="Q475" s="474"/>
      <c r="R475" s="474"/>
      <c r="S475" s="474"/>
      <c r="T475" s="474"/>
      <c r="U475" s="474"/>
      <c r="V475" s="474"/>
      <c r="W475" s="474"/>
      <c r="X475" s="474"/>
      <c r="Y475" s="474"/>
      <c r="Z475" s="474"/>
    </row>
    <row r="476" ht="12.0" customHeight="1">
      <c r="A476" s="480"/>
      <c r="B476" s="485"/>
      <c r="C476" s="525"/>
      <c r="D476" s="525"/>
      <c r="E476" s="526"/>
      <c r="F476" s="526"/>
      <c r="G476" s="474"/>
      <c r="H476" s="474"/>
      <c r="I476" s="474"/>
      <c r="J476" s="474"/>
      <c r="K476" s="474"/>
      <c r="L476" s="474"/>
      <c r="M476" s="474"/>
      <c r="N476" s="474"/>
      <c r="O476" s="474"/>
      <c r="P476" s="474"/>
      <c r="Q476" s="474"/>
      <c r="R476" s="474"/>
      <c r="S476" s="474"/>
      <c r="T476" s="474"/>
      <c r="U476" s="474"/>
      <c r="V476" s="474"/>
      <c r="W476" s="474"/>
      <c r="X476" s="474"/>
      <c r="Y476" s="474"/>
      <c r="Z476" s="474"/>
    </row>
    <row r="477" ht="12.0" customHeight="1">
      <c r="A477" s="480"/>
      <c r="B477" s="485"/>
      <c r="C477" s="525"/>
      <c r="D477" s="525"/>
      <c r="E477" s="526"/>
      <c r="F477" s="526"/>
      <c r="G477" s="474"/>
      <c r="H477" s="474"/>
      <c r="I477" s="474"/>
      <c r="J477" s="474"/>
      <c r="K477" s="474"/>
      <c r="L477" s="474"/>
      <c r="M477" s="474"/>
      <c r="N477" s="474"/>
      <c r="O477" s="474"/>
      <c r="P477" s="474"/>
      <c r="Q477" s="474"/>
      <c r="R477" s="474"/>
      <c r="S477" s="474"/>
      <c r="T477" s="474"/>
      <c r="U477" s="474"/>
      <c r="V477" s="474"/>
      <c r="W477" s="474"/>
      <c r="X477" s="474"/>
      <c r="Y477" s="474"/>
      <c r="Z477" s="474"/>
    </row>
    <row r="478" ht="12.0" customHeight="1">
      <c r="A478" s="480"/>
      <c r="B478" s="485"/>
      <c r="C478" s="525"/>
      <c r="D478" s="525"/>
      <c r="E478" s="526"/>
      <c r="F478" s="526"/>
      <c r="G478" s="474"/>
      <c r="H478" s="474"/>
      <c r="I478" s="474"/>
      <c r="J478" s="474"/>
      <c r="K478" s="474"/>
      <c r="L478" s="474"/>
      <c r="M478" s="474"/>
      <c r="N478" s="474"/>
      <c r="O478" s="474"/>
      <c r="P478" s="474"/>
      <c r="Q478" s="474"/>
      <c r="R478" s="474"/>
      <c r="S478" s="474"/>
      <c r="T478" s="474"/>
      <c r="U478" s="474"/>
      <c r="V478" s="474"/>
      <c r="W478" s="474"/>
      <c r="X478" s="474"/>
      <c r="Y478" s="474"/>
      <c r="Z478" s="474"/>
    </row>
    <row r="479" ht="12.0" customHeight="1">
      <c r="A479" s="480"/>
      <c r="B479" s="485"/>
      <c r="C479" s="525"/>
      <c r="D479" s="525"/>
      <c r="E479" s="526"/>
      <c r="F479" s="526"/>
      <c r="G479" s="474"/>
      <c r="H479" s="474"/>
      <c r="I479" s="474"/>
      <c r="J479" s="474"/>
      <c r="K479" s="474"/>
      <c r="L479" s="474"/>
      <c r="M479" s="474"/>
      <c r="N479" s="474"/>
      <c r="O479" s="474"/>
      <c r="P479" s="474"/>
      <c r="Q479" s="474"/>
      <c r="R479" s="474"/>
      <c r="S479" s="474"/>
      <c r="T479" s="474"/>
      <c r="U479" s="474"/>
      <c r="V479" s="474"/>
      <c r="W479" s="474"/>
      <c r="X479" s="474"/>
      <c r="Y479" s="474"/>
      <c r="Z479" s="474"/>
    </row>
    <row r="480" ht="12.0" customHeight="1">
      <c r="A480" s="480"/>
      <c r="B480" s="485"/>
      <c r="C480" s="525"/>
      <c r="D480" s="525"/>
      <c r="E480" s="526"/>
      <c r="F480" s="526"/>
      <c r="G480" s="474"/>
      <c r="H480" s="474"/>
      <c r="I480" s="474"/>
      <c r="J480" s="474"/>
      <c r="K480" s="474"/>
      <c r="L480" s="474"/>
      <c r="M480" s="474"/>
      <c r="N480" s="474"/>
      <c r="O480" s="474"/>
      <c r="P480" s="474"/>
      <c r="Q480" s="474"/>
      <c r="R480" s="474"/>
      <c r="S480" s="474"/>
      <c r="T480" s="474"/>
      <c r="U480" s="474"/>
      <c r="V480" s="474"/>
      <c r="W480" s="474"/>
      <c r="X480" s="474"/>
      <c r="Y480" s="474"/>
      <c r="Z480" s="474"/>
    </row>
    <row r="481" ht="12.0" customHeight="1">
      <c r="A481" s="480"/>
      <c r="B481" s="485"/>
      <c r="C481" s="525"/>
      <c r="D481" s="525"/>
      <c r="E481" s="526"/>
      <c r="F481" s="526"/>
      <c r="G481" s="474"/>
      <c r="H481" s="474"/>
      <c r="I481" s="474"/>
      <c r="J481" s="474"/>
      <c r="K481" s="474"/>
      <c r="L481" s="474"/>
      <c r="M481" s="474"/>
      <c r="N481" s="474"/>
      <c r="O481" s="474"/>
      <c r="P481" s="474"/>
      <c r="Q481" s="474"/>
      <c r="R481" s="474"/>
      <c r="S481" s="474"/>
      <c r="T481" s="474"/>
      <c r="U481" s="474"/>
      <c r="V481" s="474"/>
      <c r="W481" s="474"/>
      <c r="X481" s="474"/>
      <c r="Y481" s="474"/>
      <c r="Z481" s="474"/>
    </row>
    <row r="482" ht="12.0" customHeight="1">
      <c r="A482" s="480"/>
      <c r="B482" s="485"/>
      <c r="C482" s="525"/>
      <c r="D482" s="525"/>
      <c r="E482" s="526"/>
      <c r="F482" s="526"/>
      <c r="G482" s="474"/>
      <c r="H482" s="474"/>
      <c r="I482" s="474"/>
      <c r="J482" s="474"/>
      <c r="K482" s="474"/>
      <c r="L482" s="474"/>
      <c r="M482" s="474"/>
      <c r="N482" s="474"/>
      <c r="O482" s="474"/>
      <c r="P482" s="474"/>
      <c r="Q482" s="474"/>
      <c r="R482" s="474"/>
      <c r="S482" s="474"/>
      <c r="T482" s="474"/>
      <c r="U482" s="474"/>
      <c r="V482" s="474"/>
      <c r="W482" s="474"/>
      <c r="X482" s="474"/>
      <c r="Y482" s="474"/>
      <c r="Z482" s="474"/>
    </row>
    <row r="483" ht="12.0" customHeight="1">
      <c r="A483" s="480"/>
      <c r="B483" s="485"/>
      <c r="C483" s="525"/>
      <c r="D483" s="525"/>
      <c r="E483" s="526"/>
      <c r="F483" s="526"/>
      <c r="G483" s="474"/>
      <c r="H483" s="474"/>
      <c r="I483" s="474"/>
      <c r="J483" s="474"/>
      <c r="K483" s="474"/>
      <c r="L483" s="474"/>
      <c r="M483" s="474"/>
      <c r="N483" s="474"/>
      <c r="O483" s="474"/>
      <c r="P483" s="474"/>
      <c r="Q483" s="474"/>
      <c r="R483" s="474"/>
      <c r="S483" s="474"/>
      <c r="T483" s="474"/>
      <c r="U483" s="474"/>
      <c r="V483" s="474"/>
      <c r="W483" s="474"/>
      <c r="X483" s="474"/>
      <c r="Y483" s="474"/>
      <c r="Z483" s="474"/>
    </row>
    <row r="484" ht="12.0" customHeight="1">
      <c r="A484" s="480"/>
      <c r="B484" s="485"/>
      <c r="C484" s="525"/>
      <c r="D484" s="525"/>
      <c r="E484" s="526"/>
      <c r="F484" s="526"/>
      <c r="G484" s="474"/>
      <c r="H484" s="474"/>
      <c r="I484" s="474"/>
      <c r="J484" s="474"/>
      <c r="K484" s="474"/>
      <c r="L484" s="474"/>
      <c r="M484" s="474"/>
      <c r="N484" s="474"/>
      <c r="O484" s="474"/>
      <c r="P484" s="474"/>
      <c r="Q484" s="474"/>
      <c r="R484" s="474"/>
      <c r="S484" s="474"/>
      <c r="T484" s="474"/>
      <c r="U484" s="474"/>
      <c r="V484" s="474"/>
      <c r="W484" s="474"/>
      <c r="X484" s="474"/>
      <c r="Y484" s="474"/>
      <c r="Z484" s="474"/>
    </row>
    <row r="485" ht="12.0" customHeight="1">
      <c r="A485" s="480"/>
      <c r="B485" s="485"/>
      <c r="C485" s="525"/>
      <c r="D485" s="525"/>
      <c r="E485" s="526"/>
      <c r="F485" s="526"/>
      <c r="G485" s="474"/>
      <c r="H485" s="474"/>
      <c r="I485" s="474"/>
      <c r="J485" s="474"/>
      <c r="K485" s="474"/>
      <c r="L485" s="474"/>
      <c r="M485" s="474"/>
      <c r="N485" s="474"/>
      <c r="O485" s="474"/>
      <c r="P485" s="474"/>
      <c r="Q485" s="474"/>
      <c r="R485" s="474"/>
      <c r="S485" s="474"/>
      <c r="T485" s="474"/>
      <c r="U485" s="474"/>
      <c r="V485" s="474"/>
      <c r="W485" s="474"/>
      <c r="X485" s="474"/>
      <c r="Y485" s="474"/>
      <c r="Z485" s="474"/>
    </row>
    <row r="486" ht="12.0" customHeight="1">
      <c r="A486" s="480"/>
      <c r="B486" s="485"/>
      <c r="C486" s="525"/>
      <c r="D486" s="525"/>
      <c r="E486" s="526"/>
      <c r="F486" s="526"/>
      <c r="G486" s="474"/>
      <c r="H486" s="474"/>
      <c r="I486" s="474"/>
      <c r="J486" s="474"/>
      <c r="K486" s="474"/>
      <c r="L486" s="474"/>
      <c r="M486" s="474"/>
      <c r="N486" s="474"/>
      <c r="O486" s="474"/>
      <c r="P486" s="474"/>
      <c r="Q486" s="474"/>
      <c r="R486" s="474"/>
      <c r="S486" s="474"/>
      <c r="T486" s="474"/>
      <c r="U486" s="474"/>
      <c r="V486" s="474"/>
      <c r="W486" s="474"/>
      <c r="X486" s="474"/>
      <c r="Y486" s="474"/>
      <c r="Z486" s="474"/>
    </row>
    <row r="487" ht="12.0" customHeight="1">
      <c r="A487" s="480"/>
      <c r="B487" s="485"/>
      <c r="C487" s="525"/>
      <c r="D487" s="525"/>
      <c r="E487" s="526"/>
      <c r="F487" s="526"/>
      <c r="G487" s="474"/>
      <c r="H487" s="474"/>
      <c r="I487" s="474"/>
      <c r="J487" s="474"/>
      <c r="K487" s="474"/>
      <c r="L487" s="474"/>
      <c r="M487" s="474"/>
      <c r="N487" s="474"/>
      <c r="O487" s="474"/>
      <c r="P487" s="474"/>
      <c r="Q487" s="474"/>
      <c r="R487" s="474"/>
      <c r="S487" s="474"/>
      <c r="T487" s="474"/>
      <c r="U487" s="474"/>
      <c r="V487" s="474"/>
      <c r="W487" s="474"/>
      <c r="X487" s="474"/>
      <c r="Y487" s="474"/>
      <c r="Z487" s="474"/>
    </row>
    <row r="488" ht="12.0" customHeight="1">
      <c r="A488" s="480"/>
      <c r="B488" s="485"/>
      <c r="C488" s="525"/>
      <c r="D488" s="525"/>
      <c r="E488" s="526"/>
      <c r="F488" s="526"/>
      <c r="G488" s="474"/>
      <c r="H488" s="474"/>
      <c r="I488" s="474"/>
      <c r="J488" s="474"/>
      <c r="K488" s="474"/>
      <c r="L488" s="474"/>
      <c r="M488" s="474"/>
      <c r="N488" s="474"/>
      <c r="O488" s="474"/>
      <c r="P488" s="474"/>
      <c r="Q488" s="474"/>
      <c r="R488" s="474"/>
      <c r="S488" s="474"/>
      <c r="T488" s="474"/>
      <c r="U488" s="474"/>
      <c r="V488" s="474"/>
      <c r="W488" s="474"/>
      <c r="X488" s="474"/>
      <c r="Y488" s="474"/>
      <c r="Z488" s="474"/>
    </row>
    <row r="489" ht="12.0" customHeight="1">
      <c r="A489" s="480"/>
      <c r="B489" s="485"/>
      <c r="C489" s="525"/>
      <c r="D489" s="525"/>
      <c r="E489" s="526"/>
      <c r="F489" s="526"/>
      <c r="G489" s="474"/>
      <c r="H489" s="474"/>
      <c r="I489" s="474"/>
      <c r="J489" s="474"/>
      <c r="K489" s="474"/>
      <c r="L489" s="474"/>
      <c r="M489" s="474"/>
      <c r="N489" s="474"/>
      <c r="O489" s="474"/>
      <c r="P489" s="474"/>
      <c r="Q489" s="474"/>
      <c r="R489" s="474"/>
      <c r="S489" s="474"/>
      <c r="T489" s="474"/>
      <c r="U489" s="474"/>
      <c r="V489" s="474"/>
      <c r="W489" s="474"/>
      <c r="X489" s="474"/>
      <c r="Y489" s="474"/>
      <c r="Z489" s="474"/>
    </row>
    <row r="490" ht="12.0" customHeight="1">
      <c r="A490" s="480"/>
      <c r="B490" s="485"/>
      <c r="C490" s="525"/>
      <c r="D490" s="525"/>
      <c r="E490" s="526"/>
      <c r="F490" s="526"/>
      <c r="G490" s="474"/>
      <c r="H490" s="474"/>
      <c r="I490" s="474"/>
      <c r="J490" s="474"/>
      <c r="K490" s="474"/>
      <c r="L490" s="474"/>
      <c r="M490" s="474"/>
      <c r="N490" s="474"/>
      <c r="O490" s="474"/>
      <c r="P490" s="474"/>
      <c r="Q490" s="474"/>
      <c r="R490" s="474"/>
      <c r="S490" s="474"/>
      <c r="T490" s="474"/>
      <c r="U490" s="474"/>
      <c r="V490" s="474"/>
      <c r="W490" s="474"/>
      <c r="X490" s="474"/>
      <c r="Y490" s="474"/>
      <c r="Z490" s="474"/>
    </row>
    <row r="491" ht="12.0" customHeight="1">
      <c r="A491" s="480"/>
      <c r="B491" s="485"/>
      <c r="C491" s="525"/>
      <c r="D491" s="525"/>
      <c r="E491" s="526"/>
      <c r="F491" s="526"/>
      <c r="G491" s="474"/>
      <c r="H491" s="474"/>
      <c r="I491" s="474"/>
      <c r="J491" s="474"/>
      <c r="K491" s="474"/>
      <c r="L491" s="474"/>
      <c r="M491" s="474"/>
      <c r="N491" s="474"/>
      <c r="O491" s="474"/>
      <c r="P491" s="474"/>
      <c r="Q491" s="474"/>
      <c r="R491" s="474"/>
      <c r="S491" s="474"/>
      <c r="T491" s="474"/>
      <c r="U491" s="474"/>
      <c r="V491" s="474"/>
      <c r="W491" s="474"/>
      <c r="X491" s="474"/>
      <c r="Y491" s="474"/>
      <c r="Z491" s="474"/>
    </row>
    <row r="492" ht="12.0" customHeight="1">
      <c r="A492" s="480"/>
      <c r="B492" s="485"/>
      <c r="C492" s="525"/>
      <c r="D492" s="525"/>
      <c r="E492" s="526"/>
      <c r="F492" s="526"/>
      <c r="G492" s="474"/>
      <c r="H492" s="474"/>
      <c r="I492" s="474"/>
      <c r="J492" s="474"/>
      <c r="K492" s="474"/>
      <c r="L492" s="474"/>
      <c r="M492" s="474"/>
      <c r="N492" s="474"/>
      <c r="O492" s="474"/>
      <c r="P492" s="474"/>
      <c r="Q492" s="474"/>
      <c r="R492" s="474"/>
      <c r="S492" s="474"/>
      <c r="T492" s="474"/>
      <c r="U492" s="474"/>
      <c r="V492" s="474"/>
      <c r="W492" s="474"/>
      <c r="X492" s="474"/>
      <c r="Y492" s="474"/>
      <c r="Z492" s="474"/>
    </row>
    <row r="493" ht="12.0" customHeight="1">
      <c r="A493" s="480"/>
      <c r="B493" s="485"/>
      <c r="C493" s="525"/>
      <c r="D493" s="525"/>
      <c r="E493" s="526"/>
      <c r="F493" s="526"/>
      <c r="G493" s="474"/>
      <c r="H493" s="474"/>
      <c r="I493" s="474"/>
      <c r="J493" s="474"/>
      <c r="K493" s="474"/>
      <c r="L493" s="474"/>
      <c r="M493" s="474"/>
      <c r="N493" s="474"/>
      <c r="O493" s="474"/>
      <c r="P493" s="474"/>
      <c r="Q493" s="474"/>
      <c r="R493" s="474"/>
      <c r="S493" s="474"/>
      <c r="T493" s="474"/>
      <c r="U493" s="474"/>
      <c r="V493" s="474"/>
      <c r="W493" s="474"/>
      <c r="X493" s="474"/>
      <c r="Y493" s="474"/>
      <c r="Z493" s="474"/>
    </row>
    <row r="494" ht="12.0" customHeight="1">
      <c r="A494" s="480"/>
      <c r="B494" s="485"/>
      <c r="C494" s="525"/>
      <c r="D494" s="525"/>
      <c r="E494" s="526"/>
      <c r="F494" s="526"/>
      <c r="G494" s="474"/>
      <c r="H494" s="474"/>
      <c r="I494" s="474"/>
      <c r="J494" s="474"/>
      <c r="K494" s="474"/>
      <c r="L494" s="474"/>
      <c r="M494" s="474"/>
      <c r="N494" s="474"/>
      <c r="O494" s="474"/>
      <c r="P494" s="474"/>
      <c r="Q494" s="474"/>
      <c r="R494" s="474"/>
      <c r="S494" s="474"/>
      <c r="T494" s="474"/>
      <c r="U494" s="474"/>
      <c r="V494" s="474"/>
      <c r="W494" s="474"/>
      <c r="X494" s="474"/>
      <c r="Y494" s="474"/>
      <c r="Z494" s="474"/>
    </row>
    <row r="495" ht="12.0" customHeight="1">
      <c r="A495" s="480"/>
      <c r="B495" s="485"/>
      <c r="C495" s="525"/>
      <c r="D495" s="525"/>
      <c r="E495" s="526"/>
      <c r="F495" s="526"/>
      <c r="G495" s="474"/>
      <c r="H495" s="474"/>
      <c r="I495" s="474"/>
      <c r="J495" s="474"/>
      <c r="K495" s="474"/>
      <c r="L495" s="474"/>
      <c r="M495" s="474"/>
      <c r="N495" s="474"/>
      <c r="O495" s="474"/>
      <c r="P495" s="474"/>
      <c r="Q495" s="474"/>
      <c r="R495" s="474"/>
      <c r="S495" s="474"/>
      <c r="T495" s="474"/>
      <c r="U495" s="474"/>
      <c r="V495" s="474"/>
      <c r="W495" s="474"/>
      <c r="X495" s="474"/>
      <c r="Y495" s="474"/>
      <c r="Z495" s="474"/>
    </row>
    <row r="496" ht="12.0" customHeight="1">
      <c r="A496" s="480"/>
      <c r="B496" s="485"/>
      <c r="C496" s="525"/>
      <c r="D496" s="525"/>
      <c r="E496" s="526"/>
      <c r="F496" s="526"/>
      <c r="G496" s="474"/>
      <c r="H496" s="474"/>
      <c r="I496" s="474"/>
      <c r="J496" s="474"/>
      <c r="K496" s="474"/>
      <c r="L496" s="474"/>
      <c r="M496" s="474"/>
      <c r="N496" s="474"/>
      <c r="O496" s="474"/>
      <c r="P496" s="474"/>
      <c r="Q496" s="474"/>
      <c r="R496" s="474"/>
      <c r="S496" s="474"/>
      <c r="T496" s="474"/>
      <c r="U496" s="474"/>
      <c r="V496" s="474"/>
      <c r="W496" s="474"/>
      <c r="X496" s="474"/>
      <c r="Y496" s="474"/>
      <c r="Z496" s="474"/>
    </row>
    <row r="497" ht="12.0" customHeight="1">
      <c r="A497" s="480"/>
      <c r="B497" s="485"/>
      <c r="C497" s="525"/>
      <c r="D497" s="525"/>
      <c r="E497" s="526"/>
      <c r="F497" s="526"/>
      <c r="G497" s="474"/>
      <c r="H497" s="474"/>
      <c r="I497" s="474"/>
      <c r="J497" s="474"/>
      <c r="K497" s="474"/>
      <c r="L497" s="474"/>
      <c r="M497" s="474"/>
      <c r="N497" s="474"/>
      <c r="O497" s="474"/>
      <c r="P497" s="474"/>
      <c r="Q497" s="474"/>
      <c r="R497" s="474"/>
      <c r="S497" s="474"/>
      <c r="T497" s="474"/>
      <c r="U497" s="474"/>
      <c r="V497" s="474"/>
      <c r="W497" s="474"/>
      <c r="X497" s="474"/>
      <c r="Y497" s="474"/>
      <c r="Z497" s="474"/>
    </row>
    <row r="498" ht="12.0" customHeight="1">
      <c r="A498" s="480"/>
      <c r="B498" s="485"/>
      <c r="C498" s="525"/>
      <c r="D498" s="525"/>
      <c r="E498" s="526"/>
      <c r="F498" s="526"/>
      <c r="G498" s="474"/>
      <c r="H498" s="474"/>
      <c r="I498" s="474"/>
      <c r="J498" s="474"/>
      <c r="K498" s="474"/>
      <c r="L498" s="474"/>
      <c r="M498" s="474"/>
      <c r="N498" s="474"/>
      <c r="O498" s="474"/>
      <c r="P498" s="474"/>
      <c r="Q498" s="474"/>
      <c r="R498" s="474"/>
      <c r="S498" s="474"/>
      <c r="T498" s="474"/>
      <c r="U498" s="474"/>
      <c r="V498" s="474"/>
      <c r="W498" s="474"/>
      <c r="X498" s="474"/>
      <c r="Y498" s="474"/>
      <c r="Z498" s="474"/>
    </row>
    <row r="499" ht="12.0" customHeight="1">
      <c r="A499" s="480"/>
      <c r="B499" s="485"/>
      <c r="C499" s="525"/>
      <c r="D499" s="525"/>
      <c r="E499" s="526"/>
      <c r="F499" s="526"/>
      <c r="G499" s="474"/>
      <c r="H499" s="474"/>
      <c r="I499" s="474"/>
      <c r="J499" s="474"/>
      <c r="K499" s="474"/>
      <c r="L499" s="474"/>
      <c r="M499" s="474"/>
      <c r="N499" s="474"/>
      <c r="O499" s="474"/>
      <c r="P499" s="474"/>
      <c r="Q499" s="474"/>
      <c r="R499" s="474"/>
      <c r="S499" s="474"/>
      <c r="T499" s="474"/>
      <c r="U499" s="474"/>
      <c r="V499" s="474"/>
      <c r="W499" s="474"/>
      <c r="X499" s="474"/>
      <c r="Y499" s="474"/>
      <c r="Z499" s="474"/>
    </row>
    <row r="500" ht="12.0" customHeight="1">
      <c r="A500" s="480"/>
      <c r="B500" s="485"/>
      <c r="C500" s="525"/>
      <c r="D500" s="525"/>
      <c r="E500" s="526"/>
      <c r="F500" s="526"/>
      <c r="G500" s="474"/>
      <c r="H500" s="474"/>
      <c r="I500" s="474"/>
      <c r="J500" s="474"/>
      <c r="K500" s="474"/>
      <c r="L500" s="474"/>
      <c r="M500" s="474"/>
      <c r="N500" s="474"/>
      <c r="O500" s="474"/>
      <c r="P500" s="474"/>
      <c r="Q500" s="474"/>
      <c r="R500" s="474"/>
      <c r="S500" s="474"/>
      <c r="T500" s="474"/>
      <c r="U500" s="474"/>
      <c r="V500" s="474"/>
      <c r="W500" s="474"/>
      <c r="X500" s="474"/>
      <c r="Y500" s="474"/>
      <c r="Z500" s="474"/>
    </row>
    <row r="501" ht="12.0" customHeight="1">
      <c r="A501" s="480"/>
      <c r="B501" s="485"/>
      <c r="C501" s="525"/>
      <c r="D501" s="525"/>
      <c r="E501" s="526"/>
      <c r="F501" s="526"/>
      <c r="G501" s="474"/>
      <c r="H501" s="474"/>
      <c r="I501" s="474"/>
      <c r="J501" s="474"/>
      <c r="K501" s="474"/>
      <c r="L501" s="474"/>
      <c r="M501" s="474"/>
      <c r="N501" s="474"/>
      <c r="O501" s="474"/>
      <c r="P501" s="474"/>
      <c r="Q501" s="474"/>
      <c r="R501" s="474"/>
      <c r="S501" s="474"/>
      <c r="T501" s="474"/>
      <c r="U501" s="474"/>
      <c r="V501" s="474"/>
      <c r="W501" s="474"/>
      <c r="X501" s="474"/>
      <c r="Y501" s="474"/>
      <c r="Z501" s="474"/>
    </row>
    <row r="502" ht="12.0" customHeight="1">
      <c r="A502" s="480"/>
      <c r="B502" s="485"/>
      <c r="C502" s="525"/>
      <c r="D502" s="525"/>
      <c r="E502" s="526"/>
      <c r="F502" s="526"/>
      <c r="G502" s="474"/>
      <c r="H502" s="474"/>
      <c r="I502" s="474"/>
      <c r="J502" s="474"/>
      <c r="K502" s="474"/>
      <c r="L502" s="474"/>
      <c r="M502" s="474"/>
      <c r="N502" s="474"/>
      <c r="O502" s="474"/>
      <c r="P502" s="474"/>
      <c r="Q502" s="474"/>
      <c r="R502" s="474"/>
      <c r="S502" s="474"/>
      <c r="T502" s="474"/>
      <c r="U502" s="474"/>
      <c r="V502" s="474"/>
      <c r="W502" s="474"/>
      <c r="X502" s="474"/>
      <c r="Y502" s="474"/>
      <c r="Z502" s="474"/>
    </row>
    <row r="503" ht="12.0" customHeight="1">
      <c r="A503" s="480"/>
      <c r="B503" s="485"/>
      <c r="C503" s="525"/>
      <c r="D503" s="525"/>
      <c r="E503" s="526"/>
      <c r="F503" s="526"/>
      <c r="G503" s="474"/>
      <c r="H503" s="474"/>
      <c r="I503" s="474"/>
      <c r="J503" s="474"/>
      <c r="K503" s="474"/>
      <c r="L503" s="474"/>
      <c r="M503" s="474"/>
      <c r="N503" s="474"/>
      <c r="O503" s="474"/>
      <c r="P503" s="474"/>
      <c r="Q503" s="474"/>
      <c r="R503" s="474"/>
      <c r="S503" s="474"/>
      <c r="T503" s="474"/>
      <c r="U503" s="474"/>
      <c r="V503" s="474"/>
      <c r="W503" s="474"/>
      <c r="X503" s="474"/>
      <c r="Y503" s="474"/>
      <c r="Z503" s="474"/>
    </row>
    <row r="504" ht="12.0" customHeight="1">
      <c r="A504" s="480"/>
      <c r="B504" s="485"/>
      <c r="C504" s="525"/>
      <c r="D504" s="525"/>
      <c r="E504" s="526"/>
      <c r="F504" s="526"/>
      <c r="G504" s="474"/>
      <c r="H504" s="474"/>
      <c r="I504" s="474"/>
      <c r="J504" s="474"/>
      <c r="K504" s="474"/>
      <c r="L504" s="474"/>
      <c r="M504" s="474"/>
      <c r="N504" s="474"/>
      <c r="O504" s="474"/>
      <c r="P504" s="474"/>
      <c r="Q504" s="474"/>
      <c r="R504" s="474"/>
      <c r="S504" s="474"/>
      <c r="T504" s="474"/>
      <c r="U504" s="474"/>
      <c r="V504" s="474"/>
      <c r="W504" s="474"/>
      <c r="X504" s="474"/>
      <c r="Y504" s="474"/>
      <c r="Z504" s="474"/>
    </row>
    <row r="505" ht="12.0" customHeight="1">
      <c r="A505" s="480"/>
      <c r="B505" s="485"/>
      <c r="C505" s="525"/>
      <c r="D505" s="525"/>
      <c r="E505" s="526"/>
      <c r="F505" s="526"/>
      <c r="G505" s="474"/>
      <c r="H505" s="474"/>
      <c r="I505" s="474"/>
      <c r="J505" s="474"/>
      <c r="K505" s="474"/>
      <c r="L505" s="474"/>
      <c r="M505" s="474"/>
      <c r="N505" s="474"/>
      <c r="O505" s="474"/>
      <c r="P505" s="474"/>
      <c r="Q505" s="474"/>
      <c r="R505" s="474"/>
      <c r="S505" s="474"/>
      <c r="T505" s="474"/>
      <c r="U505" s="474"/>
      <c r="V505" s="474"/>
      <c r="W505" s="474"/>
      <c r="X505" s="474"/>
      <c r="Y505" s="474"/>
      <c r="Z505" s="474"/>
    </row>
    <row r="506" ht="12.0" customHeight="1">
      <c r="A506" s="480"/>
      <c r="B506" s="485"/>
      <c r="C506" s="525"/>
      <c r="D506" s="525"/>
      <c r="E506" s="526"/>
      <c r="F506" s="526"/>
      <c r="G506" s="474"/>
      <c r="H506" s="474"/>
      <c r="I506" s="474"/>
      <c r="J506" s="474"/>
      <c r="K506" s="474"/>
      <c r="L506" s="474"/>
      <c r="M506" s="474"/>
      <c r="N506" s="474"/>
      <c r="O506" s="474"/>
      <c r="P506" s="474"/>
      <c r="Q506" s="474"/>
      <c r="R506" s="474"/>
      <c r="S506" s="474"/>
      <c r="T506" s="474"/>
      <c r="U506" s="474"/>
      <c r="V506" s="474"/>
      <c r="W506" s="474"/>
      <c r="X506" s="474"/>
      <c r="Y506" s="474"/>
      <c r="Z506" s="474"/>
    </row>
    <row r="507" ht="12.0" customHeight="1">
      <c r="A507" s="480"/>
      <c r="B507" s="485"/>
      <c r="C507" s="525"/>
      <c r="D507" s="525"/>
      <c r="E507" s="526"/>
      <c r="F507" s="526"/>
      <c r="G507" s="474"/>
      <c r="H507" s="474"/>
      <c r="I507" s="474"/>
      <c r="J507" s="474"/>
      <c r="K507" s="474"/>
      <c r="L507" s="474"/>
      <c r="M507" s="474"/>
      <c r="N507" s="474"/>
      <c r="O507" s="474"/>
      <c r="P507" s="474"/>
      <c r="Q507" s="474"/>
      <c r="R507" s="474"/>
      <c r="S507" s="474"/>
      <c r="T507" s="474"/>
      <c r="U507" s="474"/>
      <c r="V507" s="474"/>
      <c r="W507" s="474"/>
      <c r="X507" s="474"/>
      <c r="Y507" s="474"/>
      <c r="Z507" s="474"/>
    </row>
    <row r="508" ht="12.0" customHeight="1">
      <c r="A508" s="480"/>
      <c r="B508" s="485"/>
      <c r="C508" s="525"/>
      <c r="D508" s="525"/>
      <c r="E508" s="526"/>
      <c r="F508" s="526"/>
      <c r="G508" s="474"/>
      <c r="H508" s="474"/>
      <c r="I508" s="474"/>
      <c r="J508" s="474"/>
      <c r="K508" s="474"/>
      <c r="L508" s="474"/>
      <c r="M508" s="474"/>
      <c r="N508" s="474"/>
      <c r="O508" s="474"/>
      <c r="P508" s="474"/>
      <c r="Q508" s="474"/>
      <c r="R508" s="474"/>
      <c r="S508" s="474"/>
      <c r="T508" s="474"/>
      <c r="U508" s="474"/>
      <c r="V508" s="474"/>
      <c r="W508" s="474"/>
      <c r="X508" s="474"/>
      <c r="Y508" s="474"/>
      <c r="Z508" s="474"/>
    </row>
    <row r="509" ht="12.0" customHeight="1">
      <c r="A509" s="480"/>
      <c r="B509" s="485"/>
      <c r="C509" s="525"/>
      <c r="D509" s="525"/>
      <c r="E509" s="526"/>
      <c r="F509" s="526"/>
      <c r="G509" s="474"/>
      <c r="H509" s="474"/>
      <c r="I509" s="474"/>
      <c r="J509" s="474"/>
      <c r="K509" s="474"/>
      <c r="L509" s="474"/>
      <c r="M509" s="474"/>
      <c r="N509" s="474"/>
      <c r="O509" s="474"/>
      <c r="P509" s="474"/>
      <c r="Q509" s="474"/>
      <c r="R509" s="474"/>
      <c r="S509" s="474"/>
      <c r="T509" s="474"/>
      <c r="U509" s="474"/>
      <c r="V509" s="474"/>
      <c r="W509" s="474"/>
      <c r="X509" s="474"/>
      <c r="Y509" s="474"/>
      <c r="Z509" s="474"/>
    </row>
    <row r="510" ht="12.0" customHeight="1">
      <c r="A510" s="480"/>
      <c r="B510" s="485"/>
      <c r="C510" s="525"/>
      <c r="D510" s="525"/>
      <c r="E510" s="526"/>
      <c r="F510" s="526"/>
      <c r="G510" s="474"/>
      <c r="H510" s="474"/>
      <c r="I510" s="474"/>
      <c r="J510" s="474"/>
      <c r="K510" s="474"/>
      <c r="L510" s="474"/>
      <c r="M510" s="474"/>
      <c r="N510" s="474"/>
      <c r="O510" s="474"/>
      <c r="P510" s="474"/>
      <c r="Q510" s="474"/>
      <c r="R510" s="474"/>
      <c r="S510" s="474"/>
      <c r="T510" s="474"/>
      <c r="U510" s="474"/>
      <c r="V510" s="474"/>
      <c r="W510" s="474"/>
      <c r="X510" s="474"/>
      <c r="Y510" s="474"/>
      <c r="Z510" s="474"/>
    </row>
    <row r="511" ht="12.0" customHeight="1">
      <c r="A511" s="480"/>
      <c r="B511" s="485"/>
      <c r="C511" s="525"/>
      <c r="D511" s="525"/>
      <c r="E511" s="526"/>
      <c r="F511" s="526"/>
      <c r="G511" s="474"/>
      <c r="H511" s="474"/>
      <c r="I511" s="474"/>
      <c r="J511" s="474"/>
      <c r="K511" s="474"/>
      <c r="L511" s="474"/>
      <c r="M511" s="474"/>
      <c r="N511" s="474"/>
      <c r="O511" s="474"/>
      <c r="P511" s="474"/>
      <c r="Q511" s="474"/>
      <c r="R511" s="474"/>
      <c r="S511" s="474"/>
      <c r="T511" s="474"/>
      <c r="U511" s="474"/>
      <c r="V511" s="474"/>
      <c r="W511" s="474"/>
      <c r="X511" s="474"/>
      <c r="Y511" s="474"/>
      <c r="Z511" s="474"/>
    </row>
    <row r="512" ht="12.0" customHeight="1">
      <c r="A512" s="480"/>
      <c r="B512" s="485"/>
      <c r="C512" s="525"/>
      <c r="D512" s="525"/>
      <c r="E512" s="526"/>
      <c r="F512" s="526"/>
      <c r="G512" s="474"/>
      <c r="H512" s="474"/>
      <c r="I512" s="474"/>
      <c r="J512" s="474"/>
      <c r="K512" s="474"/>
      <c r="L512" s="474"/>
      <c r="M512" s="474"/>
      <c r="N512" s="474"/>
      <c r="O512" s="474"/>
      <c r="P512" s="474"/>
      <c r="Q512" s="474"/>
      <c r="R512" s="474"/>
      <c r="S512" s="474"/>
      <c r="T512" s="474"/>
      <c r="U512" s="474"/>
      <c r="V512" s="474"/>
      <c r="W512" s="474"/>
      <c r="X512" s="474"/>
      <c r="Y512" s="474"/>
      <c r="Z512" s="474"/>
    </row>
    <row r="513" ht="12.0" customHeight="1">
      <c r="A513" s="480"/>
      <c r="B513" s="485"/>
      <c r="C513" s="525"/>
      <c r="D513" s="525"/>
      <c r="E513" s="526"/>
      <c r="F513" s="526"/>
      <c r="G513" s="474"/>
      <c r="H513" s="474"/>
      <c r="I513" s="474"/>
      <c r="J513" s="474"/>
      <c r="K513" s="474"/>
      <c r="L513" s="474"/>
      <c r="M513" s="474"/>
      <c r="N513" s="474"/>
      <c r="O513" s="474"/>
      <c r="P513" s="474"/>
      <c r="Q513" s="474"/>
      <c r="R513" s="474"/>
      <c r="S513" s="474"/>
      <c r="T513" s="474"/>
      <c r="U513" s="474"/>
      <c r="V513" s="474"/>
      <c r="W513" s="474"/>
      <c r="X513" s="474"/>
      <c r="Y513" s="474"/>
      <c r="Z513" s="474"/>
    </row>
    <row r="514" ht="12.0" customHeight="1">
      <c r="A514" s="480"/>
      <c r="B514" s="485"/>
      <c r="C514" s="525"/>
      <c r="D514" s="525"/>
      <c r="E514" s="526"/>
      <c r="F514" s="526"/>
      <c r="G514" s="474"/>
      <c r="H514" s="474"/>
      <c r="I514" s="474"/>
      <c r="J514" s="474"/>
      <c r="K514" s="474"/>
      <c r="L514" s="474"/>
      <c r="M514" s="474"/>
      <c r="N514" s="474"/>
      <c r="O514" s="474"/>
      <c r="P514" s="474"/>
      <c r="Q514" s="474"/>
      <c r="R514" s="474"/>
      <c r="S514" s="474"/>
      <c r="T514" s="474"/>
      <c r="U514" s="474"/>
      <c r="V514" s="474"/>
      <c r="W514" s="474"/>
      <c r="X514" s="474"/>
      <c r="Y514" s="474"/>
      <c r="Z514" s="474"/>
    </row>
    <row r="515" ht="12.0" customHeight="1">
      <c r="A515" s="480"/>
      <c r="B515" s="485"/>
      <c r="C515" s="525"/>
      <c r="D515" s="525"/>
      <c r="E515" s="526"/>
      <c r="F515" s="526"/>
      <c r="G515" s="474"/>
      <c r="H515" s="474"/>
      <c r="I515" s="474"/>
      <c r="J515" s="474"/>
      <c r="K515" s="474"/>
      <c r="L515" s="474"/>
      <c r="M515" s="474"/>
      <c r="N515" s="474"/>
      <c r="O515" s="474"/>
      <c r="P515" s="474"/>
      <c r="Q515" s="474"/>
      <c r="R515" s="474"/>
      <c r="S515" s="474"/>
      <c r="T515" s="474"/>
      <c r="U515" s="474"/>
      <c r="V515" s="474"/>
      <c r="W515" s="474"/>
      <c r="X515" s="474"/>
      <c r="Y515" s="474"/>
      <c r="Z515" s="474"/>
    </row>
    <row r="516" ht="12.0" customHeight="1">
      <c r="A516" s="480"/>
      <c r="B516" s="485"/>
      <c r="C516" s="525"/>
      <c r="D516" s="525"/>
      <c r="E516" s="526"/>
      <c r="F516" s="526"/>
      <c r="G516" s="474"/>
      <c r="H516" s="474"/>
      <c r="I516" s="474"/>
      <c r="J516" s="474"/>
      <c r="K516" s="474"/>
      <c r="L516" s="474"/>
      <c r="M516" s="474"/>
      <c r="N516" s="474"/>
      <c r="O516" s="474"/>
      <c r="P516" s="474"/>
      <c r="Q516" s="474"/>
      <c r="R516" s="474"/>
      <c r="S516" s="474"/>
      <c r="T516" s="474"/>
      <c r="U516" s="474"/>
      <c r="V516" s="474"/>
      <c r="W516" s="474"/>
      <c r="X516" s="474"/>
      <c r="Y516" s="474"/>
      <c r="Z516" s="474"/>
    </row>
    <row r="517" ht="12.0" customHeight="1">
      <c r="A517" s="480"/>
      <c r="B517" s="485"/>
      <c r="C517" s="525"/>
      <c r="D517" s="525"/>
      <c r="E517" s="526"/>
      <c r="F517" s="526"/>
      <c r="G517" s="474"/>
      <c r="H517" s="474"/>
      <c r="I517" s="474"/>
      <c r="J517" s="474"/>
      <c r="K517" s="474"/>
      <c r="L517" s="474"/>
      <c r="M517" s="474"/>
      <c r="N517" s="474"/>
      <c r="O517" s="474"/>
      <c r="P517" s="474"/>
      <c r="Q517" s="474"/>
      <c r="R517" s="474"/>
      <c r="S517" s="474"/>
      <c r="T517" s="474"/>
      <c r="U517" s="474"/>
      <c r="V517" s="474"/>
      <c r="W517" s="474"/>
      <c r="X517" s="474"/>
      <c r="Y517" s="474"/>
      <c r="Z517" s="474"/>
    </row>
    <row r="518" ht="12.0" customHeight="1">
      <c r="A518" s="480"/>
      <c r="B518" s="485"/>
      <c r="C518" s="525"/>
      <c r="D518" s="525"/>
      <c r="E518" s="526"/>
      <c r="F518" s="526"/>
      <c r="G518" s="474"/>
      <c r="H518" s="474"/>
      <c r="I518" s="474"/>
      <c r="J518" s="474"/>
      <c r="K518" s="474"/>
      <c r="L518" s="474"/>
      <c r="M518" s="474"/>
      <c r="N518" s="474"/>
      <c r="O518" s="474"/>
      <c r="P518" s="474"/>
      <c r="Q518" s="474"/>
      <c r="R518" s="474"/>
      <c r="S518" s="474"/>
      <c r="T518" s="474"/>
      <c r="U518" s="474"/>
      <c r="V518" s="474"/>
      <c r="W518" s="474"/>
      <c r="X518" s="474"/>
      <c r="Y518" s="474"/>
      <c r="Z518" s="474"/>
    </row>
    <row r="519" ht="12.0" customHeight="1">
      <c r="A519" s="480"/>
      <c r="B519" s="485"/>
      <c r="C519" s="525"/>
      <c r="D519" s="525"/>
      <c r="E519" s="526"/>
      <c r="F519" s="526"/>
      <c r="G519" s="474"/>
      <c r="H519" s="474"/>
      <c r="I519" s="474"/>
      <c r="J519" s="474"/>
      <c r="K519" s="474"/>
      <c r="L519" s="474"/>
      <c r="M519" s="474"/>
      <c r="N519" s="474"/>
      <c r="O519" s="474"/>
      <c r="P519" s="474"/>
      <c r="Q519" s="474"/>
      <c r="R519" s="474"/>
      <c r="S519" s="474"/>
      <c r="T519" s="474"/>
      <c r="U519" s="474"/>
      <c r="V519" s="474"/>
      <c r="W519" s="474"/>
      <c r="X519" s="474"/>
      <c r="Y519" s="474"/>
      <c r="Z519" s="474"/>
    </row>
    <row r="520" ht="12.0" customHeight="1">
      <c r="A520" s="480"/>
      <c r="B520" s="485"/>
      <c r="C520" s="525"/>
      <c r="D520" s="525"/>
      <c r="E520" s="526"/>
      <c r="F520" s="526"/>
      <c r="G520" s="474"/>
      <c r="H520" s="474"/>
      <c r="I520" s="474"/>
      <c r="J520" s="474"/>
      <c r="K520" s="474"/>
      <c r="L520" s="474"/>
      <c r="M520" s="474"/>
      <c r="N520" s="474"/>
      <c r="O520" s="474"/>
      <c r="P520" s="474"/>
      <c r="Q520" s="474"/>
      <c r="R520" s="474"/>
      <c r="S520" s="474"/>
      <c r="T520" s="474"/>
      <c r="U520" s="474"/>
      <c r="V520" s="474"/>
      <c r="W520" s="474"/>
      <c r="X520" s="474"/>
      <c r="Y520" s="474"/>
      <c r="Z520" s="474"/>
    </row>
    <row r="521" ht="12.0" customHeight="1">
      <c r="A521" s="480"/>
      <c r="B521" s="485"/>
      <c r="C521" s="525"/>
      <c r="D521" s="525"/>
      <c r="E521" s="526"/>
      <c r="F521" s="526"/>
      <c r="G521" s="474"/>
      <c r="H521" s="474"/>
      <c r="I521" s="474"/>
      <c r="J521" s="474"/>
      <c r="K521" s="474"/>
      <c r="L521" s="474"/>
      <c r="M521" s="474"/>
      <c r="N521" s="474"/>
      <c r="O521" s="474"/>
      <c r="P521" s="474"/>
      <c r="Q521" s="474"/>
      <c r="R521" s="474"/>
      <c r="S521" s="474"/>
      <c r="T521" s="474"/>
      <c r="U521" s="474"/>
      <c r="V521" s="474"/>
      <c r="W521" s="474"/>
      <c r="X521" s="474"/>
      <c r="Y521" s="474"/>
      <c r="Z521" s="474"/>
    </row>
    <row r="522" ht="12.0" customHeight="1">
      <c r="A522" s="480"/>
      <c r="B522" s="485"/>
      <c r="C522" s="525"/>
      <c r="D522" s="525"/>
      <c r="E522" s="526"/>
      <c r="F522" s="526"/>
      <c r="G522" s="474"/>
      <c r="H522" s="474"/>
      <c r="I522" s="474"/>
      <c r="J522" s="474"/>
      <c r="K522" s="474"/>
      <c r="L522" s="474"/>
      <c r="M522" s="474"/>
      <c r="N522" s="474"/>
      <c r="O522" s="474"/>
      <c r="P522" s="474"/>
      <c r="Q522" s="474"/>
      <c r="R522" s="474"/>
      <c r="S522" s="474"/>
      <c r="T522" s="474"/>
      <c r="U522" s="474"/>
      <c r="V522" s="474"/>
      <c r="W522" s="474"/>
      <c r="X522" s="474"/>
      <c r="Y522" s="474"/>
      <c r="Z522" s="474"/>
    </row>
    <row r="523" ht="12.0" customHeight="1">
      <c r="A523" s="480"/>
      <c r="B523" s="485"/>
      <c r="C523" s="525"/>
      <c r="D523" s="525"/>
      <c r="E523" s="526"/>
      <c r="F523" s="526"/>
      <c r="G523" s="474"/>
      <c r="H523" s="474"/>
      <c r="I523" s="474"/>
      <c r="J523" s="474"/>
      <c r="K523" s="474"/>
      <c r="L523" s="474"/>
      <c r="M523" s="474"/>
      <c r="N523" s="474"/>
      <c r="O523" s="474"/>
      <c r="P523" s="474"/>
      <c r="Q523" s="474"/>
      <c r="R523" s="474"/>
      <c r="S523" s="474"/>
      <c r="T523" s="474"/>
      <c r="U523" s="474"/>
      <c r="V523" s="474"/>
      <c r="W523" s="474"/>
      <c r="X523" s="474"/>
      <c r="Y523" s="474"/>
      <c r="Z523" s="474"/>
    </row>
    <row r="524" ht="12.0" customHeight="1">
      <c r="A524" s="480"/>
      <c r="B524" s="485"/>
      <c r="C524" s="525"/>
      <c r="D524" s="525"/>
      <c r="E524" s="526"/>
      <c r="F524" s="526"/>
      <c r="G524" s="474"/>
      <c r="H524" s="474"/>
      <c r="I524" s="474"/>
      <c r="J524" s="474"/>
      <c r="K524" s="474"/>
      <c r="L524" s="474"/>
      <c r="M524" s="474"/>
      <c r="N524" s="474"/>
      <c r="O524" s="474"/>
      <c r="P524" s="474"/>
      <c r="Q524" s="474"/>
      <c r="R524" s="474"/>
      <c r="S524" s="474"/>
      <c r="T524" s="474"/>
      <c r="U524" s="474"/>
      <c r="V524" s="474"/>
      <c r="W524" s="474"/>
      <c r="X524" s="474"/>
      <c r="Y524" s="474"/>
      <c r="Z524" s="474"/>
    </row>
    <row r="525" ht="12.0" customHeight="1">
      <c r="A525" s="480"/>
      <c r="B525" s="485"/>
      <c r="C525" s="525"/>
      <c r="D525" s="525"/>
      <c r="E525" s="526"/>
      <c r="F525" s="526"/>
      <c r="G525" s="474"/>
      <c r="H525" s="474"/>
      <c r="I525" s="474"/>
      <c r="J525" s="474"/>
      <c r="K525" s="474"/>
      <c r="L525" s="474"/>
      <c r="M525" s="474"/>
      <c r="N525" s="474"/>
      <c r="O525" s="474"/>
      <c r="P525" s="474"/>
      <c r="Q525" s="474"/>
      <c r="R525" s="474"/>
      <c r="S525" s="474"/>
      <c r="T525" s="474"/>
      <c r="U525" s="474"/>
      <c r="V525" s="474"/>
      <c r="W525" s="474"/>
      <c r="X525" s="474"/>
      <c r="Y525" s="474"/>
      <c r="Z525" s="474"/>
    </row>
    <row r="526" ht="12.0" customHeight="1">
      <c r="A526" s="480"/>
      <c r="B526" s="485"/>
      <c r="C526" s="525"/>
      <c r="D526" s="525"/>
      <c r="E526" s="526"/>
      <c r="F526" s="526"/>
      <c r="G526" s="474"/>
      <c r="H526" s="474"/>
      <c r="I526" s="474"/>
      <c r="J526" s="474"/>
      <c r="K526" s="474"/>
      <c r="L526" s="474"/>
      <c r="M526" s="474"/>
      <c r="N526" s="474"/>
      <c r="O526" s="474"/>
      <c r="P526" s="474"/>
      <c r="Q526" s="474"/>
      <c r="R526" s="474"/>
      <c r="S526" s="474"/>
      <c r="T526" s="474"/>
      <c r="U526" s="474"/>
      <c r="V526" s="474"/>
      <c r="W526" s="474"/>
      <c r="X526" s="474"/>
      <c r="Y526" s="474"/>
      <c r="Z526" s="474"/>
    </row>
    <row r="527" ht="12.0" customHeight="1">
      <c r="A527" s="480"/>
      <c r="B527" s="485"/>
      <c r="C527" s="525"/>
      <c r="D527" s="525"/>
      <c r="E527" s="526"/>
      <c r="F527" s="526"/>
      <c r="G527" s="474"/>
      <c r="H527" s="474"/>
      <c r="I527" s="474"/>
      <c r="J527" s="474"/>
      <c r="K527" s="474"/>
      <c r="L527" s="474"/>
      <c r="M527" s="474"/>
      <c r="N527" s="474"/>
      <c r="O527" s="474"/>
      <c r="P527" s="474"/>
      <c r="Q527" s="474"/>
      <c r="R527" s="474"/>
      <c r="S527" s="474"/>
      <c r="T527" s="474"/>
      <c r="U527" s="474"/>
      <c r="V527" s="474"/>
      <c r="W527" s="474"/>
      <c r="X527" s="474"/>
      <c r="Y527" s="474"/>
      <c r="Z527" s="474"/>
    </row>
    <row r="528" ht="12.0" customHeight="1">
      <c r="A528" s="480"/>
      <c r="B528" s="485"/>
      <c r="C528" s="525"/>
      <c r="D528" s="525"/>
      <c r="E528" s="526"/>
      <c r="F528" s="526"/>
      <c r="G528" s="474"/>
      <c r="H528" s="474"/>
      <c r="I528" s="474"/>
      <c r="J528" s="474"/>
      <c r="K528" s="474"/>
      <c r="L528" s="474"/>
      <c r="M528" s="474"/>
      <c r="N528" s="474"/>
      <c r="O528" s="474"/>
      <c r="P528" s="474"/>
      <c r="Q528" s="474"/>
      <c r="R528" s="474"/>
      <c r="S528" s="474"/>
      <c r="T528" s="474"/>
      <c r="U528" s="474"/>
      <c r="V528" s="474"/>
      <c r="W528" s="474"/>
      <c r="X528" s="474"/>
      <c r="Y528" s="474"/>
      <c r="Z528" s="474"/>
    </row>
    <row r="529" ht="12.0" customHeight="1">
      <c r="A529" s="480"/>
      <c r="B529" s="485"/>
      <c r="C529" s="525"/>
      <c r="D529" s="525"/>
      <c r="E529" s="526"/>
      <c r="F529" s="526"/>
      <c r="G529" s="474"/>
      <c r="H529" s="474"/>
      <c r="I529" s="474"/>
      <c r="J529" s="474"/>
      <c r="K529" s="474"/>
      <c r="L529" s="474"/>
      <c r="M529" s="474"/>
      <c r="N529" s="474"/>
      <c r="O529" s="474"/>
      <c r="P529" s="474"/>
      <c r="Q529" s="474"/>
      <c r="R529" s="474"/>
      <c r="S529" s="474"/>
      <c r="T529" s="474"/>
      <c r="U529" s="474"/>
      <c r="V529" s="474"/>
      <c r="W529" s="474"/>
      <c r="X529" s="474"/>
      <c r="Y529" s="474"/>
      <c r="Z529" s="474"/>
    </row>
    <row r="530" ht="12.0" customHeight="1">
      <c r="A530" s="480"/>
      <c r="B530" s="485"/>
      <c r="C530" s="525"/>
      <c r="D530" s="525"/>
      <c r="E530" s="526"/>
      <c r="F530" s="526"/>
      <c r="G530" s="474"/>
      <c r="H530" s="474"/>
      <c r="I530" s="474"/>
      <c r="J530" s="474"/>
      <c r="K530" s="474"/>
      <c r="L530" s="474"/>
      <c r="M530" s="474"/>
      <c r="N530" s="474"/>
      <c r="O530" s="474"/>
      <c r="P530" s="474"/>
      <c r="Q530" s="474"/>
      <c r="R530" s="474"/>
      <c r="S530" s="474"/>
      <c r="T530" s="474"/>
      <c r="U530" s="474"/>
      <c r="V530" s="474"/>
      <c r="W530" s="474"/>
      <c r="X530" s="474"/>
      <c r="Y530" s="474"/>
      <c r="Z530" s="474"/>
    </row>
    <row r="531" ht="12.0" customHeight="1">
      <c r="A531" s="480"/>
      <c r="B531" s="485"/>
      <c r="C531" s="525"/>
      <c r="D531" s="525"/>
      <c r="E531" s="526"/>
      <c r="F531" s="526"/>
      <c r="G531" s="474"/>
      <c r="H531" s="474"/>
      <c r="I531" s="474"/>
      <c r="J531" s="474"/>
      <c r="K531" s="474"/>
      <c r="L531" s="474"/>
      <c r="M531" s="474"/>
      <c r="N531" s="474"/>
      <c r="O531" s="474"/>
      <c r="P531" s="474"/>
      <c r="Q531" s="474"/>
      <c r="R531" s="474"/>
      <c r="S531" s="474"/>
      <c r="T531" s="474"/>
      <c r="U531" s="474"/>
      <c r="V531" s="474"/>
      <c r="W531" s="474"/>
      <c r="X531" s="474"/>
      <c r="Y531" s="474"/>
      <c r="Z531" s="474"/>
    </row>
    <row r="532" ht="12.0" customHeight="1">
      <c r="A532" s="480"/>
      <c r="B532" s="485"/>
      <c r="C532" s="525"/>
      <c r="D532" s="525"/>
      <c r="E532" s="526"/>
      <c r="F532" s="526"/>
      <c r="G532" s="474"/>
      <c r="H532" s="474"/>
      <c r="I532" s="474"/>
      <c r="J532" s="474"/>
      <c r="K532" s="474"/>
      <c r="L532" s="474"/>
      <c r="M532" s="474"/>
      <c r="N532" s="474"/>
      <c r="O532" s="474"/>
      <c r="P532" s="474"/>
      <c r="Q532" s="474"/>
      <c r="R532" s="474"/>
      <c r="S532" s="474"/>
      <c r="T532" s="474"/>
      <c r="U532" s="474"/>
      <c r="V532" s="474"/>
      <c r="W532" s="474"/>
      <c r="X532" s="474"/>
      <c r="Y532" s="474"/>
      <c r="Z532" s="474"/>
    </row>
    <row r="533" ht="12.0" customHeight="1">
      <c r="A533" s="480"/>
      <c r="B533" s="485"/>
      <c r="C533" s="525"/>
      <c r="D533" s="525"/>
      <c r="E533" s="526"/>
      <c r="F533" s="526"/>
      <c r="G533" s="474"/>
      <c r="H533" s="474"/>
      <c r="I533" s="474"/>
      <c r="J533" s="474"/>
      <c r="K533" s="474"/>
      <c r="L533" s="474"/>
      <c r="M533" s="474"/>
      <c r="N533" s="474"/>
      <c r="O533" s="474"/>
      <c r="P533" s="474"/>
      <c r="Q533" s="474"/>
      <c r="R533" s="474"/>
      <c r="S533" s="474"/>
      <c r="T533" s="474"/>
      <c r="U533" s="474"/>
      <c r="V533" s="474"/>
      <c r="W533" s="474"/>
      <c r="X533" s="474"/>
      <c r="Y533" s="474"/>
      <c r="Z533" s="474"/>
    </row>
    <row r="534" ht="12.0" customHeight="1">
      <c r="A534" s="480"/>
      <c r="B534" s="485"/>
      <c r="C534" s="525"/>
      <c r="D534" s="525"/>
      <c r="E534" s="526"/>
      <c r="F534" s="526"/>
      <c r="G534" s="474"/>
      <c r="H534" s="474"/>
      <c r="I534" s="474"/>
      <c r="J534" s="474"/>
      <c r="K534" s="474"/>
      <c r="L534" s="474"/>
      <c r="M534" s="474"/>
      <c r="N534" s="474"/>
      <c r="O534" s="474"/>
      <c r="P534" s="474"/>
      <c r="Q534" s="474"/>
      <c r="R534" s="474"/>
      <c r="S534" s="474"/>
      <c r="T534" s="474"/>
      <c r="U534" s="474"/>
      <c r="V534" s="474"/>
      <c r="W534" s="474"/>
      <c r="X534" s="474"/>
      <c r="Y534" s="474"/>
      <c r="Z534" s="474"/>
    </row>
    <row r="535" ht="12.0" customHeight="1">
      <c r="A535" s="480"/>
      <c r="B535" s="485"/>
      <c r="C535" s="525"/>
      <c r="D535" s="525"/>
      <c r="E535" s="526"/>
      <c r="F535" s="526"/>
      <c r="G535" s="474"/>
      <c r="H535" s="474"/>
      <c r="I535" s="474"/>
      <c r="J535" s="474"/>
      <c r="K535" s="474"/>
      <c r="L535" s="474"/>
      <c r="M535" s="474"/>
      <c r="N535" s="474"/>
      <c r="O535" s="474"/>
      <c r="P535" s="474"/>
      <c r="Q535" s="474"/>
      <c r="R535" s="474"/>
      <c r="S535" s="474"/>
      <c r="T535" s="474"/>
      <c r="U535" s="474"/>
      <c r="V535" s="474"/>
      <c r="W535" s="474"/>
      <c r="X535" s="474"/>
      <c r="Y535" s="474"/>
      <c r="Z535" s="474"/>
    </row>
    <row r="536" ht="12.0" customHeight="1">
      <c r="A536" s="480"/>
      <c r="B536" s="485"/>
      <c r="C536" s="525"/>
      <c r="D536" s="525"/>
      <c r="E536" s="526"/>
      <c r="F536" s="526"/>
      <c r="G536" s="474"/>
      <c r="H536" s="474"/>
      <c r="I536" s="474"/>
      <c r="J536" s="474"/>
      <c r="K536" s="474"/>
      <c r="L536" s="474"/>
      <c r="M536" s="474"/>
      <c r="N536" s="474"/>
      <c r="O536" s="474"/>
      <c r="P536" s="474"/>
      <c r="Q536" s="474"/>
      <c r="R536" s="474"/>
      <c r="S536" s="474"/>
      <c r="T536" s="474"/>
      <c r="U536" s="474"/>
      <c r="V536" s="474"/>
      <c r="W536" s="474"/>
      <c r="X536" s="474"/>
      <c r="Y536" s="474"/>
      <c r="Z536" s="474"/>
    </row>
    <row r="537" ht="12.0" customHeight="1">
      <c r="A537" s="480"/>
      <c r="B537" s="485"/>
      <c r="C537" s="525"/>
      <c r="D537" s="525"/>
      <c r="E537" s="526"/>
      <c r="F537" s="526"/>
      <c r="G537" s="474"/>
      <c r="H537" s="474"/>
      <c r="I537" s="474"/>
      <c r="J537" s="474"/>
      <c r="K537" s="474"/>
      <c r="L537" s="474"/>
      <c r="M537" s="474"/>
      <c r="N537" s="474"/>
      <c r="O537" s="474"/>
      <c r="P537" s="474"/>
      <c r="Q537" s="474"/>
      <c r="R537" s="474"/>
      <c r="S537" s="474"/>
      <c r="T537" s="474"/>
      <c r="U537" s="474"/>
      <c r="V537" s="474"/>
      <c r="W537" s="474"/>
      <c r="X537" s="474"/>
      <c r="Y537" s="474"/>
      <c r="Z537" s="474"/>
    </row>
    <row r="538" ht="12.0" customHeight="1">
      <c r="A538" s="480"/>
      <c r="B538" s="485"/>
      <c r="C538" s="525"/>
      <c r="D538" s="525"/>
      <c r="E538" s="526"/>
      <c r="F538" s="526"/>
      <c r="G538" s="474"/>
      <c r="H538" s="474"/>
      <c r="I538" s="474"/>
      <c r="J538" s="474"/>
      <c r="K538" s="474"/>
      <c r="L538" s="474"/>
      <c r="M538" s="474"/>
      <c r="N538" s="474"/>
      <c r="O538" s="474"/>
      <c r="P538" s="474"/>
      <c r="Q538" s="474"/>
      <c r="R538" s="474"/>
      <c r="S538" s="474"/>
      <c r="T538" s="474"/>
      <c r="U538" s="474"/>
      <c r="V538" s="474"/>
      <c r="W538" s="474"/>
      <c r="X538" s="474"/>
      <c r="Y538" s="474"/>
      <c r="Z538" s="474"/>
    </row>
    <row r="539" ht="12.0" customHeight="1">
      <c r="A539" s="480"/>
      <c r="B539" s="485"/>
      <c r="C539" s="525"/>
      <c r="D539" s="525"/>
      <c r="E539" s="526"/>
      <c r="F539" s="526"/>
      <c r="G539" s="474"/>
      <c r="H539" s="474"/>
      <c r="I539" s="474"/>
      <c r="J539" s="474"/>
      <c r="K539" s="474"/>
      <c r="L539" s="474"/>
      <c r="M539" s="474"/>
      <c r="N539" s="474"/>
      <c r="O539" s="474"/>
      <c r="P539" s="474"/>
      <c r="Q539" s="474"/>
      <c r="R539" s="474"/>
      <c r="S539" s="474"/>
      <c r="T539" s="474"/>
      <c r="U539" s="474"/>
      <c r="V539" s="474"/>
      <c r="W539" s="474"/>
      <c r="X539" s="474"/>
      <c r="Y539" s="474"/>
      <c r="Z539" s="474"/>
    </row>
    <row r="540" ht="12.0" customHeight="1">
      <c r="A540" s="480"/>
      <c r="B540" s="485"/>
      <c r="C540" s="525"/>
      <c r="D540" s="525"/>
      <c r="E540" s="526"/>
      <c r="F540" s="526"/>
      <c r="G540" s="474"/>
      <c r="H540" s="474"/>
      <c r="I540" s="474"/>
      <c r="J540" s="474"/>
      <c r="K540" s="474"/>
      <c r="L540" s="474"/>
      <c r="M540" s="474"/>
      <c r="N540" s="474"/>
      <c r="O540" s="474"/>
      <c r="P540" s="474"/>
      <c r="Q540" s="474"/>
      <c r="R540" s="474"/>
      <c r="S540" s="474"/>
      <c r="T540" s="474"/>
      <c r="U540" s="474"/>
      <c r="V540" s="474"/>
      <c r="W540" s="474"/>
      <c r="X540" s="474"/>
      <c r="Y540" s="474"/>
      <c r="Z540" s="474"/>
    </row>
    <row r="541" ht="12.0" customHeight="1">
      <c r="A541" s="480"/>
      <c r="B541" s="485"/>
      <c r="C541" s="525"/>
      <c r="D541" s="525"/>
      <c r="E541" s="526"/>
      <c r="F541" s="526"/>
      <c r="G541" s="474"/>
      <c r="H541" s="474"/>
      <c r="I541" s="474"/>
      <c r="J541" s="474"/>
      <c r="K541" s="474"/>
      <c r="L541" s="474"/>
      <c r="M541" s="474"/>
      <c r="N541" s="474"/>
      <c r="O541" s="474"/>
      <c r="P541" s="474"/>
      <c r="Q541" s="474"/>
      <c r="R541" s="474"/>
      <c r="S541" s="474"/>
      <c r="T541" s="474"/>
      <c r="U541" s="474"/>
      <c r="V541" s="474"/>
      <c r="W541" s="474"/>
      <c r="X541" s="474"/>
      <c r="Y541" s="474"/>
      <c r="Z541" s="474"/>
    </row>
    <row r="542" ht="12.0" customHeight="1">
      <c r="A542" s="480"/>
      <c r="B542" s="485"/>
      <c r="C542" s="525"/>
      <c r="D542" s="525"/>
      <c r="E542" s="526"/>
      <c r="F542" s="526"/>
      <c r="G542" s="474"/>
      <c r="H542" s="474"/>
      <c r="I542" s="474"/>
      <c r="J542" s="474"/>
      <c r="K542" s="474"/>
      <c r="L542" s="474"/>
      <c r="M542" s="474"/>
      <c r="N542" s="474"/>
      <c r="O542" s="474"/>
      <c r="P542" s="474"/>
      <c r="Q542" s="474"/>
      <c r="R542" s="474"/>
      <c r="S542" s="474"/>
      <c r="T542" s="474"/>
      <c r="U542" s="474"/>
      <c r="V542" s="474"/>
      <c r="W542" s="474"/>
      <c r="X542" s="474"/>
      <c r="Y542" s="474"/>
      <c r="Z542" s="474"/>
    </row>
    <row r="543" ht="12.0" customHeight="1">
      <c r="A543" s="480"/>
      <c r="B543" s="485"/>
      <c r="C543" s="525"/>
      <c r="D543" s="525"/>
      <c r="E543" s="526"/>
      <c r="F543" s="526"/>
      <c r="G543" s="474"/>
      <c r="H543" s="474"/>
      <c r="I543" s="474"/>
      <c r="J543" s="474"/>
      <c r="K543" s="474"/>
      <c r="L543" s="474"/>
      <c r="M543" s="474"/>
      <c r="N543" s="474"/>
      <c r="O543" s="474"/>
      <c r="P543" s="474"/>
      <c r="Q543" s="474"/>
      <c r="R543" s="474"/>
      <c r="S543" s="474"/>
      <c r="T543" s="474"/>
      <c r="U543" s="474"/>
      <c r="V543" s="474"/>
      <c r="W543" s="474"/>
      <c r="X543" s="474"/>
      <c r="Y543" s="474"/>
      <c r="Z543" s="474"/>
    </row>
    <row r="544" ht="12.0" customHeight="1">
      <c r="A544" s="480"/>
      <c r="B544" s="485"/>
      <c r="C544" s="525"/>
      <c r="D544" s="525"/>
      <c r="E544" s="526"/>
      <c r="F544" s="526"/>
      <c r="G544" s="474"/>
      <c r="H544" s="474"/>
      <c r="I544" s="474"/>
      <c r="J544" s="474"/>
      <c r="K544" s="474"/>
      <c r="L544" s="474"/>
      <c r="M544" s="474"/>
      <c r="N544" s="474"/>
      <c r="O544" s="474"/>
      <c r="P544" s="474"/>
      <c r="Q544" s="474"/>
      <c r="R544" s="474"/>
      <c r="S544" s="474"/>
      <c r="T544" s="474"/>
      <c r="U544" s="474"/>
      <c r="V544" s="474"/>
      <c r="W544" s="474"/>
      <c r="X544" s="474"/>
      <c r="Y544" s="474"/>
      <c r="Z544" s="474"/>
    </row>
    <row r="545" ht="12.0" customHeight="1">
      <c r="A545" s="480"/>
      <c r="B545" s="485"/>
      <c r="C545" s="525"/>
      <c r="D545" s="525"/>
      <c r="E545" s="526"/>
      <c r="F545" s="526"/>
      <c r="G545" s="474"/>
      <c r="H545" s="474"/>
      <c r="I545" s="474"/>
      <c r="J545" s="474"/>
      <c r="K545" s="474"/>
      <c r="L545" s="474"/>
      <c r="M545" s="474"/>
      <c r="N545" s="474"/>
      <c r="O545" s="474"/>
      <c r="P545" s="474"/>
      <c r="Q545" s="474"/>
      <c r="R545" s="474"/>
      <c r="S545" s="474"/>
      <c r="T545" s="474"/>
      <c r="U545" s="474"/>
      <c r="V545" s="474"/>
      <c r="W545" s="474"/>
      <c r="X545" s="474"/>
      <c r="Y545" s="474"/>
      <c r="Z545" s="474"/>
    </row>
    <row r="546" ht="12.0" customHeight="1">
      <c r="A546" s="480"/>
      <c r="B546" s="485"/>
      <c r="C546" s="525"/>
      <c r="D546" s="525"/>
      <c r="E546" s="526"/>
      <c r="F546" s="526"/>
      <c r="G546" s="474"/>
      <c r="H546" s="474"/>
      <c r="I546" s="474"/>
      <c r="J546" s="474"/>
      <c r="K546" s="474"/>
      <c r="L546" s="474"/>
      <c r="M546" s="474"/>
      <c r="N546" s="474"/>
      <c r="O546" s="474"/>
      <c r="P546" s="474"/>
      <c r="Q546" s="474"/>
      <c r="R546" s="474"/>
      <c r="S546" s="474"/>
      <c r="T546" s="474"/>
      <c r="U546" s="474"/>
      <c r="V546" s="474"/>
      <c r="W546" s="474"/>
      <c r="X546" s="474"/>
      <c r="Y546" s="474"/>
      <c r="Z546" s="474"/>
    </row>
    <row r="547" ht="12.0" customHeight="1">
      <c r="A547" s="480"/>
      <c r="B547" s="485"/>
      <c r="C547" s="525"/>
      <c r="D547" s="525"/>
      <c r="E547" s="526"/>
      <c r="F547" s="526"/>
      <c r="G547" s="474"/>
      <c r="H547" s="474"/>
      <c r="I547" s="474"/>
      <c r="J547" s="474"/>
      <c r="K547" s="474"/>
      <c r="L547" s="474"/>
      <c r="M547" s="474"/>
      <c r="N547" s="474"/>
      <c r="O547" s="474"/>
      <c r="P547" s="474"/>
      <c r="Q547" s="474"/>
      <c r="R547" s="474"/>
      <c r="S547" s="474"/>
      <c r="T547" s="474"/>
      <c r="U547" s="474"/>
      <c r="V547" s="474"/>
      <c r="W547" s="474"/>
      <c r="X547" s="474"/>
      <c r="Y547" s="474"/>
      <c r="Z547" s="474"/>
    </row>
    <row r="548" ht="12.0" customHeight="1">
      <c r="A548" s="480"/>
      <c r="B548" s="485"/>
      <c r="C548" s="525"/>
      <c r="D548" s="525"/>
      <c r="E548" s="526"/>
      <c r="F548" s="526"/>
      <c r="G548" s="474"/>
      <c r="H548" s="474"/>
      <c r="I548" s="474"/>
      <c r="J548" s="474"/>
      <c r="K548" s="474"/>
      <c r="L548" s="474"/>
      <c r="M548" s="474"/>
      <c r="N548" s="474"/>
      <c r="O548" s="474"/>
      <c r="P548" s="474"/>
      <c r="Q548" s="474"/>
      <c r="R548" s="474"/>
      <c r="S548" s="474"/>
      <c r="T548" s="474"/>
      <c r="U548" s="474"/>
      <c r="V548" s="474"/>
      <c r="W548" s="474"/>
      <c r="X548" s="474"/>
      <c r="Y548" s="474"/>
      <c r="Z548" s="474"/>
    </row>
    <row r="549" ht="12.0" customHeight="1">
      <c r="A549" s="480"/>
      <c r="B549" s="485"/>
      <c r="C549" s="525"/>
      <c r="D549" s="525"/>
      <c r="E549" s="526"/>
      <c r="F549" s="526"/>
      <c r="G549" s="474"/>
      <c r="H549" s="474"/>
      <c r="I549" s="474"/>
      <c r="J549" s="474"/>
      <c r="K549" s="474"/>
      <c r="L549" s="474"/>
      <c r="M549" s="474"/>
      <c r="N549" s="474"/>
      <c r="O549" s="474"/>
      <c r="P549" s="474"/>
      <c r="Q549" s="474"/>
      <c r="R549" s="474"/>
      <c r="S549" s="474"/>
      <c r="T549" s="474"/>
      <c r="U549" s="474"/>
      <c r="V549" s="474"/>
      <c r="W549" s="474"/>
      <c r="X549" s="474"/>
      <c r="Y549" s="474"/>
      <c r="Z549" s="474"/>
    </row>
    <row r="550" ht="12.0" customHeight="1">
      <c r="A550" s="480"/>
      <c r="B550" s="485"/>
      <c r="C550" s="525"/>
      <c r="D550" s="525"/>
      <c r="E550" s="526"/>
      <c r="F550" s="526"/>
      <c r="G550" s="474"/>
      <c r="H550" s="474"/>
      <c r="I550" s="474"/>
      <c r="J550" s="474"/>
      <c r="K550" s="474"/>
      <c r="L550" s="474"/>
      <c r="M550" s="474"/>
      <c r="N550" s="474"/>
      <c r="O550" s="474"/>
      <c r="P550" s="474"/>
      <c r="Q550" s="474"/>
      <c r="R550" s="474"/>
      <c r="S550" s="474"/>
      <c r="T550" s="474"/>
      <c r="U550" s="474"/>
      <c r="V550" s="474"/>
      <c r="W550" s="474"/>
      <c r="X550" s="474"/>
      <c r="Y550" s="474"/>
      <c r="Z550" s="474"/>
    </row>
    <row r="551" ht="12.0" customHeight="1">
      <c r="A551" s="480"/>
      <c r="B551" s="485"/>
      <c r="C551" s="525"/>
      <c r="D551" s="525"/>
      <c r="E551" s="526"/>
      <c r="F551" s="526"/>
      <c r="G551" s="474"/>
      <c r="H551" s="474"/>
      <c r="I551" s="474"/>
      <c r="J551" s="474"/>
      <c r="K551" s="474"/>
      <c r="L551" s="474"/>
      <c r="M551" s="474"/>
      <c r="N551" s="474"/>
      <c r="O551" s="474"/>
      <c r="P551" s="474"/>
      <c r="Q551" s="474"/>
      <c r="R551" s="474"/>
      <c r="S551" s="474"/>
      <c r="T551" s="474"/>
      <c r="U551" s="474"/>
      <c r="V551" s="474"/>
      <c r="W551" s="474"/>
      <c r="X551" s="474"/>
      <c r="Y551" s="474"/>
      <c r="Z551" s="474"/>
    </row>
    <row r="552" ht="12.0" customHeight="1">
      <c r="A552" s="480"/>
      <c r="B552" s="485"/>
      <c r="C552" s="525"/>
      <c r="D552" s="525"/>
      <c r="E552" s="526"/>
      <c r="F552" s="526"/>
      <c r="G552" s="474"/>
      <c r="H552" s="474"/>
      <c r="I552" s="474"/>
      <c r="J552" s="474"/>
      <c r="K552" s="474"/>
      <c r="L552" s="474"/>
      <c r="M552" s="474"/>
      <c r="N552" s="474"/>
      <c r="O552" s="474"/>
      <c r="P552" s="474"/>
      <c r="Q552" s="474"/>
      <c r="R552" s="474"/>
      <c r="S552" s="474"/>
      <c r="T552" s="474"/>
      <c r="U552" s="474"/>
      <c r="V552" s="474"/>
      <c r="W552" s="474"/>
      <c r="X552" s="474"/>
      <c r="Y552" s="474"/>
      <c r="Z552" s="474"/>
    </row>
    <row r="553" ht="12.0" customHeight="1">
      <c r="A553" s="480"/>
      <c r="B553" s="485"/>
      <c r="C553" s="525"/>
      <c r="D553" s="525"/>
      <c r="E553" s="526"/>
      <c r="F553" s="526"/>
      <c r="G553" s="474"/>
      <c r="H553" s="474"/>
      <c r="I553" s="474"/>
      <c r="J553" s="474"/>
      <c r="K553" s="474"/>
      <c r="L553" s="474"/>
      <c r="M553" s="474"/>
      <c r="N553" s="474"/>
      <c r="O553" s="474"/>
      <c r="P553" s="474"/>
      <c r="Q553" s="474"/>
      <c r="R553" s="474"/>
      <c r="S553" s="474"/>
      <c r="T553" s="474"/>
      <c r="U553" s="474"/>
      <c r="V553" s="474"/>
      <c r="W553" s="474"/>
      <c r="X553" s="474"/>
      <c r="Y553" s="474"/>
      <c r="Z553" s="474"/>
    </row>
    <row r="554" ht="12.0" customHeight="1">
      <c r="A554" s="480"/>
      <c r="B554" s="485"/>
      <c r="C554" s="525"/>
      <c r="D554" s="525"/>
      <c r="E554" s="526"/>
      <c r="F554" s="526"/>
      <c r="G554" s="474"/>
      <c r="H554" s="474"/>
      <c r="I554" s="474"/>
      <c r="J554" s="474"/>
      <c r="K554" s="474"/>
      <c r="L554" s="474"/>
      <c r="M554" s="474"/>
      <c r="N554" s="474"/>
      <c r="O554" s="474"/>
      <c r="P554" s="474"/>
      <c r="Q554" s="474"/>
      <c r="R554" s="474"/>
      <c r="S554" s="474"/>
      <c r="T554" s="474"/>
      <c r="U554" s="474"/>
      <c r="V554" s="474"/>
      <c r="W554" s="474"/>
      <c r="X554" s="474"/>
      <c r="Y554" s="474"/>
      <c r="Z554" s="474"/>
    </row>
    <row r="555" ht="12.0" customHeight="1">
      <c r="A555" s="480"/>
      <c r="B555" s="485"/>
      <c r="C555" s="525"/>
      <c r="D555" s="525"/>
      <c r="E555" s="526"/>
      <c r="F555" s="526"/>
      <c r="G555" s="474"/>
      <c r="H555" s="474"/>
      <c r="I555" s="474"/>
      <c r="J555" s="474"/>
      <c r="K555" s="474"/>
      <c r="L555" s="474"/>
      <c r="M555" s="474"/>
      <c r="N555" s="474"/>
      <c r="O555" s="474"/>
      <c r="P555" s="474"/>
      <c r="Q555" s="474"/>
      <c r="R555" s="474"/>
      <c r="S555" s="474"/>
      <c r="T555" s="474"/>
      <c r="U555" s="474"/>
      <c r="V555" s="474"/>
      <c r="W555" s="474"/>
      <c r="X555" s="474"/>
      <c r="Y555" s="474"/>
      <c r="Z555" s="474"/>
    </row>
    <row r="556" ht="12.0" customHeight="1">
      <c r="A556" s="480"/>
      <c r="B556" s="485"/>
      <c r="C556" s="525"/>
      <c r="D556" s="525"/>
      <c r="E556" s="526"/>
      <c r="F556" s="526"/>
      <c r="G556" s="474"/>
      <c r="H556" s="474"/>
      <c r="I556" s="474"/>
      <c r="J556" s="474"/>
      <c r="K556" s="474"/>
      <c r="L556" s="474"/>
      <c r="M556" s="474"/>
      <c r="N556" s="474"/>
      <c r="O556" s="474"/>
      <c r="P556" s="474"/>
      <c r="Q556" s="474"/>
      <c r="R556" s="474"/>
      <c r="S556" s="474"/>
      <c r="T556" s="474"/>
      <c r="U556" s="474"/>
      <c r="V556" s="474"/>
      <c r="W556" s="474"/>
      <c r="X556" s="474"/>
      <c r="Y556" s="474"/>
      <c r="Z556" s="474"/>
    </row>
    <row r="557" ht="12.0" customHeight="1">
      <c r="A557" s="480"/>
      <c r="B557" s="485"/>
      <c r="C557" s="525"/>
      <c r="D557" s="525"/>
      <c r="E557" s="526"/>
      <c r="F557" s="526"/>
      <c r="G557" s="474"/>
      <c r="H557" s="474"/>
      <c r="I557" s="474"/>
      <c r="J557" s="474"/>
      <c r="K557" s="474"/>
      <c r="L557" s="474"/>
      <c r="M557" s="474"/>
      <c r="N557" s="474"/>
      <c r="O557" s="474"/>
      <c r="P557" s="474"/>
      <c r="Q557" s="474"/>
      <c r="R557" s="474"/>
      <c r="S557" s="474"/>
      <c r="T557" s="474"/>
      <c r="U557" s="474"/>
      <c r="V557" s="474"/>
      <c r="W557" s="474"/>
      <c r="X557" s="474"/>
      <c r="Y557" s="474"/>
      <c r="Z557" s="474"/>
    </row>
    <row r="558" ht="12.0" customHeight="1">
      <c r="A558" s="480"/>
      <c r="B558" s="485"/>
      <c r="C558" s="525"/>
      <c r="D558" s="525"/>
      <c r="E558" s="526"/>
      <c r="F558" s="526"/>
      <c r="G558" s="474"/>
      <c r="H558" s="474"/>
      <c r="I558" s="474"/>
      <c r="J558" s="474"/>
      <c r="K558" s="474"/>
      <c r="L558" s="474"/>
      <c r="M558" s="474"/>
      <c r="N558" s="474"/>
      <c r="O558" s="474"/>
      <c r="P558" s="474"/>
      <c r="Q558" s="474"/>
      <c r="R558" s="474"/>
      <c r="S558" s="474"/>
      <c r="T558" s="474"/>
      <c r="U558" s="474"/>
      <c r="V558" s="474"/>
      <c r="W558" s="474"/>
      <c r="X558" s="474"/>
      <c r="Y558" s="474"/>
      <c r="Z558" s="474"/>
    </row>
    <row r="559" ht="12.0" customHeight="1">
      <c r="A559" s="480"/>
      <c r="B559" s="485"/>
      <c r="C559" s="525"/>
      <c r="D559" s="525"/>
      <c r="E559" s="526"/>
      <c r="F559" s="526"/>
      <c r="G559" s="474"/>
      <c r="H559" s="474"/>
      <c r="I559" s="474"/>
      <c r="J559" s="474"/>
      <c r="K559" s="474"/>
      <c r="L559" s="474"/>
      <c r="M559" s="474"/>
      <c r="N559" s="474"/>
      <c r="O559" s="474"/>
      <c r="P559" s="474"/>
      <c r="Q559" s="474"/>
      <c r="R559" s="474"/>
      <c r="S559" s="474"/>
      <c r="T559" s="474"/>
      <c r="U559" s="474"/>
      <c r="V559" s="474"/>
      <c r="W559" s="474"/>
      <c r="X559" s="474"/>
      <c r="Y559" s="474"/>
      <c r="Z559" s="474"/>
    </row>
    <row r="560" ht="12.0" customHeight="1">
      <c r="A560" s="480"/>
      <c r="B560" s="485"/>
      <c r="C560" s="525"/>
      <c r="D560" s="525"/>
      <c r="E560" s="526"/>
      <c r="F560" s="526"/>
      <c r="G560" s="474"/>
      <c r="H560" s="474"/>
      <c r="I560" s="474"/>
      <c r="J560" s="474"/>
      <c r="K560" s="474"/>
      <c r="L560" s="474"/>
      <c r="M560" s="474"/>
      <c r="N560" s="474"/>
      <c r="O560" s="474"/>
      <c r="P560" s="474"/>
      <c r="Q560" s="474"/>
      <c r="R560" s="474"/>
      <c r="S560" s="474"/>
      <c r="T560" s="474"/>
      <c r="U560" s="474"/>
      <c r="V560" s="474"/>
      <c r="W560" s="474"/>
      <c r="X560" s="474"/>
      <c r="Y560" s="474"/>
      <c r="Z560" s="474"/>
    </row>
    <row r="561" ht="12.0" customHeight="1">
      <c r="A561" s="480"/>
      <c r="B561" s="485"/>
      <c r="C561" s="525"/>
      <c r="D561" s="525"/>
      <c r="E561" s="526"/>
      <c r="F561" s="526"/>
      <c r="G561" s="474"/>
      <c r="H561" s="474"/>
      <c r="I561" s="474"/>
      <c r="J561" s="474"/>
      <c r="K561" s="474"/>
      <c r="L561" s="474"/>
      <c r="M561" s="474"/>
      <c r="N561" s="474"/>
      <c r="O561" s="474"/>
      <c r="P561" s="474"/>
      <c r="Q561" s="474"/>
      <c r="R561" s="474"/>
      <c r="S561" s="474"/>
      <c r="T561" s="474"/>
      <c r="U561" s="474"/>
      <c r="V561" s="474"/>
      <c r="W561" s="474"/>
      <c r="X561" s="474"/>
      <c r="Y561" s="474"/>
      <c r="Z561" s="474"/>
    </row>
    <row r="562" ht="12.0" customHeight="1">
      <c r="A562" s="480"/>
      <c r="B562" s="485"/>
      <c r="C562" s="525"/>
      <c r="D562" s="525"/>
      <c r="E562" s="526"/>
      <c r="F562" s="526"/>
      <c r="G562" s="474"/>
      <c r="H562" s="474"/>
      <c r="I562" s="474"/>
      <c r="J562" s="474"/>
      <c r="K562" s="474"/>
      <c r="L562" s="474"/>
      <c r="M562" s="474"/>
      <c r="N562" s="474"/>
      <c r="O562" s="474"/>
      <c r="P562" s="474"/>
      <c r="Q562" s="474"/>
      <c r="R562" s="474"/>
      <c r="S562" s="474"/>
      <c r="T562" s="474"/>
      <c r="U562" s="474"/>
      <c r="V562" s="474"/>
      <c r="W562" s="474"/>
      <c r="X562" s="474"/>
      <c r="Y562" s="474"/>
      <c r="Z562" s="474"/>
    </row>
    <row r="563" ht="12.0" customHeight="1">
      <c r="A563" s="480"/>
      <c r="B563" s="485"/>
      <c r="C563" s="525"/>
      <c r="D563" s="525"/>
      <c r="E563" s="526"/>
      <c r="F563" s="526"/>
      <c r="G563" s="474"/>
      <c r="H563" s="474"/>
      <c r="I563" s="474"/>
      <c r="J563" s="474"/>
      <c r="K563" s="474"/>
      <c r="L563" s="474"/>
      <c r="M563" s="474"/>
      <c r="N563" s="474"/>
      <c r="O563" s="474"/>
      <c r="P563" s="474"/>
      <c r="Q563" s="474"/>
      <c r="R563" s="474"/>
      <c r="S563" s="474"/>
      <c r="T563" s="474"/>
      <c r="U563" s="474"/>
      <c r="V563" s="474"/>
      <c r="W563" s="474"/>
      <c r="X563" s="474"/>
      <c r="Y563" s="474"/>
      <c r="Z563" s="474"/>
    </row>
    <row r="564" ht="12.0" customHeight="1">
      <c r="A564" s="480"/>
      <c r="B564" s="485"/>
      <c r="C564" s="525"/>
      <c r="D564" s="525"/>
      <c r="E564" s="526"/>
      <c r="F564" s="526"/>
      <c r="G564" s="474"/>
      <c r="H564" s="474"/>
      <c r="I564" s="474"/>
      <c r="J564" s="474"/>
      <c r="K564" s="474"/>
      <c r="L564" s="474"/>
      <c r="M564" s="474"/>
      <c r="N564" s="474"/>
      <c r="O564" s="474"/>
      <c r="P564" s="474"/>
      <c r="Q564" s="474"/>
      <c r="R564" s="474"/>
      <c r="S564" s="474"/>
      <c r="T564" s="474"/>
      <c r="U564" s="474"/>
      <c r="V564" s="474"/>
      <c r="W564" s="474"/>
      <c r="X564" s="474"/>
      <c r="Y564" s="474"/>
      <c r="Z564" s="474"/>
    </row>
    <row r="565" ht="12.0" customHeight="1">
      <c r="A565" s="480"/>
      <c r="B565" s="485"/>
      <c r="C565" s="525"/>
      <c r="D565" s="525"/>
      <c r="E565" s="526"/>
      <c r="F565" s="526"/>
      <c r="G565" s="474"/>
      <c r="H565" s="474"/>
      <c r="I565" s="474"/>
      <c r="J565" s="474"/>
      <c r="K565" s="474"/>
      <c r="L565" s="474"/>
      <c r="M565" s="474"/>
      <c r="N565" s="474"/>
      <c r="O565" s="474"/>
      <c r="P565" s="474"/>
      <c r="Q565" s="474"/>
      <c r="R565" s="474"/>
      <c r="S565" s="474"/>
      <c r="T565" s="474"/>
      <c r="U565" s="474"/>
      <c r="V565" s="474"/>
      <c r="W565" s="474"/>
      <c r="X565" s="474"/>
      <c r="Y565" s="474"/>
      <c r="Z565" s="474"/>
    </row>
    <row r="566" ht="12.0" customHeight="1">
      <c r="A566" s="480"/>
      <c r="B566" s="485"/>
      <c r="C566" s="525"/>
      <c r="D566" s="525"/>
      <c r="E566" s="526"/>
      <c r="F566" s="526"/>
      <c r="G566" s="474"/>
      <c r="H566" s="474"/>
      <c r="I566" s="474"/>
      <c r="J566" s="474"/>
      <c r="K566" s="474"/>
      <c r="L566" s="474"/>
      <c r="M566" s="474"/>
      <c r="N566" s="474"/>
      <c r="O566" s="474"/>
      <c r="P566" s="474"/>
      <c r="Q566" s="474"/>
      <c r="R566" s="474"/>
      <c r="S566" s="474"/>
      <c r="T566" s="474"/>
      <c r="U566" s="474"/>
      <c r="V566" s="474"/>
      <c r="W566" s="474"/>
      <c r="X566" s="474"/>
      <c r="Y566" s="474"/>
      <c r="Z566" s="474"/>
    </row>
    <row r="567" ht="12.0" customHeight="1">
      <c r="A567" s="480"/>
      <c r="B567" s="485"/>
      <c r="C567" s="525"/>
      <c r="D567" s="525"/>
      <c r="E567" s="526"/>
      <c r="F567" s="526"/>
      <c r="G567" s="474"/>
      <c r="H567" s="474"/>
      <c r="I567" s="474"/>
      <c r="J567" s="474"/>
      <c r="K567" s="474"/>
      <c r="L567" s="474"/>
      <c r="M567" s="474"/>
      <c r="N567" s="474"/>
      <c r="O567" s="474"/>
      <c r="P567" s="474"/>
      <c r="Q567" s="474"/>
      <c r="R567" s="474"/>
      <c r="S567" s="474"/>
      <c r="T567" s="474"/>
      <c r="U567" s="474"/>
      <c r="V567" s="474"/>
      <c r="W567" s="474"/>
      <c r="X567" s="474"/>
      <c r="Y567" s="474"/>
      <c r="Z567" s="474"/>
    </row>
    <row r="568" ht="12.0" customHeight="1">
      <c r="A568" s="480"/>
      <c r="B568" s="485"/>
      <c r="C568" s="525"/>
      <c r="D568" s="525"/>
      <c r="E568" s="526"/>
      <c r="F568" s="526"/>
      <c r="G568" s="474"/>
      <c r="H568" s="474"/>
      <c r="I568" s="474"/>
      <c r="J568" s="474"/>
      <c r="K568" s="474"/>
      <c r="L568" s="474"/>
      <c r="M568" s="474"/>
      <c r="N568" s="474"/>
      <c r="O568" s="474"/>
      <c r="P568" s="474"/>
      <c r="Q568" s="474"/>
      <c r="R568" s="474"/>
      <c r="S568" s="474"/>
      <c r="T568" s="474"/>
      <c r="U568" s="474"/>
      <c r="V568" s="474"/>
      <c r="W568" s="474"/>
      <c r="X568" s="474"/>
      <c r="Y568" s="474"/>
      <c r="Z568" s="474"/>
    </row>
    <row r="569" ht="12.0" customHeight="1">
      <c r="A569" s="480"/>
      <c r="B569" s="485"/>
      <c r="C569" s="525"/>
      <c r="D569" s="525"/>
      <c r="E569" s="526"/>
      <c r="F569" s="526"/>
      <c r="G569" s="474"/>
      <c r="H569" s="474"/>
      <c r="I569" s="474"/>
      <c r="J569" s="474"/>
      <c r="K569" s="474"/>
      <c r="L569" s="474"/>
      <c r="M569" s="474"/>
      <c r="N569" s="474"/>
      <c r="O569" s="474"/>
      <c r="P569" s="474"/>
      <c r="Q569" s="474"/>
      <c r="R569" s="474"/>
      <c r="S569" s="474"/>
      <c r="T569" s="474"/>
      <c r="U569" s="474"/>
      <c r="V569" s="474"/>
      <c r="W569" s="474"/>
      <c r="X569" s="474"/>
      <c r="Y569" s="474"/>
      <c r="Z569" s="474"/>
    </row>
    <row r="570" ht="12.0" customHeight="1">
      <c r="A570" s="480"/>
      <c r="B570" s="485"/>
      <c r="C570" s="525"/>
      <c r="D570" s="525"/>
      <c r="E570" s="526"/>
      <c r="F570" s="526"/>
      <c r="G570" s="474"/>
      <c r="H570" s="474"/>
      <c r="I570" s="474"/>
      <c r="J570" s="474"/>
      <c r="K570" s="474"/>
      <c r="L570" s="474"/>
      <c r="M570" s="474"/>
      <c r="N570" s="474"/>
      <c r="O570" s="474"/>
      <c r="P570" s="474"/>
      <c r="Q570" s="474"/>
      <c r="R570" s="474"/>
      <c r="S570" s="474"/>
      <c r="T570" s="474"/>
      <c r="U570" s="474"/>
      <c r="V570" s="474"/>
      <c r="W570" s="474"/>
      <c r="X570" s="474"/>
      <c r="Y570" s="474"/>
      <c r="Z570" s="474"/>
    </row>
    <row r="571" ht="12.0" customHeight="1">
      <c r="A571" s="480"/>
      <c r="B571" s="485"/>
      <c r="C571" s="525"/>
      <c r="D571" s="525"/>
      <c r="E571" s="526"/>
      <c r="F571" s="526"/>
      <c r="G571" s="474"/>
      <c r="H571" s="474"/>
      <c r="I571" s="474"/>
      <c r="J571" s="474"/>
      <c r="K571" s="474"/>
      <c r="L571" s="474"/>
      <c r="M571" s="474"/>
      <c r="N571" s="474"/>
      <c r="O571" s="474"/>
      <c r="P571" s="474"/>
      <c r="Q571" s="474"/>
      <c r="R571" s="474"/>
      <c r="S571" s="474"/>
      <c r="T571" s="474"/>
      <c r="U571" s="474"/>
      <c r="V571" s="474"/>
      <c r="W571" s="474"/>
      <c r="X571" s="474"/>
      <c r="Y571" s="474"/>
      <c r="Z571" s="474"/>
    </row>
    <row r="572" ht="12.0" customHeight="1">
      <c r="A572" s="480"/>
      <c r="B572" s="485"/>
      <c r="C572" s="525"/>
      <c r="D572" s="525"/>
      <c r="E572" s="526"/>
      <c r="F572" s="526"/>
      <c r="G572" s="474"/>
      <c r="H572" s="474"/>
      <c r="I572" s="474"/>
      <c r="J572" s="474"/>
      <c r="K572" s="474"/>
      <c r="L572" s="474"/>
      <c r="M572" s="474"/>
      <c r="N572" s="474"/>
      <c r="O572" s="474"/>
      <c r="P572" s="474"/>
      <c r="Q572" s="474"/>
      <c r="R572" s="474"/>
      <c r="S572" s="474"/>
      <c r="T572" s="474"/>
      <c r="U572" s="474"/>
      <c r="V572" s="474"/>
      <c r="W572" s="474"/>
      <c r="X572" s="474"/>
      <c r="Y572" s="474"/>
      <c r="Z572" s="474"/>
    </row>
    <row r="573" ht="12.0" customHeight="1">
      <c r="A573" s="480"/>
      <c r="B573" s="485"/>
      <c r="C573" s="525"/>
      <c r="D573" s="525"/>
      <c r="E573" s="526"/>
      <c r="F573" s="526"/>
      <c r="G573" s="474"/>
      <c r="H573" s="474"/>
      <c r="I573" s="474"/>
      <c r="J573" s="474"/>
      <c r="K573" s="474"/>
      <c r="L573" s="474"/>
      <c r="M573" s="474"/>
      <c r="N573" s="474"/>
      <c r="O573" s="474"/>
      <c r="P573" s="474"/>
      <c r="Q573" s="474"/>
      <c r="R573" s="474"/>
      <c r="S573" s="474"/>
      <c r="T573" s="474"/>
      <c r="U573" s="474"/>
      <c r="V573" s="474"/>
      <c r="W573" s="474"/>
      <c r="X573" s="474"/>
      <c r="Y573" s="474"/>
      <c r="Z573" s="474"/>
    </row>
    <row r="574" ht="12.0" customHeight="1">
      <c r="A574" s="480"/>
      <c r="B574" s="485"/>
      <c r="C574" s="525"/>
      <c r="D574" s="525"/>
      <c r="E574" s="526"/>
      <c r="F574" s="526"/>
      <c r="G574" s="474"/>
      <c r="H574" s="474"/>
      <c r="I574" s="474"/>
      <c r="J574" s="474"/>
      <c r="K574" s="474"/>
      <c r="L574" s="474"/>
      <c r="M574" s="474"/>
      <c r="N574" s="474"/>
      <c r="O574" s="474"/>
      <c r="P574" s="474"/>
      <c r="Q574" s="474"/>
      <c r="R574" s="474"/>
      <c r="S574" s="474"/>
      <c r="T574" s="474"/>
      <c r="U574" s="474"/>
      <c r="V574" s="474"/>
      <c r="W574" s="474"/>
      <c r="X574" s="474"/>
      <c r="Y574" s="474"/>
      <c r="Z574" s="474"/>
    </row>
    <row r="575" ht="12.0" customHeight="1">
      <c r="A575" s="480"/>
      <c r="B575" s="485"/>
      <c r="C575" s="525"/>
      <c r="D575" s="525"/>
      <c r="E575" s="526"/>
      <c r="F575" s="526"/>
      <c r="G575" s="474"/>
      <c r="H575" s="474"/>
      <c r="I575" s="474"/>
      <c r="J575" s="474"/>
      <c r="K575" s="474"/>
      <c r="L575" s="474"/>
      <c r="M575" s="474"/>
      <c r="N575" s="474"/>
      <c r="O575" s="474"/>
      <c r="P575" s="474"/>
      <c r="Q575" s="474"/>
      <c r="R575" s="474"/>
      <c r="S575" s="474"/>
      <c r="T575" s="474"/>
      <c r="U575" s="474"/>
      <c r="V575" s="474"/>
      <c r="W575" s="474"/>
      <c r="X575" s="474"/>
      <c r="Y575" s="474"/>
      <c r="Z575" s="474"/>
    </row>
    <row r="576" ht="12.0" customHeight="1">
      <c r="A576" s="480"/>
      <c r="B576" s="485"/>
      <c r="C576" s="525"/>
      <c r="D576" s="525"/>
      <c r="E576" s="526"/>
      <c r="F576" s="526"/>
      <c r="G576" s="474"/>
      <c r="H576" s="474"/>
      <c r="I576" s="474"/>
      <c r="J576" s="474"/>
      <c r="K576" s="474"/>
      <c r="L576" s="474"/>
      <c r="M576" s="474"/>
      <c r="N576" s="474"/>
      <c r="O576" s="474"/>
      <c r="P576" s="474"/>
      <c r="Q576" s="474"/>
      <c r="R576" s="474"/>
      <c r="S576" s="474"/>
      <c r="T576" s="474"/>
      <c r="U576" s="474"/>
      <c r="V576" s="474"/>
      <c r="W576" s="474"/>
      <c r="X576" s="474"/>
      <c r="Y576" s="474"/>
      <c r="Z576" s="474"/>
    </row>
    <row r="577" ht="12.0" customHeight="1">
      <c r="A577" s="480"/>
      <c r="B577" s="485"/>
      <c r="C577" s="525"/>
      <c r="D577" s="525"/>
      <c r="E577" s="526"/>
      <c r="F577" s="526"/>
      <c r="G577" s="474"/>
      <c r="H577" s="474"/>
      <c r="I577" s="474"/>
      <c r="J577" s="474"/>
      <c r="K577" s="474"/>
      <c r="L577" s="474"/>
      <c r="M577" s="474"/>
      <c r="N577" s="474"/>
      <c r="O577" s="474"/>
      <c r="P577" s="474"/>
      <c r="Q577" s="474"/>
      <c r="R577" s="474"/>
      <c r="S577" s="474"/>
      <c r="T577" s="474"/>
      <c r="U577" s="474"/>
      <c r="V577" s="474"/>
      <c r="W577" s="474"/>
      <c r="X577" s="474"/>
      <c r="Y577" s="474"/>
      <c r="Z577" s="474"/>
    </row>
    <row r="578" ht="12.0" customHeight="1">
      <c r="A578" s="480"/>
      <c r="B578" s="485"/>
      <c r="C578" s="525"/>
      <c r="D578" s="525"/>
      <c r="E578" s="526"/>
      <c r="F578" s="526"/>
      <c r="G578" s="474"/>
      <c r="H578" s="474"/>
      <c r="I578" s="474"/>
      <c r="J578" s="474"/>
      <c r="K578" s="474"/>
      <c r="L578" s="474"/>
      <c r="M578" s="474"/>
      <c r="N578" s="474"/>
      <c r="O578" s="474"/>
      <c r="P578" s="474"/>
      <c r="Q578" s="474"/>
      <c r="R578" s="474"/>
      <c r="S578" s="474"/>
      <c r="T578" s="474"/>
      <c r="U578" s="474"/>
      <c r="V578" s="474"/>
      <c r="W578" s="474"/>
      <c r="X578" s="474"/>
      <c r="Y578" s="474"/>
      <c r="Z578" s="474"/>
    </row>
    <row r="579" ht="12.0" customHeight="1">
      <c r="A579" s="480"/>
      <c r="B579" s="485"/>
      <c r="C579" s="525"/>
      <c r="D579" s="525"/>
      <c r="E579" s="526"/>
      <c r="F579" s="526"/>
      <c r="G579" s="474"/>
      <c r="H579" s="474"/>
      <c r="I579" s="474"/>
      <c r="J579" s="474"/>
      <c r="K579" s="474"/>
      <c r="L579" s="474"/>
      <c r="M579" s="474"/>
      <c r="N579" s="474"/>
      <c r="O579" s="474"/>
      <c r="P579" s="474"/>
      <c r="Q579" s="474"/>
      <c r="R579" s="474"/>
      <c r="S579" s="474"/>
      <c r="T579" s="474"/>
      <c r="U579" s="474"/>
      <c r="V579" s="474"/>
      <c r="W579" s="474"/>
      <c r="X579" s="474"/>
      <c r="Y579" s="474"/>
      <c r="Z579" s="474"/>
    </row>
    <row r="580" ht="12.0" customHeight="1">
      <c r="A580" s="480"/>
      <c r="B580" s="485"/>
      <c r="C580" s="525"/>
      <c r="D580" s="525"/>
      <c r="E580" s="526"/>
      <c r="F580" s="526"/>
      <c r="G580" s="474"/>
      <c r="H580" s="474"/>
      <c r="I580" s="474"/>
      <c r="J580" s="474"/>
      <c r="K580" s="474"/>
      <c r="L580" s="474"/>
      <c r="M580" s="474"/>
      <c r="N580" s="474"/>
      <c r="O580" s="474"/>
      <c r="P580" s="474"/>
      <c r="Q580" s="474"/>
      <c r="R580" s="474"/>
      <c r="S580" s="474"/>
      <c r="T580" s="474"/>
      <c r="U580" s="474"/>
      <c r="V580" s="474"/>
      <c r="W580" s="474"/>
      <c r="X580" s="474"/>
      <c r="Y580" s="474"/>
      <c r="Z580" s="474"/>
    </row>
    <row r="581" ht="12.0" customHeight="1">
      <c r="A581" s="480"/>
      <c r="B581" s="485"/>
      <c r="C581" s="525"/>
      <c r="D581" s="525"/>
      <c r="E581" s="526"/>
      <c r="F581" s="526"/>
      <c r="G581" s="474"/>
      <c r="H581" s="474"/>
      <c r="I581" s="474"/>
      <c r="J581" s="474"/>
      <c r="K581" s="474"/>
      <c r="L581" s="474"/>
      <c r="M581" s="474"/>
      <c r="N581" s="474"/>
      <c r="O581" s="474"/>
      <c r="P581" s="474"/>
      <c r="Q581" s="474"/>
      <c r="R581" s="474"/>
      <c r="S581" s="474"/>
      <c r="T581" s="474"/>
      <c r="U581" s="474"/>
      <c r="V581" s="474"/>
      <c r="W581" s="474"/>
      <c r="X581" s="474"/>
      <c r="Y581" s="474"/>
      <c r="Z581" s="474"/>
    </row>
    <row r="582" ht="12.0" customHeight="1">
      <c r="A582" s="480"/>
      <c r="B582" s="485"/>
      <c r="C582" s="525"/>
      <c r="D582" s="525"/>
      <c r="E582" s="526"/>
      <c r="F582" s="526"/>
      <c r="G582" s="474"/>
      <c r="H582" s="474"/>
      <c r="I582" s="474"/>
      <c r="J582" s="474"/>
      <c r="K582" s="474"/>
      <c r="L582" s="474"/>
      <c r="M582" s="474"/>
      <c r="N582" s="474"/>
      <c r="O582" s="474"/>
      <c r="P582" s="474"/>
      <c r="Q582" s="474"/>
      <c r="R582" s="474"/>
      <c r="S582" s="474"/>
      <c r="T582" s="474"/>
      <c r="U582" s="474"/>
      <c r="V582" s="474"/>
      <c r="W582" s="474"/>
      <c r="X582" s="474"/>
      <c r="Y582" s="474"/>
      <c r="Z582" s="474"/>
    </row>
    <row r="583" ht="12.0" customHeight="1">
      <c r="A583" s="480"/>
      <c r="B583" s="485"/>
      <c r="C583" s="525"/>
      <c r="D583" s="525"/>
      <c r="E583" s="526"/>
      <c r="F583" s="526"/>
      <c r="G583" s="474"/>
      <c r="H583" s="474"/>
      <c r="I583" s="474"/>
      <c r="J583" s="474"/>
      <c r="K583" s="474"/>
      <c r="L583" s="474"/>
      <c r="M583" s="474"/>
      <c r="N583" s="474"/>
      <c r="O583" s="474"/>
      <c r="P583" s="474"/>
      <c r="Q583" s="474"/>
      <c r="R583" s="474"/>
      <c r="S583" s="474"/>
      <c r="T583" s="474"/>
      <c r="U583" s="474"/>
      <c r="V583" s="474"/>
      <c r="W583" s="474"/>
      <c r="X583" s="474"/>
      <c r="Y583" s="474"/>
      <c r="Z583" s="474"/>
    </row>
    <row r="584" ht="12.0" customHeight="1">
      <c r="A584" s="480"/>
      <c r="B584" s="485"/>
      <c r="C584" s="525"/>
      <c r="D584" s="525"/>
      <c r="E584" s="526"/>
      <c r="F584" s="526"/>
      <c r="G584" s="474"/>
      <c r="H584" s="474"/>
      <c r="I584" s="474"/>
      <c r="J584" s="474"/>
      <c r="K584" s="474"/>
      <c r="L584" s="474"/>
      <c r="M584" s="474"/>
      <c r="N584" s="474"/>
      <c r="O584" s="474"/>
      <c r="P584" s="474"/>
      <c r="Q584" s="474"/>
      <c r="R584" s="474"/>
      <c r="S584" s="474"/>
      <c r="T584" s="474"/>
      <c r="U584" s="474"/>
      <c r="V584" s="474"/>
      <c r="W584" s="474"/>
      <c r="X584" s="474"/>
      <c r="Y584" s="474"/>
      <c r="Z584" s="474"/>
    </row>
    <row r="585" ht="12.0" customHeight="1">
      <c r="A585" s="480"/>
      <c r="B585" s="485"/>
      <c r="C585" s="525"/>
      <c r="D585" s="525"/>
      <c r="E585" s="526"/>
      <c r="F585" s="526"/>
      <c r="G585" s="474"/>
      <c r="H585" s="474"/>
      <c r="I585" s="474"/>
      <c r="J585" s="474"/>
      <c r="K585" s="474"/>
      <c r="L585" s="474"/>
      <c r="M585" s="474"/>
      <c r="N585" s="474"/>
      <c r="O585" s="474"/>
      <c r="P585" s="474"/>
      <c r="Q585" s="474"/>
      <c r="R585" s="474"/>
      <c r="S585" s="474"/>
      <c r="T585" s="474"/>
      <c r="U585" s="474"/>
      <c r="V585" s="474"/>
      <c r="W585" s="474"/>
      <c r="X585" s="474"/>
      <c r="Y585" s="474"/>
      <c r="Z585" s="474"/>
    </row>
    <row r="586" ht="12.0" customHeight="1">
      <c r="A586" s="480"/>
      <c r="B586" s="485"/>
      <c r="C586" s="525"/>
      <c r="D586" s="525"/>
      <c r="E586" s="526"/>
      <c r="F586" s="526"/>
      <c r="G586" s="474"/>
      <c r="H586" s="474"/>
      <c r="I586" s="474"/>
      <c r="J586" s="474"/>
      <c r="K586" s="474"/>
      <c r="L586" s="474"/>
      <c r="M586" s="474"/>
      <c r="N586" s="474"/>
      <c r="O586" s="474"/>
      <c r="P586" s="474"/>
      <c r="Q586" s="474"/>
      <c r="R586" s="474"/>
      <c r="S586" s="474"/>
      <c r="T586" s="474"/>
      <c r="U586" s="474"/>
      <c r="V586" s="474"/>
      <c r="W586" s="474"/>
      <c r="X586" s="474"/>
      <c r="Y586" s="474"/>
      <c r="Z586" s="474"/>
    </row>
    <row r="587" ht="12.0" customHeight="1">
      <c r="A587" s="480"/>
      <c r="B587" s="485"/>
      <c r="C587" s="525"/>
      <c r="D587" s="525"/>
      <c r="E587" s="526"/>
      <c r="F587" s="526"/>
      <c r="G587" s="474"/>
      <c r="H587" s="474"/>
      <c r="I587" s="474"/>
      <c r="J587" s="474"/>
      <c r="K587" s="474"/>
      <c r="L587" s="474"/>
      <c r="M587" s="474"/>
      <c r="N587" s="474"/>
      <c r="O587" s="474"/>
      <c r="P587" s="474"/>
      <c r="Q587" s="474"/>
      <c r="R587" s="474"/>
      <c r="S587" s="474"/>
      <c r="T587" s="474"/>
      <c r="U587" s="474"/>
      <c r="V587" s="474"/>
      <c r="W587" s="474"/>
      <c r="X587" s="474"/>
      <c r="Y587" s="474"/>
      <c r="Z587" s="474"/>
    </row>
    <row r="588" ht="12.0" customHeight="1">
      <c r="A588" s="480"/>
      <c r="B588" s="485"/>
      <c r="C588" s="525"/>
      <c r="D588" s="525"/>
      <c r="E588" s="526"/>
      <c r="F588" s="526"/>
      <c r="G588" s="474"/>
      <c r="H588" s="474"/>
      <c r="I588" s="474"/>
      <c r="J588" s="474"/>
      <c r="K588" s="474"/>
      <c r="L588" s="474"/>
      <c r="M588" s="474"/>
      <c r="N588" s="474"/>
      <c r="O588" s="474"/>
      <c r="P588" s="474"/>
      <c r="Q588" s="474"/>
      <c r="R588" s="474"/>
      <c r="S588" s="474"/>
      <c r="T588" s="474"/>
      <c r="U588" s="474"/>
      <c r="V588" s="474"/>
      <c r="W588" s="474"/>
      <c r="X588" s="474"/>
      <c r="Y588" s="474"/>
      <c r="Z588" s="474"/>
    </row>
    <row r="589" ht="12.0" customHeight="1">
      <c r="A589" s="480"/>
      <c r="B589" s="485"/>
      <c r="C589" s="525"/>
      <c r="D589" s="525"/>
      <c r="E589" s="526"/>
      <c r="F589" s="526"/>
      <c r="G589" s="474"/>
      <c r="H589" s="474"/>
      <c r="I589" s="474"/>
      <c r="J589" s="474"/>
      <c r="K589" s="474"/>
      <c r="L589" s="474"/>
      <c r="M589" s="474"/>
      <c r="N589" s="474"/>
      <c r="O589" s="474"/>
      <c r="P589" s="474"/>
      <c r="Q589" s="474"/>
      <c r="R589" s="474"/>
      <c r="S589" s="474"/>
      <c r="T589" s="474"/>
      <c r="U589" s="474"/>
      <c r="V589" s="474"/>
      <c r="W589" s="474"/>
      <c r="X589" s="474"/>
      <c r="Y589" s="474"/>
      <c r="Z589" s="474"/>
    </row>
    <row r="590" ht="12.0" customHeight="1">
      <c r="A590" s="480"/>
      <c r="B590" s="485"/>
      <c r="C590" s="525"/>
      <c r="D590" s="525"/>
      <c r="E590" s="526"/>
      <c r="F590" s="526"/>
      <c r="G590" s="474"/>
      <c r="H590" s="474"/>
      <c r="I590" s="474"/>
      <c r="J590" s="474"/>
      <c r="K590" s="474"/>
      <c r="L590" s="474"/>
      <c r="M590" s="474"/>
      <c r="N590" s="474"/>
      <c r="O590" s="474"/>
      <c r="P590" s="474"/>
      <c r="Q590" s="474"/>
      <c r="R590" s="474"/>
      <c r="S590" s="474"/>
      <c r="T590" s="474"/>
      <c r="U590" s="474"/>
      <c r="V590" s="474"/>
      <c r="W590" s="474"/>
      <c r="X590" s="474"/>
      <c r="Y590" s="474"/>
      <c r="Z590" s="474"/>
    </row>
    <row r="591" ht="12.0" customHeight="1">
      <c r="A591" s="480"/>
      <c r="B591" s="485"/>
      <c r="C591" s="525"/>
      <c r="D591" s="525"/>
      <c r="E591" s="526"/>
      <c r="F591" s="526"/>
      <c r="G591" s="474"/>
      <c r="H591" s="474"/>
      <c r="I591" s="474"/>
      <c r="J591" s="474"/>
      <c r="K591" s="474"/>
      <c r="L591" s="474"/>
      <c r="M591" s="474"/>
      <c r="N591" s="474"/>
      <c r="O591" s="474"/>
      <c r="P591" s="474"/>
      <c r="Q591" s="474"/>
      <c r="R591" s="474"/>
      <c r="S591" s="474"/>
      <c r="T591" s="474"/>
      <c r="U591" s="474"/>
      <c r="V591" s="474"/>
      <c r="W591" s="474"/>
      <c r="X591" s="474"/>
      <c r="Y591" s="474"/>
      <c r="Z591" s="474"/>
    </row>
    <row r="592" ht="12.0" customHeight="1">
      <c r="A592" s="480"/>
      <c r="B592" s="485"/>
      <c r="C592" s="525"/>
      <c r="D592" s="525"/>
      <c r="E592" s="526"/>
      <c r="F592" s="526"/>
      <c r="G592" s="474"/>
      <c r="H592" s="474"/>
      <c r="I592" s="474"/>
      <c r="J592" s="474"/>
      <c r="K592" s="474"/>
      <c r="L592" s="474"/>
      <c r="M592" s="474"/>
      <c r="N592" s="474"/>
      <c r="O592" s="474"/>
      <c r="P592" s="474"/>
      <c r="Q592" s="474"/>
      <c r="R592" s="474"/>
      <c r="S592" s="474"/>
      <c r="T592" s="474"/>
      <c r="U592" s="474"/>
      <c r="V592" s="474"/>
      <c r="W592" s="474"/>
      <c r="X592" s="474"/>
      <c r="Y592" s="474"/>
      <c r="Z592" s="474"/>
    </row>
    <row r="593" ht="12.0" customHeight="1">
      <c r="A593" s="480"/>
      <c r="B593" s="485"/>
      <c r="C593" s="525"/>
      <c r="D593" s="525"/>
      <c r="E593" s="526"/>
      <c r="F593" s="526"/>
      <c r="G593" s="474"/>
      <c r="H593" s="474"/>
      <c r="I593" s="474"/>
      <c r="J593" s="474"/>
      <c r="K593" s="474"/>
      <c r="L593" s="474"/>
      <c r="M593" s="474"/>
      <c r="N593" s="474"/>
      <c r="O593" s="474"/>
      <c r="P593" s="474"/>
      <c r="Q593" s="474"/>
      <c r="R593" s="474"/>
      <c r="S593" s="474"/>
      <c r="T593" s="474"/>
      <c r="U593" s="474"/>
      <c r="V593" s="474"/>
      <c r="W593" s="474"/>
      <c r="X593" s="474"/>
      <c r="Y593" s="474"/>
      <c r="Z593" s="474"/>
    </row>
    <row r="594" ht="12.0" customHeight="1">
      <c r="A594" s="480"/>
      <c r="B594" s="485"/>
      <c r="C594" s="525"/>
      <c r="D594" s="525"/>
      <c r="E594" s="526"/>
      <c r="F594" s="526"/>
      <c r="G594" s="474"/>
      <c r="H594" s="474"/>
      <c r="I594" s="474"/>
      <c r="J594" s="474"/>
      <c r="K594" s="474"/>
      <c r="L594" s="474"/>
      <c r="M594" s="474"/>
      <c r="N594" s="474"/>
      <c r="O594" s="474"/>
      <c r="P594" s="474"/>
      <c r="Q594" s="474"/>
      <c r="R594" s="474"/>
      <c r="S594" s="474"/>
      <c r="T594" s="474"/>
      <c r="U594" s="474"/>
      <c r="V594" s="474"/>
      <c r="W594" s="474"/>
      <c r="X594" s="474"/>
      <c r="Y594" s="474"/>
      <c r="Z594" s="474"/>
    </row>
    <row r="595" ht="12.0" customHeight="1">
      <c r="A595" s="480"/>
      <c r="B595" s="485"/>
      <c r="C595" s="525"/>
      <c r="D595" s="525"/>
      <c r="E595" s="526"/>
      <c r="F595" s="526"/>
      <c r="G595" s="474"/>
      <c r="H595" s="474"/>
      <c r="I595" s="474"/>
      <c r="J595" s="474"/>
      <c r="K595" s="474"/>
      <c r="L595" s="474"/>
      <c r="M595" s="474"/>
      <c r="N595" s="474"/>
      <c r="O595" s="474"/>
      <c r="P595" s="474"/>
      <c r="Q595" s="474"/>
      <c r="R595" s="474"/>
      <c r="S595" s="474"/>
      <c r="T595" s="474"/>
      <c r="U595" s="474"/>
      <c r="V595" s="474"/>
      <c r="W595" s="474"/>
      <c r="X595" s="474"/>
      <c r="Y595" s="474"/>
      <c r="Z595" s="474"/>
    </row>
    <row r="596" ht="12.0" customHeight="1">
      <c r="A596" s="480"/>
      <c r="B596" s="485"/>
      <c r="C596" s="525"/>
      <c r="D596" s="525"/>
      <c r="E596" s="526"/>
      <c r="F596" s="526"/>
      <c r="G596" s="474"/>
      <c r="H596" s="474"/>
      <c r="I596" s="474"/>
      <c r="J596" s="474"/>
      <c r="K596" s="474"/>
      <c r="L596" s="474"/>
      <c r="M596" s="474"/>
      <c r="N596" s="474"/>
      <c r="O596" s="474"/>
      <c r="P596" s="474"/>
      <c r="Q596" s="474"/>
      <c r="R596" s="474"/>
      <c r="S596" s="474"/>
      <c r="T596" s="474"/>
      <c r="U596" s="474"/>
      <c r="V596" s="474"/>
      <c r="W596" s="474"/>
      <c r="X596" s="474"/>
      <c r="Y596" s="474"/>
      <c r="Z596" s="474"/>
    </row>
    <row r="597" ht="12.0" customHeight="1">
      <c r="A597" s="480"/>
      <c r="B597" s="485"/>
      <c r="C597" s="525"/>
      <c r="D597" s="525"/>
      <c r="E597" s="526"/>
      <c r="F597" s="526"/>
      <c r="G597" s="474"/>
      <c r="H597" s="474"/>
      <c r="I597" s="474"/>
      <c r="J597" s="474"/>
      <c r="K597" s="474"/>
      <c r="L597" s="474"/>
      <c r="M597" s="474"/>
      <c r="N597" s="474"/>
      <c r="O597" s="474"/>
      <c r="P597" s="474"/>
      <c r="Q597" s="474"/>
      <c r="R597" s="474"/>
      <c r="S597" s="474"/>
      <c r="T597" s="474"/>
      <c r="U597" s="474"/>
      <c r="V597" s="474"/>
      <c r="W597" s="474"/>
      <c r="X597" s="474"/>
      <c r="Y597" s="474"/>
      <c r="Z597" s="474"/>
    </row>
    <row r="598" ht="12.0" customHeight="1">
      <c r="A598" s="480"/>
      <c r="B598" s="485"/>
      <c r="C598" s="525"/>
      <c r="D598" s="525"/>
      <c r="E598" s="526"/>
      <c r="F598" s="526"/>
      <c r="G598" s="474"/>
      <c r="H598" s="474"/>
      <c r="I598" s="474"/>
      <c r="J598" s="474"/>
      <c r="K598" s="474"/>
      <c r="L598" s="474"/>
      <c r="M598" s="474"/>
      <c r="N598" s="474"/>
      <c r="O598" s="474"/>
      <c r="P598" s="474"/>
      <c r="Q598" s="474"/>
      <c r="R598" s="474"/>
      <c r="S598" s="474"/>
      <c r="T598" s="474"/>
      <c r="U598" s="474"/>
      <c r="V598" s="474"/>
      <c r="W598" s="474"/>
      <c r="X598" s="474"/>
      <c r="Y598" s="474"/>
      <c r="Z598" s="474"/>
    </row>
    <row r="599" ht="12.0" customHeight="1">
      <c r="A599" s="480"/>
      <c r="B599" s="485"/>
      <c r="C599" s="525"/>
      <c r="D599" s="525"/>
      <c r="E599" s="526"/>
      <c r="F599" s="526"/>
      <c r="G599" s="474"/>
      <c r="H599" s="474"/>
      <c r="I599" s="474"/>
      <c r="J599" s="474"/>
      <c r="K599" s="474"/>
      <c r="L599" s="474"/>
      <c r="M599" s="474"/>
      <c r="N599" s="474"/>
      <c r="O599" s="474"/>
      <c r="P599" s="474"/>
      <c r="Q599" s="474"/>
      <c r="R599" s="474"/>
      <c r="S599" s="474"/>
      <c r="T599" s="474"/>
      <c r="U599" s="474"/>
      <c r="V599" s="474"/>
      <c r="W599" s="474"/>
      <c r="X599" s="474"/>
      <c r="Y599" s="474"/>
      <c r="Z599" s="474"/>
    </row>
    <row r="600" ht="12.0" customHeight="1">
      <c r="A600" s="480"/>
      <c r="B600" s="485"/>
      <c r="C600" s="525"/>
      <c r="D600" s="525"/>
      <c r="E600" s="526"/>
      <c r="F600" s="526"/>
      <c r="G600" s="474"/>
      <c r="H600" s="474"/>
      <c r="I600" s="474"/>
      <c r="J600" s="474"/>
      <c r="K600" s="474"/>
      <c r="L600" s="474"/>
      <c r="M600" s="474"/>
      <c r="N600" s="474"/>
      <c r="O600" s="474"/>
      <c r="P600" s="474"/>
      <c r="Q600" s="474"/>
      <c r="R600" s="474"/>
      <c r="S600" s="474"/>
      <c r="T600" s="474"/>
      <c r="U600" s="474"/>
      <c r="V600" s="474"/>
      <c r="W600" s="474"/>
      <c r="X600" s="474"/>
      <c r="Y600" s="474"/>
      <c r="Z600" s="474"/>
    </row>
    <row r="601" ht="12.0" customHeight="1">
      <c r="A601" s="480"/>
      <c r="B601" s="485"/>
      <c r="C601" s="525"/>
      <c r="D601" s="525"/>
      <c r="E601" s="526"/>
      <c r="F601" s="526"/>
      <c r="G601" s="474"/>
      <c r="H601" s="474"/>
      <c r="I601" s="474"/>
      <c r="J601" s="474"/>
      <c r="K601" s="474"/>
      <c r="L601" s="474"/>
      <c r="M601" s="474"/>
      <c r="N601" s="474"/>
      <c r="O601" s="474"/>
      <c r="P601" s="474"/>
      <c r="Q601" s="474"/>
      <c r="R601" s="474"/>
      <c r="S601" s="474"/>
      <c r="T601" s="474"/>
      <c r="U601" s="474"/>
      <c r="V601" s="474"/>
      <c r="W601" s="474"/>
      <c r="X601" s="474"/>
      <c r="Y601" s="474"/>
      <c r="Z601" s="474"/>
    </row>
    <row r="602" ht="12.0" customHeight="1">
      <c r="A602" s="480"/>
      <c r="B602" s="485"/>
      <c r="C602" s="525"/>
      <c r="D602" s="525"/>
      <c r="E602" s="526"/>
      <c r="F602" s="526"/>
      <c r="G602" s="474"/>
      <c r="H602" s="474"/>
      <c r="I602" s="474"/>
      <c r="J602" s="474"/>
      <c r="K602" s="474"/>
      <c r="L602" s="474"/>
      <c r="M602" s="474"/>
      <c r="N602" s="474"/>
      <c r="O602" s="474"/>
      <c r="P602" s="474"/>
      <c r="Q602" s="474"/>
      <c r="R602" s="474"/>
      <c r="S602" s="474"/>
      <c r="T602" s="474"/>
      <c r="U602" s="474"/>
      <c r="V602" s="474"/>
      <c r="W602" s="474"/>
      <c r="X602" s="474"/>
      <c r="Y602" s="474"/>
      <c r="Z602" s="474"/>
    </row>
    <row r="603" ht="12.0" customHeight="1">
      <c r="A603" s="480"/>
      <c r="B603" s="485"/>
      <c r="C603" s="525"/>
      <c r="D603" s="525"/>
      <c r="E603" s="526"/>
      <c r="F603" s="526"/>
      <c r="G603" s="474"/>
      <c r="H603" s="474"/>
      <c r="I603" s="474"/>
      <c r="J603" s="474"/>
      <c r="K603" s="474"/>
      <c r="L603" s="474"/>
      <c r="M603" s="474"/>
      <c r="N603" s="474"/>
      <c r="O603" s="474"/>
      <c r="P603" s="474"/>
      <c r="Q603" s="474"/>
      <c r="R603" s="474"/>
      <c r="S603" s="474"/>
      <c r="T603" s="474"/>
      <c r="U603" s="474"/>
      <c r="V603" s="474"/>
      <c r="W603" s="474"/>
      <c r="X603" s="474"/>
      <c r="Y603" s="474"/>
      <c r="Z603" s="474"/>
    </row>
    <row r="604" ht="12.0" customHeight="1">
      <c r="A604" s="480"/>
      <c r="B604" s="485"/>
      <c r="C604" s="525"/>
      <c r="D604" s="525"/>
      <c r="E604" s="526"/>
      <c r="F604" s="526"/>
      <c r="G604" s="474"/>
      <c r="H604" s="474"/>
      <c r="I604" s="474"/>
      <c r="J604" s="474"/>
      <c r="K604" s="474"/>
      <c r="L604" s="474"/>
      <c r="M604" s="474"/>
      <c r="N604" s="474"/>
      <c r="O604" s="474"/>
      <c r="P604" s="474"/>
      <c r="Q604" s="474"/>
      <c r="R604" s="474"/>
      <c r="S604" s="474"/>
      <c r="T604" s="474"/>
      <c r="U604" s="474"/>
      <c r="V604" s="474"/>
      <c r="W604" s="474"/>
      <c r="X604" s="474"/>
      <c r="Y604" s="474"/>
      <c r="Z604" s="474"/>
    </row>
    <row r="605" ht="12.0" customHeight="1">
      <c r="A605" s="480"/>
      <c r="B605" s="485"/>
      <c r="C605" s="525"/>
      <c r="D605" s="525"/>
      <c r="E605" s="526"/>
      <c r="F605" s="526"/>
      <c r="G605" s="474"/>
      <c r="H605" s="474"/>
      <c r="I605" s="474"/>
      <c r="J605" s="474"/>
      <c r="K605" s="474"/>
      <c r="L605" s="474"/>
      <c r="M605" s="474"/>
      <c r="N605" s="474"/>
      <c r="O605" s="474"/>
      <c r="P605" s="474"/>
      <c r="Q605" s="474"/>
      <c r="R605" s="474"/>
      <c r="S605" s="474"/>
      <c r="T605" s="474"/>
      <c r="U605" s="474"/>
      <c r="V605" s="474"/>
      <c r="W605" s="474"/>
      <c r="X605" s="474"/>
      <c r="Y605" s="474"/>
      <c r="Z605" s="474"/>
    </row>
    <row r="606" ht="12.0" customHeight="1">
      <c r="A606" s="480"/>
      <c r="B606" s="485"/>
      <c r="C606" s="525"/>
      <c r="D606" s="525"/>
      <c r="E606" s="526"/>
      <c r="F606" s="526"/>
      <c r="G606" s="474"/>
      <c r="H606" s="474"/>
      <c r="I606" s="474"/>
      <c r="J606" s="474"/>
      <c r="K606" s="474"/>
      <c r="L606" s="474"/>
      <c r="M606" s="474"/>
      <c r="N606" s="474"/>
      <c r="O606" s="474"/>
      <c r="P606" s="474"/>
      <c r="Q606" s="474"/>
      <c r="R606" s="474"/>
      <c r="S606" s="474"/>
      <c r="T606" s="474"/>
      <c r="U606" s="474"/>
      <c r="V606" s="474"/>
      <c r="W606" s="474"/>
      <c r="X606" s="474"/>
      <c r="Y606" s="474"/>
      <c r="Z606" s="474"/>
    </row>
    <row r="607" ht="12.0" customHeight="1">
      <c r="A607" s="480"/>
      <c r="B607" s="485"/>
      <c r="C607" s="525"/>
      <c r="D607" s="525"/>
      <c r="E607" s="526"/>
      <c r="F607" s="526"/>
      <c r="G607" s="474"/>
      <c r="H607" s="474"/>
      <c r="I607" s="474"/>
      <c r="J607" s="474"/>
      <c r="K607" s="474"/>
      <c r="L607" s="474"/>
      <c r="M607" s="474"/>
      <c r="N607" s="474"/>
      <c r="O607" s="474"/>
      <c r="P607" s="474"/>
      <c r="Q607" s="474"/>
      <c r="R607" s="474"/>
      <c r="S607" s="474"/>
      <c r="T607" s="474"/>
      <c r="U607" s="474"/>
      <c r="V607" s="474"/>
      <c r="W607" s="474"/>
      <c r="X607" s="474"/>
      <c r="Y607" s="474"/>
      <c r="Z607" s="474"/>
    </row>
    <row r="608" ht="12.0" customHeight="1">
      <c r="A608" s="480"/>
      <c r="B608" s="485"/>
      <c r="C608" s="525"/>
      <c r="D608" s="525"/>
      <c r="E608" s="526"/>
      <c r="F608" s="526"/>
      <c r="G608" s="474"/>
      <c r="H608" s="474"/>
      <c r="I608" s="474"/>
      <c r="J608" s="474"/>
      <c r="K608" s="474"/>
      <c r="L608" s="474"/>
      <c r="M608" s="474"/>
      <c r="N608" s="474"/>
      <c r="O608" s="474"/>
      <c r="P608" s="474"/>
      <c r="Q608" s="474"/>
      <c r="R608" s="474"/>
      <c r="S608" s="474"/>
      <c r="T608" s="474"/>
      <c r="U608" s="474"/>
      <c r="V608" s="474"/>
      <c r="W608" s="474"/>
      <c r="X608" s="474"/>
      <c r="Y608" s="474"/>
      <c r="Z608" s="474"/>
    </row>
    <row r="609" ht="12.0" customHeight="1">
      <c r="A609" s="480"/>
      <c r="B609" s="485"/>
      <c r="C609" s="525"/>
      <c r="D609" s="525"/>
      <c r="E609" s="526"/>
      <c r="F609" s="526"/>
      <c r="G609" s="474"/>
      <c r="H609" s="474"/>
      <c r="I609" s="474"/>
      <c r="J609" s="474"/>
      <c r="K609" s="474"/>
      <c r="L609" s="474"/>
      <c r="M609" s="474"/>
      <c r="N609" s="474"/>
      <c r="O609" s="474"/>
      <c r="P609" s="474"/>
      <c r="Q609" s="474"/>
      <c r="R609" s="474"/>
      <c r="S609" s="474"/>
      <c r="T609" s="474"/>
      <c r="U609" s="474"/>
      <c r="V609" s="474"/>
      <c r="W609" s="474"/>
      <c r="X609" s="474"/>
      <c r="Y609" s="474"/>
      <c r="Z609" s="474"/>
    </row>
    <row r="610" ht="12.0" customHeight="1">
      <c r="A610" s="480"/>
      <c r="B610" s="485"/>
      <c r="C610" s="525"/>
      <c r="D610" s="525"/>
      <c r="E610" s="526"/>
      <c r="F610" s="526"/>
      <c r="G610" s="474"/>
      <c r="H610" s="474"/>
      <c r="I610" s="474"/>
      <c r="J610" s="474"/>
      <c r="K610" s="474"/>
      <c r="L610" s="474"/>
      <c r="M610" s="474"/>
      <c r="N610" s="474"/>
      <c r="O610" s="474"/>
      <c r="P610" s="474"/>
      <c r="Q610" s="474"/>
      <c r="R610" s="474"/>
      <c r="S610" s="474"/>
      <c r="T610" s="474"/>
      <c r="U610" s="474"/>
      <c r="V610" s="474"/>
      <c r="W610" s="474"/>
      <c r="X610" s="474"/>
      <c r="Y610" s="474"/>
      <c r="Z610" s="474"/>
    </row>
    <row r="611" ht="12.0" customHeight="1">
      <c r="A611" s="480"/>
      <c r="B611" s="485"/>
      <c r="C611" s="525"/>
      <c r="D611" s="525"/>
      <c r="E611" s="526"/>
      <c r="F611" s="526"/>
      <c r="G611" s="474"/>
      <c r="H611" s="474"/>
      <c r="I611" s="474"/>
      <c r="J611" s="474"/>
      <c r="K611" s="474"/>
      <c r="L611" s="474"/>
      <c r="M611" s="474"/>
      <c r="N611" s="474"/>
      <c r="O611" s="474"/>
      <c r="P611" s="474"/>
      <c r="Q611" s="474"/>
      <c r="R611" s="474"/>
      <c r="S611" s="474"/>
      <c r="T611" s="474"/>
      <c r="U611" s="474"/>
      <c r="V611" s="474"/>
      <c r="W611" s="474"/>
      <c r="X611" s="474"/>
      <c r="Y611" s="474"/>
      <c r="Z611" s="474"/>
    </row>
    <row r="612" ht="12.0" customHeight="1">
      <c r="A612" s="480"/>
      <c r="B612" s="485"/>
      <c r="C612" s="525"/>
      <c r="D612" s="525"/>
      <c r="E612" s="526"/>
      <c r="F612" s="526"/>
      <c r="G612" s="474"/>
      <c r="H612" s="474"/>
      <c r="I612" s="474"/>
      <c r="J612" s="474"/>
      <c r="K612" s="474"/>
      <c r="L612" s="474"/>
      <c r="M612" s="474"/>
      <c r="N612" s="474"/>
      <c r="O612" s="474"/>
      <c r="P612" s="474"/>
      <c r="Q612" s="474"/>
      <c r="R612" s="474"/>
      <c r="S612" s="474"/>
      <c r="T612" s="474"/>
      <c r="U612" s="474"/>
      <c r="V612" s="474"/>
      <c r="W612" s="474"/>
      <c r="X612" s="474"/>
      <c r="Y612" s="474"/>
      <c r="Z612" s="474"/>
    </row>
    <row r="613" ht="12.0" customHeight="1">
      <c r="A613" s="480"/>
      <c r="B613" s="485"/>
      <c r="C613" s="525"/>
      <c r="D613" s="525"/>
      <c r="E613" s="526"/>
      <c r="F613" s="526"/>
      <c r="G613" s="474"/>
      <c r="H613" s="474"/>
      <c r="I613" s="474"/>
      <c r="J613" s="474"/>
      <c r="K613" s="474"/>
      <c r="L613" s="474"/>
      <c r="M613" s="474"/>
      <c r="N613" s="474"/>
      <c r="O613" s="474"/>
      <c r="P613" s="474"/>
      <c r="Q613" s="474"/>
      <c r="R613" s="474"/>
      <c r="S613" s="474"/>
      <c r="T613" s="474"/>
      <c r="U613" s="474"/>
      <c r="V613" s="474"/>
      <c r="W613" s="474"/>
      <c r="X613" s="474"/>
      <c r="Y613" s="474"/>
      <c r="Z613" s="474"/>
    </row>
    <row r="614" ht="12.0" customHeight="1">
      <c r="A614" s="480"/>
      <c r="B614" s="485"/>
      <c r="C614" s="525"/>
      <c r="D614" s="525"/>
      <c r="E614" s="526"/>
      <c r="F614" s="526"/>
      <c r="G614" s="474"/>
      <c r="H614" s="474"/>
      <c r="I614" s="474"/>
      <c r="J614" s="474"/>
      <c r="K614" s="474"/>
      <c r="L614" s="474"/>
      <c r="M614" s="474"/>
      <c r="N614" s="474"/>
      <c r="O614" s="474"/>
      <c r="P614" s="474"/>
      <c r="Q614" s="474"/>
      <c r="R614" s="474"/>
      <c r="S614" s="474"/>
      <c r="T614" s="474"/>
      <c r="U614" s="474"/>
      <c r="V614" s="474"/>
      <c r="W614" s="474"/>
      <c r="X614" s="474"/>
      <c r="Y614" s="474"/>
      <c r="Z614" s="474"/>
    </row>
    <row r="615" ht="12.0" customHeight="1">
      <c r="A615" s="480"/>
      <c r="B615" s="485"/>
      <c r="C615" s="525"/>
      <c r="D615" s="525"/>
      <c r="E615" s="526"/>
      <c r="F615" s="526"/>
      <c r="G615" s="474"/>
      <c r="H615" s="474"/>
      <c r="I615" s="474"/>
      <c r="J615" s="474"/>
      <c r="K615" s="474"/>
      <c r="L615" s="474"/>
      <c r="M615" s="474"/>
      <c r="N615" s="474"/>
      <c r="O615" s="474"/>
      <c r="P615" s="474"/>
      <c r="Q615" s="474"/>
      <c r="R615" s="474"/>
      <c r="S615" s="474"/>
      <c r="T615" s="474"/>
      <c r="U615" s="474"/>
      <c r="V615" s="474"/>
      <c r="W615" s="474"/>
      <c r="X615" s="474"/>
      <c r="Y615" s="474"/>
      <c r="Z615" s="474"/>
    </row>
    <row r="616" ht="12.0" customHeight="1">
      <c r="A616" s="480"/>
      <c r="B616" s="485"/>
      <c r="C616" s="525"/>
      <c r="D616" s="525"/>
      <c r="E616" s="526"/>
      <c r="F616" s="526"/>
      <c r="G616" s="474"/>
      <c r="H616" s="474"/>
      <c r="I616" s="474"/>
      <c r="J616" s="474"/>
      <c r="K616" s="474"/>
      <c r="L616" s="474"/>
      <c r="M616" s="474"/>
      <c r="N616" s="474"/>
      <c r="O616" s="474"/>
      <c r="P616" s="474"/>
      <c r="Q616" s="474"/>
      <c r="R616" s="474"/>
      <c r="S616" s="474"/>
      <c r="T616" s="474"/>
      <c r="U616" s="474"/>
      <c r="V616" s="474"/>
      <c r="W616" s="474"/>
      <c r="X616" s="474"/>
      <c r="Y616" s="474"/>
      <c r="Z616" s="474"/>
    </row>
    <row r="617" ht="12.0" customHeight="1">
      <c r="A617" s="480"/>
      <c r="B617" s="485"/>
      <c r="C617" s="525"/>
      <c r="D617" s="525"/>
      <c r="E617" s="526"/>
      <c r="F617" s="526"/>
      <c r="G617" s="474"/>
      <c r="H617" s="474"/>
      <c r="I617" s="474"/>
      <c r="J617" s="474"/>
      <c r="K617" s="474"/>
      <c r="L617" s="474"/>
      <c r="M617" s="474"/>
      <c r="N617" s="474"/>
      <c r="O617" s="474"/>
      <c r="P617" s="474"/>
      <c r="Q617" s="474"/>
      <c r="R617" s="474"/>
      <c r="S617" s="474"/>
      <c r="T617" s="474"/>
      <c r="U617" s="474"/>
      <c r="V617" s="474"/>
      <c r="W617" s="474"/>
      <c r="X617" s="474"/>
      <c r="Y617" s="474"/>
      <c r="Z617" s="474"/>
    </row>
    <row r="618" ht="12.0" customHeight="1">
      <c r="A618" s="480"/>
      <c r="B618" s="485"/>
      <c r="C618" s="525"/>
      <c r="D618" s="525"/>
      <c r="E618" s="526"/>
      <c r="F618" s="526"/>
      <c r="G618" s="474"/>
      <c r="H618" s="474"/>
      <c r="I618" s="474"/>
      <c r="J618" s="474"/>
      <c r="K618" s="474"/>
      <c r="L618" s="474"/>
      <c r="M618" s="474"/>
      <c r="N618" s="474"/>
      <c r="O618" s="474"/>
      <c r="P618" s="474"/>
      <c r="Q618" s="474"/>
      <c r="R618" s="474"/>
      <c r="S618" s="474"/>
      <c r="T618" s="474"/>
      <c r="U618" s="474"/>
      <c r="V618" s="474"/>
      <c r="W618" s="474"/>
      <c r="X618" s="474"/>
      <c r="Y618" s="474"/>
      <c r="Z618" s="474"/>
    </row>
    <row r="619" ht="12.0" customHeight="1">
      <c r="A619" s="480"/>
      <c r="B619" s="485"/>
      <c r="C619" s="525"/>
      <c r="D619" s="525"/>
      <c r="E619" s="526"/>
      <c r="F619" s="526"/>
      <c r="G619" s="474"/>
      <c r="H619" s="474"/>
      <c r="I619" s="474"/>
      <c r="J619" s="474"/>
      <c r="K619" s="474"/>
      <c r="L619" s="474"/>
      <c r="M619" s="474"/>
      <c r="N619" s="474"/>
      <c r="O619" s="474"/>
      <c r="P619" s="474"/>
      <c r="Q619" s="474"/>
      <c r="R619" s="474"/>
      <c r="S619" s="474"/>
      <c r="T619" s="474"/>
      <c r="U619" s="474"/>
      <c r="V619" s="474"/>
      <c r="W619" s="474"/>
      <c r="X619" s="474"/>
      <c r="Y619" s="474"/>
      <c r="Z619" s="474"/>
    </row>
    <row r="620" ht="12.0" customHeight="1">
      <c r="A620" s="480"/>
      <c r="B620" s="485"/>
      <c r="C620" s="525"/>
      <c r="D620" s="525"/>
      <c r="E620" s="526"/>
      <c r="F620" s="526"/>
      <c r="G620" s="474"/>
      <c r="H620" s="474"/>
      <c r="I620" s="474"/>
      <c r="J620" s="474"/>
      <c r="K620" s="474"/>
      <c r="L620" s="474"/>
      <c r="M620" s="474"/>
      <c r="N620" s="474"/>
      <c r="O620" s="474"/>
      <c r="P620" s="474"/>
      <c r="Q620" s="474"/>
      <c r="R620" s="474"/>
      <c r="S620" s="474"/>
      <c r="T620" s="474"/>
      <c r="U620" s="474"/>
      <c r="V620" s="474"/>
      <c r="W620" s="474"/>
      <c r="X620" s="474"/>
      <c r="Y620" s="474"/>
      <c r="Z620" s="474"/>
    </row>
    <row r="621" ht="12.0" customHeight="1">
      <c r="A621" s="480"/>
      <c r="B621" s="485"/>
      <c r="C621" s="525"/>
      <c r="D621" s="525"/>
      <c r="E621" s="526"/>
      <c r="F621" s="526"/>
      <c r="G621" s="474"/>
      <c r="H621" s="474"/>
      <c r="I621" s="474"/>
      <c r="J621" s="474"/>
      <c r="K621" s="474"/>
      <c r="L621" s="474"/>
      <c r="M621" s="474"/>
      <c r="N621" s="474"/>
      <c r="O621" s="474"/>
      <c r="P621" s="474"/>
      <c r="Q621" s="474"/>
      <c r="R621" s="474"/>
      <c r="S621" s="474"/>
      <c r="T621" s="474"/>
      <c r="U621" s="474"/>
      <c r="V621" s="474"/>
      <c r="W621" s="474"/>
      <c r="X621" s="474"/>
      <c r="Y621" s="474"/>
      <c r="Z621" s="474"/>
    </row>
    <row r="622" ht="12.0" customHeight="1">
      <c r="A622" s="480"/>
      <c r="B622" s="485"/>
      <c r="C622" s="525"/>
      <c r="D622" s="525"/>
      <c r="E622" s="526"/>
      <c r="F622" s="526"/>
      <c r="G622" s="474"/>
      <c r="H622" s="474"/>
      <c r="I622" s="474"/>
      <c r="J622" s="474"/>
      <c r="K622" s="474"/>
      <c r="L622" s="474"/>
      <c r="M622" s="474"/>
      <c r="N622" s="474"/>
      <c r="O622" s="474"/>
      <c r="P622" s="474"/>
      <c r="Q622" s="474"/>
      <c r="R622" s="474"/>
      <c r="S622" s="474"/>
      <c r="T622" s="474"/>
      <c r="U622" s="474"/>
      <c r="V622" s="474"/>
      <c r="W622" s="474"/>
      <c r="X622" s="474"/>
      <c r="Y622" s="474"/>
      <c r="Z622" s="474"/>
    </row>
    <row r="623" ht="12.0" customHeight="1">
      <c r="A623" s="480"/>
      <c r="B623" s="485"/>
      <c r="C623" s="525"/>
      <c r="D623" s="525"/>
      <c r="E623" s="526"/>
      <c r="F623" s="526"/>
      <c r="G623" s="474"/>
      <c r="H623" s="474"/>
      <c r="I623" s="474"/>
      <c r="J623" s="474"/>
      <c r="K623" s="474"/>
      <c r="L623" s="474"/>
      <c r="M623" s="474"/>
      <c r="N623" s="474"/>
      <c r="O623" s="474"/>
      <c r="P623" s="474"/>
      <c r="Q623" s="474"/>
      <c r="R623" s="474"/>
      <c r="S623" s="474"/>
      <c r="T623" s="474"/>
      <c r="U623" s="474"/>
      <c r="V623" s="474"/>
      <c r="W623" s="474"/>
      <c r="X623" s="474"/>
      <c r="Y623" s="474"/>
      <c r="Z623" s="474"/>
    </row>
    <row r="624" ht="12.0" customHeight="1">
      <c r="A624" s="480"/>
      <c r="B624" s="485"/>
      <c r="C624" s="525"/>
      <c r="D624" s="525"/>
      <c r="E624" s="526"/>
      <c r="F624" s="526"/>
      <c r="G624" s="474"/>
      <c r="H624" s="474"/>
      <c r="I624" s="474"/>
      <c r="J624" s="474"/>
      <c r="K624" s="474"/>
      <c r="L624" s="474"/>
      <c r="M624" s="474"/>
      <c r="N624" s="474"/>
      <c r="O624" s="474"/>
      <c r="P624" s="474"/>
      <c r="Q624" s="474"/>
      <c r="R624" s="474"/>
      <c r="S624" s="474"/>
      <c r="T624" s="474"/>
      <c r="U624" s="474"/>
      <c r="V624" s="474"/>
      <c r="W624" s="474"/>
      <c r="X624" s="474"/>
      <c r="Y624" s="474"/>
      <c r="Z624" s="474"/>
    </row>
    <row r="625" ht="12.0" customHeight="1">
      <c r="A625" s="480"/>
      <c r="B625" s="485"/>
      <c r="C625" s="525"/>
      <c r="D625" s="525"/>
      <c r="E625" s="526"/>
      <c r="F625" s="526"/>
      <c r="G625" s="474"/>
      <c r="H625" s="474"/>
      <c r="I625" s="474"/>
      <c r="J625" s="474"/>
      <c r="K625" s="474"/>
      <c r="L625" s="474"/>
      <c r="M625" s="474"/>
      <c r="N625" s="474"/>
      <c r="O625" s="474"/>
      <c r="P625" s="474"/>
      <c r="Q625" s="474"/>
      <c r="R625" s="474"/>
      <c r="S625" s="474"/>
      <c r="T625" s="474"/>
      <c r="U625" s="474"/>
      <c r="V625" s="474"/>
      <c r="W625" s="474"/>
      <c r="X625" s="474"/>
      <c r="Y625" s="474"/>
      <c r="Z625" s="474"/>
    </row>
    <row r="626" ht="12.0" customHeight="1">
      <c r="A626" s="480"/>
      <c r="B626" s="485"/>
      <c r="C626" s="525"/>
      <c r="D626" s="525"/>
      <c r="E626" s="526"/>
      <c r="F626" s="526"/>
      <c r="G626" s="474"/>
      <c r="H626" s="474"/>
      <c r="I626" s="474"/>
      <c r="J626" s="474"/>
      <c r="K626" s="474"/>
      <c r="L626" s="474"/>
      <c r="M626" s="474"/>
      <c r="N626" s="474"/>
      <c r="O626" s="474"/>
      <c r="P626" s="474"/>
      <c r="Q626" s="474"/>
      <c r="R626" s="474"/>
      <c r="S626" s="474"/>
      <c r="T626" s="474"/>
      <c r="U626" s="474"/>
      <c r="V626" s="474"/>
      <c r="W626" s="474"/>
      <c r="X626" s="474"/>
      <c r="Y626" s="474"/>
      <c r="Z626" s="474"/>
    </row>
    <row r="627" ht="12.0" customHeight="1">
      <c r="A627" s="480"/>
      <c r="B627" s="485"/>
      <c r="C627" s="525"/>
      <c r="D627" s="525"/>
      <c r="E627" s="526"/>
      <c r="F627" s="526"/>
      <c r="G627" s="474"/>
      <c r="H627" s="474"/>
      <c r="I627" s="474"/>
      <c r="J627" s="474"/>
      <c r="K627" s="474"/>
      <c r="L627" s="474"/>
      <c r="M627" s="474"/>
      <c r="N627" s="474"/>
      <c r="O627" s="474"/>
      <c r="P627" s="474"/>
      <c r="Q627" s="474"/>
      <c r="R627" s="474"/>
      <c r="S627" s="474"/>
      <c r="T627" s="474"/>
      <c r="U627" s="474"/>
      <c r="V627" s="474"/>
      <c r="W627" s="474"/>
      <c r="X627" s="474"/>
      <c r="Y627" s="474"/>
      <c r="Z627" s="474"/>
    </row>
    <row r="628" ht="12.0" customHeight="1">
      <c r="A628" s="480"/>
      <c r="B628" s="485"/>
      <c r="C628" s="525"/>
      <c r="D628" s="525"/>
      <c r="E628" s="526"/>
      <c r="F628" s="526"/>
      <c r="G628" s="474"/>
      <c r="H628" s="474"/>
      <c r="I628" s="474"/>
      <c r="J628" s="474"/>
      <c r="K628" s="474"/>
      <c r="L628" s="474"/>
      <c r="M628" s="474"/>
      <c r="N628" s="474"/>
      <c r="O628" s="474"/>
      <c r="P628" s="474"/>
      <c r="Q628" s="474"/>
      <c r="R628" s="474"/>
      <c r="S628" s="474"/>
      <c r="T628" s="474"/>
      <c r="U628" s="474"/>
      <c r="V628" s="474"/>
      <c r="W628" s="474"/>
      <c r="X628" s="474"/>
      <c r="Y628" s="474"/>
      <c r="Z628" s="474"/>
    </row>
    <row r="629" ht="12.0" customHeight="1">
      <c r="A629" s="480"/>
      <c r="B629" s="485"/>
      <c r="C629" s="525"/>
      <c r="D629" s="525"/>
      <c r="E629" s="526"/>
      <c r="F629" s="526"/>
      <c r="G629" s="474"/>
      <c r="H629" s="474"/>
      <c r="I629" s="474"/>
      <c r="J629" s="474"/>
      <c r="K629" s="474"/>
      <c r="L629" s="474"/>
      <c r="M629" s="474"/>
      <c r="N629" s="474"/>
      <c r="O629" s="474"/>
      <c r="P629" s="474"/>
      <c r="Q629" s="474"/>
      <c r="R629" s="474"/>
      <c r="S629" s="474"/>
      <c r="T629" s="474"/>
      <c r="U629" s="474"/>
      <c r="V629" s="474"/>
      <c r="W629" s="474"/>
      <c r="X629" s="474"/>
      <c r="Y629" s="474"/>
      <c r="Z629" s="474"/>
    </row>
    <row r="630" ht="12.0" customHeight="1">
      <c r="A630" s="480"/>
      <c r="B630" s="485"/>
      <c r="C630" s="525"/>
      <c r="D630" s="525"/>
      <c r="E630" s="526"/>
      <c r="F630" s="526"/>
      <c r="G630" s="474"/>
      <c r="H630" s="474"/>
      <c r="I630" s="474"/>
      <c r="J630" s="474"/>
      <c r="K630" s="474"/>
      <c r="L630" s="474"/>
      <c r="M630" s="474"/>
      <c r="N630" s="474"/>
      <c r="O630" s="474"/>
      <c r="P630" s="474"/>
      <c r="Q630" s="474"/>
      <c r="R630" s="474"/>
      <c r="S630" s="474"/>
      <c r="T630" s="474"/>
      <c r="U630" s="474"/>
      <c r="V630" s="474"/>
      <c r="W630" s="474"/>
      <c r="X630" s="474"/>
      <c r="Y630" s="474"/>
      <c r="Z630" s="474"/>
    </row>
    <row r="631" ht="12.0" customHeight="1">
      <c r="A631" s="480"/>
      <c r="B631" s="485"/>
      <c r="C631" s="525"/>
      <c r="D631" s="525"/>
      <c r="E631" s="526"/>
      <c r="F631" s="526"/>
      <c r="G631" s="474"/>
      <c r="H631" s="474"/>
      <c r="I631" s="474"/>
      <c r="J631" s="474"/>
      <c r="K631" s="474"/>
      <c r="L631" s="474"/>
      <c r="M631" s="474"/>
      <c r="N631" s="474"/>
      <c r="O631" s="474"/>
      <c r="P631" s="474"/>
      <c r="Q631" s="474"/>
      <c r="R631" s="474"/>
      <c r="S631" s="474"/>
      <c r="T631" s="474"/>
      <c r="U631" s="474"/>
      <c r="V631" s="474"/>
      <c r="W631" s="474"/>
      <c r="X631" s="474"/>
      <c r="Y631" s="474"/>
      <c r="Z631" s="474"/>
    </row>
    <row r="632" ht="12.0" customHeight="1">
      <c r="A632" s="480"/>
      <c r="B632" s="485"/>
      <c r="C632" s="525"/>
      <c r="D632" s="525"/>
      <c r="E632" s="526"/>
      <c r="F632" s="526"/>
      <c r="G632" s="474"/>
      <c r="H632" s="474"/>
      <c r="I632" s="474"/>
      <c r="J632" s="474"/>
      <c r="K632" s="474"/>
      <c r="L632" s="474"/>
      <c r="M632" s="474"/>
      <c r="N632" s="474"/>
      <c r="O632" s="474"/>
      <c r="P632" s="474"/>
      <c r="Q632" s="474"/>
      <c r="R632" s="474"/>
      <c r="S632" s="474"/>
      <c r="T632" s="474"/>
      <c r="U632" s="474"/>
      <c r="V632" s="474"/>
      <c r="W632" s="474"/>
      <c r="X632" s="474"/>
      <c r="Y632" s="474"/>
      <c r="Z632" s="474"/>
    </row>
    <row r="633" ht="12.0" customHeight="1">
      <c r="A633" s="480"/>
      <c r="B633" s="485"/>
      <c r="C633" s="525"/>
      <c r="D633" s="525"/>
      <c r="E633" s="526"/>
      <c r="F633" s="526"/>
      <c r="G633" s="474"/>
      <c r="H633" s="474"/>
      <c r="I633" s="474"/>
      <c r="J633" s="474"/>
      <c r="K633" s="474"/>
      <c r="L633" s="474"/>
      <c r="M633" s="474"/>
      <c r="N633" s="474"/>
      <c r="O633" s="474"/>
      <c r="P633" s="474"/>
      <c r="Q633" s="474"/>
      <c r="R633" s="474"/>
      <c r="S633" s="474"/>
      <c r="T633" s="474"/>
      <c r="U633" s="474"/>
      <c r="V633" s="474"/>
      <c r="W633" s="474"/>
      <c r="X633" s="474"/>
      <c r="Y633" s="474"/>
      <c r="Z633" s="474"/>
    </row>
    <row r="634" ht="12.0" customHeight="1">
      <c r="A634" s="480"/>
      <c r="B634" s="485"/>
      <c r="C634" s="525"/>
      <c r="D634" s="525"/>
      <c r="E634" s="526"/>
      <c r="F634" s="526"/>
      <c r="G634" s="474"/>
      <c r="H634" s="474"/>
      <c r="I634" s="474"/>
      <c r="J634" s="474"/>
      <c r="K634" s="474"/>
      <c r="L634" s="474"/>
      <c r="M634" s="474"/>
      <c r="N634" s="474"/>
      <c r="O634" s="474"/>
      <c r="P634" s="474"/>
      <c r="Q634" s="474"/>
      <c r="R634" s="474"/>
      <c r="S634" s="474"/>
      <c r="T634" s="474"/>
      <c r="U634" s="474"/>
      <c r="V634" s="474"/>
      <c r="W634" s="474"/>
      <c r="X634" s="474"/>
      <c r="Y634" s="474"/>
      <c r="Z634" s="474"/>
    </row>
    <row r="635" ht="12.0" customHeight="1">
      <c r="A635" s="480"/>
      <c r="B635" s="485"/>
      <c r="C635" s="525"/>
      <c r="D635" s="525"/>
      <c r="E635" s="526"/>
      <c r="F635" s="526"/>
      <c r="G635" s="474"/>
      <c r="H635" s="474"/>
      <c r="I635" s="474"/>
      <c r="J635" s="474"/>
      <c r="K635" s="474"/>
      <c r="L635" s="474"/>
      <c r="M635" s="474"/>
      <c r="N635" s="474"/>
      <c r="O635" s="474"/>
      <c r="P635" s="474"/>
      <c r="Q635" s="474"/>
      <c r="R635" s="474"/>
      <c r="S635" s="474"/>
      <c r="T635" s="474"/>
      <c r="U635" s="474"/>
      <c r="V635" s="474"/>
      <c r="W635" s="474"/>
      <c r="X635" s="474"/>
      <c r="Y635" s="474"/>
      <c r="Z635" s="474"/>
    </row>
    <row r="636" ht="12.0" customHeight="1">
      <c r="A636" s="480"/>
      <c r="B636" s="485"/>
      <c r="C636" s="525"/>
      <c r="D636" s="525"/>
      <c r="E636" s="526"/>
      <c r="F636" s="526"/>
      <c r="G636" s="474"/>
      <c r="H636" s="474"/>
      <c r="I636" s="474"/>
      <c r="J636" s="474"/>
      <c r="K636" s="474"/>
      <c r="L636" s="474"/>
      <c r="M636" s="474"/>
      <c r="N636" s="474"/>
      <c r="O636" s="474"/>
      <c r="P636" s="474"/>
      <c r="Q636" s="474"/>
      <c r="R636" s="474"/>
      <c r="S636" s="474"/>
      <c r="T636" s="474"/>
      <c r="U636" s="474"/>
      <c r="V636" s="474"/>
      <c r="W636" s="474"/>
      <c r="X636" s="474"/>
      <c r="Y636" s="474"/>
      <c r="Z636" s="474"/>
    </row>
    <row r="637" ht="12.0" customHeight="1">
      <c r="A637" s="480"/>
      <c r="B637" s="485"/>
      <c r="C637" s="525"/>
      <c r="D637" s="525"/>
      <c r="E637" s="526"/>
      <c r="F637" s="526"/>
      <c r="G637" s="474"/>
      <c r="H637" s="474"/>
      <c r="I637" s="474"/>
      <c r="J637" s="474"/>
      <c r="K637" s="474"/>
      <c r="L637" s="474"/>
      <c r="M637" s="474"/>
      <c r="N637" s="474"/>
      <c r="O637" s="474"/>
      <c r="P637" s="474"/>
      <c r="Q637" s="474"/>
      <c r="R637" s="474"/>
      <c r="S637" s="474"/>
      <c r="T637" s="474"/>
      <c r="U637" s="474"/>
      <c r="V637" s="474"/>
      <c r="W637" s="474"/>
      <c r="X637" s="474"/>
      <c r="Y637" s="474"/>
      <c r="Z637" s="474"/>
    </row>
    <row r="638" ht="12.0" customHeight="1">
      <c r="A638" s="480"/>
      <c r="B638" s="485"/>
      <c r="C638" s="525"/>
      <c r="D638" s="525"/>
      <c r="E638" s="526"/>
      <c r="F638" s="526"/>
      <c r="G638" s="474"/>
      <c r="H638" s="474"/>
      <c r="I638" s="474"/>
      <c r="J638" s="474"/>
      <c r="K638" s="474"/>
      <c r="L638" s="474"/>
      <c r="M638" s="474"/>
      <c r="N638" s="474"/>
      <c r="O638" s="474"/>
      <c r="P638" s="474"/>
      <c r="Q638" s="474"/>
      <c r="R638" s="474"/>
      <c r="S638" s="474"/>
      <c r="T638" s="474"/>
      <c r="U638" s="474"/>
      <c r="V638" s="474"/>
      <c r="W638" s="474"/>
      <c r="X638" s="474"/>
      <c r="Y638" s="474"/>
      <c r="Z638" s="474"/>
    </row>
    <row r="639" ht="12.0" customHeight="1">
      <c r="A639" s="480"/>
      <c r="B639" s="485"/>
      <c r="C639" s="525"/>
      <c r="D639" s="525"/>
      <c r="E639" s="526"/>
      <c r="F639" s="526"/>
      <c r="G639" s="474"/>
      <c r="H639" s="474"/>
      <c r="I639" s="474"/>
      <c r="J639" s="474"/>
      <c r="K639" s="474"/>
      <c r="L639" s="474"/>
      <c r="M639" s="474"/>
      <c r="N639" s="474"/>
      <c r="O639" s="474"/>
      <c r="P639" s="474"/>
      <c r="Q639" s="474"/>
      <c r="R639" s="474"/>
      <c r="S639" s="474"/>
      <c r="T639" s="474"/>
      <c r="U639" s="474"/>
      <c r="V639" s="474"/>
      <c r="W639" s="474"/>
      <c r="X639" s="474"/>
      <c r="Y639" s="474"/>
      <c r="Z639" s="474"/>
    </row>
    <row r="640" ht="12.0" customHeight="1">
      <c r="A640" s="480"/>
      <c r="B640" s="485"/>
      <c r="C640" s="525"/>
      <c r="D640" s="525"/>
      <c r="E640" s="526"/>
      <c r="F640" s="526"/>
      <c r="G640" s="474"/>
      <c r="H640" s="474"/>
      <c r="I640" s="474"/>
      <c r="J640" s="474"/>
      <c r="K640" s="474"/>
      <c r="L640" s="474"/>
      <c r="M640" s="474"/>
      <c r="N640" s="474"/>
      <c r="O640" s="474"/>
      <c r="P640" s="474"/>
      <c r="Q640" s="474"/>
      <c r="R640" s="474"/>
      <c r="S640" s="474"/>
      <c r="T640" s="474"/>
      <c r="U640" s="474"/>
      <c r="V640" s="474"/>
      <c r="W640" s="474"/>
      <c r="X640" s="474"/>
      <c r="Y640" s="474"/>
      <c r="Z640" s="474"/>
    </row>
    <row r="641" ht="12.0" customHeight="1">
      <c r="A641" s="480"/>
      <c r="B641" s="485"/>
      <c r="C641" s="525"/>
      <c r="D641" s="525"/>
      <c r="E641" s="526"/>
      <c r="F641" s="526"/>
      <c r="G641" s="474"/>
      <c r="H641" s="474"/>
      <c r="I641" s="474"/>
      <c r="J641" s="474"/>
      <c r="K641" s="474"/>
      <c r="L641" s="474"/>
      <c r="M641" s="474"/>
      <c r="N641" s="474"/>
      <c r="O641" s="474"/>
      <c r="P641" s="474"/>
      <c r="Q641" s="474"/>
      <c r="R641" s="474"/>
      <c r="S641" s="474"/>
      <c r="T641" s="474"/>
      <c r="U641" s="474"/>
      <c r="V641" s="474"/>
      <c r="W641" s="474"/>
      <c r="X641" s="474"/>
      <c r="Y641" s="474"/>
      <c r="Z641" s="474"/>
    </row>
    <row r="642" ht="12.0" customHeight="1">
      <c r="A642" s="480"/>
      <c r="B642" s="485"/>
      <c r="C642" s="525"/>
      <c r="D642" s="525"/>
      <c r="E642" s="526"/>
      <c r="F642" s="526"/>
      <c r="G642" s="474"/>
      <c r="H642" s="474"/>
      <c r="I642" s="474"/>
      <c r="J642" s="474"/>
      <c r="K642" s="474"/>
      <c r="L642" s="474"/>
      <c r="M642" s="474"/>
      <c r="N642" s="474"/>
      <c r="O642" s="474"/>
      <c r="P642" s="474"/>
      <c r="Q642" s="474"/>
      <c r="R642" s="474"/>
      <c r="S642" s="474"/>
      <c r="T642" s="474"/>
      <c r="U642" s="474"/>
      <c r="V642" s="474"/>
      <c r="W642" s="474"/>
      <c r="X642" s="474"/>
      <c r="Y642" s="474"/>
      <c r="Z642" s="474"/>
    </row>
    <row r="643" ht="12.0" customHeight="1">
      <c r="A643" s="480"/>
      <c r="B643" s="485"/>
      <c r="C643" s="525"/>
      <c r="D643" s="525"/>
      <c r="E643" s="526"/>
      <c r="F643" s="526"/>
      <c r="G643" s="474"/>
      <c r="H643" s="474"/>
      <c r="I643" s="474"/>
      <c r="J643" s="474"/>
      <c r="K643" s="474"/>
      <c r="L643" s="474"/>
      <c r="M643" s="474"/>
      <c r="N643" s="474"/>
      <c r="O643" s="474"/>
      <c r="P643" s="474"/>
      <c r="Q643" s="474"/>
      <c r="R643" s="474"/>
      <c r="S643" s="474"/>
      <c r="T643" s="474"/>
      <c r="U643" s="474"/>
      <c r="V643" s="474"/>
      <c r="W643" s="474"/>
      <c r="X643" s="474"/>
      <c r="Y643" s="474"/>
      <c r="Z643" s="474"/>
    </row>
    <row r="644" ht="12.0" customHeight="1">
      <c r="A644" s="480"/>
      <c r="B644" s="485"/>
      <c r="C644" s="525"/>
      <c r="D644" s="525"/>
      <c r="E644" s="526"/>
      <c r="F644" s="526"/>
      <c r="G644" s="474"/>
      <c r="H644" s="474"/>
      <c r="I644" s="474"/>
      <c r="J644" s="474"/>
      <c r="K644" s="474"/>
      <c r="L644" s="474"/>
      <c r="M644" s="474"/>
      <c r="N644" s="474"/>
      <c r="O644" s="474"/>
      <c r="P644" s="474"/>
      <c r="Q644" s="474"/>
      <c r="R644" s="474"/>
      <c r="S644" s="474"/>
      <c r="T644" s="474"/>
      <c r="U644" s="474"/>
      <c r="V644" s="474"/>
      <c r="W644" s="474"/>
      <c r="X644" s="474"/>
      <c r="Y644" s="474"/>
      <c r="Z644" s="474"/>
    </row>
    <row r="645" ht="12.0" customHeight="1">
      <c r="A645" s="480"/>
      <c r="B645" s="485"/>
      <c r="C645" s="525"/>
      <c r="D645" s="525"/>
      <c r="E645" s="526"/>
      <c r="F645" s="526"/>
      <c r="G645" s="474"/>
      <c r="H645" s="474"/>
      <c r="I645" s="474"/>
      <c r="J645" s="474"/>
      <c r="K645" s="474"/>
      <c r="L645" s="474"/>
      <c r="M645" s="474"/>
      <c r="N645" s="474"/>
      <c r="O645" s="474"/>
      <c r="P645" s="474"/>
      <c r="Q645" s="474"/>
      <c r="R645" s="474"/>
      <c r="S645" s="474"/>
      <c r="T645" s="474"/>
      <c r="U645" s="474"/>
      <c r="V645" s="474"/>
      <c r="W645" s="474"/>
      <c r="X645" s="474"/>
      <c r="Y645" s="474"/>
      <c r="Z645" s="474"/>
    </row>
    <row r="646" ht="12.0" customHeight="1">
      <c r="A646" s="480"/>
      <c r="B646" s="485"/>
      <c r="C646" s="525"/>
      <c r="D646" s="525"/>
      <c r="E646" s="526"/>
      <c r="F646" s="526"/>
      <c r="G646" s="474"/>
      <c r="H646" s="474"/>
      <c r="I646" s="474"/>
      <c r="J646" s="474"/>
      <c r="K646" s="474"/>
      <c r="L646" s="474"/>
      <c r="M646" s="474"/>
      <c r="N646" s="474"/>
      <c r="O646" s="474"/>
      <c r="P646" s="474"/>
      <c r="Q646" s="474"/>
      <c r="R646" s="474"/>
      <c r="S646" s="474"/>
      <c r="T646" s="474"/>
      <c r="U646" s="474"/>
      <c r="V646" s="474"/>
      <c r="W646" s="474"/>
      <c r="X646" s="474"/>
      <c r="Y646" s="474"/>
      <c r="Z646" s="474"/>
    </row>
    <row r="647" ht="12.0" customHeight="1">
      <c r="A647" s="480"/>
      <c r="B647" s="485"/>
      <c r="C647" s="525"/>
      <c r="D647" s="525"/>
      <c r="E647" s="526"/>
      <c r="F647" s="526"/>
      <c r="G647" s="474"/>
      <c r="H647" s="474"/>
      <c r="I647" s="474"/>
      <c r="J647" s="474"/>
      <c r="K647" s="474"/>
      <c r="L647" s="474"/>
      <c r="M647" s="474"/>
      <c r="N647" s="474"/>
      <c r="O647" s="474"/>
      <c r="P647" s="474"/>
      <c r="Q647" s="474"/>
      <c r="R647" s="474"/>
      <c r="S647" s="474"/>
      <c r="T647" s="474"/>
      <c r="U647" s="474"/>
      <c r="V647" s="474"/>
      <c r="W647" s="474"/>
      <c r="X647" s="474"/>
      <c r="Y647" s="474"/>
      <c r="Z647" s="474"/>
    </row>
    <row r="648" ht="12.0" customHeight="1">
      <c r="A648" s="480"/>
      <c r="B648" s="485"/>
      <c r="C648" s="525"/>
      <c r="D648" s="525"/>
      <c r="E648" s="526"/>
      <c r="F648" s="526"/>
      <c r="G648" s="474"/>
      <c r="H648" s="474"/>
      <c r="I648" s="474"/>
      <c r="J648" s="474"/>
      <c r="K648" s="474"/>
      <c r="L648" s="474"/>
      <c r="M648" s="474"/>
      <c r="N648" s="474"/>
      <c r="O648" s="474"/>
      <c r="P648" s="474"/>
      <c r="Q648" s="474"/>
      <c r="R648" s="474"/>
      <c r="S648" s="474"/>
      <c r="T648" s="474"/>
      <c r="U648" s="474"/>
      <c r="V648" s="474"/>
      <c r="W648" s="474"/>
      <c r="X648" s="474"/>
      <c r="Y648" s="474"/>
      <c r="Z648" s="474"/>
    </row>
    <row r="649" ht="12.0" customHeight="1">
      <c r="A649" s="480"/>
      <c r="B649" s="485"/>
      <c r="C649" s="525"/>
      <c r="D649" s="525"/>
      <c r="E649" s="526"/>
      <c r="F649" s="526"/>
      <c r="G649" s="474"/>
      <c r="H649" s="474"/>
      <c r="I649" s="474"/>
      <c r="J649" s="474"/>
      <c r="K649" s="474"/>
      <c r="L649" s="474"/>
      <c r="M649" s="474"/>
      <c r="N649" s="474"/>
      <c r="O649" s="474"/>
      <c r="P649" s="474"/>
      <c r="Q649" s="474"/>
      <c r="R649" s="474"/>
      <c r="S649" s="474"/>
      <c r="T649" s="474"/>
      <c r="U649" s="474"/>
      <c r="V649" s="474"/>
      <c r="W649" s="474"/>
      <c r="X649" s="474"/>
      <c r="Y649" s="474"/>
      <c r="Z649" s="474"/>
    </row>
    <row r="650" ht="12.0" customHeight="1">
      <c r="A650" s="480"/>
      <c r="B650" s="485"/>
      <c r="C650" s="525"/>
      <c r="D650" s="525"/>
      <c r="E650" s="526"/>
      <c r="F650" s="526"/>
      <c r="G650" s="474"/>
      <c r="H650" s="474"/>
      <c r="I650" s="474"/>
      <c r="J650" s="474"/>
      <c r="K650" s="474"/>
      <c r="L650" s="474"/>
      <c r="M650" s="474"/>
      <c r="N650" s="474"/>
      <c r="O650" s="474"/>
      <c r="P650" s="474"/>
      <c r="Q650" s="474"/>
      <c r="R650" s="474"/>
      <c r="S650" s="474"/>
      <c r="T650" s="474"/>
      <c r="U650" s="474"/>
      <c r="V650" s="474"/>
      <c r="W650" s="474"/>
      <c r="X650" s="474"/>
      <c r="Y650" s="474"/>
      <c r="Z650" s="474"/>
    </row>
    <row r="651" ht="12.0" customHeight="1">
      <c r="A651" s="480"/>
      <c r="B651" s="485"/>
      <c r="C651" s="525"/>
      <c r="D651" s="525"/>
      <c r="E651" s="526"/>
      <c r="F651" s="526"/>
      <c r="G651" s="474"/>
      <c r="H651" s="474"/>
      <c r="I651" s="474"/>
      <c r="J651" s="474"/>
      <c r="K651" s="474"/>
      <c r="L651" s="474"/>
      <c r="M651" s="474"/>
      <c r="N651" s="474"/>
      <c r="O651" s="474"/>
      <c r="P651" s="474"/>
      <c r="Q651" s="474"/>
      <c r="R651" s="474"/>
      <c r="S651" s="474"/>
      <c r="T651" s="474"/>
      <c r="U651" s="474"/>
      <c r="V651" s="474"/>
      <c r="W651" s="474"/>
      <c r="X651" s="474"/>
      <c r="Y651" s="474"/>
      <c r="Z651" s="474"/>
    </row>
    <row r="652" ht="12.0" customHeight="1">
      <c r="A652" s="480"/>
      <c r="B652" s="485"/>
      <c r="C652" s="525"/>
      <c r="D652" s="525"/>
      <c r="E652" s="526"/>
      <c r="F652" s="526"/>
      <c r="G652" s="474"/>
      <c r="H652" s="474"/>
      <c r="I652" s="474"/>
      <c r="J652" s="474"/>
      <c r="K652" s="474"/>
      <c r="L652" s="474"/>
      <c r="M652" s="474"/>
      <c r="N652" s="474"/>
      <c r="O652" s="474"/>
      <c r="P652" s="474"/>
      <c r="Q652" s="474"/>
      <c r="R652" s="474"/>
      <c r="S652" s="474"/>
      <c r="T652" s="474"/>
      <c r="U652" s="474"/>
      <c r="V652" s="474"/>
      <c r="W652" s="474"/>
      <c r="X652" s="474"/>
      <c r="Y652" s="474"/>
      <c r="Z652" s="474"/>
    </row>
    <row r="653" ht="12.0" customHeight="1">
      <c r="A653" s="480"/>
      <c r="B653" s="485"/>
      <c r="C653" s="525"/>
      <c r="D653" s="525"/>
      <c r="E653" s="526"/>
      <c r="F653" s="526"/>
      <c r="G653" s="474"/>
      <c r="H653" s="474"/>
      <c r="I653" s="474"/>
      <c r="J653" s="474"/>
      <c r="K653" s="474"/>
      <c r="L653" s="474"/>
      <c r="M653" s="474"/>
      <c r="N653" s="474"/>
      <c r="O653" s="474"/>
      <c r="P653" s="474"/>
      <c r="Q653" s="474"/>
      <c r="R653" s="474"/>
      <c r="S653" s="474"/>
      <c r="T653" s="474"/>
      <c r="U653" s="474"/>
      <c r="V653" s="474"/>
      <c r="W653" s="474"/>
      <c r="X653" s="474"/>
      <c r="Y653" s="474"/>
      <c r="Z653" s="474"/>
    </row>
    <row r="654" ht="12.0" customHeight="1">
      <c r="A654" s="480"/>
      <c r="B654" s="485"/>
      <c r="C654" s="525"/>
      <c r="D654" s="525"/>
      <c r="E654" s="526"/>
      <c r="F654" s="526"/>
      <c r="G654" s="474"/>
      <c r="H654" s="474"/>
      <c r="I654" s="474"/>
      <c r="J654" s="474"/>
      <c r="K654" s="474"/>
      <c r="L654" s="474"/>
      <c r="M654" s="474"/>
      <c r="N654" s="474"/>
      <c r="O654" s="474"/>
      <c r="P654" s="474"/>
      <c r="Q654" s="474"/>
      <c r="R654" s="474"/>
      <c r="S654" s="474"/>
      <c r="T654" s="474"/>
      <c r="U654" s="474"/>
      <c r="V654" s="474"/>
      <c r="W654" s="474"/>
      <c r="X654" s="474"/>
      <c r="Y654" s="474"/>
      <c r="Z654" s="474"/>
    </row>
    <row r="655" ht="12.0" customHeight="1">
      <c r="A655" s="480"/>
      <c r="B655" s="485"/>
      <c r="C655" s="525"/>
      <c r="D655" s="525"/>
      <c r="E655" s="526"/>
      <c r="F655" s="526"/>
      <c r="G655" s="474"/>
      <c r="H655" s="474"/>
      <c r="I655" s="474"/>
      <c r="J655" s="474"/>
      <c r="K655" s="474"/>
      <c r="L655" s="474"/>
      <c r="M655" s="474"/>
      <c r="N655" s="474"/>
      <c r="O655" s="474"/>
      <c r="P655" s="474"/>
      <c r="Q655" s="474"/>
      <c r="R655" s="474"/>
      <c r="S655" s="474"/>
      <c r="T655" s="474"/>
      <c r="U655" s="474"/>
      <c r="V655" s="474"/>
      <c r="W655" s="474"/>
      <c r="X655" s="474"/>
      <c r="Y655" s="474"/>
      <c r="Z655" s="474"/>
    </row>
    <row r="656" ht="12.0" customHeight="1">
      <c r="A656" s="480"/>
      <c r="B656" s="485"/>
      <c r="C656" s="525"/>
      <c r="D656" s="525"/>
      <c r="E656" s="526"/>
      <c r="F656" s="526"/>
      <c r="G656" s="474"/>
      <c r="H656" s="474"/>
      <c r="I656" s="474"/>
      <c r="J656" s="474"/>
      <c r="K656" s="474"/>
      <c r="L656" s="474"/>
      <c r="M656" s="474"/>
      <c r="N656" s="474"/>
      <c r="O656" s="474"/>
      <c r="P656" s="474"/>
      <c r="Q656" s="474"/>
      <c r="R656" s="474"/>
      <c r="S656" s="474"/>
      <c r="T656" s="474"/>
      <c r="U656" s="474"/>
      <c r="V656" s="474"/>
      <c r="W656" s="474"/>
      <c r="X656" s="474"/>
      <c r="Y656" s="474"/>
      <c r="Z656" s="474"/>
    </row>
    <row r="657" ht="12.0" customHeight="1">
      <c r="A657" s="480"/>
      <c r="B657" s="485"/>
      <c r="C657" s="525"/>
      <c r="D657" s="525"/>
      <c r="E657" s="526"/>
      <c r="F657" s="526"/>
      <c r="G657" s="474"/>
      <c r="H657" s="474"/>
      <c r="I657" s="474"/>
      <c r="J657" s="474"/>
      <c r="K657" s="474"/>
      <c r="L657" s="474"/>
      <c r="M657" s="474"/>
      <c r="N657" s="474"/>
      <c r="O657" s="474"/>
      <c r="P657" s="474"/>
      <c r="Q657" s="474"/>
      <c r="R657" s="474"/>
      <c r="S657" s="474"/>
      <c r="T657" s="474"/>
      <c r="U657" s="474"/>
      <c r="V657" s="474"/>
      <c r="W657" s="474"/>
      <c r="X657" s="474"/>
      <c r="Y657" s="474"/>
      <c r="Z657" s="474"/>
    </row>
    <row r="658" ht="12.0" customHeight="1">
      <c r="A658" s="480"/>
      <c r="B658" s="485"/>
      <c r="C658" s="525"/>
      <c r="D658" s="525"/>
      <c r="E658" s="526"/>
      <c r="F658" s="526"/>
      <c r="G658" s="474"/>
      <c r="H658" s="474"/>
      <c r="I658" s="474"/>
      <c r="J658" s="474"/>
      <c r="K658" s="474"/>
      <c r="L658" s="474"/>
      <c r="M658" s="474"/>
      <c r="N658" s="474"/>
      <c r="O658" s="474"/>
      <c r="P658" s="474"/>
      <c r="Q658" s="474"/>
      <c r="R658" s="474"/>
      <c r="S658" s="474"/>
      <c r="T658" s="474"/>
      <c r="U658" s="474"/>
      <c r="V658" s="474"/>
      <c r="W658" s="474"/>
      <c r="X658" s="474"/>
      <c r="Y658" s="474"/>
      <c r="Z658" s="474"/>
    </row>
    <row r="659" ht="12.0" customHeight="1">
      <c r="A659" s="480"/>
      <c r="B659" s="485"/>
      <c r="C659" s="525"/>
      <c r="D659" s="525"/>
      <c r="E659" s="526"/>
      <c r="F659" s="526"/>
      <c r="G659" s="474"/>
      <c r="H659" s="474"/>
      <c r="I659" s="474"/>
      <c r="J659" s="474"/>
      <c r="K659" s="474"/>
      <c r="L659" s="474"/>
      <c r="M659" s="474"/>
      <c r="N659" s="474"/>
      <c r="O659" s="474"/>
      <c r="P659" s="474"/>
      <c r="Q659" s="474"/>
      <c r="R659" s="474"/>
      <c r="S659" s="474"/>
      <c r="T659" s="474"/>
      <c r="U659" s="474"/>
      <c r="V659" s="474"/>
      <c r="W659" s="474"/>
      <c r="X659" s="474"/>
      <c r="Y659" s="474"/>
      <c r="Z659" s="474"/>
    </row>
    <row r="660" ht="12.0" customHeight="1">
      <c r="A660" s="480"/>
      <c r="B660" s="485"/>
      <c r="C660" s="525"/>
      <c r="D660" s="525"/>
      <c r="E660" s="526"/>
      <c r="F660" s="526"/>
      <c r="G660" s="474"/>
      <c r="H660" s="474"/>
      <c r="I660" s="474"/>
      <c r="J660" s="474"/>
      <c r="K660" s="474"/>
      <c r="L660" s="474"/>
      <c r="M660" s="474"/>
      <c r="N660" s="474"/>
      <c r="O660" s="474"/>
      <c r="P660" s="474"/>
      <c r="Q660" s="474"/>
      <c r="R660" s="474"/>
      <c r="S660" s="474"/>
      <c r="T660" s="474"/>
      <c r="U660" s="474"/>
      <c r="V660" s="474"/>
      <c r="W660" s="474"/>
      <c r="X660" s="474"/>
      <c r="Y660" s="474"/>
      <c r="Z660" s="474"/>
    </row>
    <row r="661" ht="12.0" customHeight="1">
      <c r="A661" s="480"/>
      <c r="B661" s="485"/>
      <c r="C661" s="525"/>
      <c r="D661" s="525"/>
      <c r="E661" s="526"/>
      <c r="F661" s="526"/>
      <c r="G661" s="474"/>
      <c r="H661" s="474"/>
      <c r="I661" s="474"/>
      <c r="J661" s="474"/>
      <c r="K661" s="474"/>
      <c r="L661" s="474"/>
      <c r="M661" s="474"/>
      <c r="N661" s="474"/>
      <c r="O661" s="474"/>
      <c r="P661" s="474"/>
      <c r="Q661" s="474"/>
      <c r="R661" s="474"/>
      <c r="S661" s="474"/>
      <c r="T661" s="474"/>
      <c r="U661" s="474"/>
      <c r="V661" s="474"/>
      <c r="W661" s="474"/>
      <c r="X661" s="474"/>
      <c r="Y661" s="474"/>
      <c r="Z661" s="474"/>
    </row>
    <row r="662" ht="12.0" customHeight="1">
      <c r="A662" s="480"/>
      <c r="B662" s="485"/>
      <c r="C662" s="525"/>
      <c r="D662" s="525"/>
      <c r="E662" s="526"/>
      <c r="F662" s="526"/>
      <c r="G662" s="474"/>
      <c r="H662" s="474"/>
      <c r="I662" s="474"/>
      <c r="J662" s="474"/>
      <c r="K662" s="474"/>
      <c r="L662" s="474"/>
      <c r="M662" s="474"/>
      <c r="N662" s="474"/>
      <c r="O662" s="474"/>
      <c r="P662" s="474"/>
      <c r="Q662" s="474"/>
      <c r="R662" s="474"/>
      <c r="S662" s="474"/>
      <c r="T662" s="474"/>
      <c r="U662" s="474"/>
      <c r="V662" s="474"/>
      <c r="W662" s="474"/>
      <c r="X662" s="474"/>
      <c r="Y662" s="474"/>
      <c r="Z662" s="474"/>
    </row>
    <row r="663" ht="12.0" customHeight="1">
      <c r="A663" s="480"/>
      <c r="B663" s="485"/>
      <c r="C663" s="525"/>
      <c r="D663" s="525"/>
      <c r="E663" s="526"/>
      <c r="F663" s="526"/>
      <c r="G663" s="474"/>
      <c r="H663" s="474"/>
      <c r="I663" s="474"/>
      <c r="J663" s="474"/>
      <c r="K663" s="474"/>
      <c r="L663" s="474"/>
      <c r="M663" s="474"/>
      <c r="N663" s="474"/>
      <c r="O663" s="474"/>
      <c r="P663" s="474"/>
      <c r="Q663" s="474"/>
      <c r="R663" s="474"/>
      <c r="S663" s="474"/>
      <c r="T663" s="474"/>
      <c r="U663" s="474"/>
      <c r="V663" s="474"/>
      <c r="W663" s="474"/>
      <c r="X663" s="474"/>
      <c r="Y663" s="474"/>
      <c r="Z663" s="474"/>
    </row>
    <row r="664" ht="12.0" customHeight="1">
      <c r="A664" s="480"/>
      <c r="B664" s="485"/>
      <c r="C664" s="525"/>
      <c r="D664" s="525"/>
      <c r="E664" s="526"/>
      <c r="F664" s="526"/>
      <c r="G664" s="474"/>
      <c r="H664" s="474"/>
      <c r="I664" s="474"/>
      <c r="J664" s="474"/>
      <c r="K664" s="474"/>
      <c r="L664" s="474"/>
      <c r="M664" s="474"/>
      <c r="N664" s="474"/>
      <c r="O664" s="474"/>
      <c r="P664" s="474"/>
      <c r="Q664" s="474"/>
      <c r="R664" s="474"/>
      <c r="S664" s="474"/>
      <c r="T664" s="474"/>
      <c r="U664" s="474"/>
      <c r="V664" s="474"/>
      <c r="W664" s="474"/>
      <c r="X664" s="474"/>
      <c r="Y664" s="474"/>
      <c r="Z664" s="474"/>
    </row>
    <row r="665" ht="12.0" customHeight="1">
      <c r="A665" s="480"/>
      <c r="B665" s="485"/>
      <c r="C665" s="525"/>
      <c r="D665" s="525"/>
      <c r="E665" s="526"/>
      <c r="F665" s="526"/>
      <c r="G665" s="474"/>
      <c r="H665" s="474"/>
      <c r="I665" s="474"/>
      <c r="J665" s="474"/>
      <c r="K665" s="474"/>
      <c r="L665" s="474"/>
      <c r="M665" s="474"/>
      <c r="N665" s="474"/>
      <c r="O665" s="474"/>
      <c r="P665" s="474"/>
      <c r="Q665" s="474"/>
      <c r="R665" s="474"/>
      <c r="S665" s="474"/>
      <c r="T665" s="474"/>
      <c r="U665" s="474"/>
      <c r="V665" s="474"/>
      <c r="W665" s="474"/>
      <c r="X665" s="474"/>
      <c r="Y665" s="474"/>
      <c r="Z665" s="474"/>
    </row>
    <row r="666" ht="12.0" customHeight="1">
      <c r="A666" s="480"/>
      <c r="B666" s="485"/>
      <c r="C666" s="525"/>
      <c r="D666" s="525"/>
      <c r="E666" s="526"/>
      <c r="F666" s="526"/>
      <c r="G666" s="474"/>
      <c r="H666" s="474"/>
      <c r="I666" s="474"/>
      <c r="J666" s="474"/>
      <c r="K666" s="474"/>
      <c r="L666" s="474"/>
      <c r="M666" s="474"/>
      <c r="N666" s="474"/>
      <c r="O666" s="474"/>
      <c r="P666" s="474"/>
      <c r="Q666" s="474"/>
      <c r="R666" s="474"/>
      <c r="S666" s="474"/>
      <c r="T666" s="474"/>
      <c r="U666" s="474"/>
      <c r="V666" s="474"/>
      <c r="W666" s="474"/>
      <c r="X666" s="474"/>
      <c r="Y666" s="474"/>
      <c r="Z666" s="474"/>
    </row>
    <row r="667" ht="12.0" customHeight="1">
      <c r="A667" s="480"/>
      <c r="B667" s="485"/>
      <c r="C667" s="525"/>
      <c r="D667" s="525"/>
      <c r="E667" s="526"/>
      <c r="F667" s="526"/>
      <c r="G667" s="474"/>
      <c r="H667" s="474"/>
      <c r="I667" s="474"/>
      <c r="J667" s="474"/>
      <c r="K667" s="474"/>
      <c r="L667" s="474"/>
      <c r="M667" s="474"/>
      <c r="N667" s="474"/>
      <c r="O667" s="474"/>
      <c r="P667" s="474"/>
      <c r="Q667" s="474"/>
      <c r="R667" s="474"/>
      <c r="S667" s="474"/>
      <c r="T667" s="474"/>
      <c r="U667" s="474"/>
      <c r="V667" s="474"/>
      <c r="W667" s="474"/>
      <c r="X667" s="474"/>
      <c r="Y667" s="474"/>
      <c r="Z667" s="474"/>
    </row>
    <row r="668" ht="12.0" customHeight="1">
      <c r="A668" s="480"/>
      <c r="B668" s="485"/>
      <c r="C668" s="525"/>
      <c r="D668" s="525"/>
      <c r="E668" s="526"/>
      <c r="F668" s="526"/>
      <c r="G668" s="474"/>
      <c r="H668" s="474"/>
      <c r="I668" s="474"/>
      <c r="J668" s="474"/>
      <c r="K668" s="474"/>
      <c r="L668" s="474"/>
      <c r="M668" s="474"/>
      <c r="N668" s="474"/>
      <c r="O668" s="474"/>
      <c r="P668" s="474"/>
      <c r="Q668" s="474"/>
      <c r="R668" s="474"/>
      <c r="S668" s="474"/>
      <c r="T668" s="474"/>
      <c r="U668" s="474"/>
      <c r="V668" s="474"/>
      <c r="W668" s="474"/>
      <c r="X668" s="474"/>
      <c r="Y668" s="474"/>
      <c r="Z668" s="474"/>
    </row>
    <row r="669" ht="12.0" customHeight="1">
      <c r="A669" s="480"/>
      <c r="B669" s="485"/>
      <c r="C669" s="525"/>
      <c r="D669" s="525"/>
      <c r="E669" s="526"/>
      <c r="F669" s="526"/>
      <c r="G669" s="474"/>
      <c r="H669" s="474"/>
      <c r="I669" s="474"/>
      <c r="J669" s="474"/>
      <c r="K669" s="474"/>
      <c r="L669" s="474"/>
      <c r="M669" s="474"/>
      <c r="N669" s="474"/>
      <c r="O669" s="474"/>
      <c r="P669" s="474"/>
      <c r="Q669" s="474"/>
      <c r="R669" s="474"/>
      <c r="S669" s="474"/>
      <c r="T669" s="474"/>
      <c r="U669" s="474"/>
      <c r="V669" s="474"/>
      <c r="W669" s="474"/>
      <c r="X669" s="474"/>
      <c r="Y669" s="474"/>
      <c r="Z669" s="474"/>
    </row>
    <row r="670" ht="12.0" customHeight="1">
      <c r="A670" s="480"/>
      <c r="B670" s="485"/>
      <c r="C670" s="525"/>
      <c r="D670" s="525"/>
      <c r="E670" s="526"/>
      <c r="F670" s="526"/>
      <c r="G670" s="474"/>
      <c r="H670" s="474"/>
      <c r="I670" s="474"/>
      <c r="J670" s="474"/>
      <c r="K670" s="474"/>
      <c r="L670" s="474"/>
      <c r="M670" s="474"/>
      <c r="N670" s="474"/>
      <c r="O670" s="474"/>
      <c r="P670" s="474"/>
      <c r="Q670" s="474"/>
      <c r="R670" s="474"/>
      <c r="S670" s="474"/>
      <c r="T670" s="474"/>
      <c r="U670" s="474"/>
      <c r="V670" s="474"/>
      <c r="W670" s="474"/>
      <c r="X670" s="474"/>
      <c r="Y670" s="474"/>
      <c r="Z670" s="474"/>
    </row>
    <row r="671" ht="12.0" customHeight="1">
      <c r="A671" s="480"/>
      <c r="B671" s="485"/>
      <c r="C671" s="525"/>
      <c r="D671" s="525"/>
      <c r="E671" s="526"/>
      <c r="F671" s="526"/>
      <c r="G671" s="474"/>
      <c r="H671" s="474"/>
      <c r="I671" s="474"/>
      <c r="J671" s="474"/>
      <c r="K671" s="474"/>
      <c r="L671" s="474"/>
      <c r="M671" s="474"/>
      <c r="N671" s="474"/>
      <c r="O671" s="474"/>
      <c r="P671" s="474"/>
      <c r="Q671" s="474"/>
      <c r="R671" s="474"/>
      <c r="S671" s="474"/>
      <c r="T671" s="474"/>
      <c r="U671" s="474"/>
      <c r="V671" s="474"/>
      <c r="W671" s="474"/>
      <c r="X671" s="474"/>
      <c r="Y671" s="474"/>
      <c r="Z671" s="474"/>
    </row>
    <row r="672" ht="12.0" customHeight="1">
      <c r="A672" s="480"/>
      <c r="B672" s="485"/>
      <c r="C672" s="525"/>
      <c r="D672" s="525"/>
      <c r="E672" s="526"/>
      <c r="F672" s="526"/>
      <c r="G672" s="474"/>
      <c r="H672" s="474"/>
      <c r="I672" s="474"/>
      <c r="J672" s="474"/>
      <c r="K672" s="474"/>
      <c r="L672" s="474"/>
      <c r="M672" s="474"/>
      <c r="N672" s="474"/>
      <c r="O672" s="474"/>
      <c r="P672" s="474"/>
      <c r="Q672" s="474"/>
      <c r="R672" s="474"/>
      <c r="S672" s="474"/>
      <c r="T672" s="474"/>
      <c r="U672" s="474"/>
      <c r="V672" s="474"/>
      <c r="W672" s="474"/>
      <c r="X672" s="474"/>
      <c r="Y672" s="474"/>
      <c r="Z672" s="474"/>
    </row>
    <row r="673" ht="12.0" customHeight="1">
      <c r="A673" s="480"/>
      <c r="B673" s="485"/>
      <c r="C673" s="525"/>
      <c r="D673" s="525"/>
      <c r="E673" s="526"/>
      <c r="F673" s="526"/>
      <c r="G673" s="474"/>
      <c r="H673" s="474"/>
      <c r="I673" s="474"/>
      <c r="J673" s="474"/>
      <c r="K673" s="474"/>
      <c r="L673" s="474"/>
      <c r="M673" s="474"/>
      <c r="N673" s="474"/>
      <c r="O673" s="474"/>
      <c r="P673" s="474"/>
      <c r="Q673" s="474"/>
      <c r="R673" s="474"/>
      <c r="S673" s="474"/>
      <c r="T673" s="474"/>
      <c r="U673" s="474"/>
      <c r="V673" s="474"/>
      <c r="W673" s="474"/>
      <c r="X673" s="474"/>
      <c r="Y673" s="474"/>
      <c r="Z673" s="474"/>
    </row>
    <row r="674" ht="12.0" customHeight="1">
      <c r="A674" s="480"/>
      <c r="B674" s="485"/>
      <c r="C674" s="525"/>
      <c r="D674" s="525"/>
      <c r="E674" s="526"/>
      <c r="F674" s="526"/>
      <c r="G674" s="474"/>
      <c r="H674" s="474"/>
      <c r="I674" s="474"/>
      <c r="J674" s="474"/>
      <c r="K674" s="474"/>
      <c r="L674" s="474"/>
      <c r="M674" s="474"/>
      <c r="N674" s="474"/>
      <c r="O674" s="474"/>
      <c r="P674" s="474"/>
      <c r="Q674" s="474"/>
      <c r="R674" s="474"/>
      <c r="S674" s="474"/>
      <c r="T674" s="474"/>
      <c r="U674" s="474"/>
      <c r="V674" s="474"/>
      <c r="W674" s="474"/>
      <c r="X674" s="474"/>
      <c r="Y674" s="474"/>
      <c r="Z674" s="474"/>
    </row>
    <row r="675" ht="12.0" customHeight="1">
      <c r="A675" s="480"/>
      <c r="B675" s="485"/>
      <c r="C675" s="525"/>
      <c r="D675" s="525"/>
      <c r="E675" s="526"/>
      <c r="F675" s="526"/>
      <c r="G675" s="474"/>
      <c r="H675" s="474"/>
      <c r="I675" s="474"/>
      <c r="J675" s="474"/>
      <c r="K675" s="474"/>
      <c r="L675" s="474"/>
      <c r="M675" s="474"/>
      <c r="N675" s="474"/>
      <c r="O675" s="474"/>
      <c r="P675" s="474"/>
      <c r="Q675" s="474"/>
      <c r="R675" s="474"/>
      <c r="S675" s="474"/>
      <c r="T675" s="474"/>
      <c r="U675" s="474"/>
      <c r="V675" s="474"/>
      <c r="W675" s="474"/>
      <c r="X675" s="474"/>
      <c r="Y675" s="474"/>
      <c r="Z675" s="474"/>
    </row>
    <row r="676" ht="12.0" customHeight="1">
      <c r="A676" s="480"/>
      <c r="B676" s="485"/>
      <c r="C676" s="525"/>
      <c r="D676" s="525"/>
      <c r="E676" s="526"/>
      <c r="F676" s="526"/>
      <c r="G676" s="474"/>
      <c r="H676" s="474"/>
      <c r="I676" s="474"/>
      <c r="J676" s="474"/>
      <c r="K676" s="474"/>
      <c r="L676" s="474"/>
      <c r="M676" s="474"/>
      <c r="N676" s="474"/>
      <c r="O676" s="474"/>
      <c r="P676" s="474"/>
      <c r="Q676" s="474"/>
      <c r="R676" s="474"/>
      <c r="S676" s="474"/>
      <c r="T676" s="474"/>
      <c r="U676" s="474"/>
      <c r="V676" s="474"/>
      <c r="W676" s="474"/>
      <c r="X676" s="474"/>
      <c r="Y676" s="474"/>
      <c r="Z676" s="474"/>
    </row>
    <row r="677" ht="12.0" customHeight="1">
      <c r="A677" s="480"/>
      <c r="B677" s="485"/>
      <c r="C677" s="525"/>
      <c r="D677" s="525"/>
      <c r="E677" s="526"/>
      <c r="F677" s="526"/>
      <c r="G677" s="474"/>
      <c r="H677" s="474"/>
      <c r="I677" s="474"/>
      <c r="J677" s="474"/>
      <c r="K677" s="474"/>
      <c r="L677" s="474"/>
      <c r="M677" s="474"/>
      <c r="N677" s="474"/>
      <c r="O677" s="474"/>
      <c r="P677" s="474"/>
      <c r="Q677" s="474"/>
      <c r="R677" s="474"/>
      <c r="S677" s="474"/>
      <c r="T677" s="474"/>
      <c r="U677" s="474"/>
      <c r="V677" s="474"/>
      <c r="W677" s="474"/>
      <c r="X677" s="474"/>
      <c r="Y677" s="474"/>
      <c r="Z677" s="474"/>
    </row>
    <row r="678" ht="12.0" customHeight="1">
      <c r="A678" s="480"/>
      <c r="B678" s="485"/>
      <c r="C678" s="525"/>
      <c r="D678" s="525"/>
      <c r="E678" s="526"/>
      <c r="F678" s="526"/>
      <c r="G678" s="474"/>
      <c r="H678" s="474"/>
      <c r="I678" s="474"/>
      <c r="J678" s="474"/>
      <c r="K678" s="474"/>
      <c r="L678" s="474"/>
      <c r="M678" s="474"/>
      <c r="N678" s="474"/>
      <c r="O678" s="474"/>
      <c r="P678" s="474"/>
      <c r="Q678" s="474"/>
      <c r="R678" s="474"/>
      <c r="S678" s="474"/>
      <c r="T678" s="474"/>
      <c r="U678" s="474"/>
      <c r="V678" s="474"/>
      <c r="W678" s="474"/>
      <c r="X678" s="474"/>
      <c r="Y678" s="474"/>
      <c r="Z678" s="474"/>
    </row>
    <row r="679" ht="12.0" customHeight="1">
      <c r="A679" s="480"/>
      <c r="B679" s="485"/>
      <c r="C679" s="525"/>
      <c r="D679" s="525"/>
      <c r="E679" s="526"/>
      <c r="F679" s="526"/>
      <c r="G679" s="474"/>
      <c r="H679" s="474"/>
      <c r="I679" s="474"/>
      <c r="J679" s="474"/>
      <c r="K679" s="474"/>
      <c r="L679" s="474"/>
      <c r="M679" s="474"/>
      <c r="N679" s="474"/>
      <c r="O679" s="474"/>
      <c r="P679" s="474"/>
      <c r="Q679" s="474"/>
      <c r="R679" s="474"/>
      <c r="S679" s="474"/>
      <c r="T679" s="474"/>
      <c r="U679" s="474"/>
      <c r="V679" s="474"/>
      <c r="W679" s="474"/>
      <c r="X679" s="474"/>
      <c r="Y679" s="474"/>
      <c r="Z679" s="474"/>
    </row>
    <row r="680" ht="12.0" customHeight="1">
      <c r="A680" s="480"/>
      <c r="B680" s="485"/>
      <c r="C680" s="525"/>
      <c r="D680" s="525"/>
      <c r="E680" s="526"/>
      <c r="F680" s="526"/>
      <c r="G680" s="474"/>
      <c r="H680" s="474"/>
      <c r="I680" s="474"/>
      <c r="J680" s="474"/>
      <c r="K680" s="474"/>
      <c r="L680" s="474"/>
      <c r="M680" s="474"/>
      <c r="N680" s="474"/>
      <c r="O680" s="474"/>
      <c r="P680" s="474"/>
      <c r="Q680" s="474"/>
      <c r="R680" s="474"/>
      <c r="S680" s="474"/>
      <c r="T680" s="474"/>
      <c r="U680" s="474"/>
      <c r="V680" s="474"/>
      <c r="W680" s="474"/>
      <c r="X680" s="474"/>
      <c r="Y680" s="474"/>
      <c r="Z680" s="474"/>
    </row>
    <row r="681" ht="12.0" customHeight="1">
      <c r="A681" s="480"/>
      <c r="B681" s="485"/>
      <c r="C681" s="525"/>
      <c r="D681" s="525"/>
      <c r="E681" s="526"/>
      <c r="F681" s="526"/>
      <c r="G681" s="474"/>
      <c r="H681" s="474"/>
      <c r="I681" s="474"/>
      <c r="J681" s="474"/>
      <c r="K681" s="474"/>
      <c r="L681" s="474"/>
      <c r="M681" s="474"/>
      <c r="N681" s="474"/>
      <c r="O681" s="474"/>
      <c r="P681" s="474"/>
      <c r="Q681" s="474"/>
      <c r="R681" s="474"/>
      <c r="S681" s="474"/>
      <c r="T681" s="474"/>
      <c r="U681" s="474"/>
      <c r="V681" s="474"/>
      <c r="W681" s="474"/>
      <c r="X681" s="474"/>
      <c r="Y681" s="474"/>
      <c r="Z681" s="474"/>
    </row>
    <row r="682" ht="12.0" customHeight="1">
      <c r="A682" s="480"/>
      <c r="B682" s="485"/>
      <c r="C682" s="525"/>
      <c r="D682" s="525"/>
      <c r="E682" s="526"/>
      <c r="F682" s="526"/>
      <c r="G682" s="474"/>
      <c r="H682" s="474"/>
      <c r="I682" s="474"/>
      <c r="J682" s="474"/>
      <c r="K682" s="474"/>
      <c r="L682" s="474"/>
      <c r="M682" s="474"/>
      <c r="N682" s="474"/>
      <c r="O682" s="474"/>
      <c r="P682" s="474"/>
      <c r="Q682" s="474"/>
      <c r="R682" s="474"/>
      <c r="S682" s="474"/>
      <c r="T682" s="474"/>
      <c r="U682" s="474"/>
      <c r="V682" s="474"/>
      <c r="W682" s="474"/>
      <c r="X682" s="474"/>
      <c r="Y682" s="474"/>
      <c r="Z682" s="474"/>
    </row>
    <row r="683" ht="12.0" customHeight="1">
      <c r="A683" s="480"/>
      <c r="B683" s="485"/>
      <c r="C683" s="525"/>
      <c r="D683" s="525"/>
      <c r="E683" s="526"/>
      <c r="F683" s="526"/>
      <c r="G683" s="474"/>
      <c r="H683" s="474"/>
      <c r="I683" s="474"/>
      <c r="J683" s="474"/>
      <c r="K683" s="474"/>
      <c r="L683" s="474"/>
      <c r="M683" s="474"/>
      <c r="N683" s="474"/>
      <c r="O683" s="474"/>
      <c r="P683" s="474"/>
      <c r="Q683" s="474"/>
      <c r="R683" s="474"/>
      <c r="S683" s="474"/>
      <c r="T683" s="474"/>
      <c r="U683" s="474"/>
      <c r="V683" s="474"/>
      <c r="W683" s="474"/>
      <c r="X683" s="474"/>
      <c r="Y683" s="474"/>
      <c r="Z683" s="474"/>
    </row>
    <row r="684" ht="12.0" customHeight="1">
      <c r="A684" s="480"/>
      <c r="B684" s="485"/>
      <c r="C684" s="525"/>
      <c r="D684" s="525"/>
      <c r="E684" s="526"/>
      <c r="F684" s="526"/>
      <c r="G684" s="474"/>
      <c r="H684" s="474"/>
      <c r="I684" s="474"/>
      <c r="J684" s="474"/>
      <c r="K684" s="474"/>
      <c r="L684" s="474"/>
      <c r="M684" s="474"/>
      <c r="N684" s="474"/>
      <c r="O684" s="474"/>
      <c r="P684" s="474"/>
      <c r="Q684" s="474"/>
      <c r="R684" s="474"/>
      <c r="S684" s="474"/>
      <c r="T684" s="474"/>
      <c r="U684" s="474"/>
      <c r="V684" s="474"/>
      <c r="W684" s="474"/>
      <c r="X684" s="474"/>
      <c r="Y684" s="474"/>
      <c r="Z684" s="474"/>
    </row>
    <row r="685" ht="12.0" customHeight="1">
      <c r="A685" s="480"/>
      <c r="B685" s="485"/>
      <c r="C685" s="525"/>
      <c r="D685" s="525"/>
      <c r="E685" s="526"/>
      <c r="F685" s="526"/>
      <c r="G685" s="474"/>
      <c r="H685" s="474"/>
      <c r="I685" s="474"/>
      <c r="J685" s="474"/>
      <c r="K685" s="474"/>
      <c r="L685" s="474"/>
      <c r="M685" s="474"/>
      <c r="N685" s="474"/>
      <c r="O685" s="474"/>
      <c r="P685" s="474"/>
      <c r="Q685" s="474"/>
      <c r="R685" s="474"/>
      <c r="S685" s="474"/>
      <c r="T685" s="474"/>
      <c r="U685" s="474"/>
      <c r="V685" s="474"/>
      <c r="W685" s="474"/>
      <c r="X685" s="474"/>
      <c r="Y685" s="474"/>
      <c r="Z685" s="474"/>
    </row>
    <row r="686" ht="12.0" customHeight="1">
      <c r="A686" s="480"/>
      <c r="B686" s="485"/>
      <c r="C686" s="525"/>
      <c r="D686" s="525"/>
      <c r="E686" s="526"/>
      <c r="F686" s="526"/>
      <c r="G686" s="474"/>
      <c r="H686" s="474"/>
      <c r="I686" s="474"/>
      <c r="J686" s="474"/>
      <c r="K686" s="474"/>
      <c r="L686" s="474"/>
      <c r="M686" s="474"/>
      <c r="N686" s="474"/>
      <c r="O686" s="474"/>
      <c r="P686" s="474"/>
      <c r="Q686" s="474"/>
      <c r="R686" s="474"/>
      <c r="S686" s="474"/>
      <c r="T686" s="474"/>
      <c r="U686" s="474"/>
      <c r="V686" s="474"/>
      <c r="W686" s="474"/>
      <c r="X686" s="474"/>
      <c r="Y686" s="474"/>
      <c r="Z686" s="474"/>
    </row>
    <row r="687" ht="12.0" customHeight="1">
      <c r="A687" s="480"/>
      <c r="B687" s="485"/>
      <c r="C687" s="525"/>
      <c r="D687" s="525"/>
      <c r="E687" s="526"/>
      <c r="F687" s="526"/>
      <c r="G687" s="474"/>
      <c r="H687" s="474"/>
      <c r="I687" s="474"/>
      <c r="J687" s="474"/>
      <c r="K687" s="474"/>
      <c r="L687" s="474"/>
      <c r="M687" s="474"/>
      <c r="N687" s="474"/>
      <c r="O687" s="474"/>
      <c r="P687" s="474"/>
      <c r="Q687" s="474"/>
      <c r="R687" s="474"/>
      <c r="S687" s="474"/>
      <c r="T687" s="474"/>
      <c r="U687" s="474"/>
      <c r="V687" s="474"/>
      <c r="W687" s="474"/>
      <c r="X687" s="474"/>
      <c r="Y687" s="474"/>
      <c r="Z687" s="474"/>
    </row>
    <row r="688" ht="12.0" customHeight="1">
      <c r="A688" s="480"/>
      <c r="B688" s="485"/>
      <c r="C688" s="525"/>
      <c r="D688" s="525"/>
      <c r="E688" s="526"/>
      <c r="F688" s="526"/>
      <c r="G688" s="474"/>
      <c r="H688" s="474"/>
      <c r="I688" s="474"/>
      <c r="J688" s="474"/>
      <c r="K688" s="474"/>
      <c r="L688" s="474"/>
      <c r="M688" s="474"/>
      <c r="N688" s="474"/>
      <c r="O688" s="474"/>
      <c r="P688" s="474"/>
      <c r="Q688" s="474"/>
      <c r="R688" s="474"/>
      <c r="S688" s="474"/>
      <c r="T688" s="474"/>
      <c r="U688" s="474"/>
      <c r="V688" s="474"/>
      <c r="W688" s="474"/>
      <c r="X688" s="474"/>
      <c r="Y688" s="474"/>
      <c r="Z688" s="474"/>
    </row>
    <row r="689" ht="12.0" customHeight="1">
      <c r="A689" s="480"/>
      <c r="B689" s="485"/>
      <c r="C689" s="525"/>
      <c r="D689" s="525"/>
      <c r="E689" s="526"/>
      <c r="F689" s="526"/>
      <c r="G689" s="474"/>
      <c r="H689" s="474"/>
      <c r="I689" s="474"/>
      <c r="J689" s="474"/>
      <c r="K689" s="474"/>
      <c r="L689" s="474"/>
      <c r="M689" s="474"/>
      <c r="N689" s="474"/>
      <c r="O689" s="474"/>
      <c r="P689" s="474"/>
      <c r="Q689" s="474"/>
      <c r="R689" s="474"/>
      <c r="S689" s="474"/>
      <c r="T689" s="474"/>
      <c r="U689" s="474"/>
      <c r="V689" s="474"/>
      <c r="W689" s="474"/>
      <c r="X689" s="474"/>
      <c r="Y689" s="474"/>
      <c r="Z689" s="474"/>
    </row>
    <row r="690" ht="12.0" customHeight="1">
      <c r="A690" s="480"/>
      <c r="B690" s="485"/>
      <c r="C690" s="525"/>
      <c r="D690" s="525"/>
      <c r="E690" s="526"/>
      <c r="F690" s="526"/>
      <c r="G690" s="474"/>
      <c r="H690" s="474"/>
      <c r="I690" s="474"/>
      <c r="J690" s="474"/>
      <c r="K690" s="474"/>
      <c r="L690" s="474"/>
      <c r="M690" s="474"/>
      <c r="N690" s="474"/>
      <c r="O690" s="474"/>
      <c r="P690" s="474"/>
      <c r="Q690" s="474"/>
      <c r="R690" s="474"/>
      <c r="S690" s="474"/>
      <c r="T690" s="474"/>
      <c r="U690" s="474"/>
      <c r="V690" s="474"/>
      <c r="W690" s="474"/>
      <c r="X690" s="474"/>
      <c r="Y690" s="474"/>
      <c r="Z690" s="474"/>
    </row>
    <row r="691" ht="12.0" customHeight="1">
      <c r="A691" s="480"/>
      <c r="B691" s="485"/>
      <c r="C691" s="525"/>
      <c r="D691" s="525"/>
      <c r="E691" s="526"/>
      <c r="F691" s="526"/>
      <c r="G691" s="474"/>
      <c r="H691" s="474"/>
      <c r="I691" s="474"/>
      <c r="J691" s="474"/>
      <c r="K691" s="474"/>
      <c r="L691" s="474"/>
      <c r="M691" s="474"/>
      <c r="N691" s="474"/>
      <c r="O691" s="474"/>
      <c r="P691" s="474"/>
      <c r="Q691" s="474"/>
      <c r="R691" s="474"/>
      <c r="S691" s="474"/>
      <c r="T691" s="474"/>
      <c r="U691" s="474"/>
      <c r="V691" s="474"/>
      <c r="W691" s="474"/>
      <c r="X691" s="474"/>
      <c r="Y691" s="474"/>
      <c r="Z691" s="474"/>
    </row>
    <row r="692" ht="12.0" customHeight="1">
      <c r="A692" s="480"/>
      <c r="B692" s="485"/>
      <c r="C692" s="525"/>
      <c r="D692" s="525"/>
      <c r="E692" s="526"/>
      <c r="F692" s="526"/>
      <c r="G692" s="474"/>
      <c r="H692" s="474"/>
      <c r="I692" s="474"/>
      <c r="J692" s="474"/>
      <c r="K692" s="474"/>
      <c r="L692" s="474"/>
      <c r="M692" s="474"/>
      <c r="N692" s="474"/>
      <c r="O692" s="474"/>
      <c r="P692" s="474"/>
      <c r="Q692" s="474"/>
      <c r="R692" s="474"/>
      <c r="S692" s="474"/>
      <c r="T692" s="474"/>
      <c r="U692" s="474"/>
      <c r="V692" s="474"/>
      <c r="W692" s="474"/>
      <c r="X692" s="474"/>
      <c r="Y692" s="474"/>
      <c r="Z692" s="474"/>
    </row>
    <row r="693" ht="12.0" customHeight="1">
      <c r="A693" s="480"/>
      <c r="B693" s="485"/>
      <c r="C693" s="525"/>
      <c r="D693" s="525"/>
      <c r="E693" s="526"/>
      <c r="F693" s="526"/>
      <c r="G693" s="474"/>
      <c r="H693" s="474"/>
      <c r="I693" s="474"/>
      <c r="J693" s="474"/>
      <c r="K693" s="474"/>
      <c r="L693" s="474"/>
      <c r="M693" s="474"/>
      <c r="N693" s="474"/>
      <c r="O693" s="474"/>
      <c r="P693" s="474"/>
      <c r="Q693" s="474"/>
      <c r="R693" s="474"/>
      <c r="S693" s="474"/>
      <c r="T693" s="474"/>
      <c r="U693" s="474"/>
      <c r="V693" s="474"/>
      <c r="W693" s="474"/>
      <c r="X693" s="474"/>
      <c r="Y693" s="474"/>
      <c r="Z693" s="474"/>
    </row>
    <row r="694" ht="12.0" customHeight="1">
      <c r="A694" s="480"/>
      <c r="B694" s="485"/>
      <c r="C694" s="525"/>
      <c r="D694" s="525"/>
      <c r="E694" s="526"/>
      <c r="F694" s="526"/>
      <c r="G694" s="474"/>
      <c r="H694" s="474"/>
      <c r="I694" s="474"/>
      <c r="J694" s="474"/>
      <c r="K694" s="474"/>
      <c r="L694" s="474"/>
      <c r="M694" s="474"/>
      <c r="N694" s="474"/>
      <c r="O694" s="474"/>
      <c r="P694" s="474"/>
      <c r="Q694" s="474"/>
      <c r="R694" s="474"/>
      <c r="S694" s="474"/>
      <c r="T694" s="474"/>
      <c r="U694" s="474"/>
      <c r="V694" s="474"/>
      <c r="W694" s="474"/>
      <c r="X694" s="474"/>
      <c r="Y694" s="474"/>
      <c r="Z694" s="474"/>
    </row>
    <row r="695" ht="12.0" customHeight="1">
      <c r="A695" s="480"/>
      <c r="B695" s="485"/>
      <c r="C695" s="525"/>
      <c r="D695" s="525"/>
      <c r="E695" s="526"/>
      <c r="F695" s="526"/>
      <c r="G695" s="474"/>
      <c r="H695" s="474"/>
      <c r="I695" s="474"/>
      <c r="J695" s="474"/>
      <c r="K695" s="474"/>
      <c r="L695" s="474"/>
      <c r="M695" s="474"/>
      <c r="N695" s="474"/>
      <c r="O695" s="474"/>
      <c r="P695" s="474"/>
      <c r="Q695" s="474"/>
      <c r="R695" s="474"/>
      <c r="S695" s="474"/>
      <c r="T695" s="474"/>
      <c r="U695" s="474"/>
      <c r="V695" s="474"/>
      <c r="W695" s="474"/>
      <c r="X695" s="474"/>
      <c r="Y695" s="474"/>
      <c r="Z695" s="474"/>
    </row>
    <row r="696" ht="12.0" customHeight="1">
      <c r="A696" s="480"/>
      <c r="B696" s="485"/>
      <c r="C696" s="525"/>
      <c r="D696" s="525"/>
      <c r="E696" s="526"/>
      <c r="F696" s="526"/>
      <c r="G696" s="474"/>
      <c r="H696" s="474"/>
      <c r="I696" s="474"/>
      <c r="J696" s="474"/>
      <c r="K696" s="474"/>
      <c r="L696" s="474"/>
      <c r="M696" s="474"/>
      <c r="N696" s="474"/>
      <c r="O696" s="474"/>
      <c r="P696" s="474"/>
      <c r="Q696" s="474"/>
      <c r="R696" s="474"/>
      <c r="S696" s="474"/>
      <c r="T696" s="474"/>
      <c r="U696" s="474"/>
      <c r="V696" s="474"/>
      <c r="W696" s="474"/>
      <c r="X696" s="474"/>
      <c r="Y696" s="474"/>
      <c r="Z696" s="474"/>
    </row>
    <row r="697" ht="12.0" customHeight="1">
      <c r="A697" s="480"/>
      <c r="B697" s="485"/>
      <c r="C697" s="525"/>
      <c r="D697" s="525"/>
      <c r="E697" s="526"/>
      <c r="F697" s="526"/>
      <c r="G697" s="474"/>
      <c r="H697" s="474"/>
      <c r="I697" s="474"/>
      <c r="J697" s="474"/>
      <c r="K697" s="474"/>
      <c r="L697" s="474"/>
      <c r="M697" s="474"/>
      <c r="N697" s="474"/>
      <c r="O697" s="474"/>
      <c r="P697" s="474"/>
      <c r="Q697" s="474"/>
      <c r="R697" s="474"/>
      <c r="S697" s="474"/>
      <c r="T697" s="474"/>
      <c r="U697" s="474"/>
      <c r="V697" s="474"/>
      <c r="W697" s="474"/>
      <c r="X697" s="474"/>
      <c r="Y697" s="474"/>
      <c r="Z697" s="474"/>
    </row>
    <row r="698" ht="12.0" customHeight="1">
      <c r="A698" s="480"/>
      <c r="B698" s="485"/>
      <c r="C698" s="525"/>
      <c r="D698" s="525"/>
      <c r="E698" s="526"/>
      <c r="F698" s="526"/>
      <c r="G698" s="474"/>
      <c r="H698" s="474"/>
      <c r="I698" s="474"/>
      <c r="J698" s="474"/>
      <c r="K698" s="474"/>
      <c r="L698" s="474"/>
      <c r="M698" s="474"/>
      <c r="N698" s="474"/>
      <c r="O698" s="474"/>
      <c r="P698" s="474"/>
      <c r="Q698" s="474"/>
      <c r="R698" s="474"/>
      <c r="S698" s="474"/>
      <c r="T698" s="474"/>
      <c r="U698" s="474"/>
      <c r="V698" s="474"/>
      <c r="W698" s="474"/>
      <c r="X698" s="474"/>
      <c r="Y698" s="474"/>
      <c r="Z698" s="474"/>
    </row>
    <row r="699" ht="12.0" customHeight="1">
      <c r="A699" s="480"/>
      <c r="B699" s="485"/>
      <c r="C699" s="525"/>
      <c r="D699" s="525"/>
      <c r="E699" s="526"/>
      <c r="F699" s="526"/>
      <c r="G699" s="474"/>
      <c r="H699" s="474"/>
      <c r="I699" s="474"/>
      <c r="J699" s="474"/>
      <c r="K699" s="474"/>
      <c r="L699" s="474"/>
      <c r="M699" s="474"/>
      <c r="N699" s="474"/>
      <c r="O699" s="474"/>
      <c r="P699" s="474"/>
      <c r="Q699" s="474"/>
      <c r="R699" s="474"/>
      <c r="S699" s="474"/>
      <c r="T699" s="474"/>
      <c r="U699" s="474"/>
      <c r="V699" s="474"/>
      <c r="W699" s="474"/>
      <c r="X699" s="474"/>
      <c r="Y699" s="474"/>
      <c r="Z699" s="474"/>
    </row>
    <row r="700" ht="12.0" customHeight="1">
      <c r="A700" s="480"/>
      <c r="B700" s="485"/>
      <c r="C700" s="525"/>
      <c r="D700" s="525"/>
      <c r="E700" s="526"/>
      <c r="F700" s="526"/>
      <c r="G700" s="474"/>
      <c r="H700" s="474"/>
      <c r="I700" s="474"/>
      <c r="J700" s="474"/>
      <c r="K700" s="474"/>
      <c r="L700" s="474"/>
      <c r="M700" s="474"/>
      <c r="N700" s="474"/>
      <c r="O700" s="474"/>
      <c r="P700" s="474"/>
      <c r="Q700" s="474"/>
      <c r="R700" s="474"/>
      <c r="S700" s="474"/>
      <c r="T700" s="474"/>
      <c r="U700" s="474"/>
      <c r="V700" s="474"/>
      <c r="W700" s="474"/>
      <c r="X700" s="474"/>
      <c r="Y700" s="474"/>
      <c r="Z700" s="474"/>
    </row>
    <row r="701" ht="12.0" customHeight="1">
      <c r="A701" s="480"/>
      <c r="B701" s="485"/>
      <c r="C701" s="525"/>
      <c r="D701" s="525"/>
      <c r="E701" s="526"/>
      <c r="F701" s="526"/>
      <c r="G701" s="474"/>
      <c r="H701" s="474"/>
      <c r="I701" s="474"/>
      <c r="J701" s="474"/>
      <c r="K701" s="474"/>
      <c r="L701" s="474"/>
      <c r="M701" s="474"/>
      <c r="N701" s="474"/>
      <c r="O701" s="474"/>
      <c r="P701" s="474"/>
      <c r="Q701" s="474"/>
      <c r="R701" s="474"/>
      <c r="S701" s="474"/>
      <c r="T701" s="474"/>
      <c r="U701" s="474"/>
      <c r="V701" s="474"/>
      <c r="W701" s="474"/>
      <c r="X701" s="474"/>
      <c r="Y701" s="474"/>
      <c r="Z701" s="474"/>
    </row>
    <row r="702" ht="12.0" customHeight="1">
      <c r="A702" s="480"/>
      <c r="B702" s="485"/>
      <c r="C702" s="525"/>
      <c r="D702" s="525"/>
      <c r="E702" s="526"/>
      <c r="F702" s="526"/>
      <c r="G702" s="474"/>
      <c r="H702" s="474"/>
      <c r="I702" s="474"/>
      <c r="J702" s="474"/>
      <c r="K702" s="474"/>
      <c r="L702" s="474"/>
      <c r="M702" s="474"/>
      <c r="N702" s="474"/>
      <c r="O702" s="474"/>
      <c r="P702" s="474"/>
      <c r="Q702" s="474"/>
      <c r="R702" s="474"/>
      <c r="S702" s="474"/>
      <c r="T702" s="474"/>
      <c r="U702" s="474"/>
      <c r="V702" s="474"/>
      <c r="W702" s="474"/>
      <c r="X702" s="474"/>
      <c r="Y702" s="474"/>
      <c r="Z702" s="474"/>
    </row>
    <row r="703" ht="12.0" customHeight="1">
      <c r="A703" s="480"/>
      <c r="B703" s="485"/>
      <c r="C703" s="525"/>
      <c r="D703" s="525"/>
      <c r="E703" s="526"/>
      <c r="F703" s="526"/>
      <c r="G703" s="474"/>
      <c r="H703" s="474"/>
      <c r="I703" s="474"/>
      <c r="J703" s="474"/>
      <c r="K703" s="474"/>
      <c r="L703" s="474"/>
      <c r="M703" s="474"/>
      <c r="N703" s="474"/>
      <c r="O703" s="474"/>
      <c r="P703" s="474"/>
      <c r="Q703" s="474"/>
      <c r="R703" s="474"/>
      <c r="S703" s="474"/>
      <c r="T703" s="474"/>
      <c r="U703" s="474"/>
      <c r="V703" s="474"/>
      <c r="W703" s="474"/>
      <c r="X703" s="474"/>
      <c r="Y703" s="474"/>
      <c r="Z703" s="474"/>
    </row>
    <row r="704" ht="12.0" customHeight="1">
      <c r="A704" s="480"/>
      <c r="B704" s="485"/>
      <c r="C704" s="525"/>
      <c r="D704" s="525"/>
      <c r="E704" s="526"/>
      <c r="F704" s="526"/>
      <c r="G704" s="474"/>
      <c r="H704" s="474"/>
      <c r="I704" s="474"/>
      <c r="J704" s="474"/>
      <c r="K704" s="474"/>
      <c r="L704" s="474"/>
      <c r="M704" s="474"/>
      <c r="N704" s="474"/>
      <c r="O704" s="474"/>
      <c r="P704" s="474"/>
      <c r="Q704" s="474"/>
      <c r="R704" s="474"/>
      <c r="S704" s="474"/>
      <c r="T704" s="474"/>
      <c r="U704" s="474"/>
      <c r="V704" s="474"/>
      <c r="W704" s="474"/>
      <c r="X704" s="474"/>
      <c r="Y704" s="474"/>
      <c r="Z704" s="474"/>
    </row>
    <row r="705" ht="12.0" customHeight="1">
      <c r="A705" s="480"/>
      <c r="B705" s="485"/>
      <c r="C705" s="525"/>
      <c r="D705" s="525"/>
      <c r="E705" s="526"/>
      <c r="F705" s="526"/>
      <c r="G705" s="474"/>
      <c r="H705" s="474"/>
      <c r="I705" s="474"/>
      <c r="J705" s="474"/>
      <c r="K705" s="474"/>
      <c r="L705" s="474"/>
      <c r="M705" s="474"/>
      <c r="N705" s="474"/>
      <c r="O705" s="474"/>
      <c r="P705" s="474"/>
      <c r="Q705" s="474"/>
      <c r="R705" s="474"/>
      <c r="S705" s="474"/>
      <c r="T705" s="474"/>
      <c r="U705" s="474"/>
      <c r="V705" s="474"/>
      <c r="W705" s="474"/>
      <c r="X705" s="474"/>
      <c r="Y705" s="474"/>
      <c r="Z705" s="474"/>
    </row>
    <row r="706" ht="12.0" customHeight="1">
      <c r="A706" s="480"/>
      <c r="B706" s="485"/>
      <c r="C706" s="525"/>
      <c r="D706" s="525"/>
      <c r="E706" s="526"/>
      <c r="F706" s="526"/>
      <c r="G706" s="474"/>
      <c r="H706" s="474"/>
      <c r="I706" s="474"/>
      <c r="J706" s="474"/>
      <c r="K706" s="474"/>
      <c r="L706" s="474"/>
      <c r="M706" s="474"/>
      <c r="N706" s="474"/>
      <c r="O706" s="474"/>
      <c r="P706" s="474"/>
      <c r="Q706" s="474"/>
      <c r="R706" s="474"/>
      <c r="S706" s="474"/>
      <c r="T706" s="474"/>
      <c r="U706" s="474"/>
      <c r="V706" s="474"/>
      <c r="W706" s="474"/>
      <c r="X706" s="474"/>
      <c r="Y706" s="474"/>
      <c r="Z706" s="474"/>
    </row>
    <row r="707" ht="12.0" customHeight="1">
      <c r="A707" s="480"/>
      <c r="B707" s="485"/>
      <c r="C707" s="525"/>
      <c r="D707" s="525"/>
      <c r="E707" s="526"/>
      <c r="F707" s="526"/>
      <c r="G707" s="474"/>
      <c r="H707" s="474"/>
      <c r="I707" s="474"/>
      <c r="J707" s="474"/>
      <c r="K707" s="474"/>
      <c r="L707" s="474"/>
      <c r="M707" s="474"/>
      <c r="N707" s="474"/>
      <c r="O707" s="474"/>
      <c r="P707" s="474"/>
      <c r="Q707" s="474"/>
      <c r="R707" s="474"/>
      <c r="S707" s="474"/>
      <c r="T707" s="474"/>
      <c r="U707" s="474"/>
      <c r="V707" s="474"/>
      <c r="W707" s="474"/>
      <c r="X707" s="474"/>
      <c r="Y707" s="474"/>
      <c r="Z707" s="474"/>
    </row>
    <row r="708" ht="12.0" customHeight="1">
      <c r="A708" s="480"/>
      <c r="B708" s="485"/>
      <c r="C708" s="525"/>
      <c r="D708" s="525"/>
      <c r="E708" s="526"/>
      <c r="F708" s="526"/>
      <c r="G708" s="474"/>
      <c r="H708" s="474"/>
      <c r="I708" s="474"/>
      <c r="J708" s="474"/>
      <c r="K708" s="474"/>
      <c r="L708" s="474"/>
      <c r="M708" s="474"/>
      <c r="N708" s="474"/>
      <c r="O708" s="474"/>
      <c r="P708" s="474"/>
      <c r="Q708" s="474"/>
      <c r="R708" s="474"/>
      <c r="S708" s="474"/>
      <c r="T708" s="474"/>
      <c r="U708" s="474"/>
      <c r="V708" s="474"/>
      <c r="W708" s="474"/>
      <c r="X708" s="474"/>
      <c r="Y708" s="474"/>
      <c r="Z708" s="474"/>
    </row>
    <row r="709" ht="12.0" customHeight="1">
      <c r="A709" s="480"/>
      <c r="B709" s="485"/>
      <c r="C709" s="525"/>
      <c r="D709" s="525"/>
      <c r="E709" s="526"/>
      <c r="F709" s="526"/>
      <c r="G709" s="474"/>
      <c r="H709" s="474"/>
      <c r="I709" s="474"/>
      <c r="J709" s="474"/>
      <c r="K709" s="474"/>
      <c r="L709" s="474"/>
      <c r="M709" s="474"/>
      <c r="N709" s="474"/>
      <c r="O709" s="474"/>
      <c r="P709" s="474"/>
      <c r="Q709" s="474"/>
      <c r="R709" s="474"/>
      <c r="S709" s="474"/>
      <c r="T709" s="474"/>
      <c r="U709" s="474"/>
      <c r="V709" s="474"/>
      <c r="W709" s="474"/>
      <c r="X709" s="474"/>
      <c r="Y709" s="474"/>
      <c r="Z709" s="474"/>
    </row>
    <row r="710" ht="12.0" customHeight="1">
      <c r="A710" s="480"/>
      <c r="B710" s="485"/>
      <c r="C710" s="525"/>
      <c r="D710" s="525"/>
      <c r="E710" s="526"/>
      <c r="F710" s="526"/>
      <c r="G710" s="474"/>
      <c r="H710" s="474"/>
      <c r="I710" s="474"/>
      <c r="J710" s="474"/>
      <c r="K710" s="474"/>
      <c r="L710" s="474"/>
      <c r="M710" s="474"/>
      <c r="N710" s="474"/>
      <c r="O710" s="474"/>
      <c r="P710" s="474"/>
      <c r="Q710" s="474"/>
      <c r="R710" s="474"/>
      <c r="S710" s="474"/>
      <c r="T710" s="474"/>
      <c r="U710" s="474"/>
      <c r="V710" s="474"/>
      <c r="W710" s="474"/>
      <c r="X710" s="474"/>
      <c r="Y710" s="474"/>
      <c r="Z710" s="474"/>
    </row>
    <row r="711" ht="12.0" customHeight="1">
      <c r="A711" s="480"/>
      <c r="B711" s="485"/>
      <c r="C711" s="525"/>
      <c r="D711" s="525"/>
      <c r="E711" s="526"/>
      <c r="F711" s="526"/>
      <c r="G711" s="474"/>
      <c r="H711" s="474"/>
      <c r="I711" s="474"/>
      <c r="J711" s="474"/>
      <c r="K711" s="474"/>
      <c r="L711" s="474"/>
      <c r="M711" s="474"/>
      <c r="N711" s="474"/>
      <c r="O711" s="474"/>
      <c r="P711" s="474"/>
      <c r="Q711" s="474"/>
      <c r="R711" s="474"/>
      <c r="S711" s="474"/>
      <c r="T711" s="474"/>
      <c r="U711" s="474"/>
      <c r="V711" s="474"/>
      <c r="W711" s="474"/>
      <c r="X711" s="474"/>
      <c r="Y711" s="474"/>
      <c r="Z711" s="474"/>
    </row>
    <row r="712" ht="12.0" customHeight="1">
      <c r="A712" s="480"/>
      <c r="B712" s="485"/>
      <c r="C712" s="525"/>
      <c r="D712" s="525"/>
      <c r="E712" s="526"/>
      <c r="F712" s="526"/>
      <c r="G712" s="474"/>
      <c r="H712" s="474"/>
      <c r="I712" s="474"/>
      <c r="J712" s="474"/>
      <c r="K712" s="474"/>
      <c r="L712" s="474"/>
      <c r="M712" s="474"/>
      <c r="N712" s="474"/>
      <c r="O712" s="474"/>
      <c r="P712" s="474"/>
      <c r="Q712" s="474"/>
      <c r="R712" s="474"/>
      <c r="S712" s="474"/>
      <c r="T712" s="474"/>
      <c r="U712" s="474"/>
      <c r="V712" s="474"/>
      <c r="W712" s="474"/>
      <c r="X712" s="474"/>
      <c r="Y712" s="474"/>
      <c r="Z712" s="474"/>
    </row>
    <row r="713" ht="12.0" customHeight="1">
      <c r="A713" s="480"/>
      <c r="B713" s="485"/>
      <c r="C713" s="525"/>
      <c r="D713" s="525"/>
      <c r="E713" s="526"/>
      <c r="F713" s="526"/>
      <c r="G713" s="474"/>
      <c r="H713" s="474"/>
      <c r="I713" s="474"/>
      <c r="J713" s="474"/>
      <c r="K713" s="474"/>
      <c r="L713" s="474"/>
      <c r="M713" s="474"/>
      <c r="N713" s="474"/>
      <c r="O713" s="474"/>
      <c r="P713" s="474"/>
      <c r="Q713" s="474"/>
      <c r="R713" s="474"/>
      <c r="S713" s="474"/>
      <c r="T713" s="474"/>
      <c r="U713" s="474"/>
      <c r="V713" s="474"/>
      <c r="W713" s="474"/>
      <c r="X713" s="474"/>
      <c r="Y713" s="474"/>
      <c r="Z713" s="474"/>
    </row>
    <row r="714" ht="12.0" customHeight="1">
      <c r="A714" s="480"/>
      <c r="B714" s="485"/>
      <c r="C714" s="525"/>
      <c r="D714" s="525"/>
      <c r="E714" s="526"/>
      <c r="F714" s="526"/>
      <c r="G714" s="474"/>
      <c r="H714" s="474"/>
      <c r="I714" s="474"/>
      <c r="J714" s="474"/>
      <c r="K714" s="474"/>
      <c r="L714" s="474"/>
      <c r="M714" s="474"/>
      <c r="N714" s="474"/>
      <c r="O714" s="474"/>
      <c r="P714" s="474"/>
      <c r="Q714" s="474"/>
      <c r="R714" s="474"/>
      <c r="S714" s="474"/>
      <c r="T714" s="474"/>
      <c r="U714" s="474"/>
      <c r="V714" s="474"/>
      <c r="W714" s="474"/>
      <c r="X714" s="474"/>
      <c r="Y714" s="474"/>
      <c r="Z714" s="474"/>
    </row>
    <row r="715" ht="12.0" customHeight="1">
      <c r="A715" s="480"/>
      <c r="B715" s="485"/>
      <c r="C715" s="525"/>
      <c r="D715" s="525"/>
      <c r="E715" s="526"/>
      <c r="F715" s="526"/>
      <c r="G715" s="474"/>
      <c r="H715" s="474"/>
      <c r="I715" s="474"/>
      <c r="J715" s="474"/>
      <c r="K715" s="474"/>
      <c r="L715" s="474"/>
      <c r="M715" s="474"/>
      <c r="N715" s="474"/>
      <c r="O715" s="474"/>
      <c r="P715" s="474"/>
      <c r="Q715" s="474"/>
      <c r="R715" s="474"/>
      <c r="S715" s="474"/>
      <c r="T715" s="474"/>
      <c r="U715" s="474"/>
      <c r="V715" s="474"/>
      <c r="W715" s="474"/>
      <c r="X715" s="474"/>
      <c r="Y715" s="474"/>
      <c r="Z715" s="474"/>
    </row>
    <row r="716" ht="12.0" customHeight="1">
      <c r="A716" s="480"/>
      <c r="B716" s="485"/>
      <c r="C716" s="525"/>
      <c r="D716" s="525"/>
      <c r="E716" s="526"/>
      <c r="F716" s="526"/>
      <c r="G716" s="474"/>
      <c r="H716" s="474"/>
      <c r="I716" s="474"/>
      <c r="J716" s="474"/>
      <c r="K716" s="474"/>
      <c r="L716" s="474"/>
      <c r="M716" s="474"/>
      <c r="N716" s="474"/>
      <c r="O716" s="474"/>
      <c r="P716" s="474"/>
      <c r="Q716" s="474"/>
      <c r="R716" s="474"/>
      <c r="S716" s="474"/>
      <c r="T716" s="474"/>
      <c r="U716" s="474"/>
      <c r="V716" s="474"/>
      <c r="W716" s="474"/>
      <c r="X716" s="474"/>
      <c r="Y716" s="474"/>
      <c r="Z716" s="474"/>
    </row>
    <row r="717" ht="12.0" customHeight="1">
      <c r="A717" s="480"/>
      <c r="B717" s="485"/>
      <c r="C717" s="525"/>
      <c r="D717" s="525"/>
      <c r="E717" s="526"/>
      <c r="F717" s="526"/>
      <c r="G717" s="474"/>
      <c r="H717" s="474"/>
      <c r="I717" s="474"/>
      <c r="J717" s="474"/>
      <c r="K717" s="474"/>
      <c r="L717" s="474"/>
      <c r="M717" s="474"/>
      <c r="N717" s="474"/>
      <c r="O717" s="474"/>
      <c r="P717" s="474"/>
      <c r="Q717" s="474"/>
      <c r="R717" s="474"/>
      <c r="S717" s="474"/>
      <c r="T717" s="474"/>
      <c r="U717" s="474"/>
      <c r="V717" s="474"/>
      <c r="W717" s="474"/>
      <c r="X717" s="474"/>
      <c r="Y717" s="474"/>
      <c r="Z717" s="474"/>
    </row>
    <row r="718" ht="12.0" customHeight="1">
      <c r="A718" s="480"/>
      <c r="B718" s="485"/>
      <c r="C718" s="525"/>
      <c r="D718" s="525"/>
      <c r="E718" s="526"/>
      <c r="F718" s="526"/>
      <c r="G718" s="474"/>
      <c r="H718" s="474"/>
      <c r="I718" s="474"/>
      <c r="J718" s="474"/>
      <c r="K718" s="474"/>
      <c r="L718" s="474"/>
      <c r="M718" s="474"/>
      <c r="N718" s="474"/>
      <c r="O718" s="474"/>
      <c r="P718" s="474"/>
      <c r="Q718" s="474"/>
      <c r="R718" s="474"/>
      <c r="S718" s="474"/>
      <c r="T718" s="474"/>
      <c r="U718" s="474"/>
      <c r="V718" s="474"/>
      <c r="W718" s="474"/>
      <c r="X718" s="474"/>
      <c r="Y718" s="474"/>
      <c r="Z718" s="474"/>
    </row>
    <row r="719" ht="12.0" customHeight="1">
      <c r="A719" s="480"/>
      <c r="B719" s="485"/>
      <c r="C719" s="525"/>
      <c r="D719" s="525"/>
      <c r="E719" s="526"/>
      <c r="F719" s="526"/>
      <c r="G719" s="474"/>
      <c r="H719" s="474"/>
      <c r="I719" s="474"/>
      <c r="J719" s="474"/>
      <c r="K719" s="474"/>
      <c r="L719" s="474"/>
      <c r="M719" s="474"/>
      <c r="N719" s="474"/>
      <c r="O719" s="474"/>
      <c r="P719" s="474"/>
      <c r="Q719" s="474"/>
      <c r="R719" s="474"/>
      <c r="S719" s="474"/>
      <c r="T719" s="474"/>
      <c r="U719" s="474"/>
      <c r="V719" s="474"/>
      <c r="W719" s="474"/>
      <c r="X719" s="474"/>
      <c r="Y719" s="474"/>
      <c r="Z719" s="474"/>
    </row>
    <row r="720" ht="12.0" customHeight="1">
      <c r="A720" s="480"/>
      <c r="B720" s="485"/>
      <c r="C720" s="525"/>
      <c r="D720" s="525"/>
      <c r="E720" s="526"/>
      <c r="F720" s="526"/>
      <c r="G720" s="474"/>
      <c r="H720" s="474"/>
      <c r="I720" s="474"/>
      <c r="J720" s="474"/>
      <c r="K720" s="474"/>
      <c r="L720" s="474"/>
      <c r="M720" s="474"/>
      <c r="N720" s="474"/>
      <c r="O720" s="474"/>
      <c r="P720" s="474"/>
      <c r="Q720" s="474"/>
      <c r="R720" s="474"/>
      <c r="S720" s="474"/>
      <c r="T720" s="474"/>
      <c r="U720" s="474"/>
      <c r="V720" s="474"/>
      <c r="W720" s="474"/>
      <c r="X720" s="474"/>
      <c r="Y720" s="474"/>
      <c r="Z720" s="474"/>
    </row>
    <row r="721" ht="12.0" customHeight="1">
      <c r="A721" s="480"/>
      <c r="B721" s="485"/>
      <c r="C721" s="525"/>
      <c r="D721" s="525"/>
      <c r="E721" s="526"/>
      <c r="F721" s="526"/>
      <c r="G721" s="474"/>
      <c r="H721" s="474"/>
      <c r="I721" s="474"/>
      <c r="J721" s="474"/>
      <c r="K721" s="474"/>
      <c r="L721" s="474"/>
      <c r="M721" s="474"/>
      <c r="N721" s="474"/>
      <c r="O721" s="474"/>
      <c r="P721" s="474"/>
      <c r="Q721" s="474"/>
      <c r="R721" s="474"/>
      <c r="S721" s="474"/>
      <c r="T721" s="474"/>
      <c r="U721" s="474"/>
      <c r="V721" s="474"/>
      <c r="W721" s="474"/>
      <c r="X721" s="474"/>
      <c r="Y721" s="474"/>
      <c r="Z721" s="474"/>
    </row>
    <row r="722" ht="12.0" customHeight="1">
      <c r="A722" s="480"/>
      <c r="B722" s="485"/>
      <c r="C722" s="525"/>
      <c r="D722" s="525"/>
      <c r="E722" s="526"/>
      <c r="F722" s="526"/>
      <c r="G722" s="474"/>
      <c r="H722" s="474"/>
      <c r="I722" s="474"/>
      <c r="J722" s="474"/>
      <c r="K722" s="474"/>
      <c r="L722" s="474"/>
      <c r="M722" s="474"/>
      <c r="N722" s="474"/>
      <c r="O722" s="474"/>
      <c r="P722" s="474"/>
      <c r="Q722" s="474"/>
      <c r="R722" s="474"/>
      <c r="S722" s="474"/>
      <c r="T722" s="474"/>
      <c r="U722" s="474"/>
      <c r="V722" s="474"/>
      <c r="W722" s="474"/>
      <c r="X722" s="474"/>
      <c r="Y722" s="474"/>
      <c r="Z722" s="474"/>
    </row>
    <row r="723" ht="12.0" customHeight="1">
      <c r="A723" s="480"/>
      <c r="B723" s="485"/>
      <c r="C723" s="525"/>
      <c r="D723" s="525"/>
      <c r="E723" s="526"/>
      <c r="F723" s="526"/>
      <c r="G723" s="474"/>
      <c r="H723" s="474"/>
      <c r="I723" s="474"/>
      <c r="J723" s="474"/>
      <c r="K723" s="474"/>
      <c r="L723" s="474"/>
      <c r="M723" s="474"/>
      <c r="N723" s="474"/>
      <c r="O723" s="474"/>
      <c r="P723" s="474"/>
      <c r="Q723" s="474"/>
      <c r="R723" s="474"/>
      <c r="S723" s="474"/>
      <c r="T723" s="474"/>
      <c r="U723" s="474"/>
      <c r="V723" s="474"/>
      <c r="W723" s="474"/>
      <c r="X723" s="474"/>
      <c r="Y723" s="474"/>
      <c r="Z723" s="474"/>
    </row>
    <row r="724" ht="12.0" customHeight="1">
      <c r="A724" s="480"/>
      <c r="B724" s="485"/>
      <c r="C724" s="525"/>
      <c r="D724" s="525"/>
      <c r="E724" s="526"/>
      <c r="F724" s="526"/>
      <c r="G724" s="474"/>
      <c r="H724" s="474"/>
      <c r="I724" s="474"/>
      <c r="J724" s="474"/>
      <c r="K724" s="474"/>
      <c r="L724" s="474"/>
      <c r="M724" s="474"/>
      <c r="N724" s="474"/>
      <c r="O724" s="474"/>
      <c r="P724" s="474"/>
      <c r="Q724" s="474"/>
      <c r="R724" s="474"/>
      <c r="S724" s="474"/>
      <c r="T724" s="474"/>
      <c r="U724" s="474"/>
      <c r="V724" s="474"/>
      <c r="W724" s="474"/>
      <c r="X724" s="474"/>
      <c r="Y724" s="474"/>
      <c r="Z724" s="474"/>
    </row>
    <row r="725" ht="12.0" customHeight="1">
      <c r="A725" s="480"/>
      <c r="B725" s="485"/>
      <c r="C725" s="525"/>
      <c r="D725" s="525"/>
      <c r="E725" s="526"/>
      <c r="F725" s="526"/>
      <c r="G725" s="474"/>
      <c r="H725" s="474"/>
      <c r="I725" s="474"/>
      <c r="J725" s="474"/>
      <c r="K725" s="474"/>
      <c r="L725" s="474"/>
      <c r="M725" s="474"/>
      <c r="N725" s="474"/>
      <c r="O725" s="474"/>
      <c r="P725" s="474"/>
      <c r="Q725" s="474"/>
      <c r="R725" s="474"/>
      <c r="S725" s="474"/>
      <c r="T725" s="474"/>
      <c r="U725" s="474"/>
      <c r="V725" s="474"/>
      <c r="W725" s="474"/>
      <c r="X725" s="474"/>
      <c r="Y725" s="474"/>
      <c r="Z725" s="474"/>
    </row>
    <row r="726" ht="12.0" customHeight="1">
      <c r="A726" s="480"/>
      <c r="B726" s="485"/>
      <c r="C726" s="525"/>
      <c r="D726" s="525"/>
      <c r="E726" s="526"/>
      <c r="F726" s="526"/>
      <c r="G726" s="474"/>
      <c r="H726" s="474"/>
      <c r="I726" s="474"/>
      <c r="J726" s="474"/>
      <c r="K726" s="474"/>
      <c r="L726" s="474"/>
      <c r="M726" s="474"/>
      <c r="N726" s="474"/>
      <c r="O726" s="474"/>
      <c r="P726" s="474"/>
      <c r="Q726" s="474"/>
      <c r="R726" s="474"/>
      <c r="S726" s="474"/>
      <c r="T726" s="474"/>
      <c r="U726" s="474"/>
      <c r="V726" s="474"/>
      <c r="W726" s="474"/>
      <c r="X726" s="474"/>
      <c r="Y726" s="474"/>
      <c r="Z726" s="474"/>
    </row>
    <row r="727" ht="12.0" customHeight="1">
      <c r="A727" s="480"/>
      <c r="B727" s="485"/>
      <c r="C727" s="525"/>
      <c r="D727" s="525"/>
      <c r="E727" s="526"/>
      <c r="F727" s="526"/>
      <c r="G727" s="474"/>
      <c r="H727" s="474"/>
      <c r="I727" s="474"/>
      <c r="J727" s="474"/>
      <c r="K727" s="474"/>
      <c r="L727" s="474"/>
      <c r="M727" s="474"/>
      <c r="N727" s="474"/>
      <c r="O727" s="474"/>
      <c r="P727" s="474"/>
      <c r="Q727" s="474"/>
      <c r="R727" s="474"/>
      <c r="S727" s="474"/>
      <c r="T727" s="474"/>
      <c r="U727" s="474"/>
      <c r="V727" s="474"/>
      <c r="W727" s="474"/>
      <c r="X727" s="474"/>
      <c r="Y727" s="474"/>
      <c r="Z727" s="474"/>
    </row>
    <row r="728" ht="12.0" customHeight="1">
      <c r="A728" s="480"/>
      <c r="B728" s="485"/>
      <c r="C728" s="525"/>
      <c r="D728" s="525"/>
      <c r="E728" s="526"/>
      <c r="F728" s="526"/>
      <c r="G728" s="474"/>
      <c r="H728" s="474"/>
      <c r="I728" s="474"/>
      <c r="J728" s="474"/>
      <c r="K728" s="474"/>
      <c r="L728" s="474"/>
      <c r="M728" s="474"/>
      <c r="N728" s="474"/>
      <c r="O728" s="474"/>
      <c r="P728" s="474"/>
      <c r="Q728" s="474"/>
      <c r="R728" s="474"/>
      <c r="S728" s="474"/>
      <c r="T728" s="474"/>
      <c r="U728" s="474"/>
      <c r="V728" s="474"/>
      <c r="W728" s="474"/>
      <c r="X728" s="474"/>
      <c r="Y728" s="474"/>
      <c r="Z728" s="474"/>
    </row>
    <row r="729" ht="12.0" customHeight="1">
      <c r="A729" s="480"/>
      <c r="B729" s="485"/>
      <c r="C729" s="525"/>
      <c r="D729" s="525"/>
      <c r="E729" s="526"/>
      <c r="F729" s="526"/>
      <c r="G729" s="474"/>
      <c r="H729" s="474"/>
      <c r="I729" s="474"/>
      <c r="J729" s="474"/>
      <c r="K729" s="474"/>
      <c r="L729" s="474"/>
      <c r="M729" s="474"/>
      <c r="N729" s="474"/>
      <c r="O729" s="474"/>
      <c r="P729" s="474"/>
      <c r="Q729" s="474"/>
      <c r="R729" s="474"/>
      <c r="S729" s="474"/>
      <c r="T729" s="474"/>
      <c r="U729" s="474"/>
      <c r="V729" s="474"/>
      <c r="W729" s="474"/>
      <c r="X729" s="474"/>
      <c r="Y729" s="474"/>
      <c r="Z729" s="474"/>
    </row>
    <row r="730" ht="12.0" customHeight="1">
      <c r="A730" s="480"/>
      <c r="B730" s="485"/>
      <c r="C730" s="525"/>
      <c r="D730" s="525"/>
      <c r="E730" s="526"/>
      <c r="F730" s="526"/>
      <c r="G730" s="474"/>
      <c r="H730" s="474"/>
      <c r="I730" s="474"/>
      <c r="J730" s="474"/>
      <c r="K730" s="474"/>
      <c r="L730" s="474"/>
      <c r="M730" s="474"/>
      <c r="N730" s="474"/>
      <c r="O730" s="474"/>
      <c r="P730" s="474"/>
      <c r="Q730" s="474"/>
      <c r="R730" s="474"/>
      <c r="S730" s="474"/>
      <c r="T730" s="474"/>
      <c r="U730" s="474"/>
      <c r="V730" s="474"/>
      <c r="W730" s="474"/>
      <c r="X730" s="474"/>
      <c r="Y730" s="474"/>
      <c r="Z730" s="474"/>
    </row>
    <row r="731" ht="12.0" customHeight="1">
      <c r="A731" s="480"/>
      <c r="B731" s="485"/>
      <c r="C731" s="525"/>
      <c r="D731" s="525"/>
      <c r="E731" s="526"/>
      <c r="F731" s="526"/>
      <c r="G731" s="474"/>
      <c r="H731" s="474"/>
      <c r="I731" s="474"/>
      <c r="J731" s="474"/>
      <c r="K731" s="474"/>
      <c r="L731" s="474"/>
      <c r="M731" s="474"/>
      <c r="N731" s="474"/>
      <c r="O731" s="474"/>
      <c r="P731" s="474"/>
      <c r="Q731" s="474"/>
      <c r="R731" s="474"/>
      <c r="S731" s="474"/>
      <c r="T731" s="474"/>
      <c r="U731" s="474"/>
      <c r="V731" s="474"/>
      <c r="W731" s="474"/>
      <c r="X731" s="474"/>
      <c r="Y731" s="474"/>
      <c r="Z731" s="474"/>
    </row>
    <row r="732" ht="12.0" customHeight="1">
      <c r="A732" s="480"/>
      <c r="B732" s="485"/>
      <c r="C732" s="525"/>
      <c r="D732" s="525"/>
      <c r="E732" s="526"/>
      <c r="F732" s="526"/>
      <c r="G732" s="474"/>
      <c r="H732" s="474"/>
      <c r="I732" s="474"/>
      <c r="J732" s="474"/>
      <c r="K732" s="474"/>
      <c r="L732" s="474"/>
      <c r="M732" s="474"/>
      <c r="N732" s="474"/>
      <c r="O732" s="474"/>
      <c r="P732" s="474"/>
      <c r="Q732" s="474"/>
      <c r="R732" s="474"/>
      <c r="S732" s="474"/>
      <c r="T732" s="474"/>
      <c r="U732" s="474"/>
      <c r="V732" s="474"/>
      <c r="W732" s="474"/>
      <c r="X732" s="474"/>
      <c r="Y732" s="474"/>
      <c r="Z732" s="474"/>
    </row>
    <row r="733" ht="12.0" customHeight="1">
      <c r="A733" s="480"/>
      <c r="B733" s="485"/>
      <c r="C733" s="525"/>
      <c r="D733" s="525"/>
      <c r="E733" s="526"/>
      <c r="F733" s="526"/>
      <c r="G733" s="474"/>
      <c r="H733" s="474"/>
      <c r="I733" s="474"/>
      <c r="J733" s="474"/>
      <c r="K733" s="474"/>
      <c r="L733" s="474"/>
      <c r="M733" s="474"/>
      <c r="N733" s="474"/>
      <c r="O733" s="474"/>
      <c r="P733" s="474"/>
      <c r="Q733" s="474"/>
      <c r="R733" s="474"/>
      <c r="S733" s="474"/>
      <c r="T733" s="474"/>
      <c r="U733" s="474"/>
      <c r="V733" s="474"/>
      <c r="W733" s="474"/>
      <c r="X733" s="474"/>
      <c r="Y733" s="474"/>
      <c r="Z733" s="474"/>
    </row>
    <row r="734" ht="12.0" customHeight="1">
      <c r="A734" s="480"/>
      <c r="B734" s="485"/>
      <c r="C734" s="525"/>
      <c r="D734" s="525"/>
      <c r="E734" s="526"/>
      <c r="F734" s="526"/>
      <c r="G734" s="474"/>
      <c r="H734" s="474"/>
      <c r="I734" s="474"/>
      <c r="J734" s="474"/>
      <c r="K734" s="474"/>
      <c r="L734" s="474"/>
      <c r="M734" s="474"/>
      <c r="N734" s="474"/>
      <c r="O734" s="474"/>
      <c r="P734" s="474"/>
      <c r="Q734" s="474"/>
      <c r="R734" s="474"/>
      <c r="S734" s="474"/>
      <c r="T734" s="474"/>
      <c r="U734" s="474"/>
      <c r="V734" s="474"/>
      <c r="W734" s="474"/>
      <c r="X734" s="474"/>
      <c r="Y734" s="474"/>
      <c r="Z734" s="474"/>
    </row>
    <row r="735" ht="12.0" customHeight="1">
      <c r="A735" s="480"/>
      <c r="B735" s="485"/>
      <c r="C735" s="525"/>
      <c r="D735" s="525"/>
      <c r="E735" s="526"/>
      <c r="F735" s="526"/>
      <c r="G735" s="474"/>
      <c r="H735" s="474"/>
      <c r="I735" s="474"/>
      <c r="J735" s="474"/>
      <c r="K735" s="474"/>
      <c r="L735" s="474"/>
      <c r="M735" s="474"/>
      <c r="N735" s="474"/>
      <c r="O735" s="474"/>
      <c r="P735" s="474"/>
      <c r="Q735" s="474"/>
      <c r="R735" s="474"/>
      <c r="S735" s="474"/>
      <c r="T735" s="474"/>
      <c r="U735" s="474"/>
      <c r="V735" s="474"/>
      <c r="W735" s="474"/>
      <c r="X735" s="474"/>
      <c r="Y735" s="474"/>
      <c r="Z735" s="474"/>
    </row>
    <row r="736" ht="12.0" customHeight="1">
      <c r="A736" s="480"/>
      <c r="B736" s="485"/>
      <c r="C736" s="525"/>
      <c r="D736" s="525"/>
      <c r="E736" s="526"/>
      <c r="F736" s="526"/>
      <c r="G736" s="474"/>
      <c r="H736" s="474"/>
      <c r="I736" s="474"/>
      <c r="J736" s="474"/>
      <c r="K736" s="474"/>
      <c r="L736" s="474"/>
      <c r="M736" s="474"/>
      <c r="N736" s="474"/>
      <c r="O736" s="474"/>
      <c r="P736" s="474"/>
      <c r="Q736" s="474"/>
      <c r="R736" s="474"/>
      <c r="S736" s="474"/>
      <c r="T736" s="474"/>
      <c r="U736" s="474"/>
      <c r="V736" s="474"/>
      <c r="W736" s="474"/>
      <c r="X736" s="474"/>
      <c r="Y736" s="474"/>
      <c r="Z736" s="474"/>
    </row>
    <row r="737" ht="12.0" customHeight="1">
      <c r="A737" s="480"/>
      <c r="B737" s="485"/>
      <c r="C737" s="525"/>
      <c r="D737" s="525"/>
      <c r="E737" s="526"/>
      <c r="F737" s="526"/>
      <c r="G737" s="474"/>
      <c r="H737" s="474"/>
      <c r="I737" s="474"/>
      <c r="J737" s="474"/>
      <c r="K737" s="474"/>
      <c r="L737" s="474"/>
      <c r="M737" s="474"/>
      <c r="N737" s="474"/>
      <c r="O737" s="474"/>
      <c r="P737" s="474"/>
      <c r="Q737" s="474"/>
      <c r="R737" s="474"/>
      <c r="S737" s="474"/>
      <c r="T737" s="474"/>
      <c r="U737" s="474"/>
      <c r="V737" s="474"/>
      <c r="W737" s="474"/>
      <c r="X737" s="474"/>
      <c r="Y737" s="474"/>
      <c r="Z737" s="474"/>
    </row>
    <row r="738" ht="12.0" customHeight="1">
      <c r="A738" s="480"/>
      <c r="B738" s="485"/>
      <c r="C738" s="525"/>
      <c r="D738" s="525"/>
      <c r="E738" s="526"/>
      <c r="F738" s="526"/>
      <c r="G738" s="474"/>
      <c r="H738" s="474"/>
      <c r="I738" s="474"/>
      <c r="J738" s="474"/>
      <c r="K738" s="474"/>
      <c r="L738" s="474"/>
      <c r="M738" s="474"/>
      <c r="N738" s="474"/>
      <c r="O738" s="474"/>
      <c r="P738" s="474"/>
      <c r="Q738" s="474"/>
      <c r="R738" s="474"/>
      <c r="S738" s="474"/>
      <c r="T738" s="474"/>
      <c r="U738" s="474"/>
      <c r="V738" s="474"/>
      <c r="W738" s="474"/>
      <c r="X738" s="474"/>
      <c r="Y738" s="474"/>
      <c r="Z738" s="474"/>
    </row>
    <row r="739" ht="12.0" customHeight="1">
      <c r="A739" s="480"/>
      <c r="B739" s="485"/>
      <c r="C739" s="525"/>
      <c r="D739" s="525"/>
      <c r="E739" s="526"/>
      <c r="F739" s="526"/>
      <c r="G739" s="474"/>
      <c r="H739" s="474"/>
      <c r="I739" s="474"/>
      <c r="J739" s="474"/>
      <c r="K739" s="474"/>
      <c r="L739" s="474"/>
      <c r="M739" s="474"/>
      <c r="N739" s="474"/>
      <c r="O739" s="474"/>
      <c r="P739" s="474"/>
      <c r="Q739" s="474"/>
      <c r="R739" s="474"/>
      <c r="S739" s="474"/>
      <c r="T739" s="474"/>
      <c r="U739" s="474"/>
      <c r="V739" s="474"/>
      <c r="W739" s="474"/>
      <c r="X739" s="474"/>
      <c r="Y739" s="474"/>
      <c r="Z739" s="474"/>
    </row>
    <row r="740" ht="12.0" customHeight="1">
      <c r="A740" s="480"/>
      <c r="B740" s="485"/>
      <c r="C740" s="525"/>
      <c r="D740" s="525"/>
      <c r="E740" s="526"/>
      <c r="F740" s="526"/>
      <c r="G740" s="474"/>
      <c r="H740" s="474"/>
      <c r="I740" s="474"/>
      <c r="J740" s="474"/>
      <c r="K740" s="474"/>
      <c r="L740" s="474"/>
      <c r="M740" s="474"/>
      <c r="N740" s="474"/>
      <c r="O740" s="474"/>
      <c r="P740" s="474"/>
      <c r="Q740" s="474"/>
      <c r="R740" s="474"/>
      <c r="S740" s="474"/>
      <c r="T740" s="474"/>
      <c r="U740" s="474"/>
      <c r="V740" s="474"/>
      <c r="W740" s="474"/>
      <c r="X740" s="474"/>
      <c r="Y740" s="474"/>
      <c r="Z740" s="474"/>
    </row>
    <row r="741" ht="12.0" customHeight="1">
      <c r="A741" s="480"/>
      <c r="B741" s="485"/>
      <c r="C741" s="525"/>
      <c r="D741" s="525"/>
      <c r="E741" s="526"/>
      <c r="F741" s="526"/>
      <c r="G741" s="474"/>
      <c r="H741" s="474"/>
      <c r="I741" s="474"/>
      <c r="J741" s="474"/>
      <c r="K741" s="474"/>
      <c r="L741" s="474"/>
      <c r="M741" s="474"/>
      <c r="N741" s="474"/>
      <c r="O741" s="474"/>
      <c r="P741" s="474"/>
      <c r="Q741" s="474"/>
      <c r="R741" s="474"/>
      <c r="S741" s="474"/>
      <c r="T741" s="474"/>
      <c r="U741" s="474"/>
      <c r="V741" s="474"/>
      <c r="W741" s="474"/>
      <c r="X741" s="474"/>
      <c r="Y741" s="474"/>
      <c r="Z741" s="474"/>
    </row>
    <row r="742" ht="12.0" customHeight="1">
      <c r="A742" s="480"/>
      <c r="B742" s="485"/>
      <c r="C742" s="525"/>
      <c r="D742" s="525"/>
      <c r="E742" s="526"/>
      <c r="F742" s="526"/>
      <c r="G742" s="474"/>
      <c r="H742" s="474"/>
      <c r="I742" s="474"/>
      <c r="J742" s="474"/>
      <c r="K742" s="474"/>
      <c r="L742" s="474"/>
      <c r="M742" s="474"/>
      <c r="N742" s="474"/>
      <c r="O742" s="474"/>
      <c r="P742" s="474"/>
      <c r="Q742" s="474"/>
      <c r="R742" s="474"/>
      <c r="S742" s="474"/>
      <c r="T742" s="474"/>
      <c r="U742" s="474"/>
      <c r="V742" s="474"/>
      <c r="W742" s="474"/>
      <c r="X742" s="474"/>
      <c r="Y742" s="474"/>
      <c r="Z742" s="474"/>
    </row>
    <row r="743" ht="12.0" customHeight="1">
      <c r="A743" s="480"/>
      <c r="B743" s="485"/>
      <c r="C743" s="525"/>
      <c r="D743" s="525"/>
      <c r="E743" s="526"/>
      <c r="F743" s="526"/>
      <c r="G743" s="474"/>
      <c r="H743" s="474"/>
      <c r="I743" s="474"/>
      <c r="J743" s="474"/>
      <c r="K743" s="474"/>
      <c r="L743" s="474"/>
      <c r="M743" s="474"/>
      <c r="N743" s="474"/>
      <c r="O743" s="474"/>
      <c r="P743" s="474"/>
      <c r="Q743" s="474"/>
      <c r="R743" s="474"/>
      <c r="S743" s="474"/>
      <c r="T743" s="474"/>
      <c r="U743" s="474"/>
      <c r="V743" s="474"/>
      <c r="W743" s="474"/>
      <c r="X743" s="474"/>
      <c r="Y743" s="474"/>
      <c r="Z743" s="474"/>
    </row>
    <row r="744" ht="12.0" customHeight="1">
      <c r="A744" s="480"/>
      <c r="B744" s="485"/>
      <c r="C744" s="525"/>
      <c r="D744" s="525"/>
      <c r="E744" s="526"/>
      <c r="F744" s="526"/>
      <c r="G744" s="474"/>
      <c r="H744" s="474"/>
      <c r="I744" s="474"/>
      <c r="J744" s="474"/>
      <c r="K744" s="474"/>
      <c r="L744" s="474"/>
      <c r="M744" s="474"/>
      <c r="N744" s="474"/>
      <c r="O744" s="474"/>
      <c r="P744" s="474"/>
      <c r="Q744" s="474"/>
      <c r="R744" s="474"/>
      <c r="S744" s="474"/>
      <c r="T744" s="474"/>
      <c r="U744" s="474"/>
      <c r="V744" s="474"/>
      <c r="W744" s="474"/>
      <c r="X744" s="474"/>
      <c r="Y744" s="474"/>
      <c r="Z744" s="474"/>
    </row>
    <row r="745" ht="12.0" customHeight="1">
      <c r="A745" s="480"/>
      <c r="B745" s="485"/>
      <c r="C745" s="525"/>
      <c r="D745" s="525"/>
      <c r="E745" s="526"/>
      <c r="F745" s="526"/>
      <c r="G745" s="474"/>
      <c r="H745" s="474"/>
      <c r="I745" s="474"/>
      <c r="J745" s="474"/>
      <c r="K745" s="474"/>
      <c r="L745" s="474"/>
      <c r="M745" s="474"/>
      <c r="N745" s="474"/>
      <c r="O745" s="474"/>
      <c r="P745" s="474"/>
      <c r="Q745" s="474"/>
      <c r="R745" s="474"/>
      <c r="S745" s="474"/>
      <c r="T745" s="474"/>
      <c r="U745" s="474"/>
      <c r="V745" s="474"/>
      <c r="W745" s="474"/>
      <c r="X745" s="474"/>
      <c r="Y745" s="474"/>
      <c r="Z745" s="474"/>
    </row>
    <row r="746" ht="12.0" customHeight="1">
      <c r="A746" s="480"/>
      <c r="B746" s="485"/>
      <c r="C746" s="525"/>
      <c r="D746" s="525"/>
      <c r="E746" s="526"/>
      <c r="F746" s="526"/>
      <c r="G746" s="474"/>
      <c r="H746" s="474"/>
      <c r="I746" s="474"/>
      <c r="J746" s="474"/>
      <c r="K746" s="474"/>
      <c r="L746" s="474"/>
      <c r="M746" s="474"/>
      <c r="N746" s="474"/>
      <c r="O746" s="474"/>
      <c r="P746" s="474"/>
      <c r="Q746" s="474"/>
      <c r="R746" s="474"/>
      <c r="S746" s="474"/>
      <c r="T746" s="474"/>
      <c r="U746" s="474"/>
      <c r="V746" s="474"/>
      <c r="W746" s="474"/>
      <c r="X746" s="474"/>
      <c r="Y746" s="474"/>
      <c r="Z746" s="474"/>
    </row>
    <row r="747" ht="12.0" customHeight="1">
      <c r="A747" s="480"/>
      <c r="B747" s="485"/>
      <c r="C747" s="525"/>
      <c r="D747" s="525"/>
      <c r="E747" s="526"/>
      <c r="F747" s="526"/>
      <c r="G747" s="474"/>
      <c r="H747" s="474"/>
      <c r="I747" s="474"/>
      <c r="J747" s="474"/>
      <c r="K747" s="474"/>
      <c r="L747" s="474"/>
      <c r="M747" s="474"/>
      <c r="N747" s="474"/>
      <c r="O747" s="474"/>
      <c r="P747" s="474"/>
      <c r="Q747" s="474"/>
      <c r="R747" s="474"/>
      <c r="S747" s="474"/>
      <c r="T747" s="474"/>
      <c r="U747" s="474"/>
      <c r="V747" s="474"/>
      <c r="W747" s="474"/>
      <c r="X747" s="474"/>
      <c r="Y747" s="474"/>
      <c r="Z747" s="474"/>
    </row>
    <row r="748" ht="12.0" customHeight="1">
      <c r="A748" s="480"/>
      <c r="B748" s="485"/>
      <c r="C748" s="525"/>
      <c r="D748" s="525"/>
      <c r="E748" s="526"/>
      <c r="F748" s="526"/>
      <c r="G748" s="474"/>
      <c r="H748" s="474"/>
      <c r="I748" s="474"/>
      <c r="J748" s="474"/>
      <c r="K748" s="474"/>
      <c r="L748" s="474"/>
      <c r="M748" s="474"/>
      <c r="N748" s="474"/>
      <c r="O748" s="474"/>
      <c r="P748" s="474"/>
      <c r="Q748" s="474"/>
      <c r="R748" s="474"/>
      <c r="S748" s="474"/>
      <c r="T748" s="474"/>
      <c r="U748" s="474"/>
      <c r="V748" s="474"/>
      <c r="W748" s="474"/>
      <c r="X748" s="474"/>
      <c r="Y748" s="474"/>
      <c r="Z748" s="474"/>
    </row>
    <row r="749" ht="12.0" customHeight="1">
      <c r="A749" s="480"/>
      <c r="B749" s="485"/>
      <c r="C749" s="525"/>
      <c r="D749" s="525"/>
      <c r="E749" s="526"/>
      <c r="F749" s="526"/>
      <c r="G749" s="474"/>
      <c r="H749" s="474"/>
      <c r="I749" s="474"/>
      <c r="J749" s="474"/>
      <c r="K749" s="474"/>
      <c r="L749" s="474"/>
      <c r="M749" s="474"/>
      <c r="N749" s="474"/>
      <c r="O749" s="474"/>
      <c r="P749" s="474"/>
      <c r="Q749" s="474"/>
      <c r="R749" s="474"/>
      <c r="S749" s="474"/>
      <c r="T749" s="474"/>
      <c r="U749" s="474"/>
      <c r="V749" s="474"/>
      <c r="W749" s="474"/>
      <c r="X749" s="474"/>
      <c r="Y749" s="474"/>
      <c r="Z749" s="474"/>
    </row>
    <row r="750" ht="12.0" customHeight="1">
      <c r="A750" s="480"/>
      <c r="B750" s="485"/>
      <c r="C750" s="525"/>
      <c r="D750" s="525"/>
      <c r="E750" s="526"/>
      <c r="F750" s="526"/>
      <c r="G750" s="474"/>
      <c r="H750" s="474"/>
      <c r="I750" s="474"/>
      <c r="J750" s="474"/>
      <c r="K750" s="474"/>
      <c r="L750" s="474"/>
      <c r="M750" s="474"/>
      <c r="N750" s="474"/>
      <c r="O750" s="474"/>
      <c r="P750" s="474"/>
      <c r="Q750" s="474"/>
      <c r="R750" s="474"/>
      <c r="S750" s="474"/>
      <c r="T750" s="474"/>
      <c r="U750" s="474"/>
      <c r="V750" s="474"/>
      <c r="W750" s="474"/>
      <c r="X750" s="474"/>
      <c r="Y750" s="474"/>
      <c r="Z750" s="474"/>
    </row>
    <row r="751" ht="12.0" customHeight="1">
      <c r="A751" s="480"/>
      <c r="B751" s="485"/>
      <c r="C751" s="525"/>
      <c r="D751" s="525"/>
      <c r="E751" s="526"/>
      <c r="F751" s="526"/>
      <c r="G751" s="474"/>
      <c r="H751" s="474"/>
      <c r="I751" s="474"/>
      <c r="J751" s="474"/>
      <c r="K751" s="474"/>
      <c r="L751" s="474"/>
      <c r="M751" s="474"/>
      <c r="N751" s="474"/>
      <c r="O751" s="474"/>
      <c r="P751" s="474"/>
      <c r="Q751" s="474"/>
      <c r="R751" s="474"/>
      <c r="S751" s="474"/>
      <c r="T751" s="474"/>
      <c r="U751" s="474"/>
      <c r="V751" s="474"/>
      <c r="W751" s="474"/>
      <c r="X751" s="474"/>
      <c r="Y751" s="474"/>
      <c r="Z751" s="474"/>
    </row>
    <row r="752" ht="12.0" customHeight="1">
      <c r="A752" s="480"/>
      <c r="B752" s="485"/>
      <c r="C752" s="525"/>
      <c r="D752" s="525"/>
      <c r="E752" s="526"/>
      <c r="F752" s="526"/>
      <c r="G752" s="474"/>
      <c r="H752" s="474"/>
      <c r="I752" s="474"/>
      <c r="J752" s="474"/>
      <c r="K752" s="474"/>
      <c r="L752" s="474"/>
      <c r="M752" s="474"/>
      <c r="N752" s="474"/>
      <c r="O752" s="474"/>
      <c r="P752" s="474"/>
      <c r="Q752" s="474"/>
      <c r="R752" s="474"/>
      <c r="S752" s="474"/>
      <c r="T752" s="474"/>
      <c r="U752" s="474"/>
      <c r="V752" s="474"/>
      <c r="W752" s="474"/>
      <c r="X752" s="474"/>
      <c r="Y752" s="474"/>
      <c r="Z752" s="474"/>
    </row>
    <row r="753" ht="12.0" customHeight="1">
      <c r="A753" s="480"/>
      <c r="B753" s="485"/>
      <c r="C753" s="525"/>
      <c r="D753" s="525"/>
      <c r="E753" s="526"/>
      <c r="F753" s="526"/>
      <c r="G753" s="474"/>
      <c r="H753" s="474"/>
      <c r="I753" s="474"/>
      <c r="J753" s="474"/>
      <c r="K753" s="474"/>
      <c r="L753" s="474"/>
      <c r="M753" s="474"/>
      <c r="N753" s="474"/>
      <c r="O753" s="474"/>
      <c r="P753" s="474"/>
      <c r="Q753" s="474"/>
      <c r="R753" s="474"/>
      <c r="S753" s="474"/>
      <c r="T753" s="474"/>
      <c r="U753" s="474"/>
      <c r="V753" s="474"/>
      <c r="W753" s="474"/>
      <c r="X753" s="474"/>
      <c r="Y753" s="474"/>
      <c r="Z753" s="474"/>
    </row>
    <row r="754" ht="12.0" customHeight="1">
      <c r="A754" s="480"/>
      <c r="B754" s="485"/>
      <c r="C754" s="525"/>
      <c r="D754" s="525"/>
      <c r="E754" s="526"/>
      <c r="F754" s="526"/>
      <c r="G754" s="474"/>
      <c r="H754" s="474"/>
      <c r="I754" s="474"/>
      <c r="J754" s="474"/>
      <c r="K754" s="474"/>
      <c r="L754" s="474"/>
      <c r="M754" s="474"/>
      <c r="N754" s="474"/>
      <c r="O754" s="474"/>
      <c r="P754" s="474"/>
      <c r="Q754" s="474"/>
      <c r="R754" s="474"/>
      <c r="S754" s="474"/>
      <c r="T754" s="474"/>
      <c r="U754" s="474"/>
      <c r="V754" s="474"/>
      <c r="W754" s="474"/>
      <c r="X754" s="474"/>
      <c r="Y754" s="474"/>
      <c r="Z754" s="474"/>
    </row>
    <row r="755" ht="12.0" customHeight="1">
      <c r="A755" s="480"/>
      <c r="B755" s="485"/>
      <c r="C755" s="525"/>
      <c r="D755" s="525"/>
      <c r="E755" s="526"/>
      <c r="F755" s="526"/>
      <c r="G755" s="474"/>
      <c r="H755" s="474"/>
      <c r="I755" s="474"/>
      <c r="J755" s="474"/>
      <c r="K755" s="474"/>
      <c r="L755" s="474"/>
      <c r="M755" s="474"/>
      <c r="N755" s="474"/>
      <c r="O755" s="474"/>
      <c r="P755" s="474"/>
      <c r="Q755" s="474"/>
      <c r="R755" s="474"/>
      <c r="S755" s="474"/>
      <c r="T755" s="474"/>
      <c r="U755" s="474"/>
      <c r="V755" s="474"/>
      <c r="W755" s="474"/>
      <c r="X755" s="474"/>
      <c r="Y755" s="474"/>
      <c r="Z755" s="474"/>
    </row>
    <row r="756" ht="12.0" customHeight="1">
      <c r="A756" s="480"/>
      <c r="B756" s="485"/>
      <c r="C756" s="525"/>
      <c r="D756" s="525"/>
      <c r="E756" s="526"/>
      <c r="F756" s="526"/>
      <c r="G756" s="474"/>
      <c r="H756" s="474"/>
      <c r="I756" s="474"/>
      <c r="J756" s="474"/>
      <c r="K756" s="474"/>
      <c r="L756" s="474"/>
      <c r="M756" s="474"/>
      <c r="N756" s="474"/>
      <c r="O756" s="474"/>
      <c r="P756" s="474"/>
      <c r="Q756" s="474"/>
      <c r="R756" s="474"/>
      <c r="S756" s="474"/>
      <c r="T756" s="474"/>
      <c r="U756" s="474"/>
      <c r="V756" s="474"/>
      <c r="W756" s="474"/>
      <c r="X756" s="474"/>
      <c r="Y756" s="474"/>
      <c r="Z756" s="474"/>
    </row>
    <row r="757" ht="12.0" customHeight="1">
      <c r="A757" s="480"/>
      <c r="B757" s="485"/>
      <c r="C757" s="525"/>
      <c r="D757" s="525"/>
      <c r="E757" s="526"/>
      <c r="F757" s="526"/>
      <c r="G757" s="474"/>
      <c r="H757" s="474"/>
      <c r="I757" s="474"/>
      <c r="J757" s="474"/>
      <c r="K757" s="474"/>
      <c r="L757" s="474"/>
      <c r="M757" s="474"/>
      <c r="N757" s="474"/>
      <c r="O757" s="474"/>
      <c r="P757" s="474"/>
      <c r="Q757" s="474"/>
      <c r="R757" s="474"/>
      <c r="S757" s="474"/>
      <c r="T757" s="474"/>
      <c r="U757" s="474"/>
      <c r="V757" s="474"/>
      <c r="W757" s="474"/>
      <c r="X757" s="474"/>
      <c r="Y757" s="474"/>
      <c r="Z757" s="474"/>
    </row>
    <row r="758" ht="12.0" customHeight="1">
      <c r="A758" s="480"/>
      <c r="B758" s="485"/>
      <c r="C758" s="525"/>
      <c r="D758" s="525"/>
      <c r="E758" s="526"/>
      <c r="F758" s="526"/>
      <c r="G758" s="474"/>
      <c r="H758" s="474"/>
      <c r="I758" s="474"/>
      <c r="J758" s="474"/>
      <c r="K758" s="474"/>
      <c r="L758" s="474"/>
      <c r="M758" s="474"/>
      <c r="N758" s="474"/>
      <c r="O758" s="474"/>
      <c r="P758" s="474"/>
      <c r="Q758" s="474"/>
      <c r="R758" s="474"/>
      <c r="S758" s="474"/>
      <c r="T758" s="474"/>
      <c r="U758" s="474"/>
      <c r="V758" s="474"/>
      <c r="W758" s="474"/>
      <c r="X758" s="474"/>
      <c r="Y758" s="474"/>
      <c r="Z758" s="474"/>
    </row>
    <row r="759" ht="12.0" customHeight="1">
      <c r="A759" s="480"/>
      <c r="B759" s="485"/>
      <c r="C759" s="525"/>
      <c r="D759" s="525"/>
      <c r="E759" s="526"/>
      <c r="F759" s="526"/>
      <c r="G759" s="474"/>
      <c r="H759" s="474"/>
      <c r="I759" s="474"/>
      <c r="J759" s="474"/>
      <c r="K759" s="474"/>
      <c r="L759" s="474"/>
      <c r="M759" s="474"/>
      <c r="N759" s="474"/>
      <c r="O759" s="474"/>
      <c r="P759" s="474"/>
      <c r="Q759" s="474"/>
      <c r="R759" s="474"/>
      <c r="S759" s="474"/>
      <c r="T759" s="474"/>
      <c r="U759" s="474"/>
      <c r="V759" s="474"/>
      <c r="W759" s="474"/>
      <c r="X759" s="474"/>
      <c r="Y759" s="474"/>
      <c r="Z759" s="474"/>
    </row>
    <row r="760" ht="12.0" customHeight="1">
      <c r="A760" s="480"/>
      <c r="B760" s="485"/>
      <c r="C760" s="525"/>
      <c r="D760" s="525"/>
      <c r="E760" s="526"/>
      <c r="F760" s="526"/>
      <c r="G760" s="474"/>
      <c r="H760" s="474"/>
      <c r="I760" s="474"/>
      <c r="J760" s="474"/>
      <c r="K760" s="474"/>
      <c r="L760" s="474"/>
      <c r="M760" s="474"/>
      <c r="N760" s="474"/>
      <c r="O760" s="474"/>
      <c r="P760" s="474"/>
      <c r="Q760" s="474"/>
      <c r="R760" s="474"/>
      <c r="S760" s="474"/>
      <c r="T760" s="474"/>
      <c r="U760" s="474"/>
      <c r="V760" s="474"/>
      <c r="W760" s="474"/>
      <c r="X760" s="474"/>
      <c r="Y760" s="474"/>
      <c r="Z760" s="474"/>
    </row>
    <row r="761" ht="12.0" customHeight="1">
      <c r="A761" s="480"/>
      <c r="B761" s="485"/>
      <c r="C761" s="525"/>
      <c r="D761" s="525"/>
      <c r="E761" s="526"/>
      <c r="F761" s="526"/>
      <c r="G761" s="474"/>
      <c r="H761" s="474"/>
      <c r="I761" s="474"/>
      <c r="J761" s="474"/>
      <c r="K761" s="474"/>
      <c r="L761" s="474"/>
      <c r="M761" s="474"/>
      <c r="N761" s="474"/>
      <c r="O761" s="474"/>
      <c r="P761" s="474"/>
      <c r="Q761" s="474"/>
      <c r="R761" s="474"/>
      <c r="S761" s="474"/>
      <c r="T761" s="474"/>
      <c r="U761" s="474"/>
      <c r="V761" s="474"/>
      <c r="W761" s="474"/>
      <c r="X761" s="474"/>
      <c r="Y761" s="474"/>
      <c r="Z761" s="474"/>
    </row>
    <row r="762" ht="12.0" customHeight="1">
      <c r="A762" s="480"/>
      <c r="B762" s="485"/>
      <c r="C762" s="525"/>
      <c r="D762" s="525"/>
      <c r="E762" s="526"/>
      <c r="F762" s="526"/>
      <c r="G762" s="474"/>
      <c r="H762" s="474"/>
      <c r="I762" s="474"/>
      <c r="J762" s="474"/>
      <c r="K762" s="474"/>
      <c r="L762" s="474"/>
      <c r="M762" s="474"/>
      <c r="N762" s="474"/>
      <c r="O762" s="474"/>
      <c r="P762" s="474"/>
      <c r="Q762" s="474"/>
      <c r="R762" s="474"/>
      <c r="S762" s="474"/>
      <c r="T762" s="474"/>
      <c r="U762" s="474"/>
      <c r="V762" s="474"/>
      <c r="W762" s="474"/>
      <c r="X762" s="474"/>
      <c r="Y762" s="474"/>
      <c r="Z762" s="474"/>
    </row>
    <row r="763" ht="12.0" customHeight="1">
      <c r="A763" s="480"/>
      <c r="B763" s="485"/>
      <c r="C763" s="525"/>
      <c r="D763" s="525"/>
      <c r="E763" s="526"/>
      <c r="F763" s="526"/>
      <c r="G763" s="474"/>
      <c r="H763" s="474"/>
      <c r="I763" s="474"/>
      <c r="J763" s="474"/>
      <c r="K763" s="474"/>
      <c r="L763" s="474"/>
      <c r="M763" s="474"/>
      <c r="N763" s="474"/>
      <c r="O763" s="474"/>
      <c r="P763" s="474"/>
      <c r="Q763" s="474"/>
      <c r="R763" s="474"/>
      <c r="S763" s="474"/>
      <c r="T763" s="474"/>
      <c r="U763" s="474"/>
      <c r="V763" s="474"/>
      <c r="W763" s="474"/>
      <c r="X763" s="474"/>
      <c r="Y763" s="474"/>
      <c r="Z763" s="474"/>
    </row>
    <row r="764" ht="12.0" customHeight="1">
      <c r="A764" s="480"/>
      <c r="B764" s="485"/>
      <c r="C764" s="525"/>
      <c r="D764" s="525"/>
      <c r="E764" s="526"/>
      <c r="F764" s="526"/>
      <c r="G764" s="474"/>
      <c r="H764" s="474"/>
      <c r="I764" s="474"/>
      <c r="J764" s="474"/>
      <c r="K764" s="474"/>
      <c r="L764" s="474"/>
      <c r="M764" s="474"/>
      <c r="N764" s="474"/>
      <c r="O764" s="474"/>
      <c r="P764" s="474"/>
      <c r="Q764" s="474"/>
      <c r="R764" s="474"/>
      <c r="S764" s="474"/>
      <c r="T764" s="474"/>
      <c r="U764" s="474"/>
      <c r="V764" s="474"/>
      <c r="W764" s="474"/>
      <c r="X764" s="474"/>
      <c r="Y764" s="474"/>
      <c r="Z764" s="474"/>
    </row>
    <row r="765" ht="12.0" customHeight="1">
      <c r="A765" s="480"/>
      <c r="B765" s="485"/>
      <c r="C765" s="525"/>
      <c r="D765" s="525"/>
      <c r="E765" s="526"/>
      <c r="F765" s="526"/>
      <c r="G765" s="474"/>
      <c r="H765" s="474"/>
      <c r="I765" s="474"/>
      <c r="J765" s="474"/>
      <c r="K765" s="474"/>
      <c r="L765" s="474"/>
      <c r="M765" s="474"/>
      <c r="N765" s="474"/>
      <c r="O765" s="474"/>
      <c r="P765" s="474"/>
      <c r="Q765" s="474"/>
      <c r="R765" s="474"/>
      <c r="S765" s="474"/>
      <c r="T765" s="474"/>
      <c r="U765" s="474"/>
      <c r="V765" s="474"/>
      <c r="W765" s="474"/>
      <c r="X765" s="474"/>
      <c r="Y765" s="474"/>
      <c r="Z765" s="474"/>
    </row>
    <row r="766" ht="12.0" customHeight="1">
      <c r="A766" s="480"/>
      <c r="B766" s="485"/>
      <c r="C766" s="525"/>
      <c r="D766" s="525"/>
      <c r="E766" s="526"/>
      <c r="F766" s="526"/>
      <c r="G766" s="474"/>
      <c r="H766" s="474"/>
      <c r="I766" s="474"/>
      <c r="J766" s="474"/>
      <c r="K766" s="474"/>
      <c r="L766" s="474"/>
      <c r="M766" s="474"/>
      <c r="N766" s="474"/>
      <c r="O766" s="474"/>
      <c r="P766" s="474"/>
      <c r="Q766" s="474"/>
      <c r="R766" s="474"/>
      <c r="S766" s="474"/>
      <c r="T766" s="474"/>
      <c r="U766" s="474"/>
      <c r="V766" s="474"/>
      <c r="W766" s="474"/>
      <c r="X766" s="474"/>
      <c r="Y766" s="474"/>
      <c r="Z766" s="474"/>
    </row>
    <row r="767" ht="12.0" customHeight="1">
      <c r="A767" s="480"/>
      <c r="B767" s="485"/>
      <c r="C767" s="525"/>
      <c r="D767" s="525"/>
      <c r="E767" s="526"/>
      <c r="F767" s="526"/>
      <c r="G767" s="474"/>
      <c r="H767" s="474"/>
      <c r="I767" s="474"/>
      <c r="J767" s="474"/>
      <c r="K767" s="474"/>
      <c r="L767" s="474"/>
      <c r="M767" s="474"/>
      <c r="N767" s="474"/>
      <c r="O767" s="474"/>
      <c r="P767" s="474"/>
      <c r="Q767" s="474"/>
      <c r="R767" s="474"/>
      <c r="S767" s="474"/>
      <c r="T767" s="474"/>
      <c r="U767" s="474"/>
      <c r="V767" s="474"/>
      <c r="W767" s="474"/>
      <c r="X767" s="474"/>
      <c r="Y767" s="474"/>
      <c r="Z767" s="474"/>
    </row>
    <row r="768" ht="12.0" customHeight="1">
      <c r="A768" s="480"/>
      <c r="B768" s="485"/>
      <c r="C768" s="525"/>
      <c r="D768" s="525"/>
      <c r="E768" s="526"/>
      <c r="F768" s="526"/>
      <c r="G768" s="474"/>
      <c r="H768" s="474"/>
      <c r="I768" s="474"/>
      <c r="J768" s="474"/>
      <c r="K768" s="474"/>
      <c r="L768" s="474"/>
      <c r="M768" s="474"/>
      <c r="N768" s="474"/>
      <c r="O768" s="474"/>
      <c r="P768" s="474"/>
      <c r="Q768" s="474"/>
      <c r="R768" s="474"/>
      <c r="S768" s="474"/>
      <c r="T768" s="474"/>
      <c r="U768" s="474"/>
      <c r="V768" s="474"/>
      <c r="W768" s="474"/>
      <c r="X768" s="474"/>
      <c r="Y768" s="474"/>
      <c r="Z768" s="474"/>
    </row>
    <row r="769" ht="12.0" customHeight="1">
      <c r="A769" s="480"/>
      <c r="B769" s="485"/>
      <c r="C769" s="525"/>
      <c r="D769" s="525"/>
      <c r="E769" s="526"/>
      <c r="F769" s="526"/>
      <c r="G769" s="474"/>
      <c r="H769" s="474"/>
      <c r="I769" s="474"/>
      <c r="J769" s="474"/>
      <c r="K769" s="474"/>
      <c r="L769" s="474"/>
      <c r="M769" s="474"/>
      <c r="N769" s="474"/>
      <c r="O769" s="474"/>
      <c r="P769" s="474"/>
      <c r="Q769" s="474"/>
      <c r="R769" s="474"/>
      <c r="S769" s="474"/>
      <c r="T769" s="474"/>
      <c r="U769" s="474"/>
      <c r="V769" s="474"/>
      <c r="W769" s="474"/>
      <c r="X769" s="474"/>
      <c r="Y769" s="474"/>
      <c r="Z769" s="474"/>
    </row>
    <row r="770" ht="12.0" customHeight="1">
      <c r="A770" s="480"/>
      <c r="B770" s="485"/>
      <c r="C770" s="525"/>
      <c r="D770" s="525"/>
      <c r="E770" s="526"/>
      <c r="F770" s="526"/>
      <c r="G770" s="474"/>
      <c r="H770" s="474"/>
      <c r="I770" s="474"/>
      <c r="J770" s="474"/>
      <c r="K770" s="474"/>
      <c r="L770" s="474"/>
      <c r="M770" s="474"/>
      <c r="N770" s="474"/>
      <c r="O770" s="474"/>
      <c r="P770" s="474"/>
      <c r="Q770" s="474"/>
      <c r="R770" s="474"/>
      <c r="S770" s="474"/>
      <c r="T770" s="474"/>
      <c r="U770" s="474"/>
      <c r="V770" s="474"/>
      <c r="W770" s="474"/>
      <c r="X770" s="474"/>
      <c r="Y770" s="474"/>
      <c r="Z770" s="474"/>
    </row>
    <row r="771" ht="12.0" customHeight="1">
      <c r="A771" s="480"/>
      <c r="B771" s="485"/>
      <c r="C771" s="525"/>
      <c r="D771" s="525"/>
      <c r="E771" s="526"/>
      <c r="F771" s="526"/>
      <c r="G771" s="474"/>
      <c r="H771" s="474"/>
      <c r="I771" s="474"/>
      <c r="J771" s="474"/>
      <c r="K771" s="474"/>
      <c r="L771" s="474"/>
      <c r="M771" s="474"/>
      <c r="N771" s="474"/>
      <c r="O771" s="474"/>
      <c r="P771" s="474"/>
      <c r="Q771" s="474"/>
      <c r="R771" s="474"/>
      <c r="S771" s="474"/>
      <c r="T771" s="474"/>
      <c r="U771" s="474"/>
      <c r="V771" s="474"/>
      <c r="W771" s="474"/>
      <c r="X771" s="474"/>
      <c r="Y771" s="474"/>
      <c r="Z771" s="474"/>
    </row>
    <row r="772" ht="12.0" customHeight="1">
      <c r="A772" s="480"/>
      <c r="B772" s="485"/>
      <c r="C772" s="525"/>
      <c r="D772" s="525"/>
      <c r="E772" s="526"/>
      <c r="F772" s="526"/>
      <c r="G772" s="474"/>
      <c r="H772" s="474"/>
      <c r="I772" s="474"/>
      <c r="J772" s="474"/>
      <c r="K772" s="474"/>
      <c r="L772" s="474"/>
      <c r="M772" s="474"/>
      <c r="N772" s="474"/>
      <c r="O772" s="474"/>
      <c r="P772" s="474"/>
      <c r="Q772" s="474"/>
      <c r="R772" s="474"/>
      <c r="S772" s="474"/>
      <c r="T772" s="474"/>
      <c r="U772" s="474"/>
      <c r="V772" s="474"/>
      <c r="W772" s="474"/>
      <c r="X772" s="474"/>
      <c r="Y772" s="474"/>
      <c r="Z772" s="474"/>
    </row>
    <row r="773" ht="12.0" customHeight="1">
      <c r="A773" s="480"/>
      <c r="B773" s="485"/>
      <c r="C773" s="525"/>
      <c r="D773" s="525"/>
      <c r="E773" s="526"/>
      <c r="F773" s="526"/>
      <c r="G773" s="474"/>
      <c r="H773" s="474"/>
      <c r="I773" s="474"/>
      <c r="J773" s="474"/>
      <c r="K773" s="474"/>
      <c r="L773" s="474"/>
      <c r="M773" s="474"/>
      <c r="N773" s="474"/>
      <c r="O773" s="474"/>
      <c r="P773" s="474"/>
      <c r="Q773" s="474"/>
      <c r="R773" s="474"/>
      <c r="S773" s="474"/>
      <c r="T773" s="474"/>
      <c r="U773" s="474"/>
      <c r="V773" s="474"/>
      <c r="W773" s="474"/>
      <c r="X773" s="474"/>
      <c r="Y773" s="474"/>
      <c r="Z773" s="474"/>
    </row>
    <row r="774" ht="12.0" customHeight="1">
      <c r="A774" s="480"/>
      <c r="B774" s="485"/>
      <c r="C774" s="525"/>
      <c r="D774" s="525"/>
      <c r="E774" s="526"/>
      <c r="F774" s="526"/>
      <c r="G774" s="474"/>
      <c r="H774" s="474"/>
      <c r="I774" s="474"/>
      <c r="J774" s="474"/>
      <c r="K774" s="474"/>
      <c r="L774" s="474"/>
      <c r="M774" s="474"/>
      <c r="N774" s="474"/>
      <c r="O774" s="474"/>
      <c r="P774" s="474"/>
      <c r="Q774" s="474"/>
      <c r="R774" s="474"/>
      <c r="S774" s="474"/>
      <c r="T774" s="474"/>
      <c r="U774" s="474"/>
      <c r="V774" s="474"/>
      <c r="W774" s="474"/>
      <c r="X774" s="474"/>
      <c r="Y774" s="474"/>
      <c r="Z774" s="474"/>
    </row>
    <row r="775" ht="12.0" customHeight="1">
      <c r="A775" s="480"/>
      <c r="B775" s="485"/>
      <c r="C775" s="525"/>
      <c r="D775" s="525"/>
      <c r="E775" s="526"/>
      <c r="F775" s="526"/>
      <c r="G775" s="474"/>
      <c r="H775" s="474"/>
      <c r="I775" s="474"/>
      <c r="J775" s="474"/>
      <c r="K775" s="474"/>
      <c r="L775" s="474"/>
      <c r="M775" s="474"/>
      <c r="N775" s="474"/>
      <c r="O775" s="474"/>
      <c r="P775" s="474"/>
      <c r="Q775" s="474"/>
      <c r="R775" s="474"/>
      <c r="S775" s="474"/>
      <c r="T775" s="474"/>
      <c r="U775" s="474"/>
      <c r="V775" s="474"/>
      <c r="W775" s="474"/>
      <c r="X775" s="474"/>
      <c r="Y775" s="474"/>
      <c r="Z775" s="474"/>
    </row>
    <row r="776" ht="12.0" customHeight="1">
      <c r="A776" s="480"/>
      <c r="B776" s="485"/>
      <c r="C776" s="525"/>
      <c r="D776" s="525"/>
      <c r="E776" s="526"/>
      <c r="F776" s="526"/>
      <c r="G776" s="474"/>
      <c r="H776" s="474"/>
      <c r="I776" s="474"/>
      <c r="J776" s="474"/>
      <c r="K776" s="474"/>
      <c r="L776" s="474"/>
      <c r="M776" s="474"/>
      <c r="N776" s="474"/>
      <c r="O776" s="474"/>
      <c r="P776" s="474"/>
      <c r="Q776" s="474"/>
      <c r="R776" s="474"/>
      <c r="S776" s="474"/>
      <c r="T776" s="474"/>
      <c r="U776" s="474"/>
      <c r="V776" s="474"/>
      <c r="W776" s="474"/>
      <c r="X776" s="474"/>
      <c r="Y776" s="474"/>
      <c r="Z776" s="474"/>
    </row>
    <row r="777" ht="12.0" customHeight="1">
      <c r="A777" s="480"/>
      <c r="B777" s="485"/>
      <c r="C777" s="525"/>
      <c r="D777" s="525"/>
      <c r="E777" s="526"/>
      <c r="F777" s="526"/>
      <c r="G777" s="474"/>
      <c r="H777" s="474"/>
      <c r="I777" s="474"/>
      <c r="J777" s="474"/>
      <c r="K777" s="474"/>
      <c r="L777" s="474"/>
      <c r="M777" s="474"/>
      <c r="N777" s="474"/>
      <c r="O777" s="474"/>
      <c r="P777" s="474"/>
      <c r="Q777" s="474"/>
      <c r="R777" s="474"/>
      <c r="S777" s="474"/>
      <c r="T777" s="474"/>
      <c r="U777" s="474"/>
      <c r="V777" s="474"/>
      <c r="W777" s="474"/>
      <c r="X777" s="474"/>
      <c r="Y777" s="474"/>
      <c r="Z777" s="474"/>
    </row>
    <row r="778" ht="12.0" customHeight="1">
      <c r="A778" s="480"/>
      <c r="B778" s="485"/>
      <c r="C778" s="525"/>
      <c r="D778" s="525"/>
      <c r="E778" s="526"/>
      <c r="F778" s="526"/>
      <c r="G778" s="474"/>
      <c r="H778" s="474"/>
      <c r="I778" s="474"/>
      <c r="J778" s="474"/>
      <c r="K778" s="474"/>
      <c r="L778" s="474"/>
      <c r="M778" s="474"/>
      <c r="N778" s="474"/>
      <c r="O778" s="474"/>
      <c r="P778" s="474"/>
      <c r="Q778" s="474"/>
      <c r="R778" s="474"/>
      <c r="S778" s="474"/>
      <c r="T778" s="474"/>
      <c r="U778" s="474"/>
      <c r="V778" s="474"/>
      <c r="W778" s="474"/>
      <c r="X778" s="474"/>
      <c r="Y778" s="474"/>
      <c r="Z778" s="474"/>
    </row>
    <row r="779" ht="12.0" customHeight="1">
      <c r="A779" s="480"/>
      <c r="B779" s="485"/>
      <c r="C779" s="525"/>
      <c r="D779" s="525"/>
      <c r="E779" s="526"/>
      <c r="F779" s="526"/>
      <c r="G779" s="474"/>
      <c r="H779" s="474"/>
      <c r="I779" s="474"/>
      <c r="J779" s="474"/>
      <c r="K779" s="474"/>
      <c r="L779" s="474"/>
      <c r="M779" s="474"/>
      <c r="N779" s="474"/>
      <c r="O779" s="474"/>
      <c r="P779" s="474"/>
      <c r="Q779" s="474"/>
      <c r="R779" s="474"/>
      <c r="S779" s="474"/>
      <c r="T779" s="474"/>
      <c r="U779" s="474"/>
      <c r="V779" s="474"/>
      <c r="W779" s="474"/>
      <c r="X779" s="474"/>
      <c r="Y779" s="474"/>
      <c r="Z779" s="474"/>
    </row>
    <row r="780" ht="12.0" customHeight="1">
      <c r="A780" s="480"/>
      <c r="B780" s="485"/>
      <c r="C780" s="525"/>
      <c r="D780" s="525"/>
      <c r="E780" s="526"/>
      <c r="F780" s="526"/>
      <c r="G780" s="474"/>
      <c r="H780" s="474"/>
      <c r="I780" s="474"/>
      <c r="J780" s="474"/>
      <c r="K780" s="474"/>
      <c r="L780" s="474"/>
      <c r="M780" s="474"/>
      <c r="N780" s="474"/>
      <c r="O780" s="474"/>
      <c r="P780" s="474"/>
      <c r="Q780" s="474"/>
      <c r="R780" s="474"/>
      <c r="S780" s="474"/>
      <c r="T780" s="474"/>
      <c r="U780" s="474"/>
      <c r="V780" s="474"/>
      <c r="W780" s="474"/>
      <c r="X780" s="474"/>
      <c r="Y780" s="474"/>
      <c r="Z780" s="474"/>
    </row>
    <row r="781" ht="12.0" customHeight="1">
      <c r="A781" s="480"/>
      <c r="B781" s="485"/>
      <c r="C781" s="525"/>
      <c r="D781" s="525"/>
      <c r="E781" s="526"/>
      <c r="F781" s="526"/>
      <c r="G781" s="474"/>
      <c r="H781" s="474"/>
      <c r="I781" s="474"/>
      <c r="J781" s="474"/>
      <c r="K781" s="474"/>
      <c r="L781" s="474"/>
      <c r="M781" s="474"/>
      <c r="N781" s="474"/>
      <c r="O781" s="474"/>
      <c r="P781" s="474"/>
      <c r="Q781" s="474"/>
      <c r="R781" s="474"/>
      <c r="S781" s="474"/>
      <c r="T781" s="474"/>
      <c r="U781" s="474"/>
      <c r="V781" s="474"/>
      <c r="W781" s="474"/>
      <c r="X781" s="474"/>
      <c r="Y781" s="474"/>
      <c r="Z781" s="474"/>
    </row>
    <row r="782" ht="12.0" customHeight="1">
      <c r="A782" s="480"/>
      <c r="B782" s="485"/>
      <c r="C782" s="525"/>
      <c r="D782" s="525"/>
      <c r="E782" s="526"/>
      <c r="F782" s="526"/>
      <c r="G782" s="474"/>
      <c r="H782" s="474"/>
      <c r="I782" s="474"/>
      <c r="J782" s="474"/>
      <c r="K782" s="474"/>
      <c r="L782" s="474"/>
      <c r="M782" s="474"/>
      <c r="N782" s="474"/>
      <c r="O782" s="474"/>
      <c r="P782" s="474"/>
      <c r="Q782" s="474"/>
      <c r="R782" s="474"/>
      <c r="S782" s="474"/>
      <c r="T782" s="474"/>
      <c r="U782" s="474"/>
      <c r="V782" s="474"/>
      <c r="W782" s="474"/>
      <c r="X782" s="474"/>
      <c r="Y782" s="474"/>
      <c r="Z782" s="474"/>
    </row>
    <row r="783" ht="12.0" customHeight="1">
      <c r="A783" s="480"/>
      <c r="B783" s="485"/>
      <c r="C783" s="525"/>
      <c r="D783" s="525"/>
      <c r="E783" s="526"/>
      <c r="F783" s="526"/>
      <c r="G783" s="474"/>
      <c r="H783" s="474"/>
      <c r="I783" s="474"/>
      <c r="J783" s="474"/>
      <c r="K783" s="474"/>
      <c r="L783" s="474"/>
      <c r="M783" s="474"/>
      <c r="N783" s="474"/>
      <c r="O783" s="474"/>
      <c r="P783" s="474"/>
      <c r="Q783" s="474"/>
      <c r="R783" s="474"/>
      <c r="S783" s="474"/>
      <c r="T783" s="474"/>
      <c r="U783" s="474"/>
      <c r="V783" s="474"/>
      <c r="W783" s="474"/>
      <c r="X783" s="474"/>
      <c r="Y783" s="474"/>
      <c r="Z783" s="474"/>
    </row>
    <row r="784" ht="12.0" customHeight="1">
      <c r="A784" s="480"/>
      <c r="B784" s="485"/>
      <c r="C784" s="525"/>
      <c r="D784" s="525"/>
      <c r="E784" s="526"/>
      <c r="F784" s="526"/>
      <c r="G784" s="474"/>
      <c r="H784" s="474"/>
      <c r="I784" s="474"/>
      <c r="J784" s="474"/>
      <c r="K784" s="474"/>
      <c r="L784" s="474"/>
      <c r="M784" s="474"/>
      <c r="N784" s="474"/>
      <c r="O784" s="474"/>
      <c r="P784" s="474"/>
      <c r="Q784" s="474"/>
      <c r="R784" s="474"/>
      <c r="S784" s="474"/>
      <c r="T784" s="474"/>
      <c r="U784" s="474"/>
      <c r="V784" s="474"/>
      <c r="W784" s="474"/>
      <c r="X784" s="474"/>
      <c r="Y784" s="474"/>
      <c r="Z784" s="474"/>
    </row>
    <row r="785" ht="12.0" customHeight="1">
      <c r="A785" s="480"/>
      <c r="B785" s="485"/>
      <c r="C785" s="525"/>
      <c r="D785" s="525"/>
      <c r="E785" s="526"/>
      <c r="F785" s="526"/>
      <c r="G785" s="474"/>
      <c r="H785" s="474"/>
      <c r="I785" s="474"/>
      <c r="J785" s="474"/>
      <c r="K785" s="474"/>
      <c r="L785" s="474"/>
      <c r="M785" s="474"/>
      <c r="N785" s="474"/>
      <c r="O785" s="474"/>
      <c r="P785" s="474"/>
      <c r="Q785" s="474"/>
      <c r="R785" s="474"/>
      <c r="S785" s="474"/>
      <c r="T785" s="474"/>
      <c r="U785" s="474"/>
      <c r="V785" s="474"/>
      <c r="W785" s="474"/>
      <c r="X785" s="474"/>
      <c r="Y785" s="474"/>
      <c r="Z785" s="474"/>
    </row>
    <row r="786" ht="12.0" customHeight="1">
      <c r="A786" s="480"/>
      <c r="B786" s="485"/>
      <c r="C786" s="525"/>
      <c r="D786" s="525"/>
      <c r="E786" s="526"/>
      <c r="F786" s="526"/>
      <c r="G786" s="474"/>
      <c r="H786" s="474"/>
      <c r="I786" s="474"/>
      <c r="J786" s="474"/>
      <c r="K786" s="474"/>
      <c r="L786" s="474"/>
      <c r="M786" s="474"/>
      <c r="N786" s="474"/>
      <c r="O786" s="474"/>
      <c r="P786" s="474"/>
      <c r="Q786" s="474"/>
      <c r="R786" s="474"/>
      <c r="S786" s="474"/>
      <c r="T786" s="474"/>
      <c r="U786" s="474"/>
      <c r="V786" s="474"/>
      <c r="W786" s="474"/>
      <c r="X786" s="474"/>
      <c r="Y786" s="474"/>
      <c r="Z786" s="474"/>
    </row>
    <row r="787" ht="12.0" customHeight="1">
      <c r="A787" s="480"/>
      <c r="B787" s="485"/>
      <c r="C787" s="525"/>
      <c r="D787" s="525"/>
      <c r="E787" s="526"/>
      <c r="F787" s="526"/>
      <c r="G787" s="474"/>
      <c r="H787" s="474"/>
      <c r="I787" s="474"/>
      <c r="J787" s="474"/>
      <c r="K787" s="474"/>
      <c r="L787" s="474"/>
      <c r="M787" s="474"/>
      <c r="N787" s="474"/>
      <c r="O787" s="474"/>
      <c r="P787" s="474"/>
      <c r="Q787" s="474"/>
      <c r="R787" s="474"/>
      <c r="S787" s="474"/>
      <c r="T787" s="474"/>
      <c r="U787" s="474"/>
      <c r="V787" s="474"/>
      <c r="W787" s="474"/>
      <c r="X787" s="474"/>
      <c r="Y787" s="474"/>
      <c r="Z787" s="474"/>
    </row>
    <row r="788" ht="12.0" customHeight="1">
      <c r="A788" s="480"/>
      <c r="B788" s="485"/>
      <c r="C788" s="525"/>
      <c r="D788" s="525"/>
      <c r="E788" s="526"/>
      <c r="F788" s="526"/>
      <c r="G788" s="474"/>
      <c r="H788" s="474"/>
      <c r="I788" s="474"/>
      <c r="J788" s="474"/>
      <c r="K788" s="474"/>
      <c r="L788" s="474"/>
      <c r="M788" s="474"/>
      <c r="N788" s="474"/>
      <c r="O788" s="474"/>
      <c r="P788" s="474"/>
      <c r="Q788" s="474"/>
      <c r="R788" s="474"/>
      <c r="S788" s="474"/>
      <c r="T788" s="474"/>
      <c r="U788" s="474"/>
      <c r="V788" s="474"/>
      <c r="W788" s="474"/>
      <c r="X788" s="474"/>
      <c r="Y788" s="474"/>
      <c r="Z788" s="474"/>
    </row>
    <row r="789" ht="12.0" customHeight="1">
      <c r="A789" s="480"/>
      <c r="B789" s="485"/>
      <c r="C789" s="525"/>
      <c r="D789" s="525"/>
      <c r="E789" s="526"/>
      <c r="F789" s="526"/>
      <c r="G789" s="474"/>
      <c r="H789" s="474"/>
      <c r="I789" s="474"/>
      <c r="J789" s="474"/>
      <c r="K789" s="474"/>
      <c r="L789" s="474"/>
      <c r="M789" s="474"/>
      <c r="N789" s="474"/>
      <c r="O789" s="474"/>
      <c r="P789" s="474"/>
      <c r="Q789" s="474"/>
      <c r="R789" s="474"/>
      <c r="S789" s="474"/>
      <c r="T789" s="474"/>
      <c r="U789" s="474"/>
      <c r="V789" s="474"/>
      <c r="W789" s="474"/>
      <c r="X789" s="474"/>
      <c r="Y789" s="474"/>
      <c r="Z789" s="474"/>
    </row>
    <row r="790" ht="12.0" customHeight="1">
      <c r="A790" s="480"/>
      <c r="B790" s="485"/>
      <c r="C790" s="525"/>
      <c r="D790" s="525"/>
      <c r="E790" s="526"/>
      <c r="F790" s="526"/>
      <c r="G790" s="474"/>
      <c r="H790" s="474"/>
      <c r="I790" s="474"/>
      <c r="J790" s="474"/>
      <c r="K790" s="474"/>
      <c r="L790" s="474"/>
      <c r="M790" s="474"/>
      <c r="N790" s="474"/>
      <c r="O790" s="474"/>
      <c r="P790" s="474"/>
      <c r="Q790" s="474"/>
      <c r="R790" s="474"/>
      <c r="S790" s="474"/>
      <c r="T790" s="474"/>
      <c r="U790" s="474"/>
      <c r="V790" s="474"/>
      <c r="W790" s="474"/>
      <c r="X790" s="474"/>
      <c r="Y790" s="474"/>
      <c r="Z790" s="474"/>
    </row>
    <row r="791" ht="12.0" customHeight="1">
      <c r="A791" s="480"/>
      <c r="B791" s="485"/>
      <c r="C791" s="525"/>
      <c r="D791" s="525"/>
      <c r="E791" s="526"/>
      <c r="F791" s="526"/>
      <c r="G791" s="474"/>
      <c r="H791" s="474"/>
      <c r="I791" s="474"/>
      <c r="J791" s="474"/>
      <c r="K791" s="474"/>
      <c r="L791" s="474"/>
      <c r="M791" s="474"/>
      <c r="N791" s="474"/>
      <c r="O791" s="474"/>
      <c r="P791" s="474"/>
      <c r="Q791" s="474"/>
      <c r="R791" s="474"/>
      <c r="S791" s="474"/>
      <c r="T791" s="474"/>
      <c r="U791" s="474"/>
      <c r="V791" s="474"/>
      <c r="W791" s="474"/>
      <c r="X791" s="474"/>
      <c r="Y791" s="474"/>
      <c r="Z791" s="474"/>
    </row>
    <row r="792" ht="12.0" customHeight="1">
      <c r="A792" s="480"/>
      <c r="B792" s="485"/>
      <c r="C792" s="525"/>
      <c r="D792" s="525"/>
      <c r="E792" s="526"/>
      <c r="F792" s="526"/>
      <c r="G792" s="474"/>
      <c r="H792" s="474"/>
      <c r="I792" s="474"/>
      <c r="J792" s="474"/>
      <c r="K792" s="474"/>
      <c r="L792" s="474"/>
      <c r="M792" s="474"/>
      <c r="N792" s="474"/>
      <c r="O792" s="474"/>
      <c r="P792" s="474"/>
      <c r="Q792" s="474"/>
      <c r="R792" s="474"/>
      <c r="S792" s="474"/>
      <c r="T792" s="474"/>
      <c r="U792" s="474"/>
      <c r="V792" s="474"/>
      <c r="W792" s="474"/>
      <c r="X792" s="474"/>
      <c r="Y792" s="474"/>
      <c r="Z792" s="474"/>
    </row>
    <row r="793" ht="12.0" customHeight="1">
      <c r="A793" s="480"/>
      <c r="B793" s="485"/>
      <c r="C793" s="525"/>
      <c r="D793" s="525"/>
      <c r="E793" s="526"/>
      <c r="F793" s="526"/>
      <c r="G793" s="474"/>
      <c r="H793" s="474"/>
      <c r="I793" s="474"/>
      <c r="J793" s="474"/>
      <c r="K793" s="474"/>
      <c r="L793" s="474"/>
      <c r="M793" s="474"/>
      <c r="N793" s="474"/>
      <c r="O793" s="474"/>
      <c r="P793" s="474"/>
      <c r="Q793" s="474"/>
      <c r="R793" s="474"/>
      <c r="S793" s="474"/>
      <c r="T793" s="474"/>
      <c r="U793" s="474"/>
      <c r="V793" s="474"/>
      <c r="W793" s="474"/>
      <c r="X793" s="474"/>
      <c r="Y793" s="474"/>
      <c r="Z793" s="474"/>
    </row>
    <row r="794" ht="12.0" customHeight="1">
      <c r="A794" s="480"/>
      <c r="B794" s="485"/>
      <c r="C794" s="525"/>
      <c r="D794" s="525"/>
      <c r="E794" s="526"/>
      <c r="F794" s="526"/>
      <c r="G794" s="474"/>
      <c r="H794" s="474"/>
      <c r="I794" s="474"/>
      <c r="J794" s="474"/>
      <c r="K794" s="474"/>
      <c r="L794" s="474"/>
      <c r="M794" s="474"/>
      <c r="N794" s="474"/>
      <c r="O794" s="474"/>
      <c r="P794" s="474"/>
      <c r="Q794" s="474"/>
      <c r="R794" s="474"/>
      <c r="S794" s="474"/>
      <c r="T794" s="474"/>
      <c r="U794" s="474"/>
      <c r="V794" s="474"/>
      <c r="W794" s="474"/>
      <c r="X794" s="474"/>
      <c r="Y794" s="474"/>
      <c r="Z794" s="474"/>
    </row>
    <row r="795" ht="12.0" customHeight="1">
      <c r="A795" s="480"/>
      <c r="B795" s="485"/>
      <c r="C795" s="525"/>
      <c r="D795" s="525"/>
      <c r="E795" s="526"/>
      <c r="F795" s="526"/>
      <c r="G795" s="474"/>
      <c r="H795" s="474"/>
      <c r="I795" s="474"/>
      <c r="J795" s="474"/>
      <c r="K795" s="474"/>
      <c r="L795" s="474"/>
      <c r="M795" s="474"/>
      <c r="N795" s="474"/>
      <c r="O795" s="474"/>
      <c r="P795" s="474"/>
      <c r="Q795" s="474"/>
      <c r="R795" s="474"/>
      <c r="S795" s="474"/>
      <c r="T795" s="474"/>
      <c r="U795" s="474"/>
      <c r="V795" s="474"/>
      <c r="W795" s="474"/>
      <c r="X795" s="474"/>
      <c r="Y795" s="474"/>
      <c r="Z795" s="474"/>
    </row>
    <row r="796" ht="12.0" customHeight="1">
      <c r="A796" s="480"/>
      <c r="B796" s="485"/>
      <c r="C796" s="525"/>
      <c r="D796" s="525"/>
      <c r="E796" s="526"/>
      <c r="F796" s="526"/>
      <c r="G796" s="474"/>
      <c r="H796" s="474"/>
      <c r="I796" s="474"/>
      <c r="J796" s="474"/>
      <c r="K796" s="474"/>
      <c r="L796" s="474"/>
      <c r="M796" s="474"/>
      <c r="N796" s="474"/>
      <c r="O796" s="474"/>
      <c r="P796" s="474"/>
      <c r="Q796" s="474"/>
      <c r="R796" s="474"/>
      <c r="S796" s="474"/>
      <c r="T796" s="474"/>
      <c r="U796" s="474"/>
      <c r="V796" s="474"/>
      <c r="W796" s="474"/>
      <c r="X796" s="474"/>
      <c r="Y796" s="474"/>
      <c r="Z796" s="474"/>
    </row>
    <row r="797" ht="12.0" customHeight="1">
      <c r="A797" s="480"/>
      <c r="B797" s="485"/>
      <c r="C797" s="525"/>
      <c r="D797" s="525"/>
      <c r="E797" s="526"/>
      <c r="F797" s="526"/>
      <c r="G797" s="474"/>
      <c r="H797" s="474"/>
      <c r="I797" s="474"/>
      <c r="J797" s="474"/>
      <c r="K797" s="474"/>
      <c r="L797" s="474"/>
      <c r="M797" s="474"/>
      <c r="N797" s="474"/>
      <c r="O797" s="474"/>
      <c r="P797" s="474"/>
      <c r="Q797" s="474"/>
      <c r="R797" s="474"/>
      <c r="S797" s="474"/>
      <c r="T797" s="474"/>
      <c r="U797" s="474"/>
      <c r="V797" s="474"/>
      <c r="W797" s="474"/>
      <c r="X797" s="474"/>
      <c r="Y797" s="474"/>
      <c r="Z797" s="474"/>
    </row>
    <row r="798" ht="12.0" customHeight="1">
      <c r="A798" s="480"/>
      <c r="B798" s="485"/>
      <c r="C798" s="525"/>
      <c r="D798" s="525"/>
      <c r="E798" s="526"/>
      <c r="F798" s="526"/>
      <c r="G798" s="474"/>
      <c r="H798" s="474"/>
      <c r="I798" s="474"/>
      <c r="J798" s="474"/>
      <c r="K798" s="474"/>
      <c r="L798" s="474"/>
      <c r="M798" s="474"/>
      <c r="N798" s="474"/>
      <c r="O798" s="474"/>
      <c r="P798" s="474"/>
      <c r="Q798" s="474"/>
      <c r="R798" s="474"/>
      <c r="S798" s="474"/>
      <c r="T798" s="474"/>
      <c r="U798" s="474"/>
      <c r="V798" s="474"/>
      <c r="W798" s="474"/>
      <c r="X798" s="474"/>
      <c r="Y798" s="474"/>
      <c r="Z798" s="474"/>
    </row>
    <row r="799" ht="12.0" customHeight="1">
      <c r="A799" s="480"/>
      <c r="B799" s="485"/>
      <c r="C799" s="525"/>
      <c r="D799" s="525"/>
      <c r="E799" s="526"/>
      <c r="F799" s="526"/>
      <c r="G799" s="474"/>
      <c r="H799" s="474"/>
      <c r="I799" s="474"/>
      <c r="J799" s="474"/>
      <c r="K799" s="474"/>
      <c r="L799" s="474"/>
      <c r="M799" s="474"/>
      <c r="N799" s="474"/>
      <c r="O799" s="474"/>
      <c r="P799" s="474"/>
      <c r="Q799" s="474"/>
      <c r="R799" s="474"/>
      <c r="S799" s="474"/>
      <c r="T799" s="474"/>
      <c r="U799" s="474"/>
      <c r="V799" s="474"/>
      <c r="W799" s="474"/>
      <c r="X799" s="474"/>
      <c r="Y799" s="474"/>
      <c r="Z799" s="474"/>
    </row>
    <row r="800" ht="12.0" customHeight="1">
      <c r="A800" s="480"/>
      <c r="B800" s="485"/>
      <c r="C800" s="525"/>
      <c r="D800" s="525"/>
      <c r="E800" s="526"/>
      <c r="F800" s="526"/>
      <c r="G800" s="474"/>
      <c r="H800" s="474"/>
      <c r="I800" s="474"/>
      <c r="J800" s="474"/>
      <c r="K800" s="474"/>
      <c r="L800" s="474"/>
      <c r="M800" s="474"/>
      <c r="N800" s="474"/>
      <c r="O800" s="474"/>
      <c r="P800" s="474"/>
      <c r="Q800" s="474"/>
      <c r="R800" s="474"/>
      <c r="S800" s="474"/>
      <c r="T800" s="474"/>
      <c r="U800" s="474"/>
      <c r="V800" s="474"/>
      <c r="W800" s="474"/>
      <c r="X800" s="474"/>
      <c r="Y800" s="474"/>
      <c r="Z800" s="474"/>
    </row>
    <row r="801" ht="12.0" customHeight="1">
      <c r="A801" s="480"/>
      <c r="B801" s="485"/>
      <c r="C801" s="525"/>
      <c r="D801" s="525"/>
      <c r="E801" s="526"/>
      <c r="F801" s="526"/>
      <c r="G801" s="474"/>
      <c r="H801" s="474"/>
      <c r="I801" s="474"/>
      <c r="J801" s="474"/>
      <c r="K801" s="474"/>
      <c r="L801" s="474"/>
      <c r="M801" s="474"/>
      <c r="N801" s="474"/>
      <c r="O801" s="474"/>
      <c r="P801" s="474"/>
      <c r="Q801" s="474"/>
      <c r="R801" s="474"/>
      <c r="S801" s="474"/>
      <c r="T801" s="474"/>
      <c r="U801" s="474"/>
      <c r="V801" s="474"/>
      <c r="W801" s="474"/>
      <c r="X801" s="474"/>
      <c r="Y801" s="474"/>
      <c r="Z801" s="474"/>
    </row>
    <row r="802" ht="12.0" customHeight="1">
      <c r="A802" s="480"/>
      <c r="B802" s="485"/>
      <c r="C802" s="525"/>
      <c r="D802" s="525"/>
      <c r="E802" s="526"/>
      <c r="F802" s="526"/>
      <c r="G802" s="474"/>
      <c r="H802" s="474"/>
      <c r="I802" s="474"/>
      <c r="J802" s="474"/>
      <c r="K802" s="474"/>
      <c r="L802" s="474"/>
      <c r="M802" s="474"/>
      <c r="N802" s="474"/>
      <c r="O802" s="474"/>
      <c r="P802" s="474"/>
      <c r="Q802" s="474"/>
      <c r="R802" s="474"/>
      <c r="S802" s="474"/>
      <c r="T802" s="474"/>
      <c r="U802" s="474"/>
      <c r="V802" s="474"/>
      <c r="W802" s="474"/>
      <c r="X802" s="474"/>
      <c r="Y802" s="474"/>
      <c r="Z802" s="474"/>
    </row>
    <row r="803" ht="12.0" customHeight="1">
      <c r="A803" s="480"/>
      <c r="B803" s="485"/>
      <c r="C803" s="525"/>
      <c r="D803" s="525"/>
      <c r="E803" s="526"/>
      <c r="F803" s="526"/>
      <c r="G803" s="474"/>
      <c r="H803" s="474"/>
      <c r="I803" s="474"/>
      <c r="J803" s="474"/>
      <c r="K803" s="474"/>
      <c r="L803" s="474"/>
      <c r="M803" s="474"/>
      <c r="N803" s="474"/>
      <c r="O803" s="474"/>
      <c r="P803" s="474"/>
      <c r="Q803" s="474"/>
      <c r="R803" s="474"/>
      <c r="S803" s="474"/>
      <c r="T803" s="474"/>
      <c r="U803" s="474"/>
      <c r="V803" s="474"/>
      <c r="W803" s="474"/>
      <c r="X803" s="474"/>
      <c r="Y803" s="474"/>
      <c r="Z803" s="474"/>
    </row>
    <row r="804" ht="12.0" customHeight="1">
      <c r="A804" s="480"/>
      <c r="B804" s="485"/>
      <c r="C804" s="525"/>
      <c r="D804" s="525"/>
      <c r="E804" s="526"/>
      <c r="F804" s="526"/>
      <c r="G804" s="474"/>
      <c r="H804" s="474"/>
      <c r="I804" s="474"/>
      <c r="J804" s="474"/>
      <c r="K804" s="474"/>
      <c r="L804" s="474"/>
      <c r="M804" s="474"/>
      <c r="N804" s="474"/>
      <c r="O804" s="474"/>
      <c r="P804" s="474"/>
      <c r="Q804" s="474"/>
      <c r="R804" s="474"/>
      <c r="S804" s="474"/>
      <c r="T804" s="474"/>
      <c r="U804" s="474"/>
      <c r="V804" s="474"/>
      <c r="W804" s="474"/>
      <c r="X804" s="474"/>
      <c r="Y804" s="474"/>
      <c r="Z804" s="474"/>
    </row>
    <row r="805" ht="12.0" customHeight="1">
      <c r="A805" s="480"/>
      <c r="B805" s="485"/>
      <c r="C805" s="525"/>
      <c r="D805" s="525"/>
      <c r="E805" s="526"/>
      <c r="F805" s="526"/>
      <c r="G805" s="474"/>
      <c r="H805" s="474"/>
      <c r="I805" s="474"/>
      <c r="J805" s="474"/>
      <c r="K805" s="474"/>
      <c r="L805" s="474"/>
      <c r="M805" s="474"/>
      <c r="N805" s="474"/>
      <c r="O805" s="474"/>
      <c r="P805" s="474"/>
      <c r="Q805" s="474"/>
      <c r="R805" s="474"/>
      <c r="S805" s="474"/>
      <c r="T805" s="474"/>
      <c r="U805" s="474"/>
      <c r="V805" s="474"/>
      <c r="W805" s="474"/>
      <c r="X805" s="474"/>
      <c r="Y805" s="474"/>
      <c r="Z805" s="474"/>
    </row>
    <row r="806" ht="12.0" customHeight="1">
      <c r="A806" s="480"/>
      <c r="B806" s="485"/>
      <c r="C806" s="525"/>
      <c r="D806" s="525"/>
      <c r="E806" s="526"/>
      <c r="F806" s="526"/>
      <c r="G806" s="474"/>
      <c r="H806" s="474"/>
      <c r="I806" s="474"/>
      <c r="J806" s="474"/>
      <c r="K806" s="474"/>
      <c r="L806" s="474"/>
      <c r="M806" s="474"/>
      <c r="N806" s="474"/>
      <c r="O806" s="474"/>
      <c r="P806" s="474"/>
      <c r="Q806" s="474"/>
      <c r="R806" s="474"/>
      <c r="S806" s="474"/>
      <c r="T806" s="474"/>
      <c r="U806" s="474"/>
      <c r="V806" s="474"/>
      <c r="W806" s="474"/>
      <c r="X806" s="474"/>
      <c r="Y806" s="474"/>
      <c r="Z806" s="474"/>
    </row>
    <row r="807" ht="12.0" customHeight="1">
      <c r="A807" s="480"/>
      <c r="B807" s="485"/>
      <c r="C807" s="525"/>
      <c r="D807" s="525"/>
      <c r="E807" s="526"/>
      <c r="F807" s="526"/>
      <c r="G807" s="474"/>
      <c r="H807" s="474"/>
      <c r="I807" s="474"/>
      <c r="J807" s="474"/>
      <c r="K807" s="474"/>
      <c r="L807" s="474"/>
      <c r="M807" s="474"/>
      <c r="N807" s="474"/>
      <c r="O807" s="474"/>
      <c r="P807" s="474"/>
      <c r="Q807" s="474"/>
      <c r="R807" s="474"/>
      <c r="S807" s="474"/>
      <c r="T807" s="474"/>
      <c r="U807" s="474"/>
      <c r="V807" s="474"/>
      <c r="W807" s="474"/>
      <c r="X807" s="474"/>
      <c r="Y807" s="474"/>
      <c r="Z807" s="474"/>
    </row>
    <row r="808" ht="12.0" customHeight="1">
      <c r="A808" s="480"/>
      <c r="B808" s="485"/>
      <c r="C808" s="525"/>
      <c r="D808" s="525"/>
      <c r="E808" s="526"/>
      <c r="F808" s="526"/>
      <c r="G808" s="474"/>
      <c r="H808" s="474"/>
      <c r="I808" s="474"/>
      <c r="J808" s="474"/>
      <c r="K808" s="474"/>
      <c r="L808" s="474"/>
      <c r="M808" s="474"/>
      <c r="N808" s="474"/>
      <c r="O808" s="474"/>
      <c r="P808" s="474"/>
      <c r="Q808" s="474"/>
      <c r="R808" s="474"/>
      <c r="S808" s="474"/>
      <c r="T808" s="474"/>
      <c r="U808" s="474"/>
      <c r="V808" s="474"/>
      <c r="W808" s="474"/>
      <c r="X808" s="474"/>
      <c r="Y808" s="474"/>
      <c r="Z808" s="474"/>
    </row>
    <row r="809" ht="12.0" customHeight="1">
      <c r="A809" s="480"/>
      <c r="B809" s="485"/>
      <c r="C809" s="525"/>
      <c r="D809" s="525"/>
      <c r="E809" s="526"/>
      <c r="F809" s="526"/>
      <c r="G809" s="474"/>
      <c r="H809" s="474"/>
      <c r="I809" s="474"/>
      <c r="J809" s="474"/>
      <c r="K809" s="474"/>
      <c r="L809" s="474"/>
      <c r="M809" s="474"/>
      <c r="N809" s="474"/>
      <c r="O809" s="474"/>
      <c r="P809" s="474"/>
      <c r="Q809" s="474"/>
      <c r="R809" s="474"/>
      <c r="S809" s="474"/>
      <c r="T809" s="474"/>
      <c r="U809" s="474"/>
      <c r="V809" s="474"/>
      <c r="W809" s="474"/>
      <c r="X809" s="474"/>
      <c r="Y809" s="474"/>
      <c r="Z809" s="474"/>
    </row>
    <row r="810" ht="12.0" customHeight="1">
      <c r="A810" s="480"/>
      <c r="B810" s="485"/>
      <c r="C810" s="525"/>
      <c r="D810" s="525"/>
      <c r="E810" s="526"/>
      <c r="F810" s="526"/>
      <c r="G810" s="474"/>
      <c r="H810" s="474"/>
      <c r="I810" s="474"/>
      <c r="J810" s="474"/>
      <c r="K810" s="474"/>
      <c r="L810" s="474"/>
      <c r="M810" s="474"/>
      <c r="N810" s="474"/>
      <c r="O810" s="474"/>
      <c r="P810" s="474"/>
      <c r="Q810" s="474"/>
      <c r="R810" s="474"/>
      <c r="S810" s="474"/>
      <c r="T810" s="474"/>
      <c r="U810" s="474"/>
      <c r="V810" s="474"/>
      <c r="W810" s="474"/>
      <c r="X810" s="474"/>
      <c r="Y810" s="474"/>
      <c r="Z810" s="474"/>
    </row>
    <row r="811" ht="12.0" customHeight="1">
      <c r="A811" s="480"/>
      <c r="B811" s="485"/>
      <c r="C811" s="525"/>
      <c r="D811" s="525"/>
      <c r="E811" s="526"/>
      <c r="F811" s="526"/>
      <c r="G811" s="474"/>
      <c r="H811" s="474"/>
      <c r="I811" s="474"/>
      <c r="J811" s="474"/>
      <c r="K811" s="474"/>
      <c r="L811" s="474"/>
      <c r="M811" s="474"/>
      <c r="N811" s="474"/>
      <c r="O811" s="474"/>
      <c r="P811" s="474"/>
      <c r="Q811" s="474"/>
      <c r="R811" s="474"/>
      <c r="S811" s="474"/>
      <c r="T811" s="474"/>
      <c r="U811" s="474"/>
      <c r="V811" s="474"/>
      <c r="W811" s="474"/>
      <c r="X811" s="474"/>
      <c r="Y811" s="474"/>
      <c r="Z811" s="474"/>
    </row>
    <row r="812" ht="12.0" customHeight="1">
      <c r="A812" s="480"/>
      <c r="B812" s="485"/>
      <c r="C812" s="525"/>
      <c r="D812" s="525"/>
      <c r="E812" s="526"/>
      <c r="F812" s="526"/>
      <c r="G812" s="474"/>
      <c r="H812" s="474"/>
      <c r="I812" s="474"/>
      <c r="J812" s="474"/>
      <c r="K812" s="474"/>
      <c r="L812" s="474"/>
      <c r="M812" s="474"/>
      <c r="N812" s="474"/>
      <c r="O812" s="474"/>
      <c r="P812" s="474"/>
      <c r="Q812" s="474"/>
      <c r="R812" s="474"/>
      <c r="S812" s="474"/>
      <c r="T812" s="474"/>
      <c r="U812" s="474"/>
      <c r="V812" s="474"/>
      <c r="W812" s="474"/>
      <c r="X812" s="474"/>
      <c r="Y812" s="474"/>
      <c r="Z812" s="474"/>
    </row>
    <row r="813" ht="12.0" customHeight="1">
      <c r="A813" s="480"/>
      <c r="B813" s="485"/>
      <c r="C813" s="525"/>
      <c r="D813" s="525"/>
      <c r="E813" s="526"/>
      <c r="F813" s="526"/>
      <c r="G813" s="474"/>
      <c r="H813" s="474"/>
      <c r="I813" s="474"/>
      <c r="J813" s="474"/>
      <c r="K813" s="474"/>
      <c r="L813" s="474"/>
      <c r="M813" s="474"/>
      <c r="N813" s="474"/>
      <c r="O813" s="474"/>
      <c r="P813" s="474"/>
      <c r="Q813" s="474"/>
      <c r="R813" s="474"/>
      <c r="S813" s="474"/>
      <c r="T813" s="474"/>
      <c r="U813" s="474"/>
      <c r="V813" s="474"/>
      <c r="W813" s="474"/>
      <c r="X813" s="474"/>
      <c r="Y813" s="474"/>
      <c r="Z813" s="474"/>
    </row>
    <row r="814" ht="12.0" customHeight="1">
      <c r="A814" s="480"/>
      <c r="B814" s="485"/>
      <c r="C814" s="525"/>
      <c r="D814" s="525"/>
      <c r="E814" s="526"/>
      <c r="F814" s="526"/>
      <c r="G814" s="474"/>
      <c r="H814" s="474"/>
      <c r="I814" s="474"/>
      <c r="J814" s="474"/>
      <c r="K814" s="474"/>
      <c r="L814" s="474"/>
      <c r="M814" s="474"/>
      <c r="N814" s="474"/>
      <c r="O814" s="474"/>
      <c r="P814" s="474"/>
      <c r="Q814" s="474"/>
      <c r="R814" s="474"/>
      <c r="S814" s="474"/>
      <c r="T814" s="474"/>
      <c r="U814" s="474"/>
      <c r="V814" s="474"/>
      <c r="W814" s="474"/>
      <c r="X814" s="474"/>
      <c r="Y814" s="474"/>
      <c r="Z814" s="474"/>
    </row>
    <row r="815" ht="12.0" customHeight="1">
      <c r="A815" s="480"/>
      <c r="B815" s="485"/>
      <c r="C815" s="525"/>
      <c r="D815" s="525"/>
      <c r="E815" s="526"/>
      <c r="F815" s="526"/>
      <c r="G815" s="474"/>
      <c r="H815" s="474"/>
      <c r="I815" s="474"/>
      <c r="J815" s="474"/>
      <c r="K815" s="474"/>
      <c r="L815" s="474"/>
      <c r="M815" s="474"/>
      <c r="N815" s="474"/>
      <c r="O815" s="474"/>
      <c r="P815" s="474"/>
      <c r="Q815" s="474"/>
      <c r="R815" s="474"/>
      <c r="S815" s="474"/>
      <c r="T815" s="474"/>
      <c r="U815" s="474"/>
      <c r="V815" s="474"/>
      <c r="W815" s="474"/>
      <c r="X815" s="474"/>
      <c r="Y815" s="474"/>
      <c r="Z815" s="474"/>
    </row>
    <row r="816" ht="12.0" customHeight="1">
      <c r="A816" s="480"/>
      <c r="B816" s="485"/>
      <c r="C816" s="525"/>
      <c r="D816" s="525"/>
      <c r="E816" s="526"/>
      <c r="F816" s="526"/>
      <c r="G816" s="474"/>
      <c r="H816" s="474"/>
      <c r="I816" s="474"/>
      <c r="J816" s="474"/>
      <c r="K816" s="474"/>
      <c r="L816" s="474"/>
      <c r="M816" s="474"/>
      <c r="N816" s="474"/>
      <c r="O816" s="474"/>
      <c r="P816" s="474"/>
      <c r="Q816" s="474"/>
      <c r="R816" s="474"/>
      <c r="S816" s="474"/>
      <c r="T816" s="474"/>
      <c r="U816" s="474"/>
      <c r="V816" s="474"/>
      <c r="W816" s="474"/>
      <c r="X816" s="474"/>
      <c r="Y816" s="474"/>
      <c r="Z816" s="474"/>
    </row>
    <row r="817" ht="12.0" customHeight="1">
      <c r="A817" s="480"/>
      <c r="B817" s="485"/>
      <c r="C817" s="525"/>
      <c r="D817" s="525"/>
      <c r="E817" s="526"/>
      <c r="F817" s="526"/>
      <c r="G817" s="474"/>
      <c r="H817" s="474"/>
      <c r="I817" s="474"/>
      <c r="J817" s="474"/>
      <c r="K817" s="474"/>
      <c r="L817" s="474"/>
      <c r="M817" s="474"/>
      <c r="N817" s="474"/>
      <c r="O817" s="474"/>
      <c r="P817" s="474"/>
      <c r="Q817" s="474"/>
      <c r="R817" s="474"/>
      <c r="S817" s="474"/>
      <c r="T817" s="474"/>
      <c r="U817" s="474"/>
      <c r="V817" s="474"/>
      <c r="W817" s="474"/>
      <c r="X817" s="474"/>
      <c r="Y817" s="474"/>
      <c r="Z817" s="474"/>
    </row>
    <row r="818" ht="12.0" customHeight="1">
      <c r="A818" s="480"/>
      <c r="B818" s="485"/>
      <c r="C818" s="525"/>
      <c r="D818" s="525"/>
      <c r="E818" s="526"/>
      <c r="F818" s="526"/>
      <c r="G818" s="474"/>
      <c r="H818" s="474"/>
      <c r="I818" s="474"/>
      <c r="J818" s="474"/>
      <c r="K818" s="474"/>
      <c r="L818" s="474"/>
      <c r="M818" s="474"/>
      <c r="N818" s="474"/>
      <c r="O818" s="474"/>
      <c r="P818" s="474"/>
      <c r="Q818" s="474"/>
      <c r="R818" s="474"/>
      <c r="S818" s="474"/>
      <c r="T818" s="474"/>
      <c r="U818" s="474"/>
      <c r="V818" s="474"/>
      <c r="W818" s="474"/>
      <c r="X818" s="474"/>
      <c r="Y818" s="474"/>
      <c r="Z818" s="474"/>
    </row>
    <row r="819" ht="12.0" customHeight="1">
      <c r="A819" s="480"/>
      <c r="B819" s="485"/>
      <c r="C819" s="525"/>
      <c r="D819" s="525"/>
      <c r="E819" s="526"/>
      <c r="F819" s="526"/>
      <c r="G819" s="474"/>
      <c r="H819" s="474"/>
      <c r="I819" s="474"/>
      <c r="J819" s="474"/>
      <c r="K819" s="474"/>
      <c r="L819" s="474"/>
      <c r="M819" s="474"/>
      <c r="N819" s="474"/>
      <c r="O819" s="474"/>
      <c r="P819" s="474"/>
      <c r="Q819" s="474"/>
      <c r="R819" s="474"/>
      <c r="S819" s="474"/>
      <c r="T819" s="474"/>
      <c r="U819" s="474"/>
      <c r="V819" s="474"/>
      <c r="W819" s="474"/>
      <c r="X819" s="474"/>
      <c r="Y819" s="474"/>
      <c r="Z819" s="474"/>
    </row>
    <row r="820" ht="12.0" customHeight="1">
      <c r="A820" s="480"/>
      <c r="B820" s="485"/>
      <c r="C820" s="525"/>
      <c r="D820" s="525"/>
      <c r="E820" s="526"/>
      <c r="F820" s="526"/>
      <c r="G820" s="474"/>
      <c r="H820" s="474"/>
      <c r="I820" s="474"/>
      <c r="J820" s="474"/>
      <c r="K820" s="474"/>
      <c r="L820" s="474"/>
      <c r="M820" s="474"/>
      <c r="N820" s="474"/>
      <c r="O820" s="474"/>
      <c r="P820" s="474"/>
      <c r="Q820" s="474"/>
      <c r="R820" s="474"/>
      <c r="S820" s="474"/>
      <c r="T820" s="474"/>
      <c r="U820" s="474"/>
      <c r="V820" s="474"/>
      <c r="W820" s="474"/>
      <c r="X820" s="474"/>
      <c r="Y820" s="474"/>
      <c r="Z820" s="474"/>
    </row>
    <row r="821" ht="12.0" customHeight="1">
      <c r="A821" s="480"/>
      <c r="B821" s="485"/>
      <c r="C821" s="525"/>
      <c r="D821" s="525"/>
      <c r="E821" s="526"/>
      <c r="F821" s="526"/>
      <c r="G821" s="474"/>
      <c r="H821" s="474"/>
      <c r="I821" s="474"/>
      <c r="J821" s="474"/>
      <c r="K821" s="474"/>
      <c r="L821" s="474"/>
      <c r="M821" s="474"/>
      <c r="N821" s="474"/>
      <c r="O821" s="474"/>
      <c r="P821" s="474"/>
      <c r="Q821" s="474"/>
      <c r="R821" s="474"/>
      <c r="S821" s="474"/>
      <c r="T821" s="474"/>
      <c r="U821" s="474"/>
      <c r="V821" s="474"/>
      <c r="W821" s="474"/>
      <c r="X821" s="474"/>
      <c r="Y821" s="474"/>
      <c r="Z821" s="474"/>
    </row>
    <row r="822" ht="12.0" customHeight="1">
      <c r="A822" s="480"/>
      <c r="B822" s="485"/>
      <c r="C822" s="525"/>
      <c r="D822" s="525"/>
      <c r="E822" s="526"/>
      <c r="F822" s="526"/>
      <c r="G822" s="474"/>
      <c r="H822" s="474"/>
      <c r="I822" s="474"/>
      <c r="J822" s="474"/>
      <c r="K822" s="474"/>
      <c r="L822" s="474"/>
      <c r="M822" s="474"/>
      <c r="N822" s="474"/>
      <c r="O822" s="474"/>
      <c r="P822" s="474"/>
      <c r="Q822" s="474"/>
      <c r="R822" s="474"/>
      <c r="S822" s="474"/>
      <c r="T822" s="474"/>
      <c r="U822" s="474"/>
      <c r="V822" s="474"/>
      <c r="W822" s="474"/>
      <c r="X822" s="474"/>
      <c r="Y822" s="474"/>
      <c r="Z822" s="474"/>
    </row>
    <row r="823" ht="12.0" customHeight="1">
      <c r="A823" s="480"/>
      <c r="B823" s="485"/>
      <c r="C823" s="525"/>
      <c r="D823" s="525"/>
      <c r="E823" s="526"/>
      <c r="F823" s="526"/>
      <c r="G823" s="474"/>
      <c r="H823" s="474"/>
      <c r="I823" s="474"/>
      <c r="J823" s="474"/>
      <c r="K823" s="474"/>
      <c r="L823" s="474"/>
      <c r="M823" s="474"/>
      <c r="N823" s="474"/>
      <c r="O823" s="474"/>
      <c r="P823" s="474"/>
      <c r="Q823" s="474"/>
      <c r="R823" s="474"/>
      <c r="S823" s="474"/>
      <c r="T823" s="474"/>
      <c r="U823" s="474"/>
      <c r="V823" s="474"/>
      <c r="W823" s="474"/>
      <c r="X823" s="474"/>
      <c r="Y823" s="474"/>
      <c r="Z823" s="474"/>
    </row>
    <row r="824" ht="12.0" customHeight="1">
      <c r="A824" s="480"/>
      <c r="B824" s="485"/>
      <c r="C824" s="525"/>
      <c r="D824" s="525"/>
      <c r="E824" s="526"/>
      <c r="F824" s="526"/>
      <c r="G824" s="474"/>
      <c r="H824" s="474"/>
      <c r="I824" s="474"/>
      <c r="J824" s="474"/>
      <c r="K824" s="474"/>
      <c r="L824" s="474"/>
      <c r="M824" s="474"/>
      <c r="N824" s="474"/>
      <c r="O824" s="474"/>
      <c r="P824" s="474"/>
      <c r="Q824" s="474"/>
      <c r="R824" s="474"/>
      <c r="S824" s="474"/>
      <c r="T824" s="474"/>
      <c r="U824" s="474"/>
      <c r="V824" s="474"/>
      <c r="W824" s="474"/>
      <c r="X824" s="474"/>
      <c r="Y824" s="474"/>
      <c r="Z824" s="474"/>
    </row>
    <row r="825" ht="12.0" customHeight="1">
      <c r="A825" s="480"/>
      <c r="B825" s="485"/>
      <c r="C825" s="525"/>
      <c r="D825" s="525"/>
      <c r="E825" s="526"/>
      <c r="F825" s="526"/>
      <c r="G825" s="474"/>
      <c r="H825" s="474"/>
      <c r="I825" s="474"/>
      <c r="J825" s="474"/>
      <c r="K825" s="474"/>
      <c r="L825" s="474"/>
      <c r="M825" s="474"/>
      <c r="N825" s="474"/>
      <c r="O825" s="474"/>
      <c r="P825" s="474"/>
      <c r="Q825" s="474"/>
      <c r="R825" s="474"/>
      <c r="S825" s="474"/>
      <c r="T825" s="474"/>
      <c r="U825" s="474"/>
      <c r="V825" s="474"/>
      <c r="W825" s="474"/>
      <c r="X825" s="474"/>
      <c r="Y825" s="474"/>
      <c r="Z825" s="474"/>
    </row>
    <row r="826" ht="12.0" customHeight="1">
      <c r="A826" s="480"/>
      <c r="B826" s="485"/>
      <c r="C826" s="525"/>
      <c r="D826" s="525"/>
      <c r="E826" s="526"/>
      <c r="F826" s="526"/>
      <c r="G826" s="474"/>
      <c r="H826" s="474"/>
      <c r="I826" s="474"/>
      <c r="J826" s="474"/>
      <c r="K826" s="474"/>
      <c r="L826" s="474"/>
      <c r="M826" s="474"/>
      <c r="N826" s="474"/>
      <c r="O826" s="474"/>
      <c r="P826" s="474"/>
      <c r="Q826" s="474"/>
      <c r="R826" s="474"/>
      <c r="S826" s="474"/>
      <c r="T826" s="474"/>
      <c r="U826" s="474"/>
      <c r="V826" s="474"/>
      <c r="W826" s="474"/>
      <c r="X826" s="474"/>
      <c r="Y826" s="474"/>
      <c r="Z826" s="474"/>
    </row>
    <row r="827" ht="12.0" customHeight="1">
      <c r="A827" s="480"/>
      <c r="B827" s="485"/>
      <c r="C827" s="525"/>
      <c r="D827" s="525"/>
      <c r="E827" s="526"/>
      <c r="F827" s="526"/>
      <c r="G827" s="474"/>
      <c r="H827" s="474"/>
      <c r="I827" s="474"/>
      <c r="J827" s="474"/>
      <c r="K827" s="474"/>
      <c r="L827" s="474"/>
      <c r="M827" s="474"/>
      <c r="N827" s="474"/>
      <c r="O827" s="474"/>
      <c r="P827" s="474"/>
      <c r="Q827" s="474"/>
      <c r="R827" s="474"/>
      <c r="S827" s="474"/>
      <c r="T827" s="474"/>
      <c r="U827" s="474"/>
      <c r="V827" s="474"/>
      <c r="W827" s="474"/>
      <c r="X827" s="474"/>
      <c r="Y827" s="474"/>
      <c r="Z827" s="474"/>
    </row>
    <row r="828" ht="12.0" customHeight="1">
      <c r="A828" s="480"/>
      <c r="B828" s="485"/>
      <c r="C828" s="525"/>
      <c r="D828" s="525"/>
      <c r="E828" s="526"/>
      <c r="F828" s="526"/>
      <c r="G828" s="474"/>
      <c r="H828" s="474"/>
      <c r="I828" s="474"/>
      <c r="J828" s="474"/>
      <c r="K828" s="474"/>
      <c r="L828" s="474"/>
      <c r="M828" s="474"/>
      <c r="N828" s="474"/>
      <c r="O828" s="474"/>
      <c r="P828" s="474"/>
      <c r="Q828" s="474"/>
      <c r="R828" s="474"/>
      <c r="S828" s="474"/>
      <c r="T828" s="474"/>
      <c r="U828" s="474"/>
      <c r="V828" s="474"/>
      <c r="W828" s="474"/>
      <c r="X828" s="474"/>
      <c r="Y828" s="474"/>
      <c r="Z828" s="474"/>
    </row>
    <row r="829" ht="12.0" customHeight="1">
      <c r="A829" s="480"/>
      <c r="B829" s="485"/>
      <c r="C829" s="525"/>
      <c r="D829" s="525"/>
      <c r="E829" s="526"/>
      <c r="F829" s="526"/>
      <c r="G829" s="474"/>
      <c r="H829" s="474"/>
      <c r="I829" s="474"/>
      <c r="J829" s="474"/>
      <c r="K829" s="474"/>
      <c r="L829" s="474"/>
      <c r="M829" s="474"/>
      <c r="N829" s="474"/>
      <c r="O829" s="474"/>
      <c r="P829" s="474"/>
      <c r="Q829" s="474"/>
      <c r="R829" s="474"/>
      <c r="S829" s="474"/>
      <c r="T829" s="474"/>
      <c r="U829" s="474"/>
      <c r="V829" s="474"/>
      <c r="W829" s="474"/>
      <c r="X829" s="474"/>
      <c r="Y829" s="474"/>
      <c r="Z829" s="474"/>
    </row>
    <row r="830" ht="12.0" customHeight="1">
      <c r="A830" s="480"/>
      <c r="B830" s="485"/>
      <c r="C830" s="525"/>
      <c r="D830" s="525"/>
      <c r="E830" s="526"/>
      <c r="F830" s="526"/>
      <c r="G830" s="474"/>
      <c r="H830" s="474"/>
      <c r="I830" s="474"/>
      <c r="J830" s="474"/>
      <c r="K830" s="474"/>
      <c r="L830" s="474"/>
      <c r="M830" s="474"/>
      <c r="N830" s="474"/>
      <c r="O830" s="474"/>
      <c r="P830" s="474"/>
      <c r="Q830" s="474"/>
      <c r="R830" s="474"/>
      <c r="S830" s="474"/>
      <c r="T830" s="474"/>
      <c r="U830" s="474"/>
      <c r="V830" s="474"/>
      <c r="W830" s="474"/>
      <c r="X830" s="474"/>
      <c r="Y830" s="474"/>
      <c r="Z830" s="474"/>
    </row>
    <row r="831" ht="12.0" customHeight="1">
      <c r="A831" s="480"/>
      <c r="B831" s="485"/>
      <c r="C831" s="525"/>
      <c r="D831" s="525"/>
      <c r="E831" s="526"/>
      <c r="F831" s="526"/>
      <c r="G831" s="474"/>
      <c r="H831" s="474"/>
      <c r="I831" s="474"/>
      <c r="J831" s="474"/>
      <c r="K831" s="474"/>
      <c r="L831" s="474"/>
      <c r="M831" s="474"/>
      <c r="N831" s="474"/>
      <c r="O831" s="474"/>
      <c r="P831" s="474"/>
      <c r="Q831" s="474"/>
      <c r="R831" s="474"/>
      <c r="S831" s="474"/>
      <c r="T831" s="474"/>
      <c r="U831" s="474"/>
      <c r="V831" s="474"/>
      <c r="W831" s="474"/>
      <c r="X831" s="474"/>
      <c r="Y831" s="474"/>
      <c r="Z831" s="474"/>
    </row>
    <row r="832" ht="12.0" customHeight="1">
      <c r="A832" s="480"/>
      <c r="B832" s="485"/>
      <c r="C832" s="525"/>
      <c r="D832" s="525"/>
      <c r="E832" s="526"/>
      <c r="F832" s="526"/>
      <c r="G832" s="474"/>
      <c r="H832" s="474"/>
      <c r="I832" s="474"/>
      <c r="J832" s="474"/>
      <c r="K832" s="474"/>
      <c r="L832" s="474"/>
      <c r="M832" s="474"/>
      <c r="N832" s="474"/>
      <c r="O832" s="474"/>
      <c r="P832" s="474"/>
      <c r="Q832" s="474"/>
      <c r="R832" s="474"/>
      <c r="S832" s="474"/>
      <c r="T832" s="474"/>
      <c r="U832" s="474"/>
      <c r="V832" s="474"/>
      <c r="W832" s="474"/>
      <c r="X832" s="474"/>
      <c r="Y832" s="474"/>
      <c r="Z832" s="474"/>
    </row>
    <row r="833" ht="12.0" customHeight="1">
      <c r="A833" s="480"/>
      <c r="B833" s="485"/>
      <c r="C833" s="525"/>
      <c r="D833" s="525"/>
      <c r="E833" s="526"/>
      <c r="F833" s="526"/>
      <c r="G833" s="474"/>
      <c r="H833" s="474"/>
      <c r="I833" s="474"/>
      <c r="J833" s="474"/>
      <c r="K833" s="474"/>
      <c r="L833" s="474"/>
      <c r="M833" s="474"/>
      <c r="N833" s="474"/>
      <c r="O833" s="474"/>
      <c r="P833" s="474"/>
      <c r="Q833" s="474"/>
      <c r="R833" s="474"/>
      <c r="S833" s="474"/>
      <c r="T833" s="474"/>
      <c r="U833" s="474"/>
      <c r="V833" s="474"/>
      <c r="W833" s="474"/>
      <c r="X833" s="474"/>
      <c r="Y833" s="474"/>
      <c r="Z833" s="474"/>
    </row>
    <row r="834" ht="12.0" customHeight="1">
      <c r="A834" s="480"/>
      <c r="B834" s="485"/>
      <c r="C834" s="525"/>
      <c r="D834" s="525"/>
      <c r="E834" s="526"/>
      <c r="F834" s="526"/>
      <c r="G834" s="474"/>
      <c r="H834" s="474"/>
      <c r="I834" s="474"/>
      <c r="J834" s="474"/>
      <c r="K834" s="474"/>
      <c r="L834" s="474"/>
      <c r="M834" s="474"/>
      <c r="N834" s="474"/>
      <c r="O834" s="474"/>
      <c r="P834" s="474"/>
      <c r="Q834" s="474"/>
      <c r="R834" s="474"/>
      <c r="S834" s="474"/>
      <c r="T834" s="474"/>
      <c r="U834" s="474"/>
      <c r="V834" s="474"/>
      <c r="W834" s="474"/>
      <c r="X834" s="474"/>
      <c r="Y834" s="474"/>
      <c r="Z834" s="474"/>
    </row>
    <row r="835" ht="12.0" customHeight="1">
      <c r="A835" s="480"/>
      <c r="B835" s="485"/>
      <c r="C835" s="525"/>
      <c r="D835" s="525"/>
      <c r="E835" s="526"/>
      <c r="F835" s="526"/>
      <c r="G835" s="474"/>
      <c r="H835" s="474"/>
      <c r="I835" s="474"/>
      <c r="J835" s="474"/>
      <c r="K835" s="474"/>
      <c r="L835" s="474"/>
      <c r="M835" s="474"/>
      <c r="N835" s="474"/>
      <c r="O835" s="474"/>
      <c r="P835" s="474"/>
      <c r="Q835" s="474"/>
      <c r="R835" s="474"/>
      <c r="S835" s="474"/>
      <c r="T835" s="474"/>
      <c r="U835" s="474"/>
      <c r="V835" s="474"/>
      <c r="W835" s="474"/>
      <c r="X835" s="474"/>
      <c r="Y835" s="474"/>
      <c r="Z835" s="474"/>
    </row>
    <row r="836" ht="12.0" customHeight="1">
      <c r="A836" s="480"/>
      <c r="B836" s="485"/>
      <c r="C836" s="525"/>
      <c r="D836" s="525"/>
      <c r="E836" s="526"/>
      <c r="F836" s="526"/>
      <c r="G836" s="474"/>
      <c r="H836" s="474"/>
      <c r="I836" s="474"/>
      <c r="J836" s="474"/>
      <c r="K836" s="474"/>
      <c r="L836" s="474"/>
      <c r="M836" s="474"/>
      <c r="N836" s="474"/>
      <c r="O836" s="474"/>
      <c r="P836" s="474"/>
      <c r="Q836" s="474"/>
      <c r="R836" s="474"/>
      <c r="S836" s="474"/>
      <c r="T836" s="474"/>
      <c r="U836" s="474"/>
      <c r="V836" s="474"/>
      <c r="W836" s="474"/>
      <c r="X836" s="474"/>
      <c r="Y836" s="474"/>
      <c r="Z836" s="474"/>
    </row>
    <row r="837" ht="12.0" customHeight="1">
      <c r="A837" s="480"/>
      <c r="B837" s="485"/>
      <c r="C837" s="525"/>
      <c r="D837" s="525"/>
      <c r="E837" s="526"/>
      <c r="F837" s="526"/>
      <c r="G837" s="474"/>
      <c r="H837" s="474"/>
      <c r="I837" s="474"/>
      <c r="J837" s="474"/>
      <c r="K837" s="474"/>
      <c r="L837" s="474"/>
      <c r="M837" s="474"/>
      <c r="N837" s="474"/>
      <c r="O837" s="474"/>
      <c r="P837" s="474"/>
      <c r="Q837" s="474"/>
      <c r="R837" s="474"/>
      <c r="S837" s="474"/>
      <c r="T837" s="474"/>
      <c r="U837" s="474"/>
      <c r="V837" s="474"/>
      <c r="W837" s="474"/>
      <c r="X837" s="474"/>
      <c r="Y837" s="474"/>
      <c r="Z837" s="474"/>
    </row>
    <row r="838" ht="12.0" customHeight="1">
      <c r="A838" s="480"/>
      <c r="B838" s="485"/>
      <c r="C838" s="525"/>
      <c r="D838" s="525"/>
      <c r="E838" s="526"/>
      <c r="F838" s="526"/>
      <c r="G838" s="474"/>
      <c r="H838" s="474"/>
      <c r="I838" s="474"/>
      <c r="J838" s="474"/>
      <c r="K838" s="474"/>
      <c r="L838" s="474"/>
      <c r="M838" s="474"/>
      <c r="N838" s="474"/>
      <c r="O838" s="474"/>
      <c r="P838" s="474"/>
      <c r="Q838" s="474"/>
      <c r="R838" s="474"/>
      <c r="S838" s="474"/>
      <c r="T838" s="474"/>
      <c r="U838" s="474"/>
      <c r="V838" s="474"/>
      <c r="W838" s="474"/>
      <c r="X838" s="474"/>
      <c r="Y838" s="474"/>
      <c r="Z838" s="474"/>
    </row>
    <row r="839" ht="12.0" customHeight="1">
      <c r="A839" s="480"/>
      <c r="B839" s="485"/>
      <c r="C839" s="525"/>
      <c r="D839" s="525"/>
      <c r="E839" s="526"/>
      <c r="F839" s="526"/>
      <c r="G839" s="474"/>
      <c r="H839" s="474"/>
      <c r="I839" s="474"/>
      <c r="J839" s="474"/>
      <c r="K839" s="474"/>
      <c r="L839" s="474"/>
      <c r="M839" s="474"/>
      <c r="N839" s="474"/>
      <c r="O839" s="474"/>
      <c r="P839" s="474"/>
      <c r="Q839" s="474"/>
      <c r="R839" s="474"/>
      <c r="S839" s="474"/>
      <c r="T839" s="474"/>
      <c r="U839" s="474"/>
      <c r="V839" s="474"/>
      <c r="W839" s="474"/>
      <c r="X839" s="474"/>
      <c r="Y839" s="474"/>
      <c r="Z839" s="474"/>
    </row>
    <row r="840" ht="12.0" customHeight="1">
      <c r="A840" s="480"/>
      <c r="B840" s="485"/>
      <c r="C840" s="525"/>
      <c r="D840" s="525"/>
      <c r="E840" s="526"/>
      <c r="F840" s="526"/>
      <c r="G840" s="474"/>
      <c r="H840" s="474"/>
      <c r="I840" s="474"/>
      <c r="J840" s="474"/>
      <c r="K840" s="474"/>
      <c r="L840" s="474"/>
      <c r="M840" s="474"/>
      <c r="N840" s="474"/>
      <c r="O840" s="474"/>
      <c r="P840" s="474"/>
      <c r="Q840" s="474"/>
      <c r="R840" s="474"/>
      <c r="S840" s="474"/>
      <c r="T840" s="474"/>
      <c r="U840" s="474"/>
      <c r="V840" s="474"/>
      <c r="W840" s="474"/>
      <c r="X840" s="474"/>
      <c r="Y840" s="474"/>
      <c r="Z840" s="474"/>
    </row>
    <row r="841" ht="12.0" customHeight="1">
      <c r="A841" s="480"/>
      <c r="B841" s="485"/>
      <c r="C841" s="525"/>
      <c r="D841" s="525"/>
      <c r="E841" s="526"/>
      <c r="F841" s="526"/>
      <c r="G841" s="474"/>
      <c r="H841" s="474"/>
      <c r="I841" s="474"/>
      <c r="J841" s="474"/>
      <c r="K841" s="474"/>
      <c r="L841" s="474"/>
      <c r="M841" s="474"/>
      <c r="N841" s="474"/>
      <c r="O841" s="474"/>
      <c r="P841" s="474"/>
      <c r="Q841" s="474"/>
      <c r="R841" s="474"/>
      <c r="S841" s="474"/>
      <c r="T841" s="474"/>
      <c r="U841" s="474"/>
      <c r="V841" s="474"/>
      <c r="W841" s="474"/>
      <c r="X841" s="474"/>
      <c r="Y841" s="474"/>
      <c r="Z841" s="474"/>
    </row>
    <row r="842" ht="12.0" customHeight="1">
      <c r="A842" s="480"/>
      <c r="B842" s="485"/>
      <c r="C842" s="525"/>
      <c r="D842" s="525"/>
      <c r="E842" s="526"/>
      <c r="F842" s="526"/>
      <c r="G842" s="474"/>
      <c r="H842" s="474"/>
      <c r="I842" s="474"/>
      <c r="J842" s="474"/>
      <c r="K842" s="474"/>
      <c r="L842" s="474"/>
      <c r="M842" s="474"/>
      <c r="N842" s="474"/>
      <c r="O842" s="474"/>
      <c r="P842" s="474"/>
      <c r="Q842" s="474"/>
      <c r="R842" s="474"/>
      <c r="S842" s="474"/>
      <c r="T842" s="474"/>
      <c r="U842" s="474"/>
      <c r="V842" s="474"/>
      <c r="W842" s="474"/>
      <c r="X842" s="474"/>
      <c r="Y842" s="474"/>
      <c r="Z842" s="474"/>
    </row>
    <row r="843" ht="12.0" customHeight="1">
      <c r="A843" s="480"/>
      <c r="B843" s="485"/>
      <c r="C843" s="525"/>
      <c r="D843" s="525"/>
      <c r="E843" s="526"/>
      <c r="F843" s="526"/>
      <c r="G843" s="474"/>
      <c r="H843" s="474"/>
      <c r="I843" s="474"/>
      <c r="J843" s="474"/>
      <c r="K843" s="474"/>
      <c r="L843" s="474"/>
      <c r="M843" s="474"/>
      <c r="N843" s="474"/>
      <c r="O843" s="474"/>
      <c r="P843" s="474"/>
      <c r="Q843" s="474"/>
      <c r="R843" s="474"/>
      <c r="S843" s="474"/>
      <c r="T843" s="474"/>
      <c r="U843" s="474"/>
      <c r="V843" s="474"/>
      <c r="W843" s="474"/>
      <c r="X843" s="474"/>
      <c r="Y843" s="474"/>
      <c r="Z843" s="474"/>
    </row>
    <row r="844" ht="12.0" customHeight="1">
      <c r="A844" s="480"/>
      <c r="B844" s="485"/>
      <c r="C844" s="525"/>
      <c r="D844" s="525"/>
      <c r="E844" s="526"/>
      <c r="F844" s="526"/>
      <c r="G844" s="474"/>
      <c r="H844" s="474"/>
      <c r="I844" s="474"/>
      <c r="J844" s="474"/>
      <c r="K844" s="474"/>
      <c r="L844" s="474"/>
      <c r="M844" s="474"/>
      <c r="N844" s="474"/>
      <c r="O844" s="474"/>
      <c r="P844" s="474"/>
      <c r="Q844" s="474"/>
      <c r="R844" s="474"/>
      <c r="S844" s="474"/>
      <c r="T844" s="474"/>
      <c r="U844" s="474"/>
      <c r="V844" s="474"/>
      <c r="W844" s="474"/>
      <c r="X844" s="474"/>
      <c r="Y844" s="474"/>
      <c r="Z844" s="474"/>
    </row>
    <row r="845" ht="12.0" customHeight="1">
      <c r="A845" s="480"/>
      <c r="B845" s="485"/>
      <c r="C845" s="525"/>
      <c r="D845" s="525"/>
      <c r="E845" s="526"/>
      <c r="F845" s="526"/>
      <c r="G845" s="474"/>
      <c r="H845" s="474"/>
      <c r="I845" s="474"/>
      <c r="J845" s="474"/>
      <c r="K845" s="474"/>
      <c r="L845" s="474"/>
      <c r="M845" s="474"/>
      <c r="N845" s="474"/>
      <c r="O845" s="474"/>
      <c r="P845" s="474"/>
      <c r="Q845" s="474"/>
      <c r="R845" s="474"/>
      <c r="S845" s="474"/>
      <c r="T845" s="474"/>
      <c r="U845" s="474"/>
      <c r="V845" s="474"/>
      <c r="W845" s="474"/>
      <c r="X845" s="474"/>
      <c r="Y845" s="474"/>
      <c r="Z845" s="474"/>
    </row>
    <row r="846" ht="12.0" customHeight="1">
      <c r="A846" s="480"/>
      <c r="B846" s="485"/>
      <c r="C846" s="525"/>
      <c r="D846" s="525"/>
      <c r="E846" s="526"/>
      <c r="F846" s="526"/>
      <c r="G846" s="474"/>
      <c r="H846" s="474"/>
      <c r="I846" s="474"/>
      <c r="J846" s="474"/>
      <c r="K846" s="474"/>
      <c r="L846" s="474"/>
      <c r="M846" s="474"/>
      <c r="N846" s="474"/>
      <c r="O846" s="474"/>
      <c r="P846" s="474"/>
      <c r="Q846" s="474"/>
      <c r="R846" s="474"/>
      <c r="S846" s="474"/>
      <c r="T846" s="474"/>
      <c r="U846" s="474"/>
      <c r="V846" s="474"/>
      <c r="W846" s="474"/>
      <c r="X846" s="474"/>
      <c r="Y846" s="474"/>
      <c r="Z846" s="474"/>
    </row>
    <row r="847" ht="12.0" customHeight="1">
      <c r="A847" s="480"/>
      <c r="B847" s="485"/>
      <c r="C847" s="525"/>
      <c r="D847" s="525"/>
      <c r="E847" s="526"/>
      <c r="F847" s="526"/>
      <c r="G847" s="474"/>
      <c r="H847" s="474"/>
      <c r="I847" s="474"/>
      <c r="J847" s="474"/>
      <c r="K847" s="474"/>
      <c r="L847" s="474"/>
      <c r="M847" s="474"/>
      <c r="N847" s="474"/>
      <c r="O847" s="474"/>
      <c r="P847" s="474"/>
      <c r="Q847" s="474"/>
      <c r="R847" s="474"/>
      <c r="S847" s="474"/>
      <c r="T847" s="474"/>
      <c r="U847" s="474"/>
      <c r="V847" s="474"/>
      <c r="W847" s="474"/>
      <c r="X847" s="474"/>
      <c r="Y847" s="474"/>
      <c r="Z847" s="474"/>
    </row>
    <row r="848" ht="12.0" customHeight="1">
      <c r="A848" s="480"/>
      <c r="B848" s="485"/>
      <c r="C848" s="525"/>
      <c r="D848" s="525"/>
      <c r="E848" s="526"/>
      <c r="F848" s="526"/>
      <c r="G848" s="474"/>
      <c r="H848" s="474"/>
      <c r="I848" s="474"/>
      <c r="J848" s="474"/>
      <c r="K848" s="474"/>
      <c r="L848" s="474"/>
      <c r="M848" s="474"/>
      <c r="N848" s="474"/>
      <c r="O848" s="474"/>
      <c r="P848" s="474"/>
      <c r="Q848" s="474"/>
      <c r="R848" s="474"/>
      <c r="S848" s="474"/>
      <c r="T848" s="474"/>
      <c r="U848" s="474"/>
      <c r="V848" s="474"/>
      <c r="W848" s="474"/>
      <c r="X848" s="474"/>
      <c r="Y848" s="474"/>
      <c r="Z848" s="474"/>
    </row>
    <row r="849" ht="12.0" customHeight="1">
      <c r="A849" s="480"/>
      <c r="B849" s="485"/>
      <c r="C849" s="525"/>
      <c r="D849" s="525"/>
      <c r="E849" s="526"/>
      <c r="F849" s="526"/>
      <c r="G849" s="474"/>
      <c r="H849" s="474"/>
      <c r="I849" s="474"/>
      <c r="J849" s="474"/>
      <c r="K849" s="474"/>
      <c r="L849" s="474"/>
      <c r="M849" s="474"/>
      <c r="N849" s="474"/>
      <c r="O849" s="474"/>
      <c r="P849" s="474"/>
      <c r="Q849" s="474"/>
      <c r="R849" s="474"/>
      <c r="S849" s="474"/>
      <c r="T849" s="474"/>
      <c r="U849" s="474"/>
      <c r="V849" s="474"/>
      <c r="W849" s="474"/>
      <c r="X849" s="474"/>
      <c r="Y849" s="474"/>
      <c r="Z849" s="474"/>
    </row>
    <row r="850" ht="12.0" customHeight="1">
      <c r="A850" s="480"/>
      <c r="B850" s="485"/>
      <c r="C850" s="525"/>
      <c r="D850" s="525"/>
      <c r="E850" s="526"/>
      <c r="F850" s="526"/>
      <c r="G850" s="474"/>
      <c r="H850" s="474"/>
      <c r="I850" s="474"/>
      <c r="J850" s="474"/>
      <c r="K850" s="474"/>
      <c r="L850" s="474"/>
      <c r="M850" s="474"/>
      <c r="N850" s="474"/>
      <c r="O850" s="474"/>
      <c r="P850" s="474"/>
      <c r="Q850" s="474"/>
      <c r="R850" s="474"/>
      <c r="S850" s="474"/>
      <c r="T850" s="474"/>
      <c r="U850" s="474"/>
      <c r="V850" s="474"/>
      <c r="W850" s="474"/>
      <c r="X850" s="474"/>
      <c r="Y850" s="474"/>
      <c r="Z850" s="474"/>
    </row>
    <row r="851" ht="12.0" customHeight="1">
      <c r="A851" s="480"/>
      <c r="B851" s="485"/>
      <c r="C851" s="525"/>
      <c r="D851" s="525"/>
      <c r="E851" s="526"/>
      <c r="F851" s="526"/>
      <c r="G851" s="474"/>
      <c r="H851" s="474"/>
      <c r="I851" s="474"/>
      <c r="J851" s="474"/>
      <c r="K851" s="474"/>
      <c r="L851" s="474"/>
      <c r="M851" s="474"/>
      <c r="N851" s="474"/>
      <c r="O851" s="474"/>
      <c r="P851" s="474"/>
      <c r="Q851" s="474"/>
      <c r="R851" s="474"/>
      <c r="S851" s="474"/>
      <c r="T851" s="474"/>
      <c r="U851" s="474"/>
      <c r="V851" s="474"/>
      <c r="W851" s="474"/>
      <c r="X851" s="474"/>
      <c r="Y851" s="474"/>
      <c r="Z851" s="474"/>
    </row>
    <row r="852" ht="12.0" customHeight="1">
      <c r="A852" s="480"/>
      <c r="B852" s="485"/>
      <c r="C852" s="525"/>
      <c r="D852" s="525"/>
      <c r="E852" s="526"/>
      <c r="F852" s="526"/>
      <c r="G852" s="474"/>
      <c r="H852" s="474"/>
      <c r="I852" s="474"/>
      <c r="J852" s="474"/>
      <c r="K852" s="474"/>
      <c r="L852" s="474"/>
      <c r="M852" s="474"/>
      <c r="N852" s="474"/>
      <c r="O852" s="474"/>
      <c r="P852" s="474"/>
      <c r="Q852" s="474"/>
      <c r="R852" s="474"/>
      <c r="S852" s="474"/>
      <c r="T852" s="474"/>
      <c r="U852" s="474"/>
      <c r="V852" s="474"/>
      <c r="W852" s="474"/>
      <c r="X852" s="474"/>
      <c r="Y852" s="474"/>
      <c r="Z852" s="474"/>
    </row>
    <row r="853" ht="12.0" customHeight="1">
      <c r="A853" s="480"/>
      <c r="B853" s="485"/>
      <c r="C853" s="525"/>
      <c r="D853" s="525"/>
      <c r="E853" s="526"/>
      <c r="F853" s="526"/>
      <c r="G853" s="474"/>
      <c r="H853" s="474"/>
      <c r="I853" s="474"/>
      <c r="J853" s="474"/>
      <c r="K853" s="474"/>
      <c r="L853" s="474"/>
      <c r="M853" s="474"/>
      <c r="N853" s="474"/>
      <c r="O853" s="474"/>
      <c r="P853" s="474"/>
      <c r="Q853" s="474"/>
      <c r="R853" s="474"/>
      <c r="S853" s="474"/>
      <c r="T853" s="474"/>
      <c r="U853" s="474"/>
      <c r="V853" s="474"/>
      <c r="W853" s="474"/>
      <c r="X853" s="474"/>
      <c r="Y853" s="474"/>
      <c r="Z853" s="474"/>
    </row>
    <row r="854" ht="12.0" customHeight="1">
      <c r="A854" s="480"/>
      <c r="B854" s="485"/>
      <c r="C854" s="525"/>
      <c r="D854" s="525"/>
      <c r="E854" s="526"/>
      <c r="F854" s="526"/>
      <c r="G854" s="474"/>
      <c r="H854" s="474"/>
      <c r="I854" s="474"/>
      <c r="J854" s="474"/>
      <c r="K854" s="474"/>
      <c r="L854" s="474"/>
      <c r="M854" s="474"/>
      <c r="N854" s="474"/>
      <c r="O854" s="474"/>
      <c r="P854" s="474"/>
      <c r="Q854" s="474"/>
      <c r="R854" s="474"/>
      <c r="S854" s="474"/>
      <c r="T854" s="474"/>
      <c r="U854" s="474"/>
      <c r="V854" s="474"/>
      <c r="W854" s="474"/>
      <c r="X854" s="474"/>
      <c r="Y854" s="474"/>
      <c r="Z854" s="474"/>
    </row>
    <row r="855" ht="12.0" customHeight="1">
      <c r="A855" s="480"/>
      <c r="B855" s="485"/>
      <c r="C855" s="525"/>
      <c r="D855" s="525"/>
      <c r="E855" s="526"/>
      <c r="F855" s="526"/>
      <c r="G855" s="474"/>
      <c r="H855" s="474"/>
      <c r="I855" s="474"/>
      <c r="J855" s="474"/>
      <c r="K855" s="474"/>
      <c r="L855" s="474"/>
      <c r="M855" s="474"/>
      <c r="N855" s="474"/>
      <c r="O855" s="474"/>
      <c r="P855" s="474"/>
      <c r="Q855" s="474"/>
      <c r="R855" s="474"/>
      <c r="S855" s="474"/>
      <c r="T855" s="474"/>
      <c r="U855" s="474"/>
      <c r="V855" s="474"/>
      <c r="W855" s="474"/>
      <c r="X855" s="474"/>
      <c r="Y855" s="474"/>
      <c r="Z855" s="474"/>
    </row>
    <row r="856" ht="12.0" customHeight="1">
      <c r="A856" s="480"/>
      <c r="B856" s="485"/>
      <c r="C856" s="525"/>
      <c r="D856" s="525"/>
      <c r="E856" s="526"/>
      <c r="F856" s="526"/>
      <c r="G856" s="474"/>
      <c r="H856" s="474"/>
      <c r="I856" s="474"/>
      <c r="J856" s="474"/>
      <c r="K856" s="474"/>
      <c r="L856" s="474"/>
      <c r="M856" s="474"/>
      <c r="N856" s="474"/>
      <c r="O856" s="474"/>
      <c r="P856" s="474"/>
      <c r="Q856" s="474"/>
      <c r="R856" s="474"/>
      <c r="S856" s="474"/>
      <c r="T856" s="474"/>
      <c r="U856" s="474"/>
      <c r="V856" s="474"/>
      <c r="W856" s="474"/>
      <c r="X856" s="474"/>
      <c r="Y856" s="474"/>
      <c r="Z856" s="474"/>
    </row>
    <row r="857" ht="12.0" customHeight="1">
      <c r="A857" s="480"/>
      <c r="B857" s="485"/>
      <c r="C857" s="525"/>
      <c r="D857" s="525"/>
      <c r="E857" s="526"/>
      <c r="F857" s="526"/>
      <c r="G857" s="474"/>
      <c r="H857" s="474"/>
      <c r="I857" s="474"/>
      <c r="J857" s="474"/>
      <c r="K857" s="474"/>
      <c r="L857" s="474"/>
      <c r="M857" s="474"/>
      <c r="N857" s="474"/>
      <c r="O857" s="474"/>
      <c r="P857" s="474"/>
      <c r="Q857" s="474"/>
      <c r="R857" s="474"/>
      <c r="S857" s="474"/>
      <c r="T857" s="474"/>
      <c r="U857" s="474"/>
      <c r="V857" s="474"/>
      <c r="W857" s="474"/>
      <c r="X857" s="474"/>
      <c r="Y857" s="474"/>
      <c r="Z857" s="474"/>
    </row>
    <row r="858" ht="12.0" customHeight="1">
      <c r="A858" s="480"/>
      <c r="B858" s="485"/>
      <c r="C858" s="525"/>
      <c r="D858" s="525"/>
      <c r="E858" s="526"/>
      <c r="F858" s="526"/>
      <c r="G858" s="474"/>
      <c r="H858" s="474"/>
      <c r="I858" s="474"/>
      <c r="J858" s="474"/>
      <c r="K858" s="474"/>
      <c r="L858" s="474"/>
      <c r="M858" s="474"/>
      <c r="N858" s="474"/>
      <c r="O858" s="474"/>
      <c r="P858" s="474"/>
      <c r="Q858" s="474"/>
      <c r="R858" s="474"/>
      <c r="S858" s="474"/>
      <c r="T858" s="474"/>
      <c r="U858" s="474"/>
      <c r="V858" s="474"/>
      <c r="W858" s="474"/>
      <c r="X858" s="474"/>
      <c r="Y858" s="474"/>
      <c r="Z858" s="474"/>
    </row>
    <row r="859" ht="12.0" customHeight="1">
      <c r="A859" s="480"/>
      <c r="B859" s="485"/>
      <c r="C859" s="525"/>
      <c r="D859" s="525"/>
      <c r="E859" s="526"/>
      <c r="F859" s="526"/>
      <c r="G859" s="474"/>
      <c r="H859" s="474"/>
      <c r="I859" s="474"/>
      <c r="J859" s="474"/>
      <c r="K859" s="474"/>
      <c r="L859" s="474"/>
      <c r="M859" s="474"/>
      <c r="N859" s="474"/>
      <c r="O859" s="474"/>
      <c r="P859" s="474"/>
      <c r="Q859" s="474"/>
      <c r="R859" s="474"/>
      <c r="S859" s="474"/>
      <c r="T859" s="474"/>
      <c r="U859" s="474"/>
      <c r="V859" s="474"/>
      <c r="W859" s="474"/>
      <c r="X859" s="474"/>
      <c r="Y859" s="474"/>
      <c r="Z859" s="474"/>
    </row>
    <row r="860" ht="12.0" customHeight="1">
      <c r="A860" s="480"/>
      <c r="B860" s="485"/>
      <c r="C860" s="525"/>
      <c r="D860" s="525"/>
      <c r="E860" s="526"/>
      <c r="F860" s="526"/>
      <c r="G860" s="474"/>
      <c r="H860" s="474"/>
      <c r="I860" s="474"/>
      <c r="J860" s="474"/>
      <c r="K860" s="474"/>
      <c r="L860" s="474"/>
      <c r="M860" s="474"/>
      <c r="N860" s="474"/>
      <c r="O860" s="474"/>
      <c r="P860" s="474"/>
      <c r="Q860" s="474"/>
      <c r="R860" s="474"/>
      <c r="S860" s="474"/>
      <c r="T860" s="474"/>
      <c r="U860" s="474"/>
      <c r="V860" s="474"/>
      <c r="W860" s="474"/>
      <c r="X860" s="474"/>
      <c r="Y860" s="474"/>
      <c r="Z860" s="474"/>
    </row>
    <row r="861" ht="12.0" customHeight="1">
      <c r="A861" s="480"/>
      <c r="B861" s="485"/>
      <c r="C861" s="525"/>
      <c r="D861" s="525"/>
      <c r="E861" s="526"/>
      <c r="F861" s="526"/>
      <c r="G861" s="474"/>
      <c r="H861" s="474"/>
      <c r="I861" s="474"/>
      <c r="J861" s="474"/>
      <c r="K861" s="474"/>
      <c r="L861" s="474"/>
      <c r="M861" s="474"/>
      <c r="N861" s="474"/>
      <c r="O861" s="474"/>
      <c r="P861" s="474"/>
      <c r="Q861" s="474"/>
      <c r="R861" s="474"/>
      <c r="S861" s="474"/>
      <c r="T861" s="474"/>
      <c r="U861" s="474"/>
      <c r="V861" s="474"/>
      <c r="W861" s="474"/>
      <c r="X861" s="474"/>
      <c r="Y861" s="474"/>
      <c r="Z861" s="474"/>
    </row>
    <row r="862" ht="12.0" customHeight="1">
      <c r="A862" s="480"/>
      <c r="B862" s="485"/>
      <c r="C862" s="525"/>
      <c r="D862" s="525"/>
      <c r="E862" s="526"/>
      <c r="F862" s="526"/>
      <c r="G862" s="474"/>
      <c r="H862" s="474"/>
      <c r="I862" s="474"/>
      <c r="J862" s="474"/>
      <c r="K862" s="474"/>
      <c r="L862" s="474"/>
      <c r="M862" s="474"/>
      <c r="N862" s="474"/>
      <c r="O862" s="474"/>
      <c r="P862" s="474"/>
      <c r="Q862" s="474"/>
      <c r="R862" s="474"/>
      <c r="S862" s="474"/>
      <c r="T862" s="474"/>
      <c r="U862" s="474"/>
      <c r="V862" s="474"/>
      <c r="W862" s="474"/>
      <c r="X862" s="474"/>
      <c r="Y862" s="474"/>
      <c r="Z862" s="474"/>
    </row>
    <row r="863" ht="12.0" customHeight="1">
      <c r="A863" s="480"/>
      <c r="B863" s="485"/>
      <c r="C863" s="525"/>
      <c r="D863" s="525"/>
      <c r="E863" s="526"/>
      <c r="F863" s="526"/>
      <c r="G863" s="474"/>
      <c r="H863" s="474"/>
      <c r="I863" s="474"/>
      <c r="J863" s="474"/>
      <c r="K863" s="474"/>
      <c r="L863" s="474"/>
      <c r="M863" s="474"/>
      <c r="N863" s="474"/>
      <c r="O863" s="474"/>
      <c r="P863" s="474"/>
      <c r="Q863" s="474"/>
      <c r="R863" s="474"/>
      <c r="S863" s="474"/>
      <c r="T863" s="474"/>
      <c r="U863" s="474"/>
      <c r="V863" s="474"/>
      <c r="W863" s="474"/>
      <c r="X863" s="474"/>
      <c r="Y863" s="474"/>
      <c r="Z863" s="474"/>
    </row>
    <row r="864" ht="12.0" customHeight="1">
      <c r="A864" s="480"/>
      <c r="B864" s="485"/>
      <c r="C864" s="525"/>
      <c r="D864" s="525"/>
      <c r="E864" s="526"/>
      <c r="F864" s="526"/>
      <c r="G864" s="474"/>
      <c r="H864" s="474"/>
      <c r="I864" s="474"/>
      <c r="J864" s="474"/>
      <c r="K864" s="474"/>
      <c r="L864" s="474"/>
      <c r="M864" s="474"/>
      <c r="N864" s="474"/>
      <c r="O864" s="474"/>
      <c r="P864" s="474"/>
      <c r="Q864" s="474"/>
      <c r="R864" s="474"/>
      <c r="S864" s="474"/>
      <c r="T864" s="474"/>
      <c r="U864" s="474"/>
      <c r="V864" s="474"/>
      <c r="W864" s="474"/>
      <c r="X864" s="474"/>
      <c r="Y864" s="474"/>
      <c r="Z864" s="474"/>
    </row>
    <row r="865" ht="12.0" customHeight="1">
      <c r="A865" s="480"/>
      <c r="B865" s="485"/>
      <c r="C865" s="525"/>
      <c r="D865" s="525"/>
      <c r="E865" s="526"/>
      <c r="F865" s="526"/>
      <c r="G865" s="474"/>
      <c r="H865" s="474"/>
      <c r="I865" s="474"/>
      <c r="J865" s="474"/>
      <c r="K865" s="474"/>
      <c r="L865" s="474"/>
      <c r="M865" s="474"/>
      <c r="N865" s="474"/>
      <c r="O865" s="474"/>
      <c r="P865" s="474"/>
      <c r="Q865" s="474"/>
      <c r="R865" s="474"/>
      <c r="S865" s="474"/>
      <c r="T865" s="474"/>
      <c r="U865" s="474"/>
      <c r="V865" s="474"/>
      <c r="W865" s="474"/>
      <c r="X865" s="474"/>
      <c r="Y865" s="474"/>
      <c r="Z865" s="474"/>
    </row>
    <row r="866" ht="12.0" customHeight="1">
      <c r="A866" s="480"/>
      <c r="B866" s="485"/>
      <c r="C866" s="525"/>
      <c r="D866" s="525"/>
      <c r="E866" s="526"/>
      <c r="F866" s="526"/>
      <c r="G866" s="474"/>
      <c r="H866" s="474"/>
      <c r="I866" s="474"/>
      <c r="J866" s="474"/>
      <c r="K866" s="474"/>
      <c r="L866" s="474"/>
      <c r="M866" s="474"/>
      <c r="N866" s="474"/>
      <c r="O866" s="474"/>
      <c r="P866" s="474"/>
      <c r="Q866" s="474"/>
      <c r="R866" s="474"/>
      <c r="S866" s="474"/>
      <c r="T866" s="474"/>
      <c r="U866" s="474"/>
      <c r="V866" s="474"/>
      <c r="W866" s="474"/>
      <c r="X866" s="474"/>
      <c r="Y866" s="474"/>
      <c r="Z866" s="474"/>
    </row>
    <row r="867" ht="12.0" customHeight="1">
      <c r="A867" s="480"/>
      <c r="B867" s="485"/>
      <c r="C867" s="525"/>
      <c r="D867" s="525"/>
      <c r="E867" s="526"/>
      <c r="F867" s="526"/>
      <c r="G867" s="474"/>
      <c r="H867" s="474"/>
      <c r="I867" s="474"/>
      <c r="J867" s="474"/>
      <c r="K867" s="474"/>
      <c r="L867" s="474"/>
      <c r="M867" s="474"/>
      <c r="N867" s="474"/>
      <c r="O867" s="474"/>
      <c r="P867" s="474"/>
      <c r="Q867" s="474"/>
      <c r="R867" s="474"/>
      <c r="S867" s="474"/>
      <c r="T867" s="474"/>
      <c r="U867" s="474"/>
      <c r="V867" s="474"/>
      <c r="W867" s="474"/>
      <c r="X867" s="474"/>
      <c r="Y867" s="474"/>
      <c r="Z867" s="474"/>
    </row>
    <row r="868" ht="12.0" customHeight="1">
      <c r="A868" s="480"/>
      <c r="B868" s="485"/>
      <c r="C868" s="525"/>
      <c r="D868" s="525"/>
      <c r="E868" s="526"/>
      <c r="F868" s="526"/>
      <c r="G868" s="474"/>
      <c r="H868" s="474"/>
      <c r="I868" s="474"/>
      <c r="J868" s="474"/>
      <c r="K868" s="474"/>
      <c r="L868" s="474"/>
      <c r="M868" s="474"/>
      <c r="N868" s="474"/>
      <c r="O868" s="474"/>
      <c r="P868" s="474"/>
      <c r="Q868" s="474"/>
      <c r="R868" s="474"/>
      <c r="S868" s="474"/>
      <c r="T868" s="474"/>
      <c r="U868" s="474"/>
      <c r="V868" s="474"/>
      <c r="W868" s="474"/>
      <c r="X868" s="474"/>
      <c r="Y868" s="474"/>
      <c r="Z868" s="474"/>
    </row>
    <row r="869" ht="12.0" customHeight="1">
      <c r="A869" s="480"/>
      <c r="B869" s="485"/>
      <c r="C869" s="525"/>
      <c r="D869" s="525"/>
      <c r="E869" s="526"/>
      <c r="F869" s="526"/>
      <c r="G869" s="474"/>
      <c r="H869" s="474"/>
      <c r="I869" s="474"/>
      <c r="J869" s="474"/>
      <c r="K869" s="474"/>
      <c r="L869" s="474"/>
      <c r="M869" s="474"/>
      <c r="N869" s="474"/>
      <c r="O869" s="474"/>
      <c r="P869" s="474"/>
      <c r="Q869" s="474"/>
      <c r="R869" s="474"/>
      <c r="S869" s="474"/>
      <c r="T869" s="474"/>
      <c r="U869" s="474"/>
      <c r="V869" s="474"/>
      <c r="W869" s="474"/>
      <c r="X869" s="474"/>
      <c r="Y869" s="474"/>
      <c r="Z869" s="474"/>
    </row>
    <row r="870" ht="12.0" customHeight="1">
      <c r="A870" s="480"/>
      <c r="B870" s="485"/>
      <c r="C870" s="525"/>
      <c r="D870" s="525"/>
      <c r="E870" s="526"/>
      <c r="F870" s="526"/>
      <c r="G870" s="474"/>
      <c r="H870" s="474"/>
      <c r="I870" s="474"/>
      <c r="J870" s="474"/>
      <c r="K870" s="474"/>
      <c r="L870" s="474"/>
      <c r="M870" s="474"/>
      <c r="N870" s="474"/>
      <c r="O870" s="474"/>
      <c r="P870" s="474"/>
      <c r="Q870" s="474"/>
      <c r="R870" s="474"/>
      <c r="S870" s="474"/>
      <c r="T870" s="474"/>
      <c r="U870" s="474"/>
      <c r="V870" s="474"/>
      <c r="W870" s="474"/>
      <c r="X870" s="474"/>
      <c r="Y870" s="474"/>
      <c r="Z870" s="474"/>
    </row>
    <row r="871" ht="12.0" customHeight="1">
      <c r="A871" s="480"/>
      <c r="B871" s="485"/>
      <c r="C871" s="525"/>
      <c r="D871" s="525"/>
      <c r="E871" s="526"/>
      <c r="F871" s="526"/>
      <c r="G871" s="474"/>
      <c r="H871" s="474"/>
      <c r="I871" s="474"/>
      <c r="J871" s="474"/>
      <c r="K871" s="474"/>
      <c r="L871" s="474"/>
      <c r="M871" s="474"/>
      <c r="N871" s="474"/>
      <c r="O871" s="474"/>
      <c r="P871" s="474"/>
      <c r="Q871" s="474"/>
      <c r="R871" s="474"/>
      <c r="S871" s="474"/>
      <c r="T871" s="474"/>
      <c r="U871" s="474"/>
      <c r="V871" s="474"/>
      <c r="W871" s="474"/>
      <c r="X871" s="474"/>
      <c r="Y871" s="474"/>
      <c r="Z871" s="474"/>
    </row>
    <row r="872" ht="12.0" customHeight="1">
      <c r="A872" s="480"/>
      <c r="B872" s="485"/>
      <c r="C872" s="525"/>
      <c r="D872" s="525"/>
      <c r="E872" s="526"/>
      <c r="F872" s="526"/>
      <c r="G872" s="474"/>
      <c r="H872" s="474"/>
      <c r="I872" s="474"/>
      <c r="J872" s="474"/>
      <c r="K872" s="474"/>
      <c r="L872" s="474"/>
      <c r="M872" s="474"/>
      <c r="N872" s="474"/>
      <c r="O872" s="474"/>
      <c r="P872" s="474"/>
      <c r="Q872" s="474"/>
      <c r="R872" s="474"/>
      <c r="S872" s="474"/>
      <c r="T872" s="474"/>
      <c r="U872" s="474"/>
      <c r="V872" s="474"/>
      <c r="W872" s="474"/>
      <c r="X872" s="474"/>
      <c r="Y872" s="474"/>
      <c r="Z872" s="474"/>
    </row>
    <row r="873" ht="12.0" customHeight="1">
      <c r="A873" s="480"/>
      <c r="B873" s="485"/>
      <c r="C873" s="525"/>
      <c r="D873" s="525"/>
      <c r="E873" s="526"/>
      <c r="F873" s="526"/>
      <c r="G873" s="474"/>
      <c r="H873" s="474"/>
      <c r="I873" s="474"/>
      <c r="J873" s="474"/>
      <c r="K873" s="474"/>
      <c r="L873" s="474"/>
      <c r="M873" s="474"/>
      <c r="N873" s="474"/>
      <c r="O873" s="474"/>
      <c r="P873" s="474"/>
      <c r="Q873" s="474"/>
      <c r="R873" s="474"/>
      <c r="S873" s="474"/>
      <c r="T873" s="474"/>
      <c r="U873" s="474"/>
      <c r="V873" s="474"/>
      <c r="W873" s="474"/>
      <c r="X873" s="474"/>
      <c r="Y873" s="474"/>
      <c r="Z873" s="474"/>
    </row>
    <row r="874" ht="12.0" customHeight="1">
      <c r="A874" s="480"/>
      <c r="B874" s="485"/>
      <c r="C874" s="525"/>
      <c r="D874" s="525"/>
      <c r="E874" s="526"/>
      <c r="F874" s="526"/>
      <c r="G874" s="474"/>
      <c r="H874" s="474"/>
      <c r="I874" s="474"/>
      <c r="J874" s="474"/>
      <c r="K874" s="474"/>
      <c r="L874" s="474"/>
      <c r="M874" s="474"/>
      <c r="N874" s="474"/>
      <c r="O874" s="474"/>
      <c r="P874" s="474"/>
      <c r="Q874" s="474"/>
      <c r="R874" s="474"/>
      <c r="S874" s="474"/>
      <c r="T874" s="474"/>
      <c r="U874" s="474"/>
      <c r="V874" s="474"/>
      <c r="W874" s="474"/>
      <c r="X874" s="474"/>
      <c r="Y874" s="474"/>
      <c r="Z874" s="474"/>
    </row>
    <row r="875" ht="12.0" customHeight="1">
      <c r="A875" s="480"/>
      <c r="B875" s="485"/>
      <c r="C875" s="525"/>
      <c r="D875" s="525"/>
      <c r="E875" s="526"/>
      <c r="F875" s="526"/>
      <c r="G875" s="474"/>
      <c r="H875" s="474"/>
      <c r="I875" s="474"/>
      <c r="J875" s="474"/>
      <c r="K875" s="474"/>
      <c r="L875" s="474"/>
      <c r="M875" s="474"/>
      <c r="N875" s="474"/>
      <c r="O875" s="474"/>
      <c r="P875" s="474"/>
      <c r="Q875" s="474"/>
      <c r="R875" s="474"/>
      <c r="S875" s="474"/>
      <c r="T875" s="474"/>
      <c r="U875" s="474"/>
      <c r="V875" s="474"/>
      <c r="W875" s="474"/>
      <c r="X875" s="474"/>
      <c r="Y875" s="474"/>
      <c r="Z875" s="474"/>
    </row>
    <row r="876" ht="12.0" customHeight="1">
      <c r="A876" s="480"/>
      <c r="B876" s="485"/>
      <c r="C876" s="525"/>
      <c r="D876" s="525"/>
      <c r="E876" s="526"/>
      <c r="F876" s="526"/>
      <c r="G876" s="474"/>
      <c r="H876" s="474"/>
      <c r="I876" s="474"/>
      <c r="J876" s="474"/>
      <c r="K876" s="474"/>
      <c r="L876" s="474"/>
      <c r="M876" s="474"/>
      <c r="N876" s="474"/>
      <c r="O876" s="474"/>
      <c r="P876" s="474"/>
      <c r="Q876" s="474"/>
      <c r="R876" s="474"/>
      <c r="S876" s="474"/>
      <c r="T876" s="474"/>
      <c r="U876" s="474"/>
      <c r="V876" s="474"/>
      <c r="W876" s="474"/>
      <c r="X876" s="474"/>
      <c r="Y876" s="474"/>
      <c r="Z876" s="474"/>
    </row>
    <row r="877" ht="12.0" customHeight="1">
      <c r="A877" s="480"/>
      <c r="B877" s="485"/>
      <c r="C877" s="525"/>
      <c r="D877" s="525"/>
      <c r="E877" s="526"/>
      <c r="F877" s="526"/>
      <c r="G877" s="474"/>
      <c r="H877" s="474"/>
      <c r="I877" s="474"/>
      <c r="J877" s="474"/>
      <c r="K877" s="474"/>
      <c r="L877" s="474"/>
      <c r="M877" s="474"/>
      <c r="N877" s="474"/>
      <c r="O877" s="474"/>
      <c r="P877" s="474"/>
      <c r="Q877" s="474"/>
      <c r="R877" s="474"/>
      <c r="S877" s="474"/>
      <c r="T877" s="474"/>
      <c r="U877" s="474"/>
      <c r="V877" s="474"/>
      <c r="W877" s="474"/>
      <c r="X877" s="474"/>
      <c r="Y877" s="474"/>
      <c r="Z877" s="474"/>
    </row>
    <row r="878" ht="12.0" customHeight="1">
      <c r="A878" s="480"/>
      <c r="B878" s="485"/>
      <c r="C878" s="525"/>
      <c r="D878" s="525"/>
      <c r="E878" s="526"/>
      <c r="F878" s="526"/>
      <c r="G878" s="474"/>
      <c r="H878" s="474"/>
      <c r="I878" s="474"/>
      <c r="J878" s="474"/>
      <c r="K878" s="474"/>
      <c r="L878" s="474"/>
      <c r="M878" s="474"/>
      <c r="N878" s="474"/>
      <c r="O878" s="474"/>
      <c r="P878" s="474"/>
      <c r="Q878" s="474"/>
      <c r="R878" s="474"/>
      <c r="S878" s="474"/>
      <c r="T878" s="474"/>
      <c r="U878" s="474"/>
      <c r="V878" s="474"/>
      <c r="W878" s="474"/>
      <c r="X878" s="474"/>
      <c r="Y878" s="474"/>
      <c r="Z878" s="474"/>
    </row>
    <row r="879" ht="12.0" customHeight="1">
      <c r="A879" s="480"/>
      <c r="B879" s="485"/>
      <c r="C879" s="525"/>
      <c r="D879" s="525"/>
      <c r="E879" s="526"/>
      <c r="F879" s="526"/>
      <c r="G879" s="474"/>
      <c r="H879" s="474"/>
      <c r="I879" s="474"/>
      <c r="J879" s="474"/>
      <c r="K879" s="474"/>
      <c r="L879" s="474"/>
      <c r="M879" s="474"/>
      <c r="N879" s="474"/>
      <c r="O879" s="474"/>
      <c r="P879" s="474"/>
      <c r="Q879" s="474"/>
      <c r="R879" s="474"/>
      <c r="S879" s="474"/>
      <c r="T879" s="474"/>
      <c r="U879" s="474"/>
      <c r="V879" s="474"/>
      <c r="W879" s="474"/>
      <c r="X879" s="474"/>
      <c r="Y879" s="474"/>
      <c r="Z879" s="474"/>
    </row>
    <row r="880" ht="12.0" customHeight="1">
      <c r="A880" s="480"/>
      <c r="B880" s="485"/>
      <c r="C880" s="525"/>
      <c r="D880" s="525"/>
      <c r="E880" s="526"/>
      <c r="F880" s="526"/>
      <c r="G880" s="474"/>
      <c r="H880" s="474"/>
      <c r="I880" s="474"/>
      <c r="J880" s="474"/>
      <c r="K880" s="474"/>
      <c r="L880" s="474"/>
      <c r="M880" s="474"/>
      <c r="N880" s="474"/>
      <c r="O880" s="474"/>
      <c r="P880" s="474"/>
      <c r="Q880" s="474"/>
      <c r="R880" s="474"/>
      <c r="S880" s="474"/>
      <c r="T880" s="474"/>
      <c r="U880" s="474"/>
      <c r="V880" s="474"/>
      <c r="W880" s="474"/>
      <c r="X880" s="474"/>
      <c r="Y880" s="474"/>
      <c r="Z880" s="474"/>
    </row>
    <row r="881" ht="12.0" customHeight="1">
      <c r="A881" s="480"/>
      <c r="B881" s="485"/>
      <c r="C881" s="525"/>
      <c r="D881" s="525"/>
      <c r="E881" s="526"/>
      <c r="F881" s="526"/>
      <c r="G881" s="474"/>
      <c r="H881" s="474"/>
      <c r="I881" s="474"/>
      <c r="J881" s="474"/>
      <c r="K881" s="474"/>
      <c r="L881" s="474"/>
      <c r="M881" s="474"/>
      <c r="N881" s="474"/>
      <c r="O881" s="474"/>
      <c r="P881" s="474"/>
      <c r="Q881" s="474"/>
      <c r="R881" s="474"/>
      <c r="S881" s="474"/>
      <c r="T881" s="474"/>
      <c r="U881" s="474"/>
      <c r="V881" s="474"/>
      <c r="W881" s="474"/>
      <c r="X881" s="474"/>
      <c r="Y881" s="474"/>
      <c r="Z881" s="474"/>
    </row>
    <row r="882" ht="12.0" customHeight="1">
      <c r="A882" s="480"/>
      <c r="B882" s="485"/>
      <c r="C882" s="525"/>
      <c r="D882" s="525"/>
      <c r="E882" s="526"/>
      <c r="F882" s="526"/>
      <c r="G882" s="474"/>
      <c r="H882" s="474"/>
      <c r="I882" s="474"/>
      <c r="J882" s="474"/>
      <c r="K882" s="474"/>
      <c r="L882" s="474"/>
      <c r="M882" s="474"/>
      <c r="N882" s="474"/>
      <c r="O882" s="474"/>
      <c r="P882" s="474"/>
      <c r="Q882" s="474"/>
      <c r="R882" s="474"/>
      <c r="S882" s="474"/>
      <c r="T882" s="474"/>
      <c r="U882" s="474"/>
      <c r="V882" s="474"/>
      <c r="W882" s="474"/>
      <c r="X882" s="474"/>
      <c r="Y882" s="474"/>
      <c r="Z882" s="474"/>
    </row>
    <row r="883" ht="12.0" customHeight="1">
      <c r="A883" s="480"/>
      <c r="B883" s="485"/>
      <c r="C883" s="525"/>
      <c r="D883" s="525"/>
      <c r="E883" s="526"/>
      <c r="F883" s="526"/>
      <c r="G883" s="474"/>
      <c r="H883" s="474"/>
      <c r="I883" s="474"/>
      <c r="J883" s="474"/>
      <c r="K883" s="474"/>
      <c r="L883" s="474"/>
      <c r="M883" s="474"/>
      <c r="N883" s="474"/>
      <c r="O883" s="474"/>
      <c r="P883" s="474"/>
      <c r="Q883" s="474"/>
      <c r="R883" s="474"/>
      <c r="S883" s="474"/>
      <c r="T883" s="474"/>
      <c r="U883" s="474"/>
      <c r="V883" s="474"/>
      <c r="W883" s="474"/>
      <c r="X883" s="474"/>
      <c r="Y883" s="474"/>
      <c r="Z883" s="474"/>
    </row>
    <row r="884" ht="12.0" customHeight="1">
      <c r="A884" s="480"/>
      <c r="B884" s="485"/>
      <c r="C884" s="525"/>
      <c r="D884" s="525"/>
      <c r="E884" s="526"/>
      <c r="F884" s="526"/>
      <c r="G884" s="474"/>
      <c r="H884" s="474"/>
      <c r="I884" s="474"/>
      <c r="J884" s="474"/>
      <c r="K884" s="474"/>
      <c r="L884" s="474"/>
      <c r="M884" s="474"/>
      <c r="N884" s="474"/>
      <c r="O884" s="474"/>
      <c r="P884" s="474"/>
      <c r="Q884" s="474"/>
      <c r="R884" s="474"/>
      <c r="S884" s="474"/>
      <c r="T884" s="474"/>
      <c r="U884" s="474"/>
      <c r="V884" s="474"/>
      <c r="W884" s="474"/>
      <c r="X884" s="474"/>
      <c r="Y884" s="474"/>
      <c r="Z884" s="474"/>
    </row>
    <row r="885" ht="12.0" customHeight="1">
      <c r="A885" s="480"/>
      <c r="B885" s="485"/>
      <c r="C885" s="525"/>
      <c r="D885" s="525"/>
      <c r="E885" s="526"/>
      <c r="F885" s="526"/>
      <c r="G885" s="474"/>
      <c r="H885" s="474"/>
      <c r="I885" s="474"/>
      <c r="J885" s="474"/>
      <c r="K885" s="474"/>
      <c r="L885" s="474"/>
      <c r="M885" s="474"/>
      <c r="N885" s="474"/>
      <c r="O885" s="474"/>
      <c r="P885" s="474"/>
      <c r="Q885" s="474"/>
      <c r="R885" s="474"/>
      <c r="S885" s="474"/>
      <c r="T885" s="474"/>
      <c r="U885" s="474"/>
      <c r="V885" s="474"/>
      <c r="W885" s="474"/>
      <c r="X885" s="474"/>
      <c r="Y885" s="474"/>
      <c r="Z885" s="474"/>
    </row>
    <row r="886" ht="12.0" customHeight="1">
      <c r="A886" s="480"/>
      <c r="B886" s="485"/>
      <c r="C886" s="525"/>
      <c r="D886" s="525"/>
      <c r="E886" s="526"/>
      <c r="F886" s="526"/>
      <c r="G886" s="474"/>
      <c r="H886" s="474"/>
      <c r="I886" s="474"/>
      <c r="J886" s="474"/>
      <c r="K886" s="474"/>
      <c r="L886" s="474"/>
      <c r="M886" s="474"/>
      <c r="N886" s="474"/>
      <c r="O886" s="474"/>
      <c r="P886" s="474"/>
      <c r="Q886" s="474"/>
      <c r="R886" s="474"/>
      <c r="S886" s="474"/>
      <c r="T886" s="474"/>
      <c r="U886" s="474"/>
      <c r="V886" s="474"/>
      <c r="W886" s="474"/>
      <c r="X886" s="474"/>
      <c r="Y886" s="474"/>
      <c r="Z886" s="474"/>
    </row>
    <row r="887" ht="12.0" customHeight="1">
      <c r="A887" s="480"/>
      <c r="B887" s="485"/>
      <c r="C887" s="525"/>
      <c r="D887" s="525"/>
      <c r="E887" s="526"/>
      <c r="F887" s="526"/>
      <c r="G887" s="474"/>
      <c r="H887" s="474"/>
      <c r="I887" s="474"/>
      <c r="J887" s="474"/>
      <c r="K887" s="474"/>
      <c r="L887" s="474"/>
      <c r="M887" s="474"/>
      <c r="N887" s="474"/>
      <c r="O887" s="474"/>
      <c r="P887" s="474"/>
      <c r="Q887" s="474"/>
      <c r="R887" s="474"/>
      <c r="S887" s="474"/>
      <c r="T887" s="474"/>
      <c r="U887" s="474"/>
      <c r="V887" s="474"/>
      <c r="W887" s="474"/>
      <c r="X887" s="474"/>
      <c r="Y887" s="474"/>
      <c r="Z887" s="474"/>
    </row>
    <row r="888" ht="12.0" customHeight="1">
      <c r="A888" s="480"/>
      <c r="B888" s="485"/>
      <c r="C888" s="525"/>
      <c r="D888" s="525"/>
      <c r="E888" s="526"/>
      <c r="F888" s="526"/>
      <c r="G888" s="474"/>
      <c r="H888" s="474"/>
      <c r="I888" s="474"/>
      <c r="J888" s="474"/>
      <c r="K888" s="474"/>
      <c r="L888" s="474"/>
      <c r="M888" s="474"/>
      <c r="N888" s="474"/>
      <c r="O888" s="474"/>
      <c r="P888" s="474"/>
      <c r="Q888" s="474"/>
      <c r="R888" s="474"/>
      <c r="S888" s="474"/>
      <c r="T888" s="474"/>
      <c r="U888" s="474"/>
      <c r="V888" s="474"/>
      <c r="W888" s="474"/>
      <c r="X888" s="474"/>
      <c r="Y888" s="474"/>
      <c r="Z888" s="474"/>
    </row>
    <row r="889" ht="12.0" customHeight="1">
      <c r="A889" s="480"/>
      <c r="B889" s="485"/>
      <c r="C889" s="525"/>
      <c r="D889" s="525"/>
      <c r="E889" s="526"/>
      <c r="F889" s="526"/>
      <c r="G889" s="474"/>
      <c r="H889" s="474"/>
      <c r="I889" s="474"/>
      <c r="J889" s="474"/>
      <c r="K889" s="474"/>
      <c r="L889" s="474"/>
      <c r="M889" s="474"/>
      <c r="N889" s="474"/>
      <c r="O889" s="474"/>
      <c r="P889" s="474"/>
      <c r="Q889" s="474"/>
      <c r="R889" s="474"/>
      <c r="S889" s="474"/>
      <c r="T889" s="474"/>
      <c r="U889" s="474"/>
      <c r="V889" s="474"/>
      <c r="W889" s="474"/>
      <c r="X889" s="474"/>
      <c r="Y889" s="474"/>
      <c r="Z889" s="474"/>
    </row>
    <row r="890" ht="12.0" customHeight="1">
      <c r="A890" s="480"/>
      <c r="B890" s="485"/>
      <c r="C890" s="525"/>
      <c r="D890" s="525"/>
      <c r="E890" s="526"/>
      <c r="F890" s="526"/>
      <c r="G890" s="474"/>
      <c r="H890" s="474"/>
      <c r="I890" s="474"/>
      <c r="J890" s="474"/>
      <c r="K890" s="474"/>
      <c r="L890" s="474"/>
      <c r="M890" s="474"/>
      <c r="N890" s="474"/>
      <c r="O890" s="474"/>
      <c r="P890" s="474"/>
      <c r="Q890" s="474"/>
      <c r="R890" s="474"/>
      <c r="S890" s="474"/>
      <c r="T890" s="474"/>
      <c r="U890" s="474"/>
      <c r="V890" s="474"/>
      <c r="W890" s="474"/>
      <c r="X890" s="474"/>
      <c r="Y890" s="474"/>
      <c r="Z890" s="474"/>
    </row>
    <row r="891" ht="12.0" customHeight="1">
      <c r="A891" s="480"/>
      <c r="B891" s="485"/>
      <c r="C891" s="525"/>
      <c r="D891" s="525"/>
      <c r="E891" s="526"/>
      <c r="F891" s="526"/>
      <c r="G891" s="474"/>
      <c r="H891" s="474"/>
      <c r="I891" s="474"/>
      <c r="J891" s="474"/>
      <c r="K891" s="474"/>
      <c r="L891" s="474"/>
      <c r="M891" s="474"/>
      <c r="N891" s="474"/>
      <c r="O891" s="474"/>
      <c r="P891" s="474"/>
      <c r="Q891" s="474"/>
      <c r="R891" s="474"/>
      <c r="S891" s="474"/>
      <c r="T891" s="474"/>
      <c r="U891" s="474"/>
      <c r="V891" s="474"/>
      <c r="W891" s="474"/>
      <c r="X891" s="474"/>
      <c r="Y891" s="474"/>
      <c r="Z891" s="474"/>
    </row>
    <row r="892" ht="12.0" customHeight="1">
      <c r="A892" s="480"/>
      <c r="B892" s="485"/>
      <c r="C892" s="525"/>
      <c r="D892" s="525"/>
      <c r="E892" s="526"/>
      <c r="F892" s="526"/>
      <c r="G892" s="474"/>
      <c r="H892" s="474"/>
      <c r="I892" s="474"/>
      <c r="J892" s="474"/>
      <c r="K892" s="474"/>
      <c r="L892" s="474"/>
      <c r="M892" s="474"/>
      <c r="N892" s="474"/>
      <c r="O892" s="474"/>
      <c r="P892" s="474"/>
      <c r="Q892" s="474"/>
      <c r="R892" s="474"/>
      <c r="S892" s="474"/>
      <c r="T892" s="474"/>
      <c r="U892" s="474"/>
      <c r="V892" s="474"/>
      <c r="W892" s="474"/>
      <c r="X892" s="474"/>
      <c r="Y892" s="474"/>
      <c r="Z892" s="474"/>
    </row>
    <row r="893" ht="12.0" customHeight="1">
      <c r="A893" s="480"/>
      <c r="B893" s="485"/>
      <c r="C893" s="525"/>
      <c r="D893" s="525"/>
      <c r="E893" s="526"/>
      <c r="F893" s="526"/>
      <c r="G893" s="474"/>
      <c r="H893" s="474"/>
      <c r="I893" s="474"/>
      <c r="J893" s="474"/>
      <c r="K893" s="474"/>
      <c r="L893" s="474"/>
      <c r="M893" s="474"/>
      <c r="N893" s="474"/>
      <c r="O893" s="474"/>
      <c r="P893" s="474"/>
      <c r="Q893" s="474"/>
      <c r="R893" s="474"/>
      <c r="S893" s="474"/>
      <c r="T893" s="474"/>
      <c r="U893" s="474"/>
      <c r="V893" s="474"/>
      <c r="W893" s="474"/>
      <c r="X893" s="474"/>
      <c r="Y893" s="474"/>
      <c r="Z893" s="474"/>
    </row>
    <row r="894" ht="12.0" customHeight="1">
      <c r="A894" s="480"/>
      <c r="B894" s="485"/>
      <c r="C894" s="525"/>
      <c r="D894" s="525"/>
      <c r="E894" s="526"/>
      <c r="F894" s="526"/>
      <c r="G894" s="474"/>
      <c r="H894" s="474"/>
      <c r="I894" s="474"/>
      <c r="J894" s="474"/>
      <c r="K894" s="474"/>
      <c r="L894" s="474"/>
      <c r="M894" s="474"/>
      <c r="N894" s="474"/>
      <c r="O894" s="474"/>
      <c r="P894" s="474"/>
      <c r="Q894" s="474"/>
      <c r="R894" s="474"/>
      <c r="S894" s="474"/>
      <c r="T894" s="474"/>
      <c r="U894" s="474"/>
      <c r="V894" s="474"/>
      <c r="W894" s="474"/>
      <c r="X894" s="474"/>
      <c r="Y894" s="474"/>
      <c r="Z894" s="474"/>
    </row>
    <row r="895" ht="12.0" customHeight="1">
      <c r="A895" s="480"/>
      <c r="B895" s="485"/>
      <c r="C895" s="525"/>
      <c r="D895" s="525"/>
      <c r="E895" s="526"/>
      <c r="F895" s="526"/>
      <c r="G895" s="474"/>
      <c r="H895" s="474"/>
      <c r="I895" s="474"/>
      <c r="J895" s="474"/>
      <c r="K895" s="474"/>
      <c r="L895" s="474"/>
      <c r="M895" s="474"/>
      <c r="N895" s="474"/>
      <c r="O895" s="474"/>
      <c r="P895" s="474"/>
      <c r="Q895" s="474"/>
      <c r="R895" s="474"/>
      <c r="S895" s="474"/>
      <c r="T895" s="474"/>
      <c r="U895" s="474"/>
      <c r="V895" s="474"/>
      <c r="W895" s="474"/>
      <c r="X895" s="474"/>
      <c r="Y895" s="474"/>
      <c r="Z895" s="474"/>
    </row>
    <row r="896" ht="12.0" customHeight="1">
      <c r="A896" s="480"/>
      <c r="B896" s="485"/>
      <c r="C896" s="525"/>
      <c r="D896" s="525"/>
      <c r="E896" s="526"/>
      <c r="F896" s="526"/>
      <c r="G896" s="474"/>
      <c r="H896" s="474"/>
      <c r="I896" s="474"/>
      <c r="J896" s="474"/>
      <c r="K896" s="474"/>
      <c r="L896" s="474"/>
      <c r="M896" s="474"/>
      <c r="N896" s="474"/>
      <c r="O896" s="474"/>
      <c r="P896" s="474"/>
      <c r="Q896" s="474"/>
      <c r="R896" s="474"/>
      <c r="S896" s="474"/>
      <c r="T896" s="474"/>
      <c r="U896" s="474"/>
      <c r="V896" s="474"/>
      <c r="W896" s="474"/>
      <c r="X896" s="474"/>
      <c r="Y896" s="474"/>
      <c r="Z896" s="474"/>
    </row>
    <row r="897" ht="12.0" customHeight="1">
      <c r="A897" s="480"/>
      <c r="B897" s="485"/>
      <c r="C897" s="525"/>
      <c r="D897" s="525"/>
      <c r="E897" s="526"/>
      <c r="F897" s="526"/>
      <c r="G897" s="474"/>
      <c r="H897" s="474"/>
      <c r="I897" s="474"/>
      <c r="J897" s="474"/>
      <c r="K897" s="474"/>
      <c r="L897" s="474"/>
      <c r="M897" s="474"/>
      <c r="N897" s="474"/>
      <c r="O897" s="474"/>
      <c r="P897" s="474"/>
      <c r="Q897" s="474"/>
      <c r="R897" s="474"/>
      <c r="S897" s="474"/>
      <c r="T897" s="474"/>
      <c r="U897" s="474"/>
      <c r="V897" s="474"/>
      <c r="W897" s="474"/>
      <c r="X897" s="474"/>
      <c r="Y897" s="474"/>
      <c r="Z897" s="474"/>
    </row>
    <row r="898" ht="12.0" customHeight="1">
      <c r="A898" s="480"/>
      <c r="B898" s="485"/>
      <c r="C898" s="525"/>
      <c r="D898" s="525"/>
      <c r="E898" s="526"/>
      <c r="F898" s="526"/>
      <c r="G898" s="474"/>
      <c r="H898" s="474"/>
      <c r="I898" s="474"/>
      <c r="J898" s="474"/>
      <c r="K898" s="474"/>
      <c r="L898" s="474"/>
      <c r="M898" s="474"/>
      <c r="N898" s="474"/>
      <c r="O898" s="474"/>
      <c r="P898" s="474"/>
      <c r="Q898" s="474"/>
      <c r="R898" s="474"/>
      <c r="S898" s="474"/>
      <c r="T898" s="474"/>
      <c r="U898" s="474"/>
      <c r="V898" s="474"/>
      <c r="W898" s="474"/>
      <c r="X898" s="474"/>
      <c r="Y898" s="474"/>
      <c r="Z898" s="474"/>
    </row>
    <row r="899" ht="12.0" customHeight="1">
      <c r="A899" s="480"/>
      <c r="B899" s="485"/>
      <c r="C899" s="525"/>
      <c r="D899" s="525"/>
      <c r="E899" s="526"/>
      <c r="F899" s="526"/>
      <c r="G899" s="474"/>
      <c r="H899" s="474"/>
      <c r="I899" s="474"/>
      <c r="J899" s="474"/>
      <c r="K899" s="474"/>
      <c r="L899" s="474"/>
      <c r="M899" s="474"/>
      <c r="N899" s="474"/>
      <c r="O899" s="474"/>
      <c r="P899" s="474"/>
      <c r="Q899" s="474"/>
      <c r="R899" s="474"/>
      <c r="S899" s="474"/>
      <c r="T899" s="474"/>
      <c r="U899" s="474"/>
      <c r="V899" s="474"/>
      <c r="W899" s="474"/>
      <c r="X899" s="474"/>
      <c r="Y899" s="474"/>
      <c r="Z899" s="474"/>
    </row>
    <row r="900" ht="12.0" customHeight="1">
      <c r="A900" s="480"/>
      <c r="B900" s="485"/>
      <c r="C900" s="525"/>
      <c r="D900" s="525"/>
      <c r="E900" s="526"/>
      <c r="F900" s="526"/>
      <c r="G900" s="474"/>
      <c r="H900" s="474"/>
      <c r="I900" s="474"/>
      <c r="J900" s="474"/>
      <c r="K900" s="474"/>
      <c r="L900" s="474"/>
      <c r="M900" s="474"/>
      <c r="N900" s="474"/>
      <c r="O900" s="474"/>
      <c r="P900" s="474"/>
      <c r="Q900" s="474"/>
      <c r="R900" s="474"/>
      <c r="S900" s="474"/>
      <c r="T900" s="474"/>
      <c r="U900" s="474"/>
      <c r="V900" s="474"/>
      <c r="W900" s="474"/>
      <c r="X900" s="474"/>
      <c r="Y900" s="474"/>
      <c r="Z900" s="474"/>
    </row>
    <row r="901" ht="12.0" customHeight="1">
      <c r="A901" s="480"/>
      <c r="B901" s="485"/>
      <c r="C901" s="525"/>
      <c r="D901" s="525"/>
      <c r="E901" s="526"/>
      <c r="F901" s="526"/>
      <c r="G901" s="474"/>
      <c r="H901" s="474"/>
      <c r="I901" s="474"/>
      <c r="J901" s="474"/>
      <c r="K901" s="474"/>
      <c r="L901" s="474"/>
      <c r="M901" s="474"/>
      <c r="N901" s="474"/>
      <c r="O901" s="474"/>
      <c r="P901" s="474"/>
      <c r="Q901" s="474"/>
      <c r="R901" s="474"/>
      <c r="S901" s="474"/>
      <c r="T901" s="474"/>
      <c r="U901" s="474"/>
      <c r="V901" s="474"/>
      <c r="W901" s="474"/>
      <c r="X901" s="474"/>
      <c r="Y901" s="474"/>
      <c r="Z901" s="474"/>
    </row>
    <row r="902" ht="12.0" customHeight="1">
      <c r="A902" s="480"/>
      <c r="B902" s="485"/>
      <c r="C902" s="525"/>
      <c r="D902" s="525"/>
      <c r="E902" s="526"/>
      <c r="F902" s="526"/>
      <c r="G902" s="474"/>
      <c r="H902" s="474"/>
      <c r="I902" s="474"/>
      <c r="J902" s="474"/>
      <c r="K902" s="474"/>
      <c r="L902" s="474"/>
      <c r="M902" s="474"/>
      <c r="N902" s="474"/>
      <c r="O902" s="474"/>
      <c r="P902" s="474"/>
      <c r="Q902" s="474"/>
      <c r="R902" s="474"/>
      <c r="S902" s="474"/>
      <c r="T902" s="474"/>
      <c r="U902" s="474"/>
      <c r="V902" s="474"/>
      <c r="W902" s="474"/>
      <c r="X902" s="474"/>
      <c r="Y902" s="474"/>
      <c r="Z902" s="474"/>
    </row>
    <row r="903" ht="12.0" customHeight="1">
      <c r="A903" s="480"/>
      <c r="B903" s="485"/>
      <c r="C903" s="525"/>
      <c r="D903" s="525"/>
      <c r="E903" s="526"/>
      <c r="F903" s="526"/>
      <c r="G903" s="474"/>
      <c r="H903" s="474"/>
      <c r="I903" s="474"/>
      <c r="J903" s="474"/>
      <c r="K903" s="474"/>
      <c r="L903" s="474"/>
      <c r="M903" s="474"/>
      <c r="N903" s="474"/>
      <c r="O903" s="474"/>
      <c r="P903" s="474"/>
      <c r="Q903" s="474"/>
      <c r="R903" s="474"/>
      <c r="S903" s="474"/>
      <c r="T903" s="474"/>
      <c r="U903" s="474"/>
      <c r="V903" s="474"/>
      <c r="W903" s="474"/>
      <c r="X903" s="474"/>
      <c r="Y903" s="474"/>
      <c r="Z903" s="474"/>
    </row>
    <row r="904" ht="12.0" customHeight="1">
      <c r="A904" s="480"/>
      <c r="B904" s="485"/>
      <c r="C904" s="525"/>
      <c r="D904" s="525"/>
      <c r="E904" s="526"/>
      <c r="F904" s="526"/>
      <c r="G904" s="474"/>
      <c r="H904" s="474"/>
      <c r="I904" s="474"/>
      <c r="J904" s="474"/>
      <c r="K904" s="474"/>
      <c r="L904" s="474"/>
      <c r="M904" s="474"/>
      <c r="N904" s="474"/>
      <c r="O904" s="474"/>
      <c r="P904" s="474"/>
      <c r="Q904" s="474"/>
      <c r="R904" s="474"/>
      <c r="S904" s="474"/>
      <c r="T904" s="474"/>
      <c r="U904" s="474"/>
      <c r="V904" s="474"/>
      <c r="W904" s="474"/>
      <c r="X904" s="474"/>
      <c r="Y904" s="474"/>
      <c r="Z904" s="474"/>
    </row>
    <row r="905" ht="12.0" customHeight="1">
      <c r="A905" s="480"/>
      <c r="B905" s="485"/>
      <c r="C905" s="525"/>
      <c r="D905" s="525"/>
      <c r="E905" s="526"/>
      <c r="F905" s="526"/>
      <c r="G905" s="474"/>
      <c r="H905" s="474"/>
      <c r="I905" s="474"/>
      <c r="J905" s="474"/>
      <c r="K905" s="474"/>
      <c r="L905" s="474"/>
      <c r="M905" s="474"/>
      <c r="N905" s="474"/>
      <c r="O905" s="474"/>
      <c r="P905" s="474"/>
      <c r="Q905" s="474"/>
      <c r="R905" s="474"/>
      <c r="S905" s="474"/>
      <c r="T905" s="474"/>
      <c r="U905" s="474"/>
      <c r="V905" s="474"/>
      <c r="W905" s="474"/>
      <c r="X905" s="474"/>
      <c r="Y905" s="474"/>
      <c r="Z905" s="474"/>
    </row>
    <row r="906" ht="12.0" customHeight="1">
      <c r="A906" s="480"/>
      <c r="B906" s="485"/>
      <c r="C906" s="525"/>
      <c r="D906" s="525"/>
      <c r="E906" s="526"/>
      <c r="F906" s="526"/>
      <c r="G906" s="474"/>
      <c r="H906" s="474"/>
      <c r="I906" s="474"/>
      <c r="J906" s="474"/>
      <c r="K906" s="474"/>
      <c r="L906" s="474"/>
      <c r="M906" s="474"/>
      <c r="N906" s="474"/>
      <c r="O906" s="474"/>
      <c r="P906" s="474"/>
      <c r="Q906" s="474"/>
      <c r="R906" s="474"/>
      <c r="S906" s="474"/>
      <c r="T906" s="474"/>
      <c r="U906" s="474"/>
      <c r="V906" s="474"/>
      <c r="W906" s="474"/>
      <c r="X906" s="474"/>
      <c r="Y906" s="474"/>
      <c r="Z906" s="474"/>
    </row>
    <row r="907" ht="12.0" customHeight="1">
      <c r="A907" s="480"/>
      <c r="B907" s="485"/>
      <c r="C907" s="525"/>
      <c r="D907" s="525"/>
      <c r="E907" s="526"/>
      <c r="F907" s="526"/>
      <c r="G907" s="474"/>
      <c r="H907" s="474"/>
      <c r="I907" s="474"/>
      <c r="J907" s="474"/>
      <c r="K907" s="474"/>
      <c r="L907" s="474"/>
      <c r="M907" s="474"/>
      <c r="N907" s="474"/>
      <c r="O907" s="474"/>
      <c r="P907" s="474"/>
      <c r="Q907" s="474"/>
      <c r="R907" s="474"/>
      <c r="S907" s="474"/>
      <c r="T907" s="474"/>
      <c r="U907" s="474"/>
      <c r="V907" s="474"/>
      <c r="W907" s="474"/>
      <c r="X907" s="474"/>
      <c r="Y907" s="474"/>
      <c r="Z907" s="474"/>
    </row>
    <row r="908" ht="12.0" customHeight="1">
      <c r="A908" s="480"/>
      <c r="B908" s="485"/>
      <c r="C908" s="525"/>
      <c r="D908" s="525"/>
      <c r="E908" s="526"/>
      <c r="F908" s="526"/>
      <c r="G908" s="474"/>
      <c r="H908" s="474"/>
      <c r="I908" s="474"/>
      <c r="J908" s="474"/>
      <c r="K908" s="474"/>
      <c r="L908" s="474"/>
      <c r="M908" s="474"/>
      <c r="N908" s="474"/>
      <c r="O908" s="474"/>
      <c r="P908" s="474"/>
      <c r="Q908" s="474"/>
      <c r="R908" s="474"/>
      <c r="S908" s="474"/>
      <c r="T908" s="474"/>
      <c r="U908" s="474"/>
      <c r="V908" s="474"/>
      <c r="W908" s="474"/>
      <c r="X908" s="474"/>
      <c r="Y908" s="474"/>
      <c r="Z908" s="474"/>
    </row>
    <row r="909" ht="12.0" customHeight="1">
      <c r="A909" s="480"/>
      <c r="B909" s="485"/>
      <c r="C909" s="525"/>
      <c r="D909" s="525"/>
      <c r="E909" s="526"/>
      <c r="F909" s="526"/>
      <c r="G909" s="474"/>
      <c r="H909" s="474"/>
      <c r="I909" s="474"/>
      <c r="J909" s="474"/>
      <c r="K909" s="474"/>
      <c r="L909" s="474"/>
      <c r="M909" s="474"/>
      <c r="N909" s="474"/>
      <c r="O909" s="474"/>
      <c r="P909" s="474"/>
      <c r="Q909" s="474"/>
      <c r="R909" s="474"/>
      <c r="S909" s="474"/>
      <c r="T909" s="474"/>
      <c r="U909" s="474"/>
      <c r="V909" s="474"/>
      <c r="W909" s="474"/>
      <c r="X909" s="474"/>
      <c r="Y909" s="474"/>
      <c r="Z909" s="474"/>
    </row>
    <row r="910" ht="12.0" customHeight="1">
      <c r="A910" s="480"/>
      <c r="B910" s="485"/>
      <c r="C910" s="525"/>
      <c r="D910" s="525"/>
      <c r="E910" s="526"/>
      <c r="F910" s="526"/>
      <c r="G910" s="474"/>
      <c r="H910" s="474"/>
      <c r="I910" s="474"/>
      <c r="J910" s="474"/>
      <c r="K910" s="474"/>
      <c r="L910" s="474"/>
      <c r="M910" s="474"/>
      <c r="N910" s="474"/>
      <c r="O910" s="474"/>
      <c r="P910" s="474"/>
      <c r="Q910" s="474"/>
      <c r="R910" s="474"/>
      <c r="S910" s="474"/>
      <c r="T910" s="474"/>
      <c r="U910" s="474"/>
      <c r="V910" s="474"/>
      <c r="W910" s="474"/>
      <c r="X910" s="474"/>
      <c r="Y910" s="474"/>
      <c r="Z910" s="474"/>
    </row>
    <row r="911" ht="12.0" customHeight="1">
      <c r="A911" s="480"/>
      <c r="B911" s="485"/>
      <c r="C911" s="525"/>
      <c r="D911" s="525"/>
      <c r="E911" s="526"/>
      <c r="F911" s="526"/>
      <c r="G911" s="474"/>
      <c r="H911" s="474"/>
      <c r="I911" s="474"/>
      <c r="J911" s="474"/>
      <c r="K911" s="474"/>
      <c r="L911" s="474"/>
      <c r="M911" s="474"/>
      <c r="N911" s="474"/>
      <c r="O911" s="474"/>
      <c r="P911" s="474"/>
      <c r="Q911" s="474"/>
      <c r="R911" s="474"/>
      <c r="S911" s="474"/>
      <c r="T911" s="474"/>
      <c r="U911" s="474"/>
      <c r="V911" s="474"/>
      <c r="W911" s="474"/>
      <c r="X911" s="474"/>
      <c r="Y911" s="474"/>
      <c r="Z911" s="474"/>
    </row>
    <row r="912" ht="12.0" customHeight="1">
      <c r="A912" s="480"/>
      <c r="B912" s="485"/>
      <c r="C912" s="525"/>
      <c r="D912" s="525"/>
      <c r="E912" s="526"/>
      <c r="F912" s="526"/>
      <c r="G912" s="474"/>
      <c r="H912" s="474"/>
      <c r="I912" s="474"/>
      <c r="J912" s="474"/>
      <c r="K912" s="474"/>
      <c r="L912" s="474"/>
      <c r="M912" s="474"/>
      <c r="N912" s="474"/>
      <c r="O912" s="474"/>
      <c r="P912" s="474"/>
      <c r="Q912" s="474"/>
      <c r="R912" s="474"/>
      <c r="S912" s="474"/>
      <c r="T912" s="474"/>
      <c r="U912" s="474"/>
      <c r="V912" s="474"/>
      <c r="W912" s="474"/>
      <c r="X912" s="474"/>
      <c r="Y912" s="474"/>
      <c r="Z912" s="474"/>
    </row>
    <row r="913" ht="12.0" customHeight="1">
      <c r="A913" s="480"/>
      <c r="B913" s="485"/>
      <c r="C913" s="525"/>
      <c r="D913" s="525"/>
      <c r="E913" s="526"/>
      <c r="F913" s="526"/>
      <c r="G913" s="474"/>
      <c r="H913" s="474"/>
      <c r="I913" s="474"/>
      <c r="J913" s="474"/>
      <c r="K913" s="474"/>
      <c r="L913" s="474"/>
      <c r="M913" s="474"/>
      <c r="N913" s="474"/>
      <c r="O913" s="474"/>
      <c r="P913" s="474"/>
      <c r="Q913" s="474"/>
      <c r="R913" s="474"/>
      <c r="S913" s="474"/>
      <c r="T913" s="474"/>
      <c r="U913" s="474"/>
      <c r="V913" s="474"/>
      <c r="W913" s="474"/>
      <c r="X913" s="474"/>
      <c r="Y913" s="474"/>
      <c r="Z913" s="474"/>
    </row>
    <row r="914" ht="12.0" customHeight="1">
      <c r="A914" s="480"/>
      <c r="B914" s="485"/>
      <c r="C914" s="525"/>
      <c r="D914" s="525"/>
      <c r="E914" s="526"/>
      <c r="F914" s="526"/>
      <c r="G914" s="474"/>
      <c r="H914" s="474"/>
      <c r="I914" s="474"/>
      <c r="J914" s="474"/>
      <c r="K914" s="474"/>
      <c r="L914" s="474"/>
      <c r="M914" s="474"/>
      <c r="N914" s="474"/>
      <c r="O914" s="474"/>
      <c r="P914" s="474"/>
      <c r="Q914" s="474"/>
      <c r="R914" s="474"/>
      <c r="S914" s="474"/>
      <c r="T914" s="474"/>
      <c r="U914" s="474"/>
      <c r="V914" s="474"/>
      <c r="W914" s="474"/>
      <c r="X914" s="474"/>
      <c r="Y914" s="474"/>
      <c r="Z914" s="474"/>
    </row>
    <row r="915" ht="12.0" customHeight="1">
      <c r="A915" s="480"/>
      <c r="B915" s="485"/>
      <c r="C915" s="525"/>
      <c r="D915" s="525"/>
      <c r="E915" s="526"/>
      <c r="F915" s="526"/>
      <c r="G915" s="474"/>
      <c r="H915" s="474"/>
      <c r="I915" s="474"/>
      <c r="J915" s="474"/>
      <c r="K915" s="474"/>
      <c r="L915" s="474"/>
      <c r="M915" s="474"/>
      <c r="N915" s="474"/>
      <c r="O915" s="474"/>
      <c r="P915" s="474"/>
      <c r="Q915" s="474"/>
      <c r="R915" s="474"/>
      <c r="S915" s="474"/>
      <c r="T915" s="474"/>
      <c r="U915" s="474"/>
      <c r="V915" s="474"/>
      <c r="W915" s="474"/>
      <c r="X915" s="474"/>
      <c r="Y915" s="474"/>
      <c r="Z915" s="474"/>
    </row>
    <row r="916" ht="12.0" customHeight="1">
      <c r="A916" s="480"/>
      <c r="B916" s="485"/>
      <c r="C916" s="525"/>
      <c r="D916" s="525"/>
      <c r="E916" s="526"/>
      <c r="F916" s="526"/>
      <c r="G916" s="474"/>
      <c r="H916" s="474"/>
      <c r="I916" s="474"/>
      <c r="J916" s="474"/>
      <c r="K916" s="474"/>
      <c r="L916" s="474"/>
      <c r="M916" s="474"/>
      <c r="N916" s="474"/>
      <c r="O916" s="474"/>
      <c r="P916" s="474"/>
      <c r="Q916" s="474"/>
      <c r="R916" s="474"/>
      <c r="S916" s="474"/>
      <c r="T916" s="474"/>
      <c r="U916" s="474"/>
      <c r="V916" s="474"/>
      <c r="W916" s="474"/>
      <c r="X916" s="474"/>
      <c r="Y916" s="474"/>
      <c r="Z916" s="474"/>
    </row>
    <row r="917" ht="12.0" customHeight="1">
      <c r="A917" s="480"/>
      <c r="B917" s="485"/>
      <c r="C917" s="525"/>
      <c r="D917" s="525"/>
      <c r="E917" s="526"/>
      <c r="F917" s="526"/>
      <c r="G917" s="474"/>
      <c r="H917" s="474"/>
      <c r="I917" s="474"/>
      <c r="J917" s="474"/>
      <c r="K917" s="474"/>
      <c r="L917" s="474"/>
      <c r="M917" s="474"/>
      <c r="N917" s="474"/>
      <c r="O917" s="474"/>
      <c r="P917" s="474"/>
      <c r="Q917" s="474"/>
      <c r="R917" s="474"/>
      <c r="S917" s="474"/>
      <c r="T917" s="474"/>
      <c r="U917" s="474"/>
      <c r="V917" s="474"/>
      <c r="W917" s="474"/>
      <c r="X917" s="474"/>
      <c r="Y917" s="474"/>
      <c r="Z917" s="474"/>
    </row>
    <row r="918" ht="12.0" customHeight="1">
      <c r="A918" s="480"/>
      <c r="B918" s="485"/>
      <c r="C918" s="525"/>
      <c r="D918" s="525"/>
      <c r="E918" s="526"/>
      <c r="F918" s="526"/>
      <c r="G918" s="474"/>
      <c r="H918" s="474"/>
      <c r="I918" s="474"/>
      <c r="J918" s="474"/>
      <c r="K918" s="474"/>
      <c r="L918" s="474"/>
      <c r="M918" s="474"/>
      <c r="N918" s="474"/>
      <c r="O918" s="474"/>
      <c r="P918" s="474"/>
      <c r="Q918" s="474"/>
      <c r="R918" s="474"/>
      <c r="S918" s="474"/>
      <c r="T918" s="474"/>
      <c r="U918" s="474"/>
      <c r="V918" s="474"/>
      <c r="W918" s="474"/>
      <c r="X918" s="474"/>
      <c r="Y918" s="474"/>
      <c r="Z918" s="474"/>
    </row>
    <row r="919" ht="12.0" customHeight="1">
      <c r="A919" s="480"/>
      <c r="B919" s="485"/>
      <c r="C919" s="525"/>
      <c r="D919" s="525"/>
      <c r="E919" s="526"/>
      <c r="F919" s="526"/>
      <c r="G919" s="474"/>
      <c r="H919" s="474"/>
      <c r="I919" s="474"/>
      <c r="J919" s="474"/>
      <c r="K919" s="474"/>
      <c r="L919" s="474"/>
      <c r="M919" s="474"/>
      <c r="N919" s="474"/>
      <c r="O919" s="474"/>
      <c r="P919" s="474"/>
      <c r="Q919" s="474"/>
      <c r="R919" s="474"/>
      <c r="S919" s="474"/>
      <c r="T919" s="474"/>
      <c r="U919" s="474"/>
      <c r="V919" s="474"/>
      <c r="W919" s="474"/>
      <c r="X919" s="474"/>
      <c r="Y919" s="474"/>
      <c r="Z919" s="474"/>
    </row>
    <row r="920" ht="12.0" customHeight="1">
      <c r="A920" s="480"/>
      <c r="B920" s="485"/>
      <c r="C920" s="525"/>
      <c r="D920" s="525"/>
      <c r="E920" s="526"/>
      <c r="F920" s="526"/>
      <c r="G920" s="474"/>
      <c r="H920" s="474"/>
      <c r="I920" s="474"/>
      <c r="J920" s="474"/>
      <c r="K920" s="474"/>
      <c r="L920" s="474"/>
      <c r="M920" s="474"/>
      <c r="N920" s="474"/>
      <c r="O920" s="474"/>
      <c r="P920" s="474"/>
      <c r="Q920" s="474"/>
      <c r="R920" s="474"/>
      <c r="S920" s="474"/>
      <c r="T920" s="474"/>
      <c r="U920" s="474"/>
      <c r="V920" s="474"/>
      <c r="W920" s="474"/>
      <c r="X920" s="474"/>
      <c r="Y920" s="474"/>
      <c r="Z920" s="474"/>
    </row>
    <row r="921" ht="12.0" customHeight="1">
      <c r="A921" s="480"/>
      <c r="B921" s="485"/>
      <c r="C921" s="525"/>
      <c r="D921" s="525"/>
      <c r="E921" s="526"/>
      <c r="F921" s="526"/>
      <c r="G921" s="474"/>
      <c r="H921" s="474"/>
      <c r="I921" s="474"/>
      <c r="J921" s="474"/>
      <c r="K921" s="474"/>
      <c r="L921" s="474"/>
      <c r="M921" s="474"/>
      <c r="N921" s="474"/>
      <c r="O921" s="474"/>
      <c r="P921" s="474"/>
      <c r="Q921" s="474"/>
      <c r="R921" s="474"/>
      <c r="S921" s="474"/>
      <c r="T921" s="474"/>
      <c r="U921" s="474"/>
      <c r="V921" s="474"/>
      <c r="W921" s="474"/>
      <c r="X921" s="474"/>
      <c r="Y921" s="474"/>
      <c r="Z921" s="474"/>
    </row>
    <row r="922" ht="12.0" customHeight="1">
      <c r="A922" s="480"/>
      <c r="B922" s="485"/>
      <c r="C922" s="525"/>
      <c r="D922" s="525"/>
      <c r="E922" s="526"/>
      <c r="F922" s="526"/>
      <c r="G922" s="474"/>
      <c r="H922" s="474"/>
      <c r="I922" s="474"/>
      <c r="J922" s="474"/>
      <c r="K922" s="474"/>
      <c r="L922" s="474"/>
      <c r="M922" s="474"/>
      <c r="N922" s="474"/>
      <c r="O922" s="474"/>
      <c r="P922" s="474"/>
      <c r="Q922" s="474"/>
      <c r="R922" s="474"/>
      <c r="S922" s="474"/>
      <c r="T922" s="474"/>
      <c r="U922" s="474"/>
      <c r="V922" s="474"/>
      <c r="W922" s="474"/>
      <c r="X922" s="474"/>
      <c r="Y922" s="474"/>
      <c r="Z922" s="474"/>
    </row>
    <row r="923" ht="12.0" customHeight="1">
      <c r="A923" s="480"/>
      <c r="B923" s="485"/>
      <c r="C923" s="525"/>
      <c r="D923" s="525"/>
      <c r="E923" s="526"/>
      <c r="F923" s="526"/>
      <c r="G923" s="474"/>
      <c r="H923" s="474"/>
      <c r="I923" s="474"/>
      <c r="J923" s="474"/>
      <c r="K923" s="474"/>
      <c r="L923" s="474"/>
      <c r="M923" s="474"/>
      <c r="N923" s="474"/>
      <c r="O923" s="474"/>
      <c r="P923" s="474"/>
      <c r="Q923" s="474"/>
      <c r="R923" s="474"/>
      <c r="S923" s="474"/>
      <c r="T923" s="474"/>
      <c r="U923" s="474"/>
      <c r="V923" s="474"/>
      <c r="W923" s="474"/>
      <c r="X923" s="474"/>
      <c r="Y923" s="474"/>
      <c r="Z923" s="474"/>
    </row>
    <row r="924" ht="12.0" customHeight="1">
      <c r="A924" s="480"/>
      <c r="B924" s="485"/>
      <c r="C924" s="525"/>
      <c r="D924" s="525"/>
      <c r="E924" s="526"/>
      <c r="F924" s="526"/>
      <c r="G924" s="474"/>
      <c r="H924" s="474"/>
      <c r="I924" s="474"/>
      <c r="J924" s="474"/>
      <c r="K924" s="474"/>
      <c r="L924" s="474"/>
      <c r="M924" s="474"/>
      <c r="N924" s="474"/>
      <c r="O924" s="474"/>
      <c r="P924" s="474"/>
      <c r="Q924" s="474"/>
      <c r="R924" s="474"/>
      <c r="S924" s="474"/>
      <c r="T924" s="474"/>
      <c r="U924" s="474"/>
      <c r="V924" s="474"/>
      <c r="W924" s="474"/>
      <c r="X924" s="474"/>
      <c r="Y924" s="474"/>
      <c r="Z924" s="474"/>
    </row>
    <row r="925" ht="12.0" customHeight="1">
      <c r="A925" s="480"/>
      <c r="B925" s="485"/>
      <c r="C925" s="525"/>
      <c r="D925" s="525"/>
      <c r="E925" s="526"/>
      <c r="F925" s="526"/>
      <c r="G925" s="474"/>
      <c r="H925" s="474"/>
      <c r="I925" s="474"/>
      <c r="J925" s="474"/>
      <c r="K925" s="474"/>
      <c r="L925" s="474"/>
      <c r="M925" s="474"/>
      <c r="N925" s="474"/>
      <c r="O925" s="474"/>
      <c r="P925" s="474"/>
      <c r="Q925" s="474"/>
      <c r="R925" s="474"/>
      <c r="S925" s="474"/>
      <c r="T925" s="474"/>
      <c r="U925" s="474"/>
      <c r="V925" s="474"/>
      <c r="W925" s="474"/>
      <c r="X925" s="474"/>
      <c r="Y925" s="474"/>
      <c r="Z925" s="474"/>
    </row>
    <row r="926" ht="12.0" customHeight="1">
      <c r="A926" s="480"/>
      <c r="B926" s="485"/>
      <c r="C926" s="525"/>
      <c r="D926" s="525"/>
      <c r="E926" s="526"/>
      <c r="F926" s="526"/>
      <c r="G926" s="474"/>
      <c r="H926" s="474"/>
      <c r="I926" s="474"/>
      <c r="J926" s="474"/>
      <c r="K926" s="474"/>
      <c r="L926" s="474"/>
      <c r="M926" s="474"/>
      <c r="N926" s="474"/>
      <c r="O926" s="474"/>
      <c r="P926" s="474"/>
      <c r="Q926" s="474"/>
      <c r="R926" s="474"/>
      <c r="S926" s="474"/>
      <c r="T926" s="474"/>
      <c r="U926" s="474"/>
      <c r="V926" s="474"/>
      <c r="W926" s="474"/>
      <c r="X926" s="474"/>
      <c r="Y926" s="474"/>
      <c r="Z926" s="474"/>
    </row>
    <row r="927" ht="12.0" customHeight="1">
      <c r="A927" s="480"/>
      <c r="B927" s="485"/>
      <c r="C927" s="525"/>
      <c r="D927" s="525"/>
      <c r="E927" s="526"/>
      <c r="F927" s="526"/>
      <c r="G927" s="474"/>
      <c r="H927" s="474"/>
      <c r="I927" s="474"/>
      <c r="J927" s="474"/>
      <c r="K927" s="474"/>
      <c r="L927" s="474"/>
      <c r="M927" s="474"/>
      <c r="N927" s="474"/>
      <c r="O927" s="474"/>
      <c r="P927" s="474"/>
      <c r="Q927" s="474"/>
      <c r="R927" s="474"/>
      <c r="S927" s="474"/>
      <c r="T927" s="474"/>
      <c r="U927" s="474"/>
      <c r="V927" s="474"/>
      <c r="W927" s="474"/>
      <c r="X927" s="474"/>
      <c r="Y927" s="474"/>
      <c r="Z927" s="474"/>
    </row>
    <row r="928" ht="12.0" customHeight="1">
      <c r="A928" s="480"/>
      <c r="B928" s="485"/>
      <c r="C928" s="525"/>
      <c r="D928" s="525"/>
      <c r="E928" s="526"/>
      <c r="F928" s="526"/>
      <c r="G928" s="474"/>
      <c r="H928" s="474"/>
      <c r="I928" s="474"/>
      <c r="J928" s="474"/>
      <c r="K928" s="474"/>
      <c r="L928" s="474"/>
      <c r="M928" s="474"/>
      <c r="N928" s="474"/>
      <c r="O928" s="474"/>
      <c r="P928" s="474"/>
      <c r="Q928" s="474"/>
      <c r="R928" s="474"/>
      <c r="S928" s="474"/>
      <c r="T928" s="474"/>
      <c r="U928" s="474"/>
      <c r="V928" s="474"/>
      <c r="W928" s="474"/>
      <c r="X928" s="474"/>
      <c r="Y928" s="474"/>
      <c r="Z928" s="474"/>
    </row>
    <row r="929" ht="12.0" customHeight="1">
      <c r="A929" s="480"/>
      <c r="B929" s="485"/>
      <c r="C929" s="525"/>
      <c r="D929" s="525"/>
      <c r="E929" s="526"/>
      <c r="F929" s="526"/>
      <c r="G929" s="474"/>
      <c r="H929" s="474"/>
      <c r="I929" s="474"/>
      <c r="J929" s="474"/>
      <c r="K929" s="474"/>
      <c r="L929" s="474"/>
      <c r="M929" s="474"/>
      <c r="N929" s="474"/>
      <c r="O929" s="474"/>
      <c r="P929" s="474"/>
      <c r="Q929" s="474"/>
      <c r="R929" s="474"/>
      <c r="S929" s="474"/>
      <c r="T929" s="474"/>
      <c r="U929" s="474"/>
      <c r="V929" s="474"/>
      <c r="W929" s="474"/>
      <c r="X929" s="474"/>
      <c r="Y929" s="474"/>
      <c r="Z929" s="474"/>
    </row>
    <row r="930" ht="12.0" customHeight="1">
      <c r="A930" s="480"/>
      <c r="B930" s="485"/>
      <c r="C930" s="525"/>
      <c r="D930" s="525"/>
      <c r="E930" s="526"/>
      <c r="F930" s="526"/>
      <c r="G930" s="474"/>
      <c r="H930" s="474"/>
      <c r="I930" s="474"/>
      <c r="J930" s="474"/>
      <c r="K930" s="474"/>
      <c r="L930" s="474"/>
      <c r="M930" s="474"/>
      <c r="N930" s="474"/>
      <c r="O930" s="474"/>
      <c r="P930" s="474"/>
      <c r="Q930" s="474"/>
      <c r="R930" s="474"/>
      <c r="S930" s="474"/>
      <c r="T930" s="474"/>
      <c r="U930" s="474"/>
      <c r="V930" s="474"/>
      <c r="W930" s="474"/>
      <c r="X930" s="474"/>
      <c r="Y930" s="474"/>
      <c r="Z930" s="474"/>
    </row>
    <row r="931" ht="12.0" customHeight="1">
      <c r="A931" s="480"/>
      <c r="B931" s="485"/>
      <c r="C931" s="525"/>
      <c r="D931" s="525"/>
      <c r="E931" s="526"/>
      <c r="F931" s="526"/>
      <c r="G931" s="474"/>
      <c r="H931" s="474"/>
      <c r="I931" s="474"/>
      <c r="J931" s="474"/>
      <c r="K931" s="474"/>
      <c r="L931" s="474"/>
      <c r="M931" s="474"/>
      <c r="N931" s="474"/>
      <c r="O931" s="474"/>
      <c r="P931" s="474"/>
      <c r="Q931" s="474"/>
      <c r="R931" s="474"/>
      <c r="S931" s="474"/>
      <c r="T931" s="474"/>
      <c r="U931" s="474"/>
      <c r="V931" s="474"/>
      <c r="W931" s="474"/>
      <c r="X931" s="474"/>
      <c r="Y931" s="474"/>
      <c r="Z931" s="474"/>
    </row>
    <row r="932" ht="12.0" customHeight="1">
      <c r="A932" s="480"/>
      <c r="B932" s="485"/>
      <c r="C932" s="525"/>
      <c r="D932" s="525"/>
      <c r="E932" s="526"/>
      <c r="F932" s="526"/>
      <c r="G932" s="474"/>
      <c r="H932" s="474"/>
      <c r="I932" s="474"/>
      <c r="J932" s="474"/>
      <c r="K932" s="474"/>
      <c r="L932" s="474"/>
      <c r="M932" s="474"/>
      <c r="N932" s="474"/>
      <c r="O932" s="474"/>
      <c r="P932" s="474"/>
      <c r="Q932" s="474"/>
      <c r="R932" s="474"/>
      <c r="S932" s="474"/>
      <c r="T932" s="474"/>
      <c r="U932" s="474"/>
      <c r="V932" s="474"/>
      <c r="W932" s="474"/>
      <c r="X932" s="474"/>
      <c r="Y932" s="474"/>
      <c r="Z932" s="474"/>
    </row>
    <row r="933" ht="12.0" customHeight="1">
      <c r="A933" s="480"/>
      <c r="B933" s="485"/>
      <c r="C933" s="525"/>
      <c r="D933" s="525"/>
      <c r="E933" s="526"/>
      <c r="F933" s="526"/>
      <c r="G933" s="474"/>
      <c r="H933" s="474"/>
      <c r="I933" s="474"/>
      <c r="J933" s="474"/>
      <c r="K933" s="474"/>
      <c r="L933" s="474"/>
      <c r="M933" s="474"/>
      <c r="N933" s="474"/>
      <c r="O933" s="474"/>
      <c r="P933" s="474"/>
      <c r="Q933" s="474"/>
      <c r="R933" s="474"/>
      <c r="S933" s="474"/>
      <c r="T933" s="474"/>
      <c r="U933" s="474"/>
      <c r="V933" s="474"/>
      <c r="W933" s="474"/>
      <c r="X933" s="474"/>
      <c r="Y933" s="474"/>
      <c r="Z933" s="474"/>
    </row>
    <row r="934" ht="12.0" customHeight="1">
      <c r="A934" s="480"/>
      <c r="B934" s="485"/>
      <c r="C934" s="525"/>
      <c r="D934" s="525"/>
      <c r="E934" s="526"/>
      <c r="F934" s="526"/>
      <c r="G934" s="474"/>
      <c r="H934" s="474"/>
      <c r="I934" s="474"/>
      <c r="J934" s="474"/>
      <c r="K934" s="474"/>
      <c r="L934" s="474"/>
      <c r="M934" s="474"/>
      <c r="N934" s="474"/>
      <c r="O934" s="474"/>
      <c r="P934" s="474"/>
      <c r="Q934" s="474"/>
      <c r="R934" s="474"/>
      <c r="S934" s="474"/>
      <c r="T934" s="474"/>
      <c r="U934" s="474"/>
      <c r="V934" s="474"/>
      <c r="W934" s="474"/>
      <c r="X934" s="474"/>
      <c r="Y934" s="474"/>
      <c r="Z934" s="474"/>
    </row>
    <row r="935" ht="12.0" customHeight="1">
      <c r="A935" s="480"/>
      <c r="B935" s="485"/>
      <c r="C935" s="525"/>
      <c r="D935" s="525"/>
      <c r="E935" s="526"/>
      <c r="F935" s="526"/>
      <c r="G935" s="474"/>
      <c r="H935" s="474"/>
      <c r="I935" s="474"/>
      <c r="J935" s="474"/>
      <c r="K935" s="474"/>
      <c r="L935" s="474"/>
      <c r="M935" s="474"/>
      <c r="N935" s="474"/>
      <c r="O935" s="474"/>
      <c r="P935" s="474"/>
      <c r="Q935" s="474"/>
      <c r="R935" s="474"/>
      <c r="S935" s="474"/>
      <c r="T935" s="474"/>
      <c r="U935" s="474"/>
      <c r="V935" s="474"/>
      <c r="W935" s="474"/>
      <c r="X935" s="474"/>
      <c r="Y935" s="474"/>
      <c r="Z935" s="474"/>
    </row>
    <row r="936" ht="12.0" customHeight="1">
      <c r="A936" s="480"/>
      <c r="B936" s="485"/>
      <c r="C936" s="525"/>
      <c r="D936" s="525"/>
      <c r="E936" s="526"/>
      <c r="F936" s="526"/>
      <c r="G936" s="474"/>
      <c r="H936" s="474"/>
      <c r="I936" s="474"/>
      <c r="J936" s="474"/>
      <c r="K936" s="474"/>
      <c r="L936" s="474"/>
      <c r="M936" s="474"/>
      <c r="N936" s="474"/>
      <c r="O936" s="474"/>
      <c r="P936" s="474"/>
      <c r="Q936" s="474"/>
      <c r="R936" s="474"/>
      <c r="S936" s="474"/>
      <c r="T936" s="474"/>
      <c r="U936" s="474"/>
      <c r="V936" s="474"/>
      <c r="W936" s="474"/>
      <c r="X936" s="474"/>
      <c r="Y936" s="474"/>
      <c r="Z936" s="474"/>
    </row>
    <row r="937" ht="12.0" customHeight="1">
      <c r="A937" s="480"/>
      <c r="B937" s="485"/>
      <c r="C937" s="525"/>
      <c r="D937" s="525"/>
      <c r="E937" s="526"/>
      <c r="F937" s="526"/>
      <c r="G937" s="474"/>
      <c r="H937" s="474"/>
      <c r="I937" s="474"/>
      <c r="J937" s="474"/>
      <c r="K937" s="474"/>
      <c r="L937" s="474"/>
      <c r="M937" s="474"/>
      <c r="N937" s="474"/>
      <c r="O937" s="474"/>
      <c r="P937" s="474"/>
      <c r="Q937" s="474"/>
      <c r="R937" s="474"/>
      <c r="S937" s="474"/>
      <c r="T937" s="474"/>
      <c r="U937" s="474"/>
      <c r="V937" s="474"/>
      <c r="W937" s="474"/>
      <c r="X937" s="474"/>
      <c r="Y937" s="474"/>
      <c r="Z937" s="474"/>
    </row>
    <row r="938" ht="12.0" customHeight="1">
      <c r="A938" s="480"/>
      <c r="B938" s="485"/>
      <c r="C938" s="525"/>
      <c r="D938" s="525"/>
      <c r="E938" s="526"/>
      <c r="F938" s="526"/>
      <c r="G938" s="474"/>
      <c r="H938" s="474"/>
      <c r="I938" s="474"/>
      <c r="J938" s="474"/>
      <c r="K938" s="474"/>
      <c r="L938" s="474"/>
      <c r="M938" s="474"/>
      <c r="N938" s="474"/>
      <c r="O938" s="474"/>
      <c r="P938" s="474"/>
      <c r="Q938" s="474"/>
      <c r="R938" s="474"/>
      <c r="S938" s="474"/>
      <c r="T938" s="474"/>
      <c r="U938" s="474"/>
      <c r="V938" s="474"/>
      <c r="W938" s="474"/>
      <c r="X938" s="474"/>
      <c r="Y938" s="474"/>
      <c r="Z938" s="474"/>
    </row>
    <row r="939" ht="12.0" customHeight="1">
      <c r="A939" s="480"/>
      <c r="B939" s="485"/>
      <c r="C939" s="525"/>
      <c r="D939" s="525"/>
      <c r="E939" s="526"/>
      <c r="F939" s="526"/>
      <c r="G939" s="474"/>
      <c r="H939" s="474"/>
      <c r="I939" s="474"/>
      <c r="J939" s="474"/>
      <c r="K939" s="474"/>
      <c r="L939" s="474"/>
      <c r="M939" s="474"/>
      <c r="N939" s="474"/>
      <c r="O939" s="474"/>
      <c r="P939" s="474"/>
      <c r="Q939" s="474"/>
      <c r="R939" s="474"/>
      <c r="S939" s="474"/>
      <c r="T939" s="474"/>
      <c r="U939" s="474"/>
      <c r="V939" s="474"/>
      <c r="W939" s="474"/>
      <c r="X939" s="474"/>
      <c r="Y939" s="474"/>
      <c r="Z939" s="474"/>
    </row>
    <row r="940" ht="12.0" customHeight="1">
      <c r="A940" s="480"/>
      <c r="B940" s="485"/>
      <c r="C940" s="525"/>
      <c r="D940" s="525"/>
      <c r="E940" s="526"/>
      <c r="F940" s="526"/>
      <c r="G940" s="474"/>
      <c r="H940" s="474"/>
      <c r="I940" s="474"/>
      <c r="J940" s="474"/>
      <c r="K940" s="474"/>
      <c r="L940" s="474"/>
      <c r="M940" s="474"/>
      <c r="N940" s="474"/>
      <c r="O940" s="474"/>
      <c r="P940" s="474"/>
      <c r="Q940" s="474"/>
      <c r="R940" s="474"/>
      <c r="S940" s="474"/>
      <c r="T940" s="474"/>
      <c r="U940" s="474"/>
      <c r="V940" s="474"/>
      <c r="W940" s="474"/>
      <c r="X940" s="474"/>
      <c r="Y940" s="474"/>
      <c r="Z940" s="474"/>
    </row>
    <row r="941" ht="12.0" customHeight="1">
      <c r="A941" s="480"/>
      <c r="B941" s="485"/>
      <c r="C941" s="525"/>
      <c r="D941" s="525"/>
      <c r="E941" s="526"/>
      <c r="F941" s="526"/>
      <c r="G941" s="474"/>
      <c r="H941" s="474"/>
      <c r="I941" s="474"/>
      <c r="J941" s="474"/>
      <c r="K941" s="474"/>
      <c r="L941" s="474"/>
      <c r="M941" s="474"/>
      <c r="N941" s="474"/>
      <c r="O941" s="474"/>
      <c r="P941" s="474"/>
      <c r="Q941" s="474"/>
      <c r="R941" s="474"/>
      <c r="S941" s="474"/>
      <c r="T941" s="474"/>
      <c r="U941" s="474"/>
      <c r="V941" s="474"/>
      <c r="W941" s="474"/>
      <c r="X941" s="474"/>
      <c r="Y941" s="474"/>
      <c r="Z941" s="474"/>
    </row>
    <row r="942" ht="12.0" customHeight="1">
      <c r="A942" s="480"/>
      <c r="B942" s="485"/>
      <c r="C942" s="525"/>
      <c r="D942" s="525"/>
      <c r="E942" s="526"/>
      <c r="F942" s="526"/>
      <c r="G942" s="474"/>
      <c r="H942" s="474"/>
      <c r="I942" s="474"/>
      <c r="J942" s="474"/>
      <c r="K942" s="474"/>
      <c r="L942" s="474"/>
      <c r="M942" s="474"/>
      <c r="N942" s="474"/>
      <c r="O942" s="474"/>
      <c r="P942" s="474"/>
      <c r="Q942" s="474"/>
      <c r="R942" s="474"/>
      <c r="S942" s="474"/>
      <c r="T942" s="474"/>
      <c r="U942" s="474"/>
      <c r="V942" s="474"/>
      <c r="W942" s="474"/>
      <c r="X942" s="474"/>
      <c r="Y942" s="474"/>
      <c r="Z942" s="474"/>
    </row>
    <row r="943" ht="12.0" customHeight="1">
      <c r="A943" s="480"/>
      <c r="B943" s="485"/>
      <c r="C943" s="525"/>
      <c r="D943" s="525"/>
      <c r="E943" s="526"/>
      <c r="F943" s="526"/>
      <c r="G943" s="474"/>
      <c r="H943" s="474"/>
      <c r="I943" s="474"/>
      <c r="J943" s="474"/>
      <c r="K943" s="474"/>
      <c r="L943" s="474"/>
      <c r="M943" s="474"/>
      <c r="N943" s="474"/>
      <c r="O943" s="474"/>
      <c r="P943" s="474"/>
      <c r="Q943" s="474"/>
      <c r="R943" s="474"/>
      <c r="S943" s="474"/>
      <c r="T943" s="474"/>
      <c r="U943" s="474"/>
      <c r="V943" s="474"/>
      <c r="W943" s="474"/>
      <c r="X943" s="474"/>
      <c r="Y943" s="474"/>
      <c r="Z943" s="474"/>
    </row>
    <row r="944" ht="12.0" customHeight="1">
      <c r="A944" s="480"/>
      <c r="B944" s="485"/>
      <c r="C944" s="525"/>
      <c r="D944" s="525"/>
      <c r="E944" s="526"/>
      <c r="F944" s="526"/>
      <c r="G944" s="474"/>
      <c r="H944" s="474"/>
      <c r="I944" s="474"/>
      <c r="J944" s="474"/>
      <c r="K944" s="474"/>
      <c r="L944" s="474"/>
      <c r="M944" s="474"/>
      <c r="N944" s="474"/>
      <c r="O944" s="474"/>
      <c r="P944" s="474"/>
      <c r="Q944" s="474"/>
      <c r="R944" s="474"/>
      <c r="S944" s="474"/>
      <c r="T944" s="474"/>
      <c r="U944" s="474"/>
      <c r="V944" s="474"/>
      <c r="W944" s="474"/>
      <c r="X944" s="474"/>
      <c r="Y944" s="474"/>
      <c r="Z944" s="474"/>
    </row>
    <row r="945" ht="12.0" customHeight="1">
      <c r="A945" s="480"/>
      <c r="B945" s="485"/>
      <c r="C945" s="525"/>
      <c r="D945" s="525"/>
      <c r="E945" s="526"/>
      <c r="F945" s="526"/>
      <c r="G945" s="474"/>
      <c r="H945" s="474"/>
      <c r="I945" s="474"/>
      <c r="J945" s="474"/>
      <c r="K945" s="474"/>
      <c r="L945" s="474"/>
      <c r="M945" s="474"/>
      <c r="N945" s="474"/>
      <c r="O945" s="474"/>
      <c r="P945" s="474"/>
      <c r="Q945" s="474"/>
      <c r="R945" s="474"/>
      <c r="S945" s="474"/>
      <c r="T945" s="474"/>
      <c r="U945" s="474"/>
      <c r="V945" s="474"/>
      <c r="W945" s="474"/>
      <c r="X945" s="474"/>
      <c r="Y945" s="474"/>
      <c r="Z945" s="474"/>
    </row>
    <row r="946" ht="12.0" customHeight="1">
      <c r="A946" s="480"/>
      <c r="B946" s="485"/>
      <c r="C946" s="525"/>
      <c r="D946" s="525"/>
      <c r="E946" s="526"/>
      <c r="F946" s="526"/>
      <c r="G946" s="474"/>
      <c r="H946" s="474"/>
      <c r="I946" s="474"/>
      <c r="J946" s="474"/>
      <c r="K946" s="474"/>
      <c r="L946" s="474"/>
      <c r="M946" s="474"/>
      <c r="N946" s="474"/>
      <c r="O946" s="474"/>
      <c r="P946" s="474"/>
      <c r="Q946" s="474"/>
      <c r="R946" s="474"/>
      <c r="S946" s="474"/>
      <c r="T946" s="474"/>
      <c r="U946" s="474"/>
      <c r="V946" s="474"/>
      <c r="W946" s="474"/>
      <c r="X946" s="474"/>
      <c r="Y946" s="474"/>
      <c r="Z946" s="474"/>
    </row>
    <row r="947" ht="12.0" customHeight="1">
      <c r="A947" s="480"/>
      <c r="B947" s="485"/>
      <c r="C947" s="525"/>
      <c r="D947" s="525"/>
      <c r="E947" s="526"/>
      <c r="F947" s="526"/>
      <c r="G947" s="474"/>
      <c r="H947" s="474"/>
      <c r="I947" s="474"/>
      <c r="J947" s="474"/>
      <c r="K947" s="474"/>
      <c r="L947" s="474"/>
      <c r="M947" s="474"/>
      <c r="N947" s="474"/>
      <c r="O947" s="474"/>
      <c r="P947" s="474"/>
      <c r="Q947" s="474"/>
      <c r="R947" s="474"/>
      <c r="S947" s="474"/>
      <c r="T947" s="474"/>
      <c r="U947" s="474"/>
      <c r="V947" s="474"/>
      <c r="W947" s="474"/>
      <c r="X947" s="474"/>
      <c r="Y947" s="474"/>
      <c r="Z947" s="474"/>
    </row>
    <row r="948" ht="12.0" customHeight="1">
      <c r="A948" s="480"/>
      <c r="B948" s="485"/>
      <c r="C948" s="525"/>
      <c r="D948" s="525"/>
      <c r="E948" s="526"/>
      <c r="F948" s="526"/>
      <c r="G948" s="474"/>
      <c r="H948" s="474"/>
      <c r="I948" s="474"/>
      <c r="J948" s="474"/>
      <c r="K948" s="474"/>
      <c r="L948" s="474"/>
      <c r="M948" s="474"/>
      <c r="N948" s="474"/>
      <c r="O948" s="474"/>
      <c r="P948" s="474"/>
      <c r="Q948" s="474"/>
      <c r="R948" s="474"/>
      <c r="S948" s="474"/>
      <c r="T948" s="474"/>
      <c r="U948" s="474"/>
      <c r="V948" s="474"/>
      <c r="W948" s="474"/>
      <c r="X948" s="474"/>
      <c r="Y948" s="474"/>
      <c r="Z948" s="474"/>
    </row>
    <row r="949" ht="12.0" customHeight="1">
      <c r="A949" s="480"/>
      <c r="B949" s="485"/>
      <c r="C949" s="525"/>
      <c r="D949" s="525"/>
      <c r="E949" s="526"/>
      <c r="F949" s="526"/>
      <c r="G949" s="474"/>
      <c r="H949" s="474"/>
      <c r="I949" s="474"/>
      <c r="J949" s="474"/>
      <c r="K949" s="474"/>
      <c r="L949" s="474"/>
      <c r="M949" s="474"/>
      <c r="N949" s="474"/>
      <c r="O949" s="474"/>
      <c r="P949" s="474"/>
      <c r="Q949" s="474"/>
      <c r="R949" s="474"/>
      <c r="S949" s="474"/>
      <c r="T949" s="474"/>
      <c r="U949" s="474"/>
      <c r="V949" s="474"/>
      <c r="W949" s="474"/>
      <c r="X949" s="474"/>
      <c r="Y949" s="474"/>
      <c r="Z949" s="474"/>
    </row>
    <row r="950" ht="12.0" customHeight="1">
      <c r="A950" s="480"/>
      <c r="B950" s="485"/>
      <c r="C950" s="525"/>
      <c r="D950" s="525"/>
      <c r="E950" s="526"/>
      <c r="F950" s="526"/>
      <c r="G950" s="474"/>
      <c r="H950" s="474"/>
      <c r="I950" s="474"/>
      <c r="J950" s="474"/>
      <c r="K950" s="474"/>
      <c r="L950" s="474"/>
      <c r="M950" s="474"/>
      <c r="N950" s="474"/>
      <c r="O950" s="474"/>
      <c r="P950" s="474"/>
      <c r="Q950" s="474"/>
      <c r="R950" s="474"/>
      <c r="S950" s="474"/>
      <c r="T950" s="474"/>
      <c r="U950" s="474"/>
      <c r="V950" s="474"/>
      <c r="W950" s="474"/>
      <c r="X950" s="474"/>
      <c r="Y950" s="474"/>
      <c r="Z950" s="474"/>
    </row>
    <row r="951" ht="12.0" customHeight="1">
      <c r="A951" s="480"/>
      <c r="B951" s="485"/>
      <c r="C951" s="525"/>
      <c r="D951" s="525"/>
      <c r="E951" s="526"/>
      <c r="F951" s="526"/>
      <c r="G951" s="474"/>
      <c r="H951" s="474"/>
      <c r="I951" s="474"/>
      <c r="J951" s="474"/>
      <c r="K951" s="474"/>
      <c r="L951" s="474"/>
      <c r="M951" s="474"/>
      <c r="N951" s="474"/>
      <c r="O951" s="474"/>
      <c r="P951" s="474"/>
      <c r="Q951" s="474"/>
      <c r="R951" s="474"/>
      <c r="S951" s="474"/>
      <c r="T951" s="474"/>
      <c r="U951" s="474"/>
      <c r="V951" s="474"/>
      <c r="W951" s="474"/>
      <c r="X951" s="474"/>
      <c r="Y951" s="474"/>
      <c r="Z951" s="474"/>
    </row>
    <row r="952" ht="12.0" customHeight="1">
      <c r="A952" s="480"/>
      <c r="B952" s="485"/>
      <c r="C952" s="525"/>
      <c r="D952" s="525"/>
      <c r="E952" s="526"/>
      <c r="F952" s="526"/>
      <c r="G952" s="474"/>
      <c r="H952" s="474"/>
      <c r="I952" s="474"/>
      <c r="J952" s="474"/>
      <c r="K952" s="474"/>
      <c r="L952" s="474"/>
      <c r="M952" s="474"/>
      <c r="N952" s="474"/>
      <c r="O952" s="474"/>
      <c r="P952" s="474"/>
      <c r="Q952" s="474"/>
      <c r="R952" s="474"/>
      <c r="S952" s="474"/>
      <c r="T952" s="474"/>
      <c r="U952" s="474"/>
      <c r="V952" s="474"/>
      <c r="W952" s="474"/>
      <c r="X952" s="474"/>
      <c r="Y952" s="474"/>
      <c r="Z952" s="474"/>
    </row>
    <row r="953" ht="12.0" customHeight="1">
      <c r="A953" s="480"/>
      <c r="B953" s="485"/>
      <c r="C953" s="525"/>
      <c r="D953" s="525"/>
      <c r="E953" s="526"/>
      <c r="F953" s="526"/>
      <c r="G953" s="474"/>
      <c r="H953" s="474"/>
      <c r="I953" s="474"/>
      <c r="J953" s="474"/>
      <c r="K953" s="474"/>
      <c r="L953" s="474"/>
      <c r="M953" s="474"/>
      <c r="N953" s="474"/>
      <c r="O953" s="474"/>
      <c r="P953" s="474"/>
      <c r="Q953" s="474"/>
      <c r="R953" s="474"/>
      <c r="S953" s="474"/>
      <c r="T953" s="474"/>
      <c r="U953" s="474"/>
      <c r="V953" s="474"/>
      <c r="W953" s="474"/>
      <c r="X953" s="474"/>
      <c r="Y953" s="474"/>
      <c r="Z953" s="474"/>
    </row>
    <row r="954" ht="12.0" customHeight="1">
      <c r="A954" s="480"/>
      <c r="B954" s="485"/>
      <c r="C954" s="525"/>
      <c r="D954" s="525"/>
      <c r="E954" s="526"/>
      <c r="F954" s="526"/>
      <c r="G954" s="474"/>
      <c r="H954" s="474"/>
      <c r="I954" s="474"/>
      <c r="J954" s="474"/>
      <c r="K954" s="474"/>
      <c r="L954" s="474"/>
      <c r="M954" s="474"/>
      <c r="N954" s="474"/>
      <c r="O954" s="474"/>
      <c r="P954" s="474"/>
      <c r="Q954" s="474"/>
      <c r="R954" s="474"/>
      <c r="S954" s="474"/>
      <c r="T954" s="474"/>
      <c r="U954" s="474"/>
      <c r="V954" s="474"/>
      <c r="W954" s="474"/>
      <c r="X954" s="474"/>
      <c r="Y954" s="474"/>
      <c r="Z954" s="474"/>
    </row>
    <row r="955" ht="12.0" customHeight="1">
      <c r="A955" s="480"/>
      <c r="B955" s="485"/>
      <c r="C955" s="525"/>
      <c r="D955" s="525"/>
      <c r="E955" s="526"/>
      <c r="F955" s="526"/>
      <c r="G955" s="474"/>
      <c r="H955" s="474"/>
      <c r="I955" s="474"/>
      <c r="J955" s="474"/>
      <c r="K955" s="474"/>
      <c r="L955" s="474"/>
      <c r="M955" s="474"/>
      <c r="N955" s="474"/>
      <c r="O955" s="474"/>
      <c r="P955" s="474"/>
      <c r="Q955" s="474"/>
      <c r="R955" s="474"/>
      <c r="S955" s="474"/>
      <c r="T955" s="474"/>
      <c r="U955" s="474"/>
      <c r="V955" s="474"/>
      <c r="W955" s="474"/>
      <c r="X955" s="474"/>
      <c r="Y955" s="474"/>
      <c r="Z955" s="474"/>
    </row>
    <row r="956" ht="12.0" customHeight="1">
      <c r="A956" s="480"/>
      <c r="B956" s="485"/>
      <c r="C956" s="525"/>
      <c r="D956" s="525"/>
      <c r="E956" s="526"/>
      <c r="F956" s="526"/>
      <c r="G956" s="474"/>
      <c r="H956" s="474"/>
      <c r="I956" s="474"/>
      <c r="J956" s="474"/>
      <c r="K956" s="474"/>
      <c r="L956" s="474"/>
      <c r="M956" s="474"/>
      <c r="N956" s="474"/>
      <c r="O956" s="474"/>
      <c r="P956" s="474"/>
      <c r="Q956" s="474"/>
      <c r="R956" s="474"/>
      <c r="S956" s="474"/>
      <c r="T956" s="474"/>
      <c r="U956" s="474"/>
      <c r="V956" s="474"/>
      <c r="W956" s="474"/>
      <c r="X956" s="474"/>
      <c r="Y956" s="474"/>
      <c r="Z956" s="474"/>
    </row>
    <row r="957" ht="12.0" customHeight="1">
      <c r="A957" s="480"/>
      <c r="B957" s="485"/>
      <c r="C957" s="525"/>
      <c r="D957" s="525"/>
      <c r="E957" s="526"/>
      <c r="F957" s="526"/>
      <c r="G957" s="474"/>
      <c r="H957" s="474"/>
      <c r="I957" s="474"/>
      <c r="J957" s="474"/>
      <c r="K957" s="474"/>
      <c r="L957" s="474"/>
      <c r="M957" s="474"/>
      <c r="N957" s="474"/>
      <c r="O957" s="474"/>
      <c r="P957" s="474"/>
      <c r="Q957" s="474"/>
      <c r="R957" s="474"/>
      <c r="S957" s="474"/>
      <c r="T957" s="474"/>
      <c r="U957" s="474"/>
      <c r="V957" s="474"/>
      <c r="W957" s="474"/>
      <c r="X957" s="474"/>
      <c r="Y957" s="474"/>
      <c r="Z957" s="474"/>
    </row>
    <row r="958" ht="12.0" customHeight="1">
      <c r="A958" s="480"/>
      <c r="B958" s="485"/>
      <c r="C958" s="525"/>
      <c r="D958" s="525"/>
      <c r="E958" s="526"/>
      <c r="F958" s="526"/>
      <c r="G958" s="474"/>
      <c r="H958" s="474"/>
      <c r="I958" s="474"/>
      <c r="J958" s="474"/>
      <c r="K958" s="474"/>
      <c r="L958" s="474"/>
      <c r="M958" s="474"/>
      <c r="N958" s="474"/>
      <c r="O958" s="474"/>
      <c r="P958" s="474"/>
      <c r="Q958" s="474"/>
      <c r="R958" s="474"/>
      <c r="S958" s="474"/>
      <c r="T958" s="474"/>
      <c r="U958" s="474"/>
      <c r="V958" s="474"/>
      <c r="W958" s="474"/>
      <c r="X958" s="474"/>
      <c r="Y958" s="474"/>
      <c r="Z958" s="474"/>
    </row>
    <row r="959" ht="12.0" customHeight="1">
      <c r="A959" s="480"/>
      <c r="B959" s="485"/>
      <c r="C959" s="525"/>
      <c r="D959" s="525"/>
      <c r="E959" s="526"/>
      <c r="F959" s="526"/>
      <c r="G959" s="474"/>
      <c r="H959" s="474"/>
      <c r="I959" s="474"/>
      <c r="J959" s="474"/>
      <c r="K959" s="474"/>
      <c r="L959" s="474"/>
      <c r="M959" s="474"/>
      <c r="N959" s="474"/>
      <c r="O959" s="474"/>
      <c r="P959" s="474"/>
      <c r="Q959" s="474"/>
      <c r="R959" s="474"/>
      <c r="S959" s="474"/>
      <c r="T959" s="474"/>
      <c r="U959" s="474"/>
      <c r="V959" s="474"/>
      <c r="W959" s="474"/>
      <c r="X959" s="474"/>
      <c r="Y959" s="474"/>
      <c r="Z959" s="474"/>
    </row>
    <row r="960" ht="12.0" customHeight="1">
      <c r="A960" s="480"/>
      <c r="B960" s="485"/>
      <c r="C960" s="525"/>
      <c r="D960" s="525"/>
      <c r="E960" s="526"/>
      <c r="F960" s="526"/>
      <c r="G960" s="474"/>
      <c r="H960" s="474"/>
      <c r="I960" s="474"/>
      <c r="J960" s="474"/>
      <c r="K960" s="474"/>
      <c r="L960" s="474"/>
      <c r="M960" s="474"/>
      <c r="N960" s="474"/>
      <c r="O960" s="474"/>
      <c r="P960" s="474"/>
      <c r="Q960" s="474"/>
      <c r="R960" s="474"/>
      <c r="S960" s="474"/>
      <c r="T960" s="474"/>
      <c r="U960" s="474"/>
      <c r="V960" s="474"/>
      <c r="W960" s="474"/>
      <c r="X960" s="474"/>
      <c r="Y960" s="474"/>
      <c r="Z960" s="474"/>
    </row>
    <row r="961" ht="12.0" customHeight="1">
      <c r="A961" s="480"/>
      <c r="B961" s="485"/>
      <c r="C961" s="525"/>
      <c r="D961" s="525"/>
      <c r="E961" s="526"/>
      <c r="F961" s="526"/>
      <c r="G961" s="474"/>
      <c r="H961" s="474"/>
      <c r="I961" s="474"/>
      <c r="J961" s="474"/>
      <c r="K961" s="474"/>
      <c r="L961" s="474"/>
      <c r="M961" s="474"/>
      <c r="N961" s="474"/>
      <c r="O961" s="474"/>
      <c r="P961" s="474"/>
      <c r="Q961" s="474"/>
      <c r="R961" s="474"/>
      <c r="S961" s="474"/>
      <c r="T961" s="474"/>
      <c r="U961" s="474"/>
      <c r="V961" s="474"/>
      <c r="W961" s="474"/>
      <c r="X961" s="474"/>
      <c r="Y961" s="474"/>
      <c r="Z961" s="474"/>
    </row>
    <row r="962" ht="12.0" customHeight="1">
      <c r="A962" s="480"/>
      <c r="B962" s="485"/>
      <c r="C962" s="525"/>
      <c r="D962" s="525"/>
      <c r="E962" s="526"/>
      <c r="F962" s="526"/>
      <c r="G962" s="474"/>
      <c r="H962" s="474"/>
      <c r="I962" s="474"/>
      <c r="J962" s="474"/>
      <c r="K962" s="474"/>
      <c r="L962" s="474"/>
      <c r="M962" s="474"/>
      <c r="N962" s="474"/>
      <c r="O962" s="474"/>
      <c r="P962" s="474"/>
      <c r="Q962" s="474"/>
      <c r="R962" s="474"/>
      <c r="S962" s="474"/>
      <c r="T962" s="474"/>
      <c r="U962" s="474"/>
      <c r="V962" s="474"/>
      <c r="W962" s="474"/>
      <c r="X962" s="474"/>
      <c r="Y962" s="474"/>
      <c r="Z962" s="474"/>
    </row>
    <row r="963" ht="12.0" customHeight="1">
      <c r="A963" s="480"/>
      <c r="B963" s="485"/>
      <c r="C963" s="525"/>
      <c r="D963" s="525"/>
      <c r="E963" s="526"/>
      <c r="F963" s="526"/>
      <c r="G963" s="474"/>
      <c r="H963" s="474"/>
      <c r="I963" s="474"/>
      <c r="J963" s="474"/>
      <c r="K963" s="474"/>
      <c r="L963" s="474"/>
      <c r="M963" s="474"/>
      <c r="N963" s="474"/>
      <c r="O963" s="474"/>
      <c r="P963" s="474"/>
      <c r="Q963" s="474"/>
      <c r="R963" s="474"/>
      <c r="S963" s="474"/>
      <c r="T963" s="474"/>
      <c r="U963" s="474"/>
      <c r="V963" s="474"/>
      <c r="W963" s="474"/>
      <c r="X963" s="474"/>
      <c r="Y963" s="474"/>
      <c r="Z963" s="474"/>
    </row>
    <row r="964" ht="12.0" customHeight="1">
      <c r="A964" s="480"/>
      <c r="B964" s="485"/>
      <c r="C964" s="525"/>
      <c r="D964" s="525"/>
      <c r="E964" s="526"/>
      <c r="F964" s="526"/>
      <c r="G964" s="474"/>
      <c r="H964" s="474"/>
      <c r="I964" s="474"/>
      <c r="J964" s="474"/>
      <c r="K964" s="474"/>
      <c r="L964" s="474"/>
      <c r="M964" s="474"/>
      <c r="N964" s="474"/>
      <c r="O964" s="474"/>
      <c r="P964" s="474"/>
      <c r="Q964" s="474"/>
      <c r="R964" s="474"/>
      <c r="S964" s="474"/>
      <c r="T964" s="474"/>
      <c r="U964" s="474"/>
      <c r="V964" s="474"/>
      <c r="W964" s="474"/>
      <c r="X964" s="474"/>
      <c r="Y964" s="474"/>
      <c r="Z964" s="474"/>
    </row>
    <row r="965" ht="12.0" customHeight="1">
      <c r="A965" s="480"/>
      <c r="B965" s="485"/>
      <c r="C965" s="525"/>
      <c r="D965" s="525"/>
      <c r="E965" s="526"/>
      <c r="F965" s="526"/>
      <c r="G965" s="474"/>
      <c r="H965" s="474"/>
      <c r="I965" s="474"/>
      <c r="J965" s="474"/>
      <c r="K965" s="474"/>
      <c r="L965" s="474"/>
      <c r="M965" s="474"/>
      <c r="N965" s="474"/>
      <c r="O965" s="474"/>
      <c r="P965" s="474"/>
      <c r="Q965" s="474"/>
      <c r="R965" s="474"/>
      <c r="S965" s="474"/>
      <c r="T965" s="474"/>
      <c r="U965" s="474"/>
      <c r="V965" s="474"/>
      <c r="W965" s="474"/>
      <c r="X965" s="474"/>
      <c r="Y965" s="474"/>
      <c r="Z965" s="474"/>
    </row>
    <row r="966" ht="12.0" customHeight="1">
      <c r="A966" s="480"/>
      <c r="B966" s="485"/>
      <c r="C966" s="525"/>
      <c r="D966" s="525"/>
      <c r="E966" s="526"/>
      <c r="F966" s="526"/>
      <c r="G966" s="474"/>
      <c r="H966" s="474"/>
      <c r="I966" s="474"/>
      <c r="J966" s="474"/>
      <c r="K966" s="474"/>
      <c r="L966" s="474"/>
      <c r="M966" s="474"/>
      <c r="N966" s="474"/>
      <c r="O966" s="474"/>
      <c r="P966" s="474"/>
      <c r="Q966" s="474"/>
      <c r="R966" s="474"/>
      <c r="S966" s="474"/>
      <c r="T966" s="474"/>
      <c r="U966" s="474"/>
      <c r="V966" s="474"/>
      <c r="W966" s="474"/>
      <c r="X966" s="474"/>
      <c r="Y966" s="474"/>
      <c r="Z966" s="474"/>
    </row>
    <row r="967" ht="12.0" customHeight="1">
      <c r="A967" s="480"/>
      <c r="B967" s="485"/>
      <c r="C967" s="525"/>
      <c r="D967" s="525"/>
      <c r="E967" s="526"/>
      <c r="F967" s="526"/>
      <c r="G967" s="474"/>
      <c r="H967" s="474"/>
      <c r="I967" s="474"/>
      <c r="J967" s="474"/>
      <c r="K967" s="474"/>
      <c r="L967" s="474"/>
      <c r="M967" s="474"/>
      <c r="N967" s="474"/>
      <c r="O967" s="474"/>
      <c r="P967" s="474"/>
      <c r="Q967" s="474"/>
      <c r="R967" s="474"/>
      <c r="S967" s="474"/>
      <c r="T967" s="474"/>
      <c r="U967" s="474"/>
      <c r="V967" s="474"/>
      <c r="W967" s="474"/>
      <c r="X967" s="474"/>
      <c r="Y967" s="474"/>
      <c r="Z967" s="474"/>
    </row>
    <row r="968" ht="12.0" customHeight="1">
      <c r="A968" s="480"/>
      <c r="B968" s="485"/>
      <c r="C968" s="525"/>
      <c r="D968" s="525"/>
      <c r="E968" s="526"/>
      <c r="F968" s="526"/>
      <c r="G968" s="474"/>
      <c r="H968" s="474"/>
      <c r="I968" s="474"/>
      <c r="J968" s="474"/>
      <c r="K968" s="474"/>
      <c r="L968" s="474"/>
      <c r="M968" s="474"/>
      <c r="N968" s="474"/>
      <c r="O968" s="474"/>
      <c r="P968" s="474"/>
      <c r="Q968" s="474"/>
      <c r="R968" s="474"/>
      <c r="S968" s="474"/>
      <c r="T968" s="474"/>
      <c r="U968" s="474"/>
      <c r="V968" s="474"/>
      <c r="W968" s="474"/>
      <c r="X968" s="474"/>
      <c r="Y968" s="474"/>
      <c r="Z968" s="474"/>
    </row>
    <row r="969" ht="12.0" customHeight="1">
      <c r="A969" s="480"/>
      <c r="B969" s="485"/>
      <c r="C969" s="525"/>
      <c r="D969" s="525"/>
      <c r="E969" s="526"/>
      <c r="F969" s="526"/>
      <c r="G969" s="474"/>
      <c r="H969" s="474"/>
      <c r="I969" s="474"/>
      <c r="J969" s="474"/>
      <c r="K969" s="474"/>
      <c r="L969" s="474"/>
      <c r="M969" s="474"/>
      <c r="N969" s="474"/>
      <c r="O969" s="474"/>
      <c r="P969" s="474"/>
      <c r="Q969" s="474"/>
      <c r="R969" s="474"/>
      <c r="S969" s="474"/>
      <c r="T969" s="474"/>
      <c r="U969" s="474"/>
      <c r="V969" s="474"/>
      <c r="W969" s="474"/>
      <c r="X969" s="474"/>
      <c r="Y969" s="474"/>
      <c r="Z969" s="474"/>
    </row>
    <row r="970" ht="12.0" customHeight="1">
      <c r="A970" s="480"/>
      <c r="B970" s="485"/>
      <c r="C970" s="525"/>
      <c r="D970" s="525"/>
      <c r="E970" s="526"/>
      <c r="F970" s="526"/>
      <c r="G970" s="474"/>
      <c r="H970" s="474"/>
      <c r="I970" s="474"/>
      <c r="J970" s="474"/>
      <c r="K970" s="474"/>
      <c r="L970" s="474"/>
      <c r="M970" s="474"/>
      <c r="N970" s="474"/>
      <c r="O970" s="474"/>
      <c r="P970" s="474"/>
      <c r="Q970" s="474"/>
      <c r="R970" s="474"/>
      <c r="S970" s="474"/>
      <c r="T970" s="474"/>
      <c r="U970" s="474"/>
      <c r="V970" s="474"/>
      <c r="W970" s="474"/>
      <c r="X970" s="474"/>
      <c r="Y970" s="474"/>
      <c r="Z970" s="474"/>
    </row>
    <row r="971" ht="12.0" customHeight="1">
      <c r="A971" s="480"/>
      <c r="B971" s="485"/>
      <c r="C971" s="525"/>
      <c r="D971" s="525"/>
      <c r="E971" s="526"/>
      <c r="F971" s="526"/>
      <c r="G971" s="474"/>
      <c r="H971" s="474"/>
      <c r="I971" s="474"/>
      <c r="J971" s="474"/>
      <c r="K971" s="474"/>
      <c r="L971" s="474"/>
      <c r="M971" s="474"/>
      <c r="N971" s="474"/>
      <c r="O971" s="474"/>
      <c r="P971" s="474"/>
      <c r="Q971" s="474"/>
      <c r="R971" s="474"/>
      <c r="S971" s="474"/>
      <c r="T971" s="474"/>
      <c r="U971" s="474"/>
      <c r="V971" s="474"/>
      <c r="W971" s="474"/>
      <c r="X971" s="474"/>
      <c r="Y971" s="474"/>
      <c r="Z971" s="474"/>
    </row>
    <row r="972" ht="12.0" customHeight="1">
      <c r="A972" s="480"/>
      <c r="B972" s="485"/>
      <c r="C972" s="525"/>
      <c r="D972" s="525"/>
      <c r="E972" s="526"/>
      <c r="F972" s="526"/>
      <c r="G972" s="474"/>
      <c r="H972" s="474"/>
      <c r="I972" s="474"/>
      <c r="J972" s="474"/>
      <c r="K972" s="474"/>
      <c r="L972" s="474"/>
      <c r="M972" s="474"/>
      <c r="N972" s="474"/>
      <c r="O972" s="474"/>
      <c r="P972" s="474"/>
      <c r="Q972" s="474"/>
      <c r="R972" s="474"/>
      <c r="S972" s="474"/>
      <c r="T972" s="474"/>
      <c r="U972" s="474"/>
      <c r="V972" s="474"/>
      <c r="W972" s="474"/>
      <c r="X972" s="474"/>
      <c r="Y972" s="474"/>
      <c r="Z972" s="474"/>
    </row>
    <row r="973" ht="12.0" customHeight="1">
      <c r="A973" s="480"/>
      <c r="B973" s="485"/>
      <c r="C973" s="525"/>
      <c r="D973" s="525"/>
      <c r="E973" s="526"/>
      <c r="F973" s="526"/>
      <c r="G973" s="474"/>
      <c r="H973" s="474"/>
      <c r="I973" s="474"/>
      <c r="J973" s="474"/>
      <c r="K973" s="474"/>
      <c r="L973" s="474"/>
      <c r="M973" s="474"/>
      <c r="N973" s="474"/>
      <c r="O973" s="474"/>
      <c r="P973" s="474"/>
      <c r="Q973" s="474"/>
      <c r="R973" s="474"/>
      <c r="S973" s="474"/>
      <c r="T973" s="474"/>
      <c r="U973" s="474"/>
      <c r="V973" s="474"/>
      <c r="W973" s="474"/>
      <c r="X973" s="474"/>
      <c r="Y973" s="474"/>
      <c r="Z973" s="474"/>
    </row>
    <row r="974" ht="12.0" customHeight="1">
      <c r="A974" s="480"/>
      <c r="B974" s="485"/>
      <c r="C974" s="525"/>
      <c r="D974" s="525"/>
      <c r="E974" s="526"/>
      <c r="F974" s="526"/>
      <c r="G974" s="474"/>
      <c r="H974" s="474"/>
      <c r="I974" s="474"/>
      <c r="J974" s="474"/>
      <c r="K974" s="474"/>
      <c r="L974" s="474"/>
      <c r="M974" s="474"/>
      <c r="N974" s="474"/>
      <c r="O974" s="474"/>
      <c r="P974" s="474"/>
      <c r="Q974" s="474"/>
      <c r="R974" s="474"/>
      <c r="S974" s="474"/>
      <c r="T974" s="474"/>
      <c r="U974" s="474"/>
      <c r="V974" s="474"/>
      <c r="W974" s="474"/>
      <c r="X974" s="474"/>
      <c r="Y974" s="474"/>
      <c r="Z974" s="474"/>
    </row>
    <row r="975" ht="12.0" customHeight="1">
      <c r="A975" s="480"/>
      <c r="B975" s="485"/>
      <c r="C975" s="525"/>
      <c r="D975" s="525"/>
      <c r="E975" s="526"/>
      <c r="F975" s="526"/>
      <c r="G975" s="474"/>
      <c r="H975" s="474"/>
      <c r="I975" s="474"/>
      <c r="J975" s="474"/>
      <c r="K975" s="474"/>
      <c r="L975" s="474"/>
      <c r="M975" s="474"/>
      <c r="N975" s="474"/>
      <c r="O975" s="474"/>
      <c r="P975" s="474"/>
      <c r="Q975" s="474"/>
      <c r="R975" s="474"/>
      <c r="S975" s="474"/>
      <c r="T975" s="474"/>
      <c r="U975" s="474"/>
      <c r="V975" s="474"/>
      <c r="W975" s="474"/>
      <c r="X975" s="474"/>
      <c r="Y975" s="474"/>
      <c r="Z975" s="474"/>
    </row>
    <row r="976" ht="12.0" customHeight="1">
      <c r="A976" s="480"/>
      <c r="B976" s="485"/>
      <c r="C976" s="525"/>
      <c r="D976" s="525"/>
      <c r="E976" s="526"/>
      <c r="F976" s="526"/>
      <c r="G976" s="474"/>
      <c r="H976" s="474"/>
      <c r="I976" s="474"/>
      <c r="J976" s="474"/>
      <c r="K976" s="474"/>
      <c r="L976" s="474"/>
      <c r="M976" s="474"/>
      <c r="N976" s="474"/>
      <c r="O976" s="474"/>
      <c r="P976" s="474"/>
      <c r="Q976" s="474"/>
      <c r="R976" s="474"/>
      <c r="S976" s="474"/>
      <c r="T976" s="474"/>
      <c r="U976" s="474"/>
      <c r="V976" s="474"/>
      <c r="W976" s="474"/>
      <c r="X976" s="474"/>
      <c r="Y976" s="474"/>
      <c r="Z976" s="474"/>
    </row>
    <row r="977" ht="12.0" customHeight="1">
      <c r="A977" s="480"/>
      <c r="B977" s="485"/>
      <c r="C977" s="525"/>
      <c r="D977" s="525"/>
      <c r="E977" s="526"/>
      <c r="F977" s="526"/>
      <c r="G977" s="474"/>
      <c r="H977" s="474"/>
      <c r="I977" s="474"/>
      <c r="J977" s="474"/>
      <c r="K977" s="474"/>
      <c r="L977" s="474"/>
      <c r="M977" s="474"/>
      <c r="N977" s="474"/>
      <c r="O977" s="474"/>
      <c r="P977" s="474"/>
      <c r="Q977" s="474"/>
      <c r="R977" s="474"/>
      <c r="S977" s="474"/>
      <c r="T977" s="474"/>
      <c r="U977" s="474"/>
      <c r="V977" s="474"/>
      <c r="W977" s="474"/>
      <c r="X977" s="474"/>
      <c r="Y977" s="474"/>
      <c r="Z977" s="474"/>
    </row>
    <row r="978" ht="12.0" customHeight="1">
      <c r="A978" s="480"/>
      <c r="B978" s="485"/>
      <c r="C978" s="525"/>
      <c r="D978" s="525"/>
      <c r="E978" s="526"/>
      <c r="F978" s="526"/>
      <c r="G978" s="474"/>
      <c r="H978" s="474"/>
      <c r="I978" s="474"/>
      <c r="J978" s="474"/>
      <c r="K978" s="474"/>
      <c r="L978" s="474"/>
      <c r="M978" s="474"/>
      <c r="N978" s="474"/>
      <c r="O978" s="474"/>
      <c r="P978" s="474"/>
      <c r="Q978" s="474"/>
      <c r="R978" s="474"/>
      <c r="S978" s="474"/>
      <c r="T978" s="474"/>
      <c r="U978" s="474"/>
      <c r="V978" s="474"/>
      <c r="W978" s="474"/>
      <c r="X978" s="474"/>
      <c r="Y978" s="474"/>
      <c r="Z978" s="474"/>
    </row>
    <row r="979" ht="12.0" customHeight="1">
      <c r="A979" s="480"/>
      <c r="B979" s="485"/>
      <c r="C979" s="525"/>
      <c r="D979" s="525"/>
      <c r="E979" s="526"/>
      <c r="F979" s="526"/>
      <c r="G979" s="474"/>
      <c r="H979" s="474"/>
      <c r="I979" s="474"/>
      <c r="J979" s="474"/>
      <c r="K979" s="474"/>
      <c r="L979" s="474"/>
      <c r="M979" s="474"/>
      <c r="N979" s="474"/>
      <c r="O979" s="474"/>
      <c r="P979" s="474"/>
      <c r="Q979" s="474"/>
      <c r="R979" s="474"/>
      <c r="S979" s="474"/>
      <c r="T979" s="474"/>
      <c r="U979" s="474"/>
      <c r="V979" s="474"/>
      <c r="W979" s="474"/>
      <c r="X979" s="474"/>
      <c r="Y979" s="474"/>
      <c r="Z979" s="474"/>
    </row>
    <row r="980" ht="12.0" customHeight="1">
      <c r="A980" s="480"/>
      <c r="B980" s="485"/>
      <c r="C980" s="525"/>
      <c r="D980" s="525"/>
      <c r="E980" s="526"/>
      <c r="F980" s="526"/>
      <c r="G980" s="474"/>
      <c r="H980" s="474"/>
      <c r="I980" s="474"/>
      <c r="J980" s="474"/>
      <c r="K980" s="474"/>
      <c r="L980" s="474"/>
      <c r="M980" s="474"/>
      <c r="N980" s="474"/>
      <c r="O980" s="474"/>
      <c r="P980" s="474"/>
      <c r="Q980" s="474"/>
      <c r="R980" s="474"/>
      <c r="S980" s="474"/>
      <c r="T980" s="474"/>
      <c r="U980" s="474"/>
      <c r="V980" s="474"/>
      <c r="W980" s="474"/>
      <c r="X980" s="474"/>
      <c r="Y980" s="474"/>
      <c r="Z980" s="474"/>
    </row>
    <row r="981" ht="12.0" customHeight="1">
      <c r="A981" s="480"/>
      <c r="B981" s="485"/>
      <c r="C981" s="525"/>
      <c r="D981" s="525"/>
      <c r="E981" s="526"/>
      <c r="F981" s="526"/>
      <c r="G981" s="474"/>
      <c r="H981" s="474"/>
      <c r="I981" s="474"/>
      <c r="J981" s="474"/>
      <c r="K981" s="474"/>
      <c r="L981" s="474"/>
      <c r="M981" s="474"/>
      <c r="N981" s="474"/>
      <c r="O981" s="474"/>
      <c r="P981" s="474"/>
      <c r="Q981" s="474"/>
      <c r="R981" s="474"/>
      <c r="S981" s="474"/>
      <c r="T981" s="474"/>
      <c r="U981" s="474"/>
      <c r="V981" s="474"/>
      <c r="W981" s="474"/>
      <c r="X981" s="474"/>
      <c r="Y981" s="474"/>
      <c r="Z981" s="474"/>
    </row>
    <row r="982" ht="12.0" customHeight="1">
      <c r="A982" s="480"/>
      <c r="B982" s="485"/>
      <c r="C982" s="525"/>
      <c r="D982" s="525"/>
      <c r="E982" s="526"/>
      <c r="F982" s="526"/>
      <c r="G982" s="474"/>
      <c r="H982" s="474"/>
      <c r="I982" s="474"/>
      <c r="J982" s="474"/>
      <c r="K982" s="474"/>
      <c r="L982" s="474"/>
      <c r="M982" s="474"/>
      <c r="N982" s="474"/>
      <c r="O982" s="474"/>
      <c r="P982" s="474"/>
      <c r="Q982" s="474"/>
      <c r="R982" s="474"/>
      <c r="S982" s="474"/>
      <c r="T982" s="474"/>
      <c r="U982" s="474"/>
      <c r="V982" s="474"/>
      <c r="W982" s="474"/>
      <c r="X982" s="474"/>
      <c r="Y982" s="474"/>
      <c r="Z982" s="474"/>
    </row>
    <row r="983" ht="12.0" customHeight="1">
      <c r="A983" s="480"/>
      <c r="B983" s="485"/>
      <c r="C983" s="525"/>
      <c r="D983" s="525"/>
      <c r="E983" s="526"/>
      <c r="F983" s="526"/>
      <c r="G983" s="474"/>
      <c r="H983" s="474"/>
      <c r="I983" s="474"/>
      <c r="J983" s="474"/>
      <c r="K983" s="474"/>
      <c r="L983" s="474"/>
      <c r="M983" s="474"/>
      <c r="N983" s="474"/>
      <c r="O983" s="474"/>
      <c r="P983" s="474"/>
      <c r="Q983" s="474"/>
      <c r="R983" s="474"/>
      <c r="S983" s="474"/>
      <c r="T983" s="474"/>
      <c r="U983" s="474"/>
      <c r="V983" s="474"/>
      <c r="W983" s="474"/>
      <c r="X983" s="474"/>
      <c r="Y983" s="474"/>
      <c r="Z983" s="474"/>
    </row>
    <row r="984" ht="12.0" customHeight="1">
      <c r="A984" s="480"/>
      <c r="B984" s="485"/>
      <c r="C984" s="525"/>
      <c r="D984" s="525"/>
      <c r="E984" s="526"/>
      <c r="F984" s="526"/>
      <c r="G984" s="474"/>
      <c r="H984" s="474"/>
      <c r="I984" s="474"/>
      <c r="J984" s="474"/>
      <c r="K984" s="474"/>
      <c r="L984" s="474"/>
      <c r="M984" s="474"/>
      <c r="N984" s="474"/>
      <c r="O984" s="474"/>
      <c r="P984" s="474"/>
      <c r="Q984" s="474"/>
      <c r="R984" s="474"/>
      <c r="S984" s="474"/>
      <c r="T984" s="474"/>
      <c r="U984" s="474"/>
      <c r="V984" s="474"/>
      <c r="W984" s="474"/>
      <c r="X984" s="474"/>
      <c r="Y984" s="474"/>
      <c r="Z984" s="474"/>
    </row>
    <row r="985" ht="12.0" customHeight="1">
      <c r="A985" s="480"/>
      <c r="B985" s="485"/>
      <c r="C985" s="525"/>
      <c r="D985" s="525"/>
      <c r="E985" s="526"/>
      <c r="F985" s="526"/>
      <c r="G985" s="474"/>
      <c r="H985" s="474"/>
      <c r="I985" s="474"/>
      <c r="J985" s="474"/>
      <c r="K985" s="474"/>
      <c r="L985" s="474"/>
      <c r="M985" s="474"/>
      <c r="N985" s="474"/>
      <c r="O985" s="474"/>
      <c r="P985" s="474"/>
      <c r="Q985" s="474"/>
      <c r="R985" s="474"/>
      <c r="S985" s="474"/>
      <c r="T985" s="474"/>
      <c r="U985" s="474"/>
      <c r="V985" s="474"/>
      <c r="W985" s="474"/>
      <c r="X985" s="474"/>
      <c r="Y985" s="474"/>
      <c r="Z985" s="474"/>
    </row>
    <row r="986" ht="12.0" customHeight="1">
      <c r="A986" s="480"/>
      <c r="B986" s="485"/>
      <c r="C986" s="525"/>
      <c r="D986" s="525"/>
      <c r="E986" s="526"/>
      <c r="F986" s="526"/>
      <c r="G986" s="474"/>
      <c r="H986" s="474"/>
      <c r="I986" s="474"/>
      <c r="J986" s="474"/>
      <c r="K986" s="474"/>
      <c r="L986" s="474"/>
      <c r="M986" s="474"/>
      <c r="N986" s="474"/>
      <c r="O986" s="474"/>
      <c r="P986" s="474"/>
      <c r="Q986" s="474"/>
      <c r="R986" s="474"/>
      <c r="S986" s="474"/>
      <c r="T986" s="474"/>
      <c r="U986" s="474"/>
      <c r="V986" s="474"/>
      <c r="W986" s="474"/>
      <c r="X986" s="474"/>
      <c r="Y986" s="474"/>
      <c r="Z986" s="474"/>
    </row>
    <row r="987" ht="12.0" customHeight="1">
      <c r="A987" s="480"/>
      <c r="B987" s="485"/>
      <c r="C987" s="525"/>
      <c r="D987" s="525"/>
      <c r="E987" s="526"/>
      <c r="F987" s="526"/>
      <c r="G987" s="474"/>
      <c r="H987" s="474"/>
      <c r="I987" s="474"/>
      <c r="J987" s="474"/>
      <c r="K987" s="474"/>
      <c r="L987" s="474"/>
      <c r="M987" s="474"/>
      <c r="N987" s="474"/>
      <c r="O987" s="474"/>
      <c r="P987" s="474"/>
      <c r="Q987" s="474"/>
      <c r="R987" s="474"/>
      <c r="S987" s="474"/>
      <c r="T987" s="474"/>
      <c r="U987" s="474"/>
      <c r="V987" s="474"/>
      <c r="W987" s="474"/>
      <c r="X987" s="474"/>
      <c r="Y987" s="474"/>
      <c r="Z987" s="474"/>
    </row>
    <row r="988" ht="12.0" customHeight="1">
      <c r="A988" s="480"/>
      <c r="B988" s="485"/>
      <c r="C988" s="525"/>
      <c r="D988" s="525"/>
      <c r="E988" s="526"/>
      <c r="F988" s="526"/>
      <c r="G988" s="474"/>
      <c r="H988" s="474"/>
      <c r="I988" s="474"/>
      <c r="J988" s="474"/>
      <c r="K988" s="474"/>
      <c r="L988" s="474"/>
      <c r="M988" s="474"/>
      <c r="N988" s="474"/>
      <c r="O988" s="474"/>
      <c r="P988" s="474"/>
      <c r="Q988" s="474"/>
      <c r="R988" s="474"/>
      <c r="S988" s="474"/>
      <c r="T988" s="474"/>
      <c r="U988" s="474"/>
      <c r="V988" s="474"/>
      <c r="W988" s="474"/>
      <c r="X988" s="474"/>
      <c r="Y988" s="474"/>
      <c r="Z988" s="474"/>
    </row>
    <row r="989" ht="12.0" customHeight="1">
      <c r="A989" s="480"/>
      <c r="B989" s="485"/>
      <c r="C989" s="525"/>
      <c r="D989" s="525"/>
      <c r="E989" s="526"/>
      <c r="F989" s="526"/>
      <c r="G989" s="474"/>
      <c r="H989" s="474"/>
      <c r="I989" s="474"/>
      <c r="J989" s="474"/>
      <c r="K989" s="474"/>
      <c r="L989" s="474"/>
      <c r="M989" s="474"/>
      <c r="N989" s="474"/>
      <c r="O989" s="474"/>
      <c r="P989" s="474"/>
      <c r="Q989" s="474"/>
      <c r="R989" s="474"/>
      <c r="S989" s="474"/>
      <c r="T989" s="474"/>
      <c r="U989" s="474"/>
      <c r="V989" s="474"/>
      <c r="W989" s="474"/>
      <c r="X989" s="474"/>
      <c r="Y989" s="474"/>
      <c r="Z989" s="474"/>
    </row>
    <row r="990" ht="12.0" customHeight="1">
      <c r="A990" s="480"/>
      <c r="B990" s="485"/>
      <c r="C990" s="525"/>
      <c r="D990" s="525"/>
      <c r="E990" s="526"/>
      <c r="F990" s="526"/>
      <c r="G990" s="474"/>
      <c r="H990" s="474"/>
      <c r="I990" s="474"/>
      <c r="J990" s="474"/>
      <c r="K990" s="474"/>
      <c r="L990" s="474"/>
      <c r="M990" s="474"/>
      <c r="N990" s="474"/>
      <c r="O990" s="474"/>
      <c r="P990" s="474"/>
      <c r="Q990" s="474"/>
      <c r="R990" s="474"/>
      <c r="S990" s="474"/>
      <c r="T990" s="474"/>
      <c r="U990" s="474"/>
      <c r="V990" s="474"/>
      <c r="W990" s="474"/>
      <c r="X990" s="474"/>
      <c r="Y990" s="474"/>
      <c r="Z990" s="474"/>
    </row>
    <row r="991" ht="12.0" customHeight="1">
      <c r="A991" s="480"/>
      <c r="B991" s="485"/>
      <c r="C991" s="525"/>
      <c r="D991" s="525"/>
      <c r="E991" s="526"/>
      <c r="F991" s="526"/>
      <c r="G991" s="474"/>
      <c r="H991" s="474"/>
      <c r="I991" s="474"/>
      <c r="J991" s="474"/>
      <c r="K991" s="474"/>
      <c r="L991" s="474"/>
      <c r="M991" s="474"/>
      <c r="N991" s="474"/>
      <c r="O991" s="474"/>
      <c r="P991" s="474"/>
      <c r="Q991" s="474"/>
      <c r="R991" s="474"/>
      <c r="S991" s="474"/>
      <c r="T991" s="474"/>
      <c r="U991" s="474"/>
      <c r="V991" s="474"/>
      <c r="W991" s="474"/>
      <c r="X991" s="474"/>
      <c r="Y991" s="474"/>
      <c r="Z991" s="474"/>
    </row>
    <row r="992" ht="12.0" customHeight="1">
      <c r="A992" s="480"/>
      <c r="B992" s="485"/>
      <c r="C992" s="525"/>
      <c r="D992" s="525"/>
      <c r="E992" s="526"/>
      <c r="F992" s="526"/>
      <c r="G992" s="474"/>
      <c r="H992" s="474"/>
      <c r="I992" s="474"/>
      <c r="J992" s="474"/>
      <c r="K992" s="474"/>
      <c r="L992" s="474"/>
      <c r="M992" s="474"/>
      <c r="N992" s="474"/>
      <c r="O992" s="474"/>
      <c r="P992" s="474"/>
      <c r="Q992" s="474"/>
      <c r="R992" s="474"/>
      <c r="S992" s="474"/>
      <c r="T992" s="474"/>
      <c r="U992" s="474"/>
      <c r="V992" s="474"/>
      <c r="W992" s="474"/>
      <c r="X992" s="474"/>
      <c r="Y992" s="474"/>
      <c r="Z992" s="474"/>
    </row>
    <row r="993" ht="12.0" customHeight="1">
      <c r="A993" s="480"/>
      <c r="B993" s="485"/>
      <c r="C993" s="525"/>
      <c r="D993" s="525"/>
      <c r="E993" s="526"/>
      <c r="F993" s="526"/>
      <c r="G993" s="474"/>
      <c r="H993" s="474"/>
      <c r="I993" s="474"/>
      <c r="J993" s="474"/>
      <c r="K993" s="474"/>
      <c r="L993" s="474"/>
      <c r="M993" s="474"/>
      <c r="N993" s="474"/>
      <c r="O993" s="474"/>
      <c r="P993" s="474"/>
      <c r="Q993" s="474"/>
      <c r="R993" s="474"/>
      <c r="S993" s="474"/>
      <c r="T993" s="474"/>
      <c r="U993" s="474"/>
      <c r="V993" s="474"/>
      <c r="W993" s="474"/>
      <c r="X993" s="474"/>
      <c r="Y993" s="474"/>
      <c r="Z993" s="474"/>
    </row>
    <row r="994" ht="12.0" customHeight="1">
      <c r="A994" s="480"/>
      <c r="B994" s="485"/>
      <c r="C994" s="525"/>
      <c r="D994" s="525"/>
      <c r="E994" s="526"/>
      <c r="F994" s="526"/>
      <c r="G994" s="474"/>
      <c r="H994" s="474"/>
      <c r="I994" s="474"/>
      <c r="J994" s="474"/>
      <c r="K994" s="474"/>
      <c r="L994" s="474"/>
      <c r="M994" s="474"/>
      <c r="N994" s="474"/>
      <c r="O994" s="474"/>
      <c r="P994" s="474"/>
      <c r="Q994" s="474"/>
      <c r="R994" s="474"/>
      <c r="S994" s="474"/>
      <c r="T994" s="474"/>
      <c r="U994" s="474"/>
      <c r="V994" s="474"/>
      <c r="W994" s="474"/>
      <c r="X994" s="474"/>
      <c r="Y994" s="474"/>
      <c r="Z994" s="474"/>
    </row>
    <row r="995" ht="12.0" customHeight="1">
      <c r="A995" s="480"/>
      <c r="B995" s="485"/>
      <c r="C995" s="525"/>
      <c r="D995" s="525"/>
      <c r="E995" s="526"/>
      <c r="F995" s="526"/>
      <c r="G995" s="474"/>
      <c r="H995" s="474"/>
      <c r="I995" s="474"/>
      <c r="J995" s="474"/>
      <c r="K995" s="474"/>
      <c r="L995" s="474"/>
      <c r="M995" s="474"/>
      <c r="N995" s="474"/>
      <c r="O995" s="474"/>
      <c r="P995" s="474"/>
      <c r="Q995" s="474"/>
      <c r="R995" s="474"/>
      <c r="S995" s="474"/>
      <c r="T995" s="474"/>
      <c r="U995" s="474"/>
      <c r="V995" s="474"/>
      <c r="W995" s="474"/>
      <c r="X995" s="474"/>
      <c r="Y995" s="474"/>
      <c r="Z995" s="474"/>
    </row>
    <row r="996" ht="12.0" customHeight="1">
      <c r="A996" s="480"/>
      <c r="B996" s="485"/>
      <c r="C996" s="525"/>
      <c r="D996" s="525"/>
      <c r="E996" s="526"/>
      <c r="F996" s="526"/>
      <c r="G996" s="474"/>
      <c r="H996" s="474"/>
      <c r="I996" s="474"/>
      <c r="J996" s="474"/>
      <c r="K996" s="474"/>
      <c r="L996" s="474"/>
      <c r="M996" s="474"/>
      <c r="N996" s="474"/>
      <c r="O996" s="474"/>
      <c r="P996" s="474"/>
      <c r="Q996" s="474"/>
      <c r="R996" s="474"/>
      <c r="S996" s="474"/>
      <c r="T996" s="474"/>
      <c r="U996" s="474"/>
      <c r="V996" s="474"/>
      <c r="W996" s="474"/>
      <c r="X996" s="474"/>
      <c r="Y996" s="474"/>
      <c r="Z996" s="474"/>
    </row>
    <row r="997" ht="12.0" customHeight="1">
      <c r="A997" s="480"/>
      <c r="B997" s="485"/>
      <c r="C997" s="525"/>
      <c r="D997" s="525"/>
      <c r="E997" s="526"/>
      <c r="F997" s="526"/>
      <c r="G997" s="474"/>
      <c r="H997" s="474"/>
      <c r="I997" s="474"/>
      <c r="J997" s="474"/>
      <c r="K997" s="474"/>
      <c r="L997" s="474"/>
      <c r="M997" s="474"/>
      <c r="N997" s="474"/>
      <c r="O997" s="474"/>
      <c r="P997" s="474"/>
      <c r="Q997" s="474"/>
      <c r="R997" s="474"/>
      <c r="S997" s="474"/>
      <c r="T997" s="474"/>
      <c r="U997" s="474"/>
      <c r="V997" s="474"/>
      <c r="W997" s="474"/>
      <c r="X997" s="474"/>
      <c r="Y997" s="474"/>
      <c r="Z997" s="474"/>
    </row>
    <row r="998" ht="12.0" customHeight="1">
      <c r="A998" s="480"/>
      <c r="B998" s="485"/>
      <c r="C998" s="525"/>
      <c r="D998" s="525"/>
      <c r="E998" s="526"/>
      <c r="F998" s="526"/>
      <c r="G998" s="474"/>
      <c r="H998" s="474"/>
      <c r="I998" s="474"/>
      <c r="J998" s="474"/>
      <c r="K998" s="474"/>
      <c r="L998" s="474"/>
      <c r="M998" s="474"/>
      <c r="N998" s="474"/>
      <c r="O998" s="474"/>
      <c r="P998" s="474"/>
      <c r="Q998" s="474"/>
      <c r="R998" s="474"/>
      <c r="S998" s="474"/>
      <c r="T998" s="474"/>
      <c r="U998" s="474"/>
      <c r="V998" s="474"/>
      <c r="W998" s="474"/>
      <c r="X998" s="474"/>
      <c r="Y998" s="474"/>
      <c r="Z998" s="474"/>
    </row>
    <row r="999" ht="12.0" customHeight="1">
      <c r="A999" s="480"/>
      <c r="B999" s="485"/>
      <c r="C999" s="525"/>
      <c r="D999" s="525"/>
      <c r="E999" s="526"/>
      <c r="F999" s="526"/>
      <c r="G999" s="474"/>
      <c r="H999" s="474"/>
      <c r="I999" s="474"/>
      <c r="J999" s="474"/>
      <c r="K999" s="474"/>
      <c r="L999" s="474"/>
      <c r="M999" s="474"/>
      <c r="N999" s="474"/>
      <c r="O999" s="474"/>
      <c r="P999" s="474"/>
      <c r="Q999" s="474"/>
      <c r="R999" s="474"/>
      <c r="S999" s="474"/>
      <c r="T999" s="474"/>
      <c r="U999" s="474"/>
      <c r="V999" s="474"/>
      <c r="W999" s="474"/>
      <c r="X999" s="474"/>
      <c r="Y999" s="474"/>
      <c r="Z999" s="474"/>
    </row>
    <row r="1000" ht="12.0" customHeight="1">
      <c r="A1000" s="480"/>
      <c r="B1000" s="485"/>
      <c r="C1000" s="525"/>
      <c r="D1000" s="525"/>
      <c r="E1000" s="526"/>
      <c r="F1000" s="526"/>
      <c r="G1000" s="474"/>
      <c r="H1000" s="474"/>
      <c r="I1000" s="474"/>
      <c r="J1000" s="474"/>
      <c r="K1000" s="474"/>
      <c r="L1000" s="474"/>
      <c r="M1000" s="474"/>
      <c r="N1000" s="474"/>
      <c r="O1000" s="474"/>
      <c r="P1000" s="474"/>
      <c r="Q1000" s="474"/>
      <c r="R1000" s="474"/>
      <c r="S1000" s="474"/>
      <c r="T1000" s="474"/>
      <c r="U1000" s="474"/>
      <c r="V1000" s="474"/>
      <c r="W1000" s="474"/>
      <c r="X1000" s="474"/>
      <c r="Y1000" s="474"/>
      <c r="Z1000" s="474"/>
    </row>
  </sheetData>
  <mergeCells count="4">
    <mergeCell ref="A1:F1"/>
    <mergeCell ref="A2:F2"/>
    <mergeCell ref="A3:F3"/>
    <mergeCell ref="A182:F182"/>
  </mergeCells>
  <printOptions/>
  <pageMargins bottom="0.5905511811023623" footer="0.0" header="0.0" left="0.35433070866141736" right="0.3937007874015748" top="0.2755905511811024"/>
  <pageSetup paperSize="9" orientation="portrait"/>
  <headerFooter>
    <oddFooter>&amp;LFichier : &amp;F_x000D_#000000 Data sensitivity - Restricted&amp;RPage : &amp;P/</oddFooter>
  </headerFooter>
  <rowBreaks count="1" manualBreakCount="1">
    <brk id="181" man="1"/>
  </rowBreaks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2009-06-02T09:48:01Z</dcterms:created>
  <dc:creator>MAGRO Eric</dc:creator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215aabf-e622-4bd3-aac9-edfaa5bdc560_Enabled">
    <vt:lpwstr>true</vt:lpwstr>
  </property>
  <property fmtid="{D5CDD505-2E9C-101B-9397-08002B2CF9AE}" pid="3" name="MSIP_Label_d215aabf-e622-4bd3-aac9-edfaa5bdc560_SetDate">
    <vt:lpwstr>2025-10-03T14:31:02Z</vt:lpwstr>
  </property>
  <property fmtid="{D5CDD505-2E9C-101B-9397-08002B2CF9AE}" pid="4" name="MSIP_Label_d215aabf-e622-4bd3-aac9-edfaa5bdc560_Method">
    <vt:lpwstr>Privileged</vt:lpwstr>
  </property>
  <property fmtid="{D5CDD505-2E9C-101B-9397-08002B2CF9AE}" pid="5" name="MSIP_Label_d215aabf-e622-4bd3-aac9-edfaa5bdc560_Name">
    <vt:lpwstr>l2_restricted</vt:lpwstr>
  </property>
  <property fmtid="{D5CDD505-2E9C-101B-9397-08002B2CF9AE}" pid="6" name="MSIP_Label_d215aabf-e622-4bd3-aac9-edfaa5bdc560_SiteId">
    <vt:lpwstr>a5877034-8d6a-496a-8cf8-ceb5e3451109</vt:lpwstr>
  </property>
  <property fmtid="{D5CDD505-2E9C-101B-9397-08002B2CF9AE}" pid="7" name="MSIP_Label_d215aabf-e622-4bd3-aac9-edfaa5bdc560_ActionId">
    <vt:lpwstr>fc6daf04-488f-45af-ac30-78e3add16420</vt:lpwstr>
  </property>
  <property fmtid="{D5CDD505-2E9C-101B-9397-08002B2CF9AE}" pid="8" name="MSIP_Label_d215aabf-e622-4bd3-aac9-edfaa5bdc560_ContentBits">
    <vt:lpwstr>2</vt:lpwstr>
  </property>
  <property fmtid="{D5CDD505-2E9C-101B-9397-08002B2CF9AE}" pid="9" name="MSIP_Label_d215aabf-e622-4bd3-aac9-edfaa5bdc560_Tag">
    <vt:lpwstr>10, 0, 1, 1</vt:lpwstr>
  </property>
</Properties>
</file>